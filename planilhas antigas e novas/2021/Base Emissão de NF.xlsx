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"/>
    </mc:Choice>
  </mc:AlternateContent>
  <xr:revisionPtr revIDLastSave="471" documentId="8_{231DAA21-05B3-4AA0-B8EF-4E6446C6235E}" xr6:coauthVersionLast="47" xr6:coauthVersionMax="47" xr10:uidLastSave="{0196895F-2968-4E1A-BB64-A8B9192E38A7}"/>
  <bookViews>
    <workbookView xWindow="-120" yWindow="-120" windowWidth="20730" windowHeight="11160" firstSheet="2" activeTab="2" xr2:uid="{D9FD3AFD-97A2-4723-9777-C6C4E0D8A0EB}"/>
  </bookViews>
  <sheets>
    <sheet name="Julho 2021" sheetId="1" r:id="rId1"/>
    <sheet name="Agosto 2021" sheetId="8" r:id="rId2"/>
    <sheet name="Setembro" sheetId="9" r:id="rId3"/>
    <sheet name="emails" sheetId="6" r:id="rId4"/>
    <sheet name="Controle de Notas" sheetId="7" r:id="rId5"/>
    <sheet name="Base Legal INSS autonomo" sheetId="3" state="hidden" r:id="rId6"/>
    <sheet name="Tabela DAS IAAM" sheetId="4" state="hidden" r:id="rId7"/>
    <sheet name="Tabela IR" sheetId="2" state="hidden" r:id="rId8"/>
  </sheets>
  <definedNames>
    <definedName name="_xlnm._FilterDatabase" localSheetId="1" hidden="1">'Agosto 2021'!$A$1:$M$25</definedName>
    <definedName name="_xlnm._FilterDatabase" localSheetId="4" hidden="1">'Controle de Notas'!$A$1:$H$25</definedName>
    <definedName name="_xlnm._FilterDatabase" localSheetId="0" hidden="1">'Julho 2021'!$A$1:$M$25</definedName>
    <definedName name="_xlnm._FilterDatabase" localSheetId="2" hidden="1">Setembro!$A$1:$M$25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" l="1"/>
  <c r="D18" i="9"/>
  <c r="M18" i="9" s="1"/>
  <c r="F9" i="9"/>
  <c r="D9" i="9"/>
  <c r="M9" i="9" s="1"/>
  <c r="F8" i="9"/>
  <c r="D8" i="9"/>
  <c r="M8" i="9" s="1"/>
  <c r="F12" i="9"/>
  <c r="D12" i="9"/>
  <c r="M12" i="9" s="1"/>
  <c r="F11" i="9"/>
  <c r="D11" i="9"/>
  <c r="M11" i="9" s="1"/>
  <c r="F15" i="9"/>
  <c r="D15" i="9"/>
  <c r="M15" i="9" s="1"/>
  <c r="F23" i="9"/>
  <c r="D23" i="9"/>
  <c r="F21" i="9"/>
  <c r="D21" i="9"/>
  <c r="M21" i="9" s="1"/>
  <c r="F14" i="9"/>
  <c r="D14" i="9"/>
  <c r="M14" i="9" s="1"/>
  <c r="F6" i="9"/>
  <c r="D6" i="9"/>
  <c r="M6" i="9" s="1"/>
  <c r="F4" i="9"/>
  <c r="D4" i="9"/>
  <c r="M4" i="9" s="1"/>
  <c r="F3" i="9"/>
  <c r="D3" i="9"/>
  <c r="M3" i="9" s="1"/>
  <c r="F22" i="9"/>
  <c r="D22" i="9"/>
  <c r="M22" i="9" s="1"/>
  <c r="F17" i="9"/>
  <c r="D17" i="9"/>
  <c r="M17" i="9" s="1"/>
  <c r="F13" i="9"/>
  <c r="D13" i="9"/>
  <c r="F25" i="9"/>
  <c r="D25" i="9"/>
  <c r="M25" i="9" s="1"/>
  <c r="F5" i="9"/>
  <c r="D5" i="9"/>
  <c r="M5" i="9" s="1"/>
  <c r="F7" i="9"/>
  <c r="D7" i="9"/>
  <c r="M7" i="9" s="1"/>
  <c r="F2" i="9"/>
  <c r="D2" i="9"/>
  <c r="M2" i="9" s="1"/>
  <c r="F20" i="9"/>
  <c r="D20" i="9"/>
  <c r="F10" i="9"/>
  <c r="D10" i="9"/>
  <c r="M10" i="9" s="1"/>
  <c r="F16" i="9"/>
  <c r="D16" i="9"/>
  <c r="F24" i="9"/>
  <c r="D24" i="9"/>
  <c r="F19" i="9"/>
  <c r="D19" i="9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G25" i="1"/>
  <c r="H25" i="1" s="1"/>
  <c r="I25" i="1" s="1"/>
  <c r="M25" i="1"/>
  <c r="K25" i="1" s="1"/>
  <c r="K25" i="9" l="1"/>
  <c r="L25" i="9" s="1"/>
  <c r="K2" i="9"/>
  <c r="L2" i="9" s="1"/>
  <c r="K21" i="9"/>
  <c r="L21" i="9" s="1"/>
  <c r="K9" i="9"/>
  <c r="L9" i="9" s="1"/>
  <c r="K4" i="9"/>
  <c r="L4" i="9" s="1"/>
  <c r="E4" i="9" s="1"/>
  <c r="G4" i="9" s="1"/>
  <c r="H4" i="9" s="1"/>
  <c r="I4" i="9" s="1"/>
  <c r="K15" i="9"/>
  <c r="L15" i="9" s="1"/>
  <c r="E15" i="9" s="1"/>
  <c r="G15" i="9" s="1"/>
  <c r="H15" i="9" s="1"/>
  <c r="I15" i="9" s="1"/>
  <c r="K10" i="9"/>
  <c r="L10" i="9" s="1"/>
  <c r="K12" i="9"/>
  <c r="L12" i="9" s="1"/>
  <c r="K8" i="9"/>
  <c r="L8" i="9" s="1"/>
  <c r="K17" i="9"/>
  <c r="L17" i="9" s="1"/>
  <c r="K5" i="9"/>
  <c r="L5" i="9" s="1"/>
  <c r="K14" i="9"/>
  <c r="L14" i="9" s="1"/>
  <c r="K11" i="9"/>
  <c r="L11" i="9" s="1"/>
  <c r="K18" i="9"/>
  <c r="L18" i="9" s="1"/>
  <c r="E18" i="9" s="1"/>
  <c r="G18" i="9" s="1"/>
  <c r="H18" i="9" s="1"/>
  <c r="I18" i="9" s="1"/>
  <c r="K3" i="9"/>
  <c r="L3" i="9" s="1"/>
  <c r="K6" i="9"/>
  <c r="L6" i="9" s="1"/>
  <c r="K22" i="9"/>
  <c r="L22" i="9" s="1"/>
  <c r="M24" i="9"/>
  <c r="M13" i="9"/>
  <c r="M23" i="9"/>
  <c r="M19" i="9"/>
  <c r="M16" i="9"/>
  <c r="M20" i="9"/>
  <c r="K7" i="9"/>
  <c r="L7" i="9" s="1"/>
  <c r="L25" i="1"/>
  <c r="D2" i="1"/>
  <c r="D11" i="1"/>
  <c r="F11" i="1"/>
  <c r="E11" i="9" l="1"/>
  <c r="G11" i="9" s="1"/>
  <c r="H11" i="9" s="1"/>
  <c r="I11" i="9" s="1"/>
  <c r="E22" i="9"/>
  <c r="G22" i="9" s="1"/>
  <c r="H22" i="9" s="1"/>
  <c r="I22" i="9" s="1"/>
  <c r="E3" i="9"/>
  <c r="G3" i="9" s="1"/>
  <c r="H3" i="9" s="1"/>
  <c r="I3" i="9" s="1"/>
  <c r="E8" i="9"/>
  <c r="G8" i="9" s="1"/>
  <c r="H8" i="9" s="1"/>
  <c r="I8" i="9" s="1"/>
  <c r="E6" i="9"/>
  <c r="G6" i="9" s="1"/>
  <c r="H6" i="9" s="1"/>
  <c r="I6" i="9" s="1"/>
  <c r="E14" i="9"/>
  <c r="G14" i="9" s="1"/>
  <c r="H14" i="9" s="1"/>
  <c r="I14" i="9" s="1"/>
  <c r="K13" i="9"/>
  <c r="L13" i="9" s="1"/>
  <c r="E13" i="9"/>
  <c r="G13" i="9" s="1"/>
  <c r="H13" i="9" s="1"/>
  <c r="I13" i="9" s="1"/>
  <c r="E12" i="9"/>
  <c r="G12" i="9" s="1"/>
  <c r="H12" i="9" s="1"/>
  <c r="I12" i="9" s="1"/>
  <c r="K23" i="9"/>
  <c r="L23" i="9" s="1"/>
  <c r="K24" i="9"/>
  <c r="L24" i="9" s="1"/>
  <c r="E5" i="9"/>
  <c r="G5" i="9" s="1"/>
  <c r="H5" i="9" s="1"/>
  <c r="I5" i="9" s="1"/>
  <c r="E7" i="9"/>
  <c r="G7" i="9" s="1"/>
  <c r="H7" i="9" s="1"/>
  <c r="I7" i="9" s="1"/>
  <c r="E2" i="9"/>
  <c r="G2" i="9" s="1"/>
  <c r="H2" i="9" s="1"/>
  <c r="I2" i="9" s="1"/>
  <c r="E9" i="9"/>
  <c r="G9" i="9" s="1"/>
  <c r="H9" i="9" s="1"/>
  <c r="I9" i="9" s="1"/>
  <c r="K16" i="9"/>
  <c r="L16" i="9" s="1"/>
  <c r="E10" i="9"/>
  <c r="G10" i="9" s="1"/>
  <c r="H10" i="9" s="1"/>
  <c r="I10" i="9" s="1"/>
  <c r="K19" i="9"/>
  <c r="L19" i="9" s="1"/>
  <c r="E19" i="9" s="1"/>
  <c r="G19" i="9" s="1"/>
  <c r="H19" i="9" s="1"/>
  <c r="I19" i="9" s="1"/>
  <c r="E17" i="9"/>
  <c r="G17" i="9" s="1"/>
  <c r="H17" i="9" s="1"/>
  <c r="I17" i="9" s="1"/>
  <c r="E25" i="9"/>
  <c r="G25" i="9" s="1"/>
  <c r="H25" i="9" s="1"/>
  <c r="I25" i="9" s="1"/>
  <c r="K20" i="9"/>
  <c r="L20" i="9" s="1"/>
  <c r="E21" i="9"/>
  <c r="G21" i="9" s="1"/>
  <c r="H21" i="9" s="1"/>
  <c r="I21" i="9" s="1"/>
  <c r="D5" i="1"/>
  <c r="M5" i="1" s="1"/>
  <c r="F4" i="1"/>
  <c r="F6" i="1"/>
  <c r="F7" i="1"/>
  <c r="F12" i="1"/>
  <c r="F14" i="1"/>
  <c r="F15" i="1"/>
  <c r="F16" i="1"/>
  <c r="F17" i="1"/>
  <c r="F18" i="1"/>
  <c r="F19" i="1"/>
  <c r="F20" i="1"/>
  <c r="F22" i="1"/>
  <c r="F23" i="1"/>
  <c r="F2" i="1"/>
  <c r="D4" i="1"/>
  <c r="M4" i="1" s="1"/>
  <c r="K4" i="1" s="1"/>
  <c r="L4" i="1" s="1"/>
  <c r="D6" i="1"/>
  <c r="M6" i="1" s="1"/>
  <c r="M7" i="1"/>
  <c r="M8" i="1"/>
  <c r="M9" i="1"/>
  <c r="D12" i="1"/>
  <c r="M12" i="1" s="1"/>
  <c r="M13" i="1"/>
  <c r="D14" i="1"/>
  <c r="M14" i="1" s="1"/>
  <c r="D15" i="1"/>
  <c r="M15" i="1" s="1"/>
  <c r="M16" i="1"/>
  <c r="D17" i="1"/>
  <c r="M17" i="1" s="1"/>
  <c r="D19" i="1"/>
  <c r="D20" i="1"/>
  <c r="M20" i="1" s="1"/>
  <c r="M21" i="1"/>
  <c r="D22" i="1"/>
  <c r="M22" i="1" s="1"/>
  <c r="D23" i="1"/>
  <c r="M23" i="1" s="1"/>
  <c r="M24" i="1"/>
  <c r="M2" i="1"/>
  <c r="E23" i="9" l="1"/>
  <c r="G23" i="9" s="1"/>
  <c r="H23" i="9" s="1"/>
  <c r="I23" i="9" s="1"/>
  <c r="E20" i="9"/>
  <c r="G20" i="9" s="1"/>
  <c r="H20" i="9" s="1"/>
  <c r="I20" i="9" s="1"/>
  <c r="E16" i="9"/>
  <c r="G16" i="9" s="1"/>
  <c r="H16" i="9" s="1"/>
  <c r="I16" i="9" s="1"/>
  <c r="E24" i="9"/>
  <c r="G24" i="9" s="1"/>
  <c r="H24" i="9" s="1"/>
  <c r="I24" i="9" s="1"/>
  <c r="F5" i="1"/>
  <c r="K17" i="1"/>
  <c r="L17" i="1" s="1"/>
  <c r="M10" i="1"/>
  <c r="K10" i="1" s="1"/>
  <c r="L10" i="1" s="1"/>
  <c r="M11" i="1"/>
  <c r="M18" i="1"/>
  <c r="K18" i="1" s="1"/>
  <c r="L18" i="1" s="1"/>
  <c r="M19" i="1"/>
  <c r="K19" i="1" s="1"/>
  <c r="L19" i="1" s="1"/>
  <c r="M3" i="1"/>
  <c r="K3" i="1" s="1"/>
  <c r="L3" i="1" s="1"/>
  <c r="K9" i="1"/>
  <c r="L9" i="1" s="1"/>
  <c r="K15" i="1"/>
  <c r="L15" i="1" s="1"/>
  <c r="K14" i="1"/>
  <c r="L14" i="1" s="1"/>
  <c r="K13" i="1"/>
  <c r="L13" i="1" s="1"/>
  <c r="K23" i="1"/>
  <c r="L23" i="1" s="1"/>
  <c r="K7" i="1"/>
  <c r="L7" i="1" s="1"/>
  <c r="K20" i="1"/>
  <c r="L20" i="1" s="1"/>
  <c r="K2" i="1"/>
  <c r="L2" i="1" s="1"/>
  <c r="K22" i="1"/>
  <c r="L22" i="1" s="1"/>
  <c r="K6" i="1"/>
  <c r="L6" i="1" s="1"/>
  <c r="K21" i="1"/>
  <c r="L21" i="1" s="1"/>
  <c r="K5" i="1"/>
  <c r="L5" i="1" s="1"/>
  <c r="K12" i="1"/>
  <c r="L12" i="1" s="1"/>
  <c r="E12" i="1" s="1"/>
  <c r="G12" i="1" s="1"/>
  <c r="H12" i="1" s="1"/>
  <c r="I12" i="1" s="1"/>
  <c r="K24" i="1"/>
  <c r="L24" i="1" s="1"/>
  <c r="K16" i="1"/>
  <c r="L16" i="1" s="1"/>
  <c r="K8" i="1"/>
  <c r="L8" i="1" s="1"/>
  <c r="E4" i="1"/>
  <c r="G4" i="1" s="1"/>
  <c r="H4" i="1" s="1"/>
  <c r="I4" i="1" s="1"/>
  <c r="E2" i="1" l="1"/>
  <c r="G2" i="1" s="1"/>
  <c r="H2" i="1" s="1"/>
  <c r="I2" i="1" s="1"/>
  <c r="K11" i="1"/>
  <c r="L11" i="1" s="1"/>
  <c r="E11" i="1" s="1"/>
  <c r="G11" i="1" s="1"/>
  <c r="H11" i="1" s="1"/>
  <c r="I11" i="1" s="1"/>
  <c r="E20" i="1"/>
  <c r="G20" i="1" s="1"/>
  <c r="H20" i="1" s="1"/>
  <c r="I20" i="1" s="1"/>
  <c r="G18" i="1"/>
  <c r="H18" i="1" s="1"/>
  <c r="I18" i="1" s="1"/>
  <c r="E17" i="1"/>
  <c r="G17" i="1" s="1"/>
  <c r="H17" i="1" s="1"/>
  <c r="I17" i="1" s="1"/>
  <c r="G10" i="1"/>
  <c r="H10" i="1" s="1"/>
  <c r="I10" i="1" s="1"/>
  <c r="G3" i="1"/>
  <c r="H3" i="1" s="1"/>
  <c r="I3" i="1" s="1"/>
  <c r="G9" i="1"/>
  <c r="H9" i="1" s="1"/>
  <c r="I9" i="1" s="1"/>
  <c r="E19" i="1"/>
  <c r="G19" i="1" s="1"/>
  <c r="H19" i="1" s="1"/>
  <c r="I19" i="1" s="1"/>
  <c r="E5" i="1"/>
  <c r="G5" i="1" s="1"/>
  <c r="H5" i="1" s="1"/>
  <c r="I5" i="1" s="1"/>
  <c r="E16" i="1"/>
  <c r="G16" i="1" s="1"/>
  <c r="H16" i="1" s="1"/>
  <c r="I16" i="1" s="1"/>
  <c r="G21" i="1"/>
  <c r="H21" i="1" s="1"/>
  <c r="I21" i="1" s="1"/>
  <c r="G13" i="1"/>
  <c r="H13" i="1" s="1"/>
  <c r="I13" i="1" s="1"/>
  <c r="G24" i="1"/>
  <c r="H24" i="1" s="1"/>
  <c r="I24" i="1" s="1"/>
  <c r="E6" i="1"/>
  <c r="G6" i="1" s="1"/>
  <c r="H6" i="1" s="1"/>
  <c r="I6" i="1" s="1"/>
  <c r="E14" i="1"/>
  <c r="G14" i="1" s="1"/>
  <c r="H14" i="1" s="1"/>
  <c r="I14" i="1" s="1"/>
  <c r="G8" i="1"/>
  <c r="H8" i="1" s="1"/>
  <c r="I8" i="1" s="1"/>
  <c r="E15" i="1"/>
  <c r="G15" i="1" s="1"/>
  <c r="H15" i="1" s="1"/>
  <c r="I15" i="1" s="1"/>
  <c r="E23" i="1"/>
  <c r="G23" i="1" s="1"/>
  <c r="H23" i="1" s="1"/>
  <c r="I23" i="1" s="1"/>
  <c r="E22" i="1"/>
  <c r="G22" i="1" s="1"/>
  <c r="H22" i="1" s="1"/>
  <c r="I22" i="1" s="1"/>
  <c r="E7" i="1"/>
  <c r="G7" i="1" s="1"/>
  <c r="H7" i="1" s="1"/>
  <c r="I7" i="1" s="1"/>
  <c r="M22" i="8" l="1"/>
  <c r="M23" i="8"/>
  <c r="M12" i="8"/>
  <c r="M2" i="8"/>
  <c r="K2" i="8" s="1"/>
  <c r="M4" i="8"/>
  <c r="M5" i="8"/>
  <c r="M17" i="8"/>
  <c r="M20" i="8"/>
  <c r="M19" i="8"/>
  <c r="M11" i="8"/>
  <c r="M8" i="8"/>
  <c r="M3" i="8"/>
  <c r="M25" i="8"/>
  <c r="M6" i="8"/>
  <c r="M7" i="8"/>
  <c r="M9" i="8"/>
  <c r="M16" i="8"/>
  <c r="M14" i="8"/>
  <c r="M24" i="8"/>
  <c r="K4" i="8" l="1"/>
  <c r="L4" i="8" s="1"/>
  <c r="K20" i="8"/>
  <c r="L20" i="8" s="1"/>
  <c r="K17" i="8"/>
  <c r="L17" i="8" s="1"/>
  <c r="K25" i="8"/>
  <c r="L25" i="8" s="1"/>
  <c r="K12" i="8"/>
  <c r="L12" i="8" s="1"/>
  <c r="K23" i="8"/>
  <c r="L23" i="8" s="1"/>
  <c r="K9" i="8"/>
  <c r="L9" i="8" s="1"/>
  <c r="K24" i="8"/>
  <c r="L24" i="8" s="1"/>
  <c r="K5" i="8"/>
  <c r="L5" i="8" s="1"/>
  <c r="K3" i="8"/>
  <c r="L3" i="8" s="1"/>
  <c r="K8" i="8"/>
  <c r="L8" i="8" s="1"/>
  <c r="K11" i="8"/>
  <c r="L11" i="8" s="1"/>
  <c r="K16" i="8"/>
  <c r="L16" i="8" s="1"/>
  <c r="K19" i="8"/>
  <c r="L19" i="8" s="1"/>
  <c r="K22" i="8"/>
  <c r="L22" i="8" s="1"/>
  <c r="M18" i="8"/>
  <c r="M13" i="8"/>
  <c r="M21" i="8"/>
  <c r="M10" i="8"/>
  <c r="K6" i="8"/>
  <c r="L6" i="8" s="1"/>
  <c r="K7" i="8"/>
  <c r="L7" i="8" s="1"/>
  <c r="K14" i="8"/>
  <c r="L14" i="8" s="1"/>
  <c r="M15" i="8"/>
  <c r="L2" i="8"/>
  <c r="E12" i="8" l="1"/>
  <c r="G12" i="8" s="1"/>
  <c r="H12" i="8" s="1"/>
  <c r="I12" i="8" s="1"/>
  <c r="E19" i="8"/>
  <c r="G19" i="8" s="1"/>
  <c r="H19" i="8" s="1"/>
  <c r="I19" i="8" s="1"/>
  <c r="E3" i="8"/>
  <c r="G3" i="8" s="1"/>
  <c r="H3" i="8" s="1"/>
  <c r="I3" i="8" s="1"/>
  <c r="E23" i="8"/>
  <c r="G23" i="8" s="1"/>
  <c r="H23" i="8" s="1"/>
  <c r="I23" i="8" s="1"/>
  <c r="E17" i="8"/>
  <c r="G17" i="8" s="1"/>
  <c r="H17" i="8" s="1"/>
  <c r="I17" i="8" s="1"/>
  <c r="K21" i="8"/>
  <c r="L21" i="8" s="1"/>
  <c r="K13" i="8"/>
  <c r="L13" i="8" s="1"/>
  <c r="E16" i="8"/>
  <c r="G16" i="8" s="1"/>
  <c r="H16" i="8" s="1"/>
  <c r="I16" i="8" s="1"/>
  <c r="E5" i="8"/>
  <c r="G5" i="8" s="1"/>
  <c r="H5" i="8" s="1"/>
  <c r="I5" i="8" s="1"/>
  <c r="E7" i="8"/>
  <c r="E20" i="8"/>
  <c r="G20" i="8" s="1"/>
  <c r="H20" i="8" s="1"/>
  <c r="I20" i="8" s="1"/>
  <c r="E11" i="8"/>
  <c r="G11" i="8" s="1"/>
  <c r="H11" i="8" s="1"/>
  <c r="I11" i="8" s="1"/>
  <c r="E24" i="8"/>
  <c r="G24" i="8" s="1"/>
  <c r="H24" i="8" s="1"/>
  <c r="I24" i="8" s="1"/>
  <c r="E4" i="8"/>
  <c r="G4" i="8" s="1"/>
  <c r="H4" i="8" s="1"/>
  <c r="I4" i="8" s="1"/>
  <c r="K18" i="8"/>
  <c r="L18" i="8" s="1"/>
  <c r="E14" i="8"/>
  <c r="G14" i="8" s="1"/>
  <c r="H14" i="8" s="1"/>
  <c r="I14" i="8" s="1"/>
  <c r="K10" i="8"/>
  <c r="L10" i="8" s="1"/>
  <c r="E22" i="8"/>
  <c r="G22" i="8" s="1"/>
  <c r="H22" i="8" s="1"/>
  <c r="I22" i="8" s="1"/>
  <c r="E8" i="8"/>
  <c r="G8" i="8" s="1"/>
  <c r="H8" i="8" s="1"/>
  <c r="I8" i="8" s="1"/>
  <c r="E9" i="8"/>
  <c r="G9" i="8" s="1"/>
  <c r="H9" i="8" s="1"/>
  <c r="I9" i="8" s="1"/>
  <c r="E25" i="8"/>
  <c r="G25" i="8" s="1"/>
  <c r="H25" i="8" s="1"/>
  <c r="I25" i="8" s="1"/>
  <c r="E6" i="8"/>
  <c r="G6" i="8" s="1"/>
  <c r="H6" i="8" s="1"/>
  <c r="I6" i="8" s="1"/>
  <c r="K15" i="8"/>
  <c r="L15" i="8" s="1"/>
  <c r="E2" i="8"/>
  <c r="G2" i="8" s="1"/>
  <c r="H2" i="8" s="1"/>
  <c r="I2" i="8" s="1"/>
  <c r="G7" i="8"/>
  <c r="H7" i="8" s="1"/>
  <c r="I7" i="8" s="1"/>
  <c r="E15" i="8" l="1"/>
  <c r="E13" i="8"/>
  <c r="G13" i="8" s="1"/>
  <c r="H13" i="8" s="1"/>
  <c r="I13" i="8" s="1"/>
  <c r="E18" i="8"/>
  <c r="G18" i="8" s="1"/>
  <c r="H18" i="8" s="1"/>
  <c r="I18" i="8" s="1"/>
  <c r="E21" i="8"/>
  <c r="G21" i="8" s="1"/>
  <c r="H21" i="8" s="1"/>
  <c r="I21" i="8" s="1"/>
  <c r="E10" i="8"/>
  <c r="G10" i="8" s="1"/>
  <c r="H10" i="8" s="1"/>
  <c r="I10" i="8" s="1"/>
  <c r="G15" i="8"/>
  <c r="H15" i="8" s="1"/>
  <c r="I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tc={BD50C6FD-41DA-493B-AC17-699F4C1715CF}</author>
    <author>tc={B44FF2AA-7D66-4ED5-A659-92CFCAB02D99}</author>
    <author>tc={071F1E80-E104-452A-B0D6-D4A494746670}</author>
    <author>tc={3D37D905-1FEA-4A6E-B523-6107024B0E7C}</author>
    <author>tc={9A7BE71E-4515-4048-814F-A948230C7819}</author>
    <author>tc={1D05B4A4-D323-41D0-9042-C634168B57B2}</author>
    <author>tc={E21EB3DE-F2DA-416F-9094-E125999C2F8E}</author>
    <author>tc={98FD922B-3652-4869-9812-0632EDA46685}</author>
  </authors>
  <commentList>
    <comment ref="J2" authorId="0" shapeId="0" xr:uid="{BD50C6FD-41DA-493B-AC17-699F4C1715C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3" authorId="1" shapeId="0" xr:uid="{B44FF2AA-7D66-4ED5-A659-92CFCAB02D9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</t>
      </text>
    </comment>
    <comment ref="J5" authorId="2" shapeId="0" xr:uid="{071F1E80-E104-452A-B0D6-D4A494746670}">
      <text>
        <t>[Threaded comment]
Your version of Excel allows you to read this threaded comment; however, any edits to it will get removed if the file is opened in a newer version of Excel. Learn more: https://go.microsoft.com/fwlink/?linkid=870924
Comment:
    Apos Outubro</t>
      </text>
    </comment>
    <comment ref="J8" authorId="3" shapeId="0" xr:uid="{3D37D905-1FEA-4A6E-B523-6107024B0E7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seguro</t>
      </text>
    </comment>
    <comment ref="J10" authorId="4" shapeId="0" xr:uid="{9A7BE71E-4515-4048-814F-A948230C781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11" authorId="5" shapeId="0" xr:uid="{1D05B4A4-D323-41D0-9042-C634168B57B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</t>
      </text>
    </comment>
    <comment ref="A16" authorId="6" shapeId="0" xr:uid="{E21EB3DE-F2DA-416F-9094-E125999C2F8E}">
      <text>
        <t>[Threaded comment]
Your version of Excel allows you to read this threaded comment; however, any edits to it will get removed if the file is opened in a newer version of Excel. Learn more: https://go.microsoft.com/fwlink/?linkid=870924
Comment:
    Ja recolhe INSS em outra empresa</t>
      </text>
    </comment>
    <comment ref="J17" authorId="7" shapeId="0" xr:uid="{98FD922B-3652-4869-9812-0632EDA4668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tc={D05E4A6E-E757-4143-AD07-3B4855413EA8}</author>
    <author>tc={79EB4EC2-0104-4D8D-9BAD-FE04A86B6D9B}</author>
    <author>tc={C5AB40F8-25A4-44B8-9078-D78C3B736934}</author>
    <author>tc={3C7AD86B-918C-492A-8AAC-9DD4200FBC16}</author>
    <author>tc={07D8E473-23C3-447D-8A24-C744EEB80491}</author>
    <author>tc={6A37FB5D-3E2C-474D-B7AA-15A5C0E3B596}</author>
    <author>tc={7E5C5EF4-4DC2-4E7E-BC1D-8AAA704D5E9A}</author>
    <author>tc={9FC4466C-3D33-4B06-839D-02AFBE9C1838}</author>
  </authors>
  <commentList>
    <comment ref="J2" authorId="0" shapeId="0" xr:uid="{D05E4A6E-E757-4143-AD07-3B4855413EA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3" authorId="1" shapeId="0" xr:uid="{79EB4EC2-0104-4D8D-9BAD-FE04A86B6D9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</t>
      </text>
    </comment>
    <comment ref="J5" authorId="2" shapeId="0" xr:uid="{C5AB40F8-25A4-44B8-9078-D78C3B736934}">
      <text>
        <t>[Threaded comment]
Your version of Excel allows you to read this threaded comment; however, any edits to it will get removed if the file is opened in a newer version of Excel. Learn more: https://go.microsoft.com/fwlink/?linkid=870924
Comment:
    Apos Outubro</t>
      </text>
    </comment>
    <comment ref="J8" authorId="3" shapeId="0" xr:uid="{3C7AD86B-918C-492A-8AAC-9DD4200FBC1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seguro</t>
      </text>
    </comment>
    <comment ref="J10" authorId="4" shapeId="0" xr:uid="{07D8E473-23C3-447D-8A24-C744EEB8049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seguro</t>
      </text>
    </comment>
    <comment ref="J11" authorId="5" shapeId="0" xr:uid="{6A37FB5D-3E2C-474D-B7AA-15A5C0E3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A16" authorId="6" shapeId="0" xr:uid="{7E5C5EF4-4DC2-4E7E-BC1D-8AAA704D5E9A}">
      <text>
        <t>[Threaded comment]
Your version of Excel allows you to read this threaded comment; however, any edits to it will get removed if the file is opened in a newer version of Excel. Learn more: https://go.microsoft.com/fwlink/?linkid=870924
Comment:
    Ja recolhe INSS em outra empresa</t>
      </text>
    </comment>
    <comment ref="J17" authorId="7" shapeId="0" xr:uid="{9FC4466C-3D33-4B06-839D-02AFBE9C1838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tc={7F98FC11-C045-4175-BAAC-26AE54AA2CE4}</author>
    <author>tc={BE9467C3-FCD1-4B41-851B-E0B1EE711477}</author>
    <author>tc={1839F535-085F-4B10-BD58-A04540ECE4D9}</author>
    <author>tc={55D4D7CB-B284-4921-AE1B-63C3D7DDE990}</author>
    <author>tc={25F71D4C-8789-4E54-BE98-7E9C80FFF730}</author>
    <author>tc={E4D6323B-9ED7-4AEC-9CFD-F9C0FD9461EB}</author>
    <author>tc={0EAEC6F6-0269-4667-8CD5-E0A68AEF091B}</author>
  </authors>
  <commentList>
    <comment ref="J7" authorId="0" shapeId="0" xr:uid="{7F98FC11-C045-4175-BAAC-26AE54AA2CE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seguro</t>
      </text>
    </comment>
    <comment ref="J10" authorId="1" shapeId="0" xr:uid="{BE9467C3-FCD1-4B41-851B-E0B1EE711477}">
      <text>
        <t>[Threaded comment]
Your version of Excel allows you to read this threaded comment; however, any edits to it will get removed if the file is opened in a newer version of Excel. Learn more: https://go.microsoft.com/fwlink/?linkid=870924
Comment:
    Apos Outubro</t>
      </text>
    </comment>
    <comment ref="J13" authorId="2" shapeId="0" xr:uid="{1839F535-085F-4B10-BD58-A04540ECE4D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14" authorId="3" shapeId="0" xr:uid="{55D4D7CB-B284-4921-AE1B-63C3D7DDE99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19" authorId="4" shapeId="0" xr:uid="{25F71D4C-8789-4E54-BE98-7E9C80FFF73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Seguro)</t>
      </text>
    </comment>
    <comment ref="J24" authorId="5" shapeId="0" xr:uid="{E4D6323B-9ED7-4AEC-9CFD-F9C0FD9461E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o seguro</t>
      </text>
    </comment>
    <comment ref="J25" authorId="6" shapeId="0" xr:uid="{0EAEC6F6-0269-4667-8CD5-E0A68AEF0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Assim que terminar seguro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tc={88291CA7-5606-4A07-BF85-992FB249AE46}</author>
  </authors>
  <commentList>
    <comment ref="A9" authorId="0" shapeId="0" xr:uid="{88291CA7-5606-4A07-BF85-992FB249AE46}">
      <text>
        <t>[Threaded comment]
Your version of Excel allows you to read this threaded comment; however, any edits to it will get removed if the file is opened in a newer version of Excel. Learn more: https://go.microsoft.com/fwlink/?linkid=870924
Comment:
    Ja recolhe INSS em outra empresa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tc={354CDFB1-60EC-4CAA-9283-50250A445474}</author>
  </authors>
  <commentList>
    <comment ref="A16" authorId="0" shapeId="0" xr:uid="{354CDFB1-60EC-4CAA-9283-50250A445474}">
      <text>
        <t>[Threaded comment]
Your version of Excel allows you to read this threaded comment; however, any edits to it will get removed if the file is opened in a newer version of Excel. Learn more: https://go.microsoft.com/fwlink/?linkid=870924
Comment:
    Ja recolhe INSS em outra empresa</t>
      </text>
    </comment>
  </commentList>
</comments>
</file>

<file path=xl/sharedStrings.xml><?xml version="1.0" encoding="utf-8"?>
<sst xmlns="http://schemas.openxmlformats.org/spreadsheetml/2006/main" count="396" uniqueCount="102">
  <si>
    <t>Profissional</t>
  </si>
  <si>
    <t>Especialidade</t>
  </si>
  <si>
    <t>Remuneração Total</t>
  </si>
  <si>
    <t>INSS (11%)</t>
  </si>
  <si>
    <t>IRPF</t>
  </si>
  <si>
    <t>ISS (5%)</t>
  </si>
  <si>
    <t>Liquido a receber</t>
  </si>
  <si>
    <t>Total desc</t>
  </si>
  <si>
    <t>Desc %</t>
  </si>
  <si>
    <t>Status Nota</t>
  </si>
  <si>
    <t>Aliq IR</t>
  </si>
  <si>
    <t>Desc IR</t>
  </si>
  <si>
    <t>Base IR</t>
  </si>
  <si>
    <t>Suelen de Sá Guimarães</t>
  </si>
  <si>
    <t>Fisioterapia</t>
  </si>
  <si>
    <t xml:space="preserve">NFA </t>
  </si>
  <si>
    <t>Weliton Douglas de Freitas Viana (A)</t>
  </si>
  <si>
    <t>Acupuntura</t>
  </si>
  <si>
    <t xml:space="preserve">MEI </t>
  </si>
  <si>
    <t>Mariane do Amaral Felix</t>
  </si>
  <si>
    <t>RPG</t>
  </si>
  <si>
    <t>NFA</t>
  </si>
  <si>
    <t>Kariny Beserra Santiago</t>
  </si>
  <si>
    <t>Susana Brito de Albuquerque Moura</t>
  </si>
  <si>
    <t>Matheus dos Santos Machado</t>
  </si>
  <si>
    <t>NFA (já tem registro, desconto INSS teto max)</t>
  </si>
  <si>
    <t>Glaumir Sampaio Cavalcante Junior</t>
  </si>
  <si>
    <t>Eduardo Aleixo da Silva</t>
  </si>
  <si>
    <t>MEI</t>
  </si>
  <si>
    <t>Weliton Douglas de Freitas Viana (SJ)</t>
  </si>
  <si>
    <t>Leiliany Palmeira da Silva (Acup)</t>
  </si>
  <si>
    <t>Nathalia Iasmin Jacquiminouth Aires</t>
  </si>
  <si>
    <t>Thalita Guedes de Carvalho Souza</t>
  </si>
  <si>
    <t>Cecília Fernandes Silva de Sousa</t>
  </si>
  <si>
    <t>Vai checar (Assim que o seguro terminar)</t>
  </si>
  <si>
    <t>Ediane Regina dos Santos</t>
  </si>
  <si>
    <t>Neuro</t>
  </si>
  <si>
    <t>Flávia Souza dos Santos</t>
  </si>
  <si>
    <t>Leiliany Palmeira da Silva (RPG)</t>
  </si>
  <si>
    <t>Tereza Cristina Mendonça da Silva</t>
  </si>
  <si>
    <t>ME</t>
  </si>
  <si>
    <t>Vinicius Xavier Rodrigues Sena</t>
  </si>
  <si>
    <t>Marcella Verônica Romão Escábia</t>
  </si>
  <si>
    <t>Katiuscia Rosas Guimarães</t>
  </si>
  <si>
    <t>Laryssa  Paulain Lascas Riker</t>
  </si>
  <si>
    <t>Janete Vieira Alves</t>
  </si>
  <si>
    <t>Joria Freitas da Silva</t>
  </si>
  <si>
    <t>Rayane Lima da Silva Falcão</t>
  </si>
  <si>
    <t>NFA / Seguro</t>
  </si>
  <si>
    <t>MEI / Seguro</t>
  </si>
  <si>
    <t>NFA / Já recolhe o INSS</t>
  </si>
  <si>
    <t>Arleson Rolim Maklouf</t>
  </si>
  <si>
    <t>???</t>
  </si>
  <si>
    <t>Lauren Maria Borges Melo</t>
  </si>
  <si>
    <t>Email</t>
  </si>
  <si>
    <t>Beatriz Kikuda Rodrigues</t>
  </si>
  <si>
    <t>biakikuda@hotmail.com</t>
  </si>
  <si>
    <t>cecisousa@yahoo.com.br</t>
  </si>
  <si>
    <t>Clemerson Rodrigues</t>
  </si>
  <si>
    <t>clemerson@iaamazonas.com.br</t>
  </si>
  <si>
    <t>ediane311@hotmail.com</t>
  </si>
  <si>
    <t>eduardoaleixo10@hotmail.com</t>
  </si>
  <si>
    <t>Eliane Carneiro Farias</t>
  </si>
  <si>
    <t>eliane_gat_19@hotmail.com</t>
  </si>
  <si>
    <t>Fatima Maria Tavares dos Santos</t>
  </si>
  <si>
    <t>fm_1964@hotmail.com</t>
  </si>
  <si>
    <t>flaviasantos.fisio@gmail.com</t>
  </si>
  <si>
    <t>Geraldo José Nossa Tuma</t>
  </si>
  <si>
    <t>espceb@gmail.com</t>
  </si>
  <si>
    <t>glaumirjunior@gmail.com</t>
  </si>
  <si>
    <t>alvesjanete@rocketmail.com</t>
  </si>
  <si>
    <t>joriajoriafreitas@gmail.com</t>
  </si>
  <si>
    <t>ka.santiago@hotmail.com</t>
  </si>
  <si>
    <t>kaka.rosas01@gmail.com</t>
  </si>
  <si>
    <t>Kellyane Oneida</t>
  </si>
  <si>
    <t>kellyoneida@gmail.com</t>
  </si>
  <si>
    <t>lary_paulain@hotmail.com</t>
  </si>
  <si>
    <t>leily@hotmail.com</t>
  </si>
  <si>
    <t>escabiama@gmail.com</t>
  </si>
  <si>
    <t>marivivifelix@gmail.com</t>
  </si>
  <si>
    <t>maatheusmachadozq@gmail.com</t>
  </si>
  <si>
    <t>Mislene Martins da Silva</t>
  </si>
  <si>
    <t>mislenemartinss@gmail.com</t>
  </si>
  <si>
    <t>nathiasmin_aires@hotmail.com</t>
  </si>
  <si>
    <t>rannyraiodesol@gmail.com</t>
  </si>
  <si>
    <t>suelen.sa.guimaraes@gmail.com</t>
  </si>
  <si>
    <t>su.albuquerquem@hotmail.com</t>
  </si>
  <si>
    <t>tereza_mend@hotmail.com</t>
  </si>
  <si>
    <t>thalita.guedesfisio@gmail.com</t>
  </si>
  <si>
    <t>xaviersena.vinicius@gmail.com</t>
  </si>
  <si>
    <t>welitov@hotmail.com</t>
  </si>
  <si>
    <t>Julho</t>
  </si>
  <si>
    <t>Agosto</t>
  </si>
  <si>
    <t>Setembro</t>
  </si>
  <si>
    <t>Outubro</t>
  </si>
  <si>
    <t>Novembro</t>
  </si>
  <si>
    <t>Dezembro</t>
  </si>
  <si>
    <t>Regime</t>
  </si>
  <si>
    <t>Aviso</t>
  </si>
  <si>
    <t>Enviada</t>
  </si>
  <si>
    <t>Pendente</t>
  </si>
  <si>
    <t>Calculadora RPA para Autônomos 2021 - Contabilizei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</si>
</sst>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i/>
      <sz val="7.5"/>
      <color rgb="FF000000"/>
      <name val="Verdana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44" fontId="4" fillId="0" borderId="1" xfId="1" applyFont="1" applyBorder="1"/>
    <xf numFmtId="44" fontId="4" fillId="0" borderId="1" xfId="1" applyFont="1" applyBorder="1" applyAlignment="1">
      <alignment horizontal="center"/>
    </xf>
    <xf numFmtId="44" fontId="4" fillId="0" borderId="1" xfId="0" applyNumberFormat="1" applyFont="1" applyBorder="1"/>
    <xf numFmtId="164" fontId="4" fillId="0" borderId="1" xfId="2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1" xfId="1" applyFont="1" applyFill="1" applyBorder="1"/>
    <xf numFmtId="44" fontId="4" fillId="0" borderId="1" xfId="1" applyFont="1" applyFill="1" applyBorder="1" applyAlignment="1">
      <alignment horizontal="center"/>
    </xf>
    <xf numFmtId="4" fontId="3" fillId="2" borderId="1" xfId="1" applyNumberFormat="1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4" fontId="6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44" fontId="4" fillId="2" borderId="1" xfId="0" applyNumberFormat="1" applyFont="1" applyFill="1" applyBorder="1"/>
    <xf numFmtId="0" fontId="3" fillId="0" borderId="0" xfId="0" applyFont="1" applyAlignment="1">
      <alignment horizontal="center"/>
    </xf>
    <xf numFmtId="9" fontId="6" fillId="0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3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/>
    <xf numFmtId="0" fontId="12" fillId="0" borderId="1" xfId="0" applyFont="1" applyBorder="1" applyAlignment="1">
      <alignment horizontal="left" vertical="center"/>
    </xf>
    <xf numFmtId="0" fontId="12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3" fillId="0" borderId="1" xfId="3" applyFont="1" applyFill="1" applyBorder="1"/>
    <xf numFmtId="0" fontId="15" fillId="0" borderId="1" xfId="3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5" fillId="0" borderId="0" xfId="3" applyFont="1" applyFill="1" applyAlignment="1">
      <alignment horizontal="center"/>
    </xf>
    <xf numFmtId="0" fontId="2" fillId="0" borderId="0" xfId="0" applyFont="1" applyAlignment="1">
      <alignment horizontal="center"/>
    </xf>
    <xf numFmtId="0" fontId="11" fillId="0" borderId="1" xfId="3" applyBorder="1" applyAlignment="1">
      <alignment horizontal="center"/>
    </xf>
    <xf numFmtId="0" fontId="11" fillId="0" borderId="1" xfId="4" applyFill="1" applyBorder="1"/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Fill="1"/>
    <xf numFmtId="44" fontId="4" fillId="3" borderId="1" xfId="0" applyNumberFormat="1" applyFont="1" applyFill="1" applyBorder="1"/>
  </cellXfs>
  <cellStyles count="5">
    <cellStyle name="Hiperlink" xfId="3" builtinId="8"/>
    <cellStyle name="Hyperlink" xfId="4" xr:uid="{00000000-000B-0000-0000-000008000000}"/>
    <cellStyle name="Moeda" xfId="1" builtinId="4"/>
    <cellStyle name="Normal" xfId="0" builtinId="0"/>
    <cellStyle name="Porcentagem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strike val="0"/>
        <color theme="0"/>
      </font>
      <fill>
        <gradientFill type="path" left="0.5" right="0.5" top="0.5" bottom="0.5">
          <stop position="0">
            <color theme="0"/>
          </stop>
          <stop position="1">
            <color rgb="FF00FF00"/>
          </stop>
        </gradient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0</xdr:row>
      <xdr:rowOff>11907</xdr:rowOff>
    </xdr:from>
    <xdr:to>
      <xdr:col>22</xdr:col>
      <xdr:colOff>243642</xdr:colOff>
      <xdr:row>24</xdr:row>
      <xdr:rowOff>87526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390AF0-1A3A-4C73-A18A-6189DE11F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" y="11907"/>
          <a:ext cx="12959518" cy="4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352424</xdr:colOff>
      <xdr:row>20</xdr:row>
      <xdr:rowOff>171450</xdr:rowOff>
    </xdr:to>
    <xdr:pic>
      <xdr:nvPicPr>
        <xdr:cNvPr id="2" name="Imagem 1" descr="Interface gráfica do usuário, Texto, Aplicativo&#10;&#10;Descrição gerada automaticamente">
          <a:extLst>
            <a:ext uri="{FF2B5EF4-FFF2-40B4-BE49-F238E27FC236}">
              <a16:creationId xmlns:a16="http://schemas.microsoft.com/office/drawing/2014/main" id="{32B68E40-37A6-4C6D-ACD0-F6EF27B4494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67624" cy="3981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608686</xdr:colOff>
      <xdr:row>21</xdr:row>
      <xdr:rowOff>75690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A55D42-F1A9-409E-93E3-F810F4D20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4286" cy="40761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aam controle" id="{23B13FE0-BFB7-45C9-AD15-29CB28A8BBEE}" userId="3d79642c121cbf9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1-08-05T15:37:17.61" personId="{23B13FE0-BFB7-45C9-AD15-29CB28A8BBEE}" id="{BD50C6FD-41DA-493B-AC17-699F4C1715CF}">
    <text>Assim que terminar o Seguro)</text>
  </threadedComment>
  <threadedComment ref="J3" dT="2021-08-05T15:37:46.89" personId="{23B13FE0-BFB7-45C9-AD15-29CB28A8BBEE}" id="{B44FF2AA-7D66-4ED5-A659-92CFCAB02D99}">
    <text>Assim que terminar o seguro</text>
  </threadedComment>
  <threadedComment ref="J5" dT="2021-08-05T15:38:11.91" personId="{23B13FE0-BFB7-45C9-AD15-29CB28A8BBEE}" id="{071F1E80-E104-452A-B0D6-D4A494746670}">
    <text>Apos Outubro</text>
  </threadedComment>
  <threadedComment ref="J8" dT="2021-08-05T15:42:07.61" personId="{23B13FE0-BFB7-45C9-AD15-29CB28A8BBEE}" id="{3D37D905-1FEA-4A6E-B523-6107024B0E7C}">
    <text>Assim que terminar seguro</text>
  </threadedComment>
  <threadedComment ref="J10" dT="2021-08-05T15:42:46.85" personId="{23B13FE0-BFB7-45C9-AD15-29CB28A8BBEE}" id="{9A7BE71E-4515-4048-814F-A948230C7819}">
    <text>Assim que terminar o seguro)</text>
  </threadedComment>
  <threadedComment ref="J11" dT="2021-08-05T15:43:12.98" personId="{23B13FE0-BFB7-45C9-AD15-29CB28A8BBEE}" id="{1D05B4A4-D323-41D0-9042-C634168B57B2}">
    <text>Assim que terminar o seguro</text>
  </threadedComment>
  <threadedComment ref="A16" dT="2021-08-04T01:11:58.98" personId="{23B13FE0-BFB7-45C9-AD15-29CB28A8BBEE}" id="{E21EB3DE-F2DA-416F-9094-E125999C2F8E}">
    <text>Ja recolhe INSS em outra empresa</text>
  </threadedComment>
  <threadedComment ref="J17" dT="2021-08-05T15:44:08.94" personId="{23B13FE0-BFB7-45C9-AD15-29CB28A8BBEE}" id="{98FD922B-3652-4869-9812-0632EDA46685}">
    <text>Assim que terminar o seguro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1-08-05T15:37:17.61" personId="{23B13FE0-BFB7-45C9-AD15-29CB28A8BBEE}" id="{D05E4A6E-E757-4143-AD07-3B4855413EA8}">
    <text>Assim que terminar o Seguro)</text>
  </threadedComment>
  <threadedComment ref="J3" dT="2021-08-05T15:37:46.89" personId="{23B13FE0-BFB7-45C9-AD15-29CB28A8BBEE}" id="{79EB4EC2-0104-4D8D-9BAD-FE04A86B6D9B}">
    <text>Assim que terminar o seguro</text>
  </threadedComment>
  <threadedComment ref="J5" dT="2021-08-05T15:38:11.91" personId="{23B13FE0-BFB7-45C9-AD15-29CB28A8BBEE}" id="{C5AB40F8-25A4-44B8-9078-D78C3B736934}">
    <text>Apos Outubro</text>
  </threadedComment>
  <threadedComment ref="J8" dT="2021-08-05T15:42:07.61" personId="{23B13FE0-BFB7-45C9-AD15-29CB28A8BBEE}" id="{3C7AD86B-918C-492A-8AAC-9DD4200FBC16}">
    <text>Assim que terminar seguro</text>
  </threadedComment>
  <threadedComment ref="J10" dT="2021-08-05T15:42:07.61" personId="{23B13FE0-BFB7-45C9-AD15-29CB28A8BBEE}" id="{07D8E473-23C3-447D-8A24-C744EEB80491}">
    <text>Assim que terminar seguro</text>
  </threadedComment>
  <threadedComment ref="J11" dT="2021-08-05T15:37:17.61" personId="{23B13FE0-BFB7-45C9-AD15-29CB28A8BBEE}" id="{6A37FB5D-3E2C-474D-B7AA-15A5C0E3B596}">
    <text>Assim que terminar o Seguro)</text>
  </threadedComment>
  <threadedComment ref="A16" dT="2021-08-04T01:11:58.98" personId="{23B13FE0-BFB7-45C9-AD15-29CB28A8BBEE}" id="{7E5C5EF4-4DC2-4E7E-BC1D-8AAA704D5E9A}">
    <text>Ja recolhe INSS em outra empresa</text>
  </threadedComment>
  <threadedComment ref="J17" dT="2021-08-05T15:37:17.61" personId="{23B13FE0-BFB7-45C9-AD15-29CB28A8BBEE}" id="{9FC4466C-3D33-4B06-839D-02AFBE9C1838}">
    <text>Assim que terminar o Seguro)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7" dT="2021-08-05T15:42:07.61" personId="{23B13FE0-BFB7-45C9-AD15-29CB28A8BBEE}" id="{7F98FC11-C045-4175-BAAC-26AE54AA2CE4}">
    <text>Assim que terminar seguro</text>
  </threadedComment>
  <threadedComment ref="J10" dT="2021-08-05T15:38:11.91" personId="{23B13FE0-BFB7-45C9-AD15-29CB28A8BBEE}" id="{BE9467C3-FCD1-4B41-851B-E0B1EE711477}">
    <text>Apos Outubro</text>
  </threadedComment>
  <threadedComment ref="J13" dT="2021-08-05T15:37:17.61" personId="{23B13FE0-BFB7-45C9-AD15-29CB28A8BBEE}" id="{1839F535-085F-4B10-BD58-A04540ECE4D9}">
    <text>Assim que terminar o Seguro)</text>
  </threadedComment>
  <threadedComment ref="J14" dT="2021-08-05T15:37:17.61" personId="{23B13FE0-BFB7-45C9-AD15-29CB28A8BBEE}" id="{55D4D7CB-B284-4921-AE1B-63C3D7DDE990}">
    <text>Assim que terminar o Seguro)</text>
  </threadedComment>
  <threadedComment ref="J19" dT="2021-08-05T15:37:17.61" personId="{23B13FE0-BFB7-45C9-AD15-29CB28A8BBEE}" id="{25F71D4C-8789-4E54-BE98-7E9C80FFF730}">
    <text>Assim que terminar o Seguro)</text>
  </threadedComment>
  <threadedComment ref="J24" dT="2021-08-05T15:37:46.89" personId="{23B13FE0-BFB7-45C9-AD15-29CB28A8BBEE}" id="{E4D6323B-9ED7-4AEC-9CFD-F9C0FD9461EB}">
    <text>Assim que terminar o seguro</text>
  </threadedComment>
  <threadedComment ref="J25" dT="2021-08-05T15:42:07.61" personId="{23B13FE0-BFB7-45C9-AD15-29CB28A8BBEE}" id="{0EAEC6F6-0269-4667-8CD5-E0A68AEF091B}">
    <text>Assim que terminar seguro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9" dT="2021-08-04T01:11:58.98" personId="{23B13FE0-BFB7-45C9-AD15-29CB28A8BBEE}" id="{88291CA7-5606-4A07-BF85-992FB249AE46}">
    <text>Ja recolhe INSS em outra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6" dT="2021-08-04T01:11:58.98" personId="{23B13FE0-BFB7-45C9-AD15-29CB28A8BBEE}" id="{354CDFB1-60EC-4CAA-9283-50250A445474}">
    <text>Ja recolhe INSS em outra empresa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atheusmachadozq@gmail.com" TargetMode="External"/><Relationship Id="rId13" Type="http://schemas.openxmlformats.org/officeDocument/2006/relationships/hyperlink" Target="mailto:marivivifelix@gmail.com" TargetMode="External"/><Relationship Id="rId3" Type="http://schemas.openxmlformats.org/officeDocument/2006/relationships/hyperlink" Target="mailto:alvesjanete@rocketmail.com" TargetMode="External"/><Relationship Id="rId7" Type="http://schemas.openxmlformats.org/officeDocument/2006/relationships/hyperlink" Target="mailto:escabiama@gmail.com" TargetMode="External"/><Relationship Id="rId12" Type="http://schemas.openxmlformats.org/officeDocument/2006/relationships/hyperlink" Target="mailto:xaviersena.vinicius@gmail.com" TargetMode="External"/><Relationship Id="rId2" Type="http://schemas.openxmlformats.org/officeDocument/2006/relationships/hyperlink" Target="mailto:flaviasantos.fisio@gmail.com" TargetMode="External"/><Relationship Id="rId16" Type="http://schemas.microsoft.com/office/2017/10/relationships/threadedComment" Target="../threadedComments/threadedComment4.xml"/><Relationship Id="rId1" Type="http://schemas.openxmlformats.org/officeDocument/2006/relationships/hyperlink" Target="mailto:eduardoaleixo10@hotmail.com" TargetMode="External"/><Relationship Id="rId6" Type="http://schemas.openxmlformats.org/officeDocument/2006/relationships/hyperlink" Target="mailto:lary_paulain@hotmail.com" TargetMode="External"/><Relationship Id="rId11" Type="http://schemas.openxmlformats.org/officeDocument/2006/relationships/hyperlink" Target="mailto:thalita.guedesfisio@gmail.com" TargetMode="External"/><Relationship Id="rId5" Type="http://schemas.openxmlformats.org/officeDocument/2006/relationships/hyperlink" Target="mailto:kaka.rosas01@gmail.com" TargetMode="External"/><Relationship Id="rId15" Type="http://schemas.openxmlformats.org/officeDocument/2006/relationships/comments" Target="../comments4.xml"/><Relationship Id="rId10" Type="http://schemas.openxmlformats.org/officeDocument/2006/relationships/hyperlink" Target="mailto:su.albuquerquem@hotmail.com" TargetMode="External"/><Relationship Id="rId4" Type="http://schemas.openxmlformats.org/officeDocument/2006/relationships/hyperlink" Target="mailto:joriajoriafreitas@gmail.com" TargetMode="External"/><Relationship Id="rId9" Type="http://schemas.openxmlformats.org/officeDocument/2006/relationships/hyperlink" Target="mailto:nathiasmin_aires@hotmail.com" TargetMode="External"/><Relationship Id="rId1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Iaam%20Marcos\OneDrive\Notas%20Fiscais\Laryssa%20-%20Ref%20julho%202021.pdf" TargetMode="External"/><Relationship Id="rId13" Type="http://schemas.openxmlformats.org/officeDocument/2006/relationships/hyperlink" Target="file:///C:\Users\Iaam%20Marcos\OneDrive\Notas%20Fiscais\Julho%202021\Joria%20-%20Ref%20Julho%202021.pdf" TargetMode="External"/><Relationship Id="rId18" Type="http://schemas.microsoft.com/office/2017/10/relationships/threadedComment" Target="../threadedComments/threadedComment5.xml"/><Relationship Id="rId3" Type="http://schemas.openxmlformats.org/officeDocument/2006/relationships/hyperlink" Target="file:///C:\Users\Iaam%20Marcos\OneDrive\Notas%20Fiscais\Thalita%20-%20Ref%20julho%202021.pdf" TargetMode="External"/><Relationship Id="rId7" Type="http://schemas.openxmlformats.org/officeDocument/2006/relationships/hyperlink" Target="file:///C:\Users\Iaam%20Marcos\OneDrive\Notas%20Fiscais\Eduardo%20-%20Ref%20julho%202021.PDF" TargetMode="External"/><Relationship Id="rId12" Type="http://schemas.openxmlformats.org/officeDocument/2006/relationships/hyperlink" Target="file:///C:\Users\Iaam%20Marcos\OneDrive\Notas%20Fiscais\Mariane%20-%20Ref%20julho%202021.pdf" TargetMode="External"/><Relationship Id="rId17" Type="http://schemas.openxmlformats.org/officeDocument/2006/relationships/comments" Target="../comments5.xml"/><Relationship Id="rId2" Type="http://schemas.openxmlformats.org/officeDocument/2006/relationships/hyperlink" Target="file:///C:\Users\Iaam%20Marcos\OneDrive\Notas%20Fiscais\Matheus%20-%20Ref%20Julho%202021.pdf" TargetMode="External"/><Relationship Id="rId16" Type="http://schemas.openxmlformats.org/officeDocument/2006/relationships/vmlDrawing" Target="../drawings/vmlDrawing5.vml"/><Relationship Id="rId1" Type="http://schemas.openxmlformats.org/officeDocument/2006/relationships/hyperlink" Target="file:///C:\Users\Iaam%20Marcos\OneDrive\Notas%20Fiscais\Susana%20-%20Ref%20Julho%202021.pdf" TargetMode="External"/><Relationship Id="rId6" Type="http://schemas.openxmlformats.org/officeDocument/2006/relationships/hyperlink" Target="file:///C:\Users\Iaam%20Marcos\OneDrive\Notas%20Fiscais\Flavia%20-%20Ref%20julho%202021.pdf" TargetMode="External"/><Relationship Id="rId11" Type="http://schemas.openxmlformats.org/officeDocument/2006/relationships/hyperlink" Target="file:///C:\Users\Iaam%20Marcos\OneDrive\Notas%20Fiscais\Janete%20-%20Ref%20Julho%202021.pdf" TargetMode="External"/><Relationship Id="rId5" Type="http://schemas.openxmlformats.org/officeDocument/2006/relationships/hyperlink" Target="file:///C:\Users\Iaam%20Marcos\OneDrive\Notas%20Fiscais\Vinicius%20-%20Ref%20julho%202021.pdf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file:///C:\Users\Iaam%20Marcos\OneDrive\Notas%20Fiscais\Marcela%20-%20Ref%20julho%202021.pdf" TargetMode="External"/><Relationship Id="rId4" Type="http://schemas.openxmlformats.org/officeDocument/2006/relationships/hyperlink" Target="file:///C:\Users\Iaam%20Marcos\OneDrive\Notas%20Fiscais\Tereza%20-%20Ref%20julho%202021.pdf" TargetMode="External"/><Relationship Id="rId9" Type="http://schemas.openxmlformats.org/officeDocument/2006/relationships/hyperlink" Target="file:///C:\Users\Iaam%20Marcos\OneDrive\Notas%20Fiscais\Nathalia%20-%20Ref%20julho%202021.pdf" TargetMode="External"/><Relationship Id="rId14" Type="http://schemas.openxmlformats.org/officeDocument/2006/relationships/hyperlink" Target="../Notas%20Fiscais/Julho%202021/Rayane%20-%20Ref%20julho%202021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contabilizei.com.br/calculadora-rpa-autonom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F0F4-E741-42E3-AD23-F0EAD07D9235}">
  <sheetPr>
    <pageSetUpPr fitToPage="1"/>
  </sheetPr>
  <dimension ref="A1:M25"/>
  <sheetViews>
    <sheetView showGridLines="0" zoomScale="80" zoomScaleNormal="80" workbookViewId="0">
      <pane ySplit="1" topLeftCell="A2" activePane="bottomLeft" state="frozen"/>
      <selection pane="bottomLeft" activeCell="J17" sqref="J17"/>
    </sheetView>
  </sheetViews>
  <sheetFormatPr defaultRowHeight="15"/>
  <cols>
    <col min="1" max="1" width="38.140625" style="10" customWidth="1"/>
    <col min="2" max="2" width="14.140625" style="10" customWidth="1"/>
    <col min="3" max="3" width="18.140625" style="10" customWidth="1"/>
    <col min="4" max="4" width="15.28515625" style="10" customWidth="1"/>
    <col min="5" max="5" width="14.85546875" style="10" customWidth="1"/>
    <col min="6" max="6" width="13.140625" style="11" customWidth="1"/>
    <col min="7" max="7" width="19.28515625" style="10" customWidth="1"/>
    <col min="8" max="8" width="16.7109375" style="10" customWidth="1"/>
    <col min="9" max="9" width="16.7109375" style="11" customWidth="1"/>
    <col min="10" max="10" width="24.28515625" style="10" customWidth="1"/>
    <col min="11" max="11" width="11.7109375" style="11" customWidth="1"/>
    <col min="12" max="12" width="9.140625" style="11"/>
    <col min="13" max="13" width="15.5703125" style="2" customWidth="1"/>
  </cols>
  <sheetData>
    <row r="1" spans="1:13" s="4" customFormat="1">
      <c r="A1" s="3" t="s">
        <v>0</v>
      </c>
      <c r="B1" s="3" t="s">
        <v>1</v>
      </c>
      <c r="C1" s="14" t="s">
        <v>2</v>
      </c>
      <c r="D1" s="30" t="s">
        <v>3</v>
      </c>
      <c r="E1" s="30" t="s">
        <v>4</v>
      </c>
      <c r="F1" s="30" t="s">
        <v>5</v>
      </c>
      <c r="G1" s="18" t="s">
        <v>6</v>
      </c>
      <c r="H1" s="16" t="s">
        <v>7</v>
      </c>
      <c r="I1" s="16" t="s">
        <v>8</v>
      </c>
      <c r="J1" s="20" t="s">
        <v>9</v>
      </c>
      <c r="K1" s="5" t="s">
        <v>10</v>
      </c>
      <c r="L1" s="5" t="s">
        <v>11</v>
      </c>
      <c r="M1" s="5" t="s">
        <v>12</v>
      </c>
    </row>
    <row r="2" spans="1:13">
      <c r="A2" s="47" t="s">
        <v>13</v>
      </c>
      <c r="B2" s="1" t="s">
        <v>14</v>
      </c>
      <c r="C2" s="15">
        <v>1419.8952000000002</v>
      </c>
      <c r="D2" s="12">
        <f>C2*11%</f>
        <v>156.18847200000002</v>
      </c>
      <c r="E2" s="8">
        <f>(M2*K2)-L2</f>
        <v>0</v>
      </c>
      <c r="F2" s="13">
        <f>C2*5%</f>
        <v>70.994760000000014</v>
      </c>
      <c r="G2" s="19">
        <f t="shared" ref="G2:G25" si="0">C2-D2-F2-E2</f>
        <v>1192.7119680000001</v>
      </c>
      <c r="H2" s="17">
        <f t="shared" ref="H2:H25" si="1">C2-G2</f>
        <v>227.18323200000009</v>
      </c>
      <c r="I2" s="21">
        <f t="shared" ref="I2:I25" si="2">H2/C2</f>
        <v>0.16000000000000003</v>
      </c>
      <c r="J2" s="8" t="s">
        <v>15</v>
      </c>
      <c r="K2" s="9">
        <f t="shared" ref="K2:K25" si="3">IF(M2&lt;=1903.98,0%,IF(M2&lt;=2826.65,7.5%,IF(M2&lt;=3751.05,15%,IF(M2&lt;=4664.68,22.5%,IF(M2&gt;4664.68,27.5%,0)))))</f>
        <v>0</v>
      </c>
      <c r="L2" s="22">
        <f>IF(K2=0%,0,IF(K2=7.5%,142.8,IF(K2=15%,354.8,IF(K2=22.5%,636.12,IF(K2=27.5%,869.36,0)))))</f>
        <v>0</v>
      </c>
      <c r="M2" s="23">
        <f t="shared" ref="M2:M25" si="4">C2-D2</f>
        <v>1263.7067280000001</v>
      </c>
    </row>
    <row r="3" spans="1:13">
      <c r="A3" s="1" t="s">
        <v>16</v>
      </c>
      <c r="B3" s="1" t="s">
        <v>17</v>
      </c>
      <c r="C3" s="15">
        <v>5204.5211999999865</v>
      </c>
      <c r="D3" s="12"/>
      <c r="E3" s="8"/>
      <c r="F3" s="13"/>
      <c r="G3" s="19">
        <f t="shared" si="0"/>
        <v>5204.5211999999865</v>
      </c>
      <c r="H3" s="17">
        <f t="shared" si="1"/>
        <v>0</v>
      </c>
      <c r="I3" s="21">
        <f t="shared" si="2"/>
        <v>0</v>
      </c>
      <c r="J3" s="8" t="s">
        <v>18</v>
      </c>
      <c r="K3" s="9">
        <f t="shared" si="3"/>
        <v>0.27500000000000002</v>
      </c>
      <c r="L3" s="22">
        <f t="shared" ref="L3:L25" si="5">IF(K3=0%,0,IF(K3=7.5%,142.8,IF(K3=15%,354.8,IF(K3=22.5%,636.12,IF(K3=27.5%,869.36,0)))))</f>
        <v>869.36</v>
      </c>
      <c r="M3" s="23">
        <f t="shared" si="4"/>
        <v>5204.5211999999865</v>
      </c>
    </row>
    <row r="4" spans="1:13">
      <c r="A4" s="47" t="s">
        <v>19</v>
      </c>
      <c r="B4" s="1" t="s">
        <v>20</v>
      </c>
      <c r="C4" s="15">
        <v>2357.6500000000033</v>
      </c>
      <c r="D4" s="12">
        <f t="shared" ref="D4:D23" si="6">C4*11%</f>
        <v>259.34150000000034</v>
      </c>
      <c r="E4" s="8">
        <f>(M4*K4)-L4</f>
        <v>14.5731375000002</v>
      </c>
      <c r="F4" s="13">
        <f t="shared" ref="F4:F23" si="7">C4*5%</f>
        <v>117.88250000000016</v>
      </c>
      <c r="G4" s="19">
        <f t="shared" si="0"/>
        <v>1965.8528625000024</v>
      </c>
      <c r="H4" s="17">
        <f t="shared" si="1"/>
        <v>391.79713750000087</v>
      </c>
      <c r="I4" s="21">
        <f t="shared" si="2"/>
        <v>0.16618121328441471</v>
      </c>
      <c r="J4" s="8" t="s">
        <v>21</v>
      </c>
      <c r="K4" s="9">
        <f t="shared" si="3"/>
        <v>7.4999999999999997E-2</v>
      </c>
      <c r="L4" s="22">
        <f t="shared" si="5"/>
        <v>142.80000000000001</v>
      </c>
      <c r="M4" s="23">
        <f t="shared" si="4"/>
        <v>2098.3085000000028</v>
      </c>
    </row>
    <row r="5" spans="1:13">
      <c r="A5" s="47" t="s">
        <v>22</v>
      </c>
      <c r="B5" s="1" t="s">
        <v>17</v>
      </c>
      <c r="C5" s="15">
        <v>4030.4693999999949</v>
      </c>
      <c r="D5" s="12">
        <f t="shared" si="6"/>
        <v>443.35163399999942</v>
      </c>
      <c r="E5" s="8">
        <f>(M5*K5)-L5</f>
        <v>183.26766489999937</v>
      </c>
      <c r="F5" s="13">
        <f t="shared" si="7"/>
        <v>201.52346999999975</v>
      </c>
      <c r="G5" s="19">
        <f t="shared" si="0"/>
        <v>3202.3266310999966</v>
      </c>
      <c r="H5" s="17">
        <f t="shared" si="1"/>
        <v>828.14276889999837</v>
      </c>
      <c r="I5" s="21">
        <f t="shared" si="2"/>
        <v>0.20547055112240759</v>
      </c>
      <c r="J5" s="8" t="s">
        <v>15</v>
      </c>
      <c r="K5" s="9">
        <f t="shared" si="3"/>
        <v>0.15</v>
      </c>
      <c r="L5" s="22">
        <f t="shared" si="5"/>
        <v>354.8</v>
      </c>
      <c r="M5" s="23">
        <f t="shared" si="4"/>
        <v>3587.1177659999958</v>
      </c>
    </row>
    <row r="6" spans="1:13">
      <c r="A6" s="47" t="s">
        <v>23</v>
      </c>
      <c r="B6" s="1" t="s">
        <v>14</v>
      </c>
      <c r="C6" s="15">
        <v>1418.6440000000002</v>
      </c>
      <c r="D6" s="12">
        <f t="shared" si="6"/>
        <v>156.05084000000002</v>
      </c>
      <c r="E6" s="8">
        <f>(M6*K6)-L6</f>
        <v>0</v>
      </c>
      <c r="F6" s="13">
        <f t="shared" si="7"/>
        <v>70.932200000000009</v>
      </c>
      <c r="G6" s="19">
        <f t="shared" si="0"/>
        <v>1191.6609600000002</v>
      </c>
      <c r="H6" s="17">
        <f t="shared" si="1"/>
        <v>226.98304000000007</v>
      </c>
      <c r="I6" s="21">
        <f t="shared" si="2"/>
        <v>0.16000000000000003</v>
      </c>
      <c r="J6" s="8" t="s">
        <v>21</v>
      </c>
      <c r="K6" s="9">
        <f t="shared" si="3"/>
        <v>0</v>
      </c>
      <c r="L6" s="22">
        <f t="shared" si="5"/>
        <v>0</v>
      </c>
      <c r="M6" s="23">
        <f t="shared" si="4"/>
        <v>1262.5931600000001</v>
      </c>
    </row>
    <row r="7" spans="1:13">
      <c r="A7" s="47" t="s">
        <v>24</v>
      </c>
      <c r="B7" s="1" t="s">
        <v>14</v>
      </c>
      <c r="C7" s="15">
        <v>1386.4307999999994</v>
      </c>
      <c r="D7" s="12"/>
      <c r="E7" s="8">
        <f>(M7*K7)-L7</f>
        <v>0</v>
      </c>
      <c r="F7" s="13">
        <f t="shared" si="7"/>
        <v>69.32153999999997</v>
      </c>
      <c r="G7" s="19">
        <f t="shared" si="0"/>
        <v>1317.1092599999995</v>
      </c>
      <c r="H7" s="17">
        <f t="shared" si="1"/>
        <v>69.321539999999914</v>
      </c>
      <c r="I7" s="21">
        <f t="shared" si="2"/>
        <v>4.9999999999999961E-2</v>
      </c>
      <c r="J7" s="8" t="s">
        <v>25</v>
      </c>
      <c r="K7" s="9">
        <f t="shared" si="3"/>
        <v>0</v>
      </c>
      <c r="L7" s="22">
        <f t="shared" si="5"/>
        <v>0</v>
      </c>
      <c r="M7" s="23">
        <f t="shared" si="4"/>
        <v>1386.4307999999994</v>
      </c>
    </row>
    <row r="8" spans="1:13">
      <c r="A8" s="1" t="s">
        <v>26</v>
      </c>
      <c r="B8" s="1" t="s">
        <v>14</v>
      </c>
      <c r="C8" s="15">
        <v>1906.1992000000005</v>
      </c>
      <c r="D8" s="12"/>
      <c r="E8" s="8"/>
      <c r="F8" s="13"/>
      <c r="G8" s="19">
        <f t="shared" si="0"/>
        <v>1906.1992000000005</v>
      </c>
      <c r="H8" s="17">
        <f t="shared" si="1"/>
        <v>0</v>
      </c>
      <c r="I8" s="21">
        <f t="shared" si="2"/>
        <v>0</v>
      </c>
      <c r="J8" s="8" t="s">
        <v>18</v>
      </c>
      <c r="K8" s="9">
        <f t="shared" si="3"/>
        <v>7.4999999999999997E-2</v>
      </c>
      <c r="L8" s="22">
        <f t="shared" si="5"/>
        <v>142.80000000000001</v>
      </c>
      <c r="M8" s="23">
        <f t="shared" si="4"/>
        <v>1906.1992000000005</v>
      </c>
    </row>
    <row r="9" spans="1:13">
      <c r="A9" s="31" t="s">
        <v>27</v>
      </c>
      <c r="B9" s="1" t="s">
        <v>14</v>
      </c>
      <c r="C9" s="15">
        <v>1795.3388000000004</v>
      </c>
      <c r="D9" s="12"/>
      <c r="E9" s="8"/>
      <c r="F9" s="13"/>
      <c r="G9" s="19">
        <f t="shared" si="0"/>
        <v>1795.3388000000004</v>
      </c>
      <c r="H9" s="17">
        <f t="shared" si="1"/>
        <v>0</v>
      </c>
      <c r="I9" s="21">
        <f t="shared" si="2"/>
        <v>0</v>
      </c>
      <c r="J9" s="8" t="s">
        <v>28</v>
      </c>
      <c r="K9" s="9">
        <f t="shared" si="3"/>
        <v>0</v>
      </c>
      <c r="L9" s="22">
        <f t="shared" si="5"/>
        <v>0</v>
      </c>
      <c r="M9" s="23">
        <f t="shared" si="4"/>
        <v>1795.3388000000004</v>
      </c>
    </row>
    <row r="10" spans="1:13">
      <c r="A10" s="1" t="s">
        <v>29</v>
      </c>
      <c r="B10" s="1" t="s">
        <v>17</v>
      </c>
      <c r="C10" s="15">
        <v>3460.5543999999977</v>
      </c>
      <c r="D10" s="12"/>
      <c r="E10" s="8"/>
      <c r="F10" s="13"/>
      <c r="G10" s="19">
        <f t="shared" si="0"/>
        <v>3460.5543999999977</v>
      </c>
      <c r="H10" s="17">
        <f t="shared" si="1"/>
        <v>0</v>
      </c>
      <c r="I10" s="21">
        <f t="shared" si="2"/>
        <v>0</v>
      </c>
      <c r="J10" s="8" t="s">
        <v>18</v>
      </c>
      <c r="K10" s="9">
        <f t="shared" si="3"/>
        <v>0.15</v>
      </c>
      <c r="L10" s="22">
        <f t="shared" si="5"/>
        <v>354.8</v>
      </c>
      <c r="M10" s="23">
        <f t="shared" si="4"/>
        <v>3460.5543999999977</v>
      </c>
    </row>
    <row r="11" spans="1:13">
      <c r="A11" s="47" t="s">
        <v>30</v>
      </c>
      <c r="B11" s="1" t="s">
        <v>17</v>
      </c>
      <c r="C11" s="15">
        <v>3445.1491999999998</v>
      </c>
      <c r="D11" s="12">
        <f t="shared" si="6"/>
        <v>378.96641199999999</v>
      </c>
      <c r="E11" s="8">
        <f>(M11*K11)-L11</f>
        <v>105.12741819999997</v>
      </c>
      <c r="F11" s="13">
        <f t="shared" si="7"/>
        <v>172.25746000000001</v>
      </c>
      <c r="G11" s="19">
        <f t="shared" si="0"/>
        <v>2788.7979098000005</v>
      </c>
      <c r="H11" s="17">
        <f t="shared" si="1"/>
        <v>656.35129019999931</v>
      </c>
      <c r="I11" s="21">
        <f t="shared" si="2"/>
        <v>0.19051461986029497</v>
      </c>
      <c r="J11" s="8" t="s">
        <v>15</v>
      </c>
      <c r="K11" s="9">
        <f t="shared" si="3"/>
        <v>0.15</v>
      </c>
      <c r="L11" s="22">
        <f t="shared" si="5"/>
        <v>354.8</v>
      </c>
      <c r="M11" s="23">
        <f t="shared" si="4"/>
        <v>3066.1827880000001</v>
      </c>
    </row>
    <row r="12" spans="1:13">
      <c r="A12" s="47" t="s">
        <v>31</v>
      </c>
      <c r="B12" s="1" t="s">
        <v>14</v>
      </c>
      <c r="C12" s="15">
        <v>2130.4124000000006</v>
      </c>
      <c r="D12" s="12">
        <f t="shared" si="6"/>
        <v>234.34536400000007</v>
      </c>
      <c r="E12" s="8">
        <f>(M12*K12)-L12</f>
        <v>0</v>
      </c>
      <c r="F12" s="13">
        <f t="shared" si="7"/>
        <v>106.52062000000004</v>
      </c>
      <c r="G12" s="19">
        <f t="shared" si="0"/>
        <v>1789.5464160000006</v>
      </c>
      <c r="H12" s="17">
        <f t="shared" si="1"/>
        <v>340.86598400000003</v>
      </c>
      <c r="I12" s="21">
        <f t="shared" si="2"/>
        <v>0.15999999999999998</v>
      </c>
      <c r="J12" s="8" t="s">
        <v>21</v>
      </c>
      <c r="K12" s="9">
        <f t="shared" si="3"/>
        <v>0</v>
      </c>
      <c r="L12" s="22">
        <f t="shared" si="5"/>
        <v>0</v>
      </c>
      <c r="M12" s="23">
        <f t="shared" si="4"/>
        <v>1896.0670360000006</v>
      </c>
    </row>
    <row r="13" spans="1:13">
      <c r="A13" s="31" t="s">
        <v>32</v>
      </c>
      <c r="B13" s="1" t="s">
        <v>14</v>
      </c>
      <c r="C13" s="15">
        <v>1872.1564000000003</v>
      </c>
      <c r="D13" s="6"/>
      <c r="E13" s="8"/>
      <c r="F13" s="7"/>
      <c r="G13" s="19">
        <f t="shared" si="0"/>
        <v>1872.1564000000003</v>
      </c>
      <c r="H13" s="17">
        <f t="shared" si="1"/>
        <v>0</v>
      </c>
      <c r="I13" s="21">
        <f t="shared" si="2"/>
        <v>0</v>
      </c>
      <c r="J13" s="8" t="s">
        <v>28</v>
      </c>
      <c r="K13" s="9">
        <f t="shared" si="3"/>
        <v>0</v>
      </c>
      <c r="L13" s="22">
        <f t="shared" si="5"/>
        <v>0</v>
      </c>
      <c r="M13" s="23">
        <f t="shared" si="4"/>
        <v>1872.1564000000003</v>
      </c>
    </row>
    <row r="14" spans="1:13">
      <c r="A14" s="1" t="s">
        <v>33</v>
      </c>
      <c r="B14" s="1" t="s">
        <v>14</v>
      </c>
      <c r="C14" s="15">
        <v>1826.6952000000015</v>
      </c>
      <c r="D14" s="6">
        <f t="shared" si="6"/>
        <v>200.93647200000015</v>
      </c>
      <c r="E14" s="8">
        <f>(M14*K14)-L14</f>
        <v>0</v>
      </c>
      <c r="F14" s="7">
        <f t="shared" si="7"/>
        <v>91.334760000000074</v>
      </c>
      <c r="G14" s="19">
        <f t="shared" si="0"/>
        <v>1534.4239680000014</v>
      </c>
      <c r="H14" s="17">
        <f t="shared" si="1"/>
        <v>292.27123200000005</v>
      </c>
      <c r="I14" s="21">
        <f t="shared" si="2"/>
        <v>0.15999999999999989</v>
      </c>
      <c r="J14" s="8" t="s">
        <v>34</v>
      </c>
      <c r="K14" s="9">
        <f t="shared" si="3"/>
        <v>0</v>
      </c>
      <c r="L14" s="22">
        <f t="shared" si="5"/>
        <v>0</v>
      </c>
      <c r="M14" s="23">
        <f t="shared" si="4"/>
        <v>1625.7587280000014</v>
      </c>
    </row>
    <row r="15" spans="1:13">
      <c r="A15" s="1" t="s">
        <v>35</v>
      </c>
      <c r="B15" s="1" t="s">
        <v>36</v>
      </c>
      <c r="C15" s="15">
        <v>1638.2059999999999</v>
      </c>
      <c r="D15" s="6">
        <f t="shared" si="6"/>
        <v>180.20265999999998</v>
      </c>
      <c r="E15" s="8">
        <f>(M15*K15)-L15</f>
        <v>0</v>
      </c>
      <c r="F15" s="7">
        <f t="shared" si="7"/>
        <v>81.910300000000007</v>
      </c>
      <c r="G15" s="19">
        <f t="shared" si="0"/>
        <v>1376.09304</v>
      </c>
      <c r="H15" s="17">
        <f t="shared" si="1"/>
        <v>262.11295999999993</v>
      </c>
      <c r="I15" s="21">
        <f t="shared" si="2"/>
        <v>0.15999999999999998</v>
      </c>
      <c r="J15" s="8" t="s">
        <v>34</v>
      </c>
      <c r="K15" s="9">
        <f t="shared" si="3"/>
        <v>0</v>
      </c>
      <c r="L15" s="22">
        <f t="shared" si="5"/>
        <v>0</v>
      </c>
      <c r="M15" s="23">
        <f t="shared" si="4"/>
        <v>1458.00334</v>
      </c>
    </row>
    <row r="16" spans="1:13">
      <c r="A16" s="47" t="s">
        <v>37</v>
      </c>
      <c r="B16" s="1" t="s">
        <v>36</v>
      </c>
      <c r="C16" s="15">
        <v>1757.9239999999998</v>
      </c>
      <c r="D16" s="6"/>
      <c r="E16" s="8">
        <f>(M16*K16)-L16</f>
        <v>0</v>
      </c>
      <c r="F16" s="7">
        <f t="shared" si="7"/>
        <v>87.896199999999993</v>
      </c>
      <c r="G16" s="19">
        <f t="shared" si="0"/>
        <v>1670.0277999999998</v>
      </c>
      <c r="H16" s="17">
        <f t="shared" si="1"/>
        <v>87.896199999999908</v>
      </c>
      <c r="I16" s="21">
        <f t="shared" si="2"/>
        <v>4.9999999999999954E-2</v>
      </c>
      <c r="J16" s="8" t="s">
        <v>25</v>
      </c>
      <c r="K16" s="9">
        <f t="shared" si="3"/>
        <v>0</v>
      </c>
      <c r="L16" s="22">
        <f t="shared" si="5"/>
        <v>0</v>
      </c>
      <c r="M16" s="23">
        <f t="shared" si="4"/>
        <v>1757.9239999999998</v>
      </c>
    </row>
    <row r="17" spans="1:13">
      <c r="A17" s="47" t="s">
        <v>38</v>
      </c>
      <c r="B17" s="1" t="s">
        <v>20</v>
      </c>
      <c r="C17" s="15">
        <v>2391.0820000000062</v>
      </c>
      <c r="D17" s="6">
        <f t="shared" si="6"/>
        <v>263.01902000000069</v>
      </c>
      <c r="E17" s="8">
        <f>(M17*K17)-L17</f>
        <v>16.804723500000392</v>
      </c>
      <c r="F17" s="7">
        <f t="shared" si="7"/>
        <v>119.55410000000032</v>
      </c>
      <c r="G17" s="19">
        <f t="shared" si="0"/>
        <v>1991.704156500005</v>
      </c>
      <c r="H17" s="17">
        <f t="shared" si="1"/>
        <v>399.37784350000129</v>
      </c>
      <c r="I17" s="21">
        <f t="shared" si="2"/>
        <v>0.16702808331123745</v>
      </c>
      <c r="J17" s="8" t="s">
        <v>15</v>
      </c>
      <c r="K17" s="9">
        <f t="shared" si="3"/>
        <v>7.4999999999999997E-2</v>
      </c>
      <c r="L17" s="22">
        <f t="shared" si="5"/>
        <v>142.80000000000001</v>
      </c>
      <c r="M17" s="23">
        <f t="shared" si="4"/>
        <v>2128.0629800000056</v>
      </c>
    </row>
    <row r="18" spans="1:13">
      <c r="A18" s="31" t="s">
        <v>39</v>
      </c>
      <c r="B18" s="1" t="s">
        <v>20</v>
      </c>
      <c r="C18" s="15">
        <v>2766.0559999999991</v>
      </c>
      <c r="D18" s="6"/>
      <c r="E18" s="8"/>
      <c r="F18" s="7">
        <f t="shared" si="7"/>
        <v>138.30279999999996</v>
      </c>
      <c r="G18" s="19">
        <f t="shared" si="0"/>
        <v>2627.7531999999992</v>
      </c>
      <c r="H18" s="17">
        <f t="shared" si="1"/>
        <v>138.30279999999993</v>
      </c>
      <c r="I18" s="21">
        <f t="shared" si="2"/>
        <v>4.9999999999999989E-2</v>
      </c>
      <c r="J18" s="8" t="s">
        <v>40</v>
      </c>
      <c r="K18" s="9">
        <f t="shared" si="3"/>
        <v>7.4999999999999997E-2</v>
      </c>
      <c r="L18" s="22">
        <f t="shared" si="5"/>
        <v>142.80000000000001</v>
      </c>
      <c r="M18" s="23">
        <f t="shared" si="4"/>
        <v>2766.0559999999991</v>
      </c>
    </row>
    <row r="19" spans="1:13">
      <c r="A19" s="47" t="s">
        <v>41</v>
      </c>
      <c r="B19" s="1" t="s">
        <v>14</v>
      </c>
      <c r="C19" s="15">
        <v>2038.1124000000032</v>
      </c>
      <c r="D19" s="6">
        <f t="shared" si="6"/>
        <v>224.19236400000034</v>
      </c>
      <c r="E19" s="8">
        <f>(M19*K19)-L19</f>
        <v>0</v>
      </c>
      <c r="F19" s="7">
        <f t="shared" si="7"/>
        <v>101.90562000000017</v>
      </c>
      <c r="G19" s="19">
        <f t="shared" si="0"/>
        <v>1712.0144160000025</v>
      </c>
      <c r="H19" s="17">
        <f t="shared" si="1"/>
        <v>326.09798400000068</v>
      </c>
      <c r="I19" s="21">
        <f t="shared" si="2"/>
        <v>0.16000000000000009</v>
      </c>
      <c r="J19" s="8" t="s">
        <v>21</v>
      </c>
      <c r="K19" s="9">
        <f t="shared" si="3"/>
        <v>0</v>
      </c>
      <c r="L19" s="22">
        <f t="shared" si="5"/>
        <v>0</v>
      </c>
      <c r="M19" s="23">
        <f t="shared" si="4"/>
        <v>1813.9200360000027</v>
      </c>
    </row>
    <row r="20" spans="1:13">
      <c r="A20" s="47" t="s">
        <v>42</v>
      </c>
      <c r="B20" s="1" t="s">
        <v>14</v>
      </c>
      <c r="C20" s="15">
        <v>1656.8533999999975</v>
      </c>
      <c r="D20" s="6">
        <f t="shared" si="6"/>
        <v>182.25387399999971</v>
      </c>
      <c r="E20" s="8">
        <f>(M20*K20)-L20</f>
        <v>0</v>
      </c>
      <c r="F20" s="7">
        <f t="shared" si="7"/>
        <v>82.842669999999885</v>
      </c>
      <c r="G20" s="19">
        <f t="shared" si="0"/>
        <v>1391.7568559999977</v>
      </c>
      <c r="H20" s="17">
        <f t="shared" si="1"/>
        <v>265.09654399999977</v>
      </c>
      <c r="I20" s="21">
        <f t="shared" si="2"/>
        <v>0.16000000000000011</v>
      </c>
      <c r="J20" s="8" t="s">
        <v>21</v>
      </c>
      <c r="K20" s="9">
        <f t="shared" si="3"/>
        <v>0</v>
      </c>
      <c r="L20" s="22">
        <f t="shared" si="5"/>
        <v>0</v>
      </c>
      <c r="M20" s="23">
        <f t="shared" si="4"/>
        <v>1474.5995259999977</v>
      </c>
    </row>
    <row r="21" spans="1:13">
      <c r="A21" s="31" t="s">
        <v>43</v>
      </c>
      <c r="B21" s="1" t="s">
        <v>14</v>
      </c>
      <c r="C21" s="15">
        <v>1780.0224000000021</v>
      </c>
      <c r="D21" s="6"/>
      <c r="E21" s="8"/>
      <c r="F21" s="7"/>
      <c r="G21" s="19">
        <f t="shared" si="0"/>
        <v>1780.0224000000021</v>
      </c>
      <c r="H21" s="17">
        <f t="shared" si="1"/>
        <v>0</v>
      </c>
      <c r="I21" s="21">
        <f t="shared" si="2"/>
        <v>0</v>
      </c>
      <c r="J21" s="8" t="s">
        <v>28</v>
      </c>
      <c r="K21" s="9">
        <f t="shared" si="3"/>
        <v>0</v>
      </c>
      <c r="L21" s="22">
        <f t="shared" si="5"/>
        <v>0</v>
      </c>
      <c r="M21" s="23">
        <f t="shared" si="4"/>
        <v>1780.0224000000021</v>
      </c>
    </row>
    <row r="22" spans="1:13">
      <c r="A22" s="47" t="s">
        <v>44</v>
      </c>
      <c r="B22" s="1" t="s">
        <v>14</v>
      </c>
      <c r="C22" s="15">
        <v>811.12877419354913</v>
      </c>
      <c r="D22" s="6">
        <f t="shared" si="6"/>
        <v>89.224165161290401</v>
      </c>
      <c r="E22" s="8">
        <f>(M22*K22)-L22</f>
        <v>0</v>
      </c>
      <c r="F22" s="7">
        <f t="shared" si="7"/>
        <v>40.556438709677458</v>
      </c>
      <c r="G22" s="19">
        <f t="shared" si="0"/>
        <v>681.34817032258127</v>
      </c>
      <c r="H22" s="17">
        <f t="shared" si="1"/>
        <v>129.78060387096787</v>
      </c>
      <c r="I22" s="21">
        <f t="shared" si="2"/>
        <v>0.16</v>
      </c>
      <c r="J22" s="8" t="s">
        <v>21</v>
      </c>
      <c r="K22" s="9">
        <f t="shared" si="3"/>
        <v>0</v>
      </c>
      <c r="L22" s="22">
        <f t="shared" si="5"/>
        <v>0</v>
      </c>
      <c r="M22" s="23">
        <f t="shared" si="4"/>
        <v>721.90460903225869</v>
      </c>
    </row>
    <row r="23" spans="1:13">
      <c r="A23" s="47" t="s">
        <v>45</v>
      </c>
      <c r="B23" s="1" t="s">
        <v>14</v>
      </c>
      <c r="C23" s="15">
        <v>1536.9610451612923</v>
      </c>
      <c r="D23" s="6">
        <f t="shared" si="6"/>
        <v>169.06571496774217</v>
      </c>
      <c r="E23" s="8">
        <f>(M23*K23)-L23</f>
        <v>0</v>
      </c>
      <c r="F23" s="7">
        <f t="shared" si="7"/>
        <v>76.848052258064627</v>
      </c>
      <c r="G23" s="19">
        <f t="shared" si="0"/>
        <v>1291.0472779354855</v>
      </c>
      <c r="H23" s="17">
        <f t="shared" si="1"/>
        <v>245.91376722580685</v>
      </c>
      <c r="I23" s="21">
        <f t="shared" si="2"/>
        <v>0.16000000000000006</v>
      </c>
      <c r="J23" s="8" t="s">
        <v>21</v>
      </c>
      <c r="K23" s="9">
        <f t="shared" si="3"/>
        <v>0</v>
      </c>
      <c r="L23" s="22">
        <f t="shared" si="5"/>
        <v>0</v>
      </c>
      <c r="M23" s="23">
        <f t="shared" si="4"/>
        <v>1367.8953301935501</v>
      </c>
    </row>
    <row r="24" spans="1:13">
      <c r="A24" s="31" t="s">
        <v>46</v>
      </c>
      <c r="B24" s="1" t="s">
        <v>14</v>
      </c>
      <c r="C24" s="15">
        <v>1212.4450451612911</v>
      </c>
      <c r="D24" s="6"/>
      <c r="E24" s="8"/>
      <c r="F24" s="7"/>
      <c r="G24" s="19">
        <f t="shared" si="0"/>
        <v>1212.4450451612911</v>
      </c>
      <c r="H24" s="17">
        <f t="shared" si="1"/>
        <v>0</v>
      </c>
      <c r="I24" s="21">
        <f t="shared" si="2"/>
        <v>0</v>
      </c>
      <c r="J24" s="8" t="s">
        <v>28</v>
      </c>
      <c r="K24" s="9">
        <f t="shared" si="3"/>
        <v>0</v>
      </c>
      <c r="L24" s="22">
        <f t="shared" si="5"/>
        <v>0</v>
      </c>
      <c r="M24" s="23">
        <f t="shared" si="4"/>
        <v>1212.4450451612911</v>
      </c>
    </row>
    <row r="25" spans="1:13">
      <c r="A25" s="31" t="s">
        <v>47</v>
      </c>
      <c r="B25" s="1" t="s">
        <v>14</v>
      </c>
      <c r="C25" s="15">
        <v>1000.79</v>
      </c>
      <c r="D25" s="32"/>
      <c r="E25" s="32"/>
      <c r="F25" s="22"/>
      <c r="G25" s="19">
        <f t="shared" si="0"/>
        <v>1000.79</v>
      </c>
      <c r="H25" s="17">
        <f t="shared" si="1"/>
        <v>0</v>
      </c>
      <c r="I25" s="21">
        <f t="shared" si="2"/>
        <v>0</v>
      </c>
      <c r="J25" s="32" t="s">
        <v>28</v>
      </c>
      <c r="K25" s="9">
        <f t="shared" si="3"/>
        <v>0</v>
      </c>
      <c r="L25" s="22">
        <f t="shared" si="5"/>
        <v>0</v>
      </c>
      <c r="M25" s="23">
        <f t="shared" si="4"/>
        <v>1000.79</v>
      </c>
    </row>
  </sheetData>
  <autoFilter ref="A1:M25" xr:uid="{5A6FF0F4-E741-42E3-AD23-F0EAD07D9235}"/>
  <conditionalFormatting sqref="A12:A15 A1:A9">
    <cfRule type="duplicateValues" dxfId="17" priority="2"/>
  </conditionalFormatting>
  <conditionalFormatting sqref="A12:A15 A2:A9">
    <cfRule type="duplicateValues" dxfId="16" priority="3"/>
  </conditionalFormatting>
  <conditionalFormatting sqref="A10:A11">
    <cfRule type="duplicateValues" dxfId="15" priority="1"/>
  </conditionalFormatting>
  <pageMargins left="0.511811024" right="0.511811024" top="0.78740157499999996" bottom="0.78740157499999996" header="0.31496062000000002" footer="0.31496062000000002"/>
  <pageSetup paperSize="9" scale="5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786B-ACF5-4BB0-98FD-941EF2D53010}">
  <sheetPr filterMode="1">
    <pageSetUpPr fitToPage="1"/>
  </sheetPr>
  <dimension ref="A1:M25"/>
  <sheetViews>
    <sheetView showGridLines="0" zoomScale="80" zoomScaleNormal="80" workbookViewId="0">
      <pane ySplit="1" topLeftCell="A2" activePane="bottomLeft" state="frozen"/>
      <selection pane="bottomLeft" activeCell="J2" sqref="J2:J23"/>
    </sheetView>
  </sheetViews>
  <sheetFormatPr defaultRowHeight="15"/>
  <cols>
    <col min="1" max="1" width="38.140625" style="49" customWidth="1"/>
    <col min="2" max="2" width="14.140625" style="10" customWidth="1"/>
    <col min="3" max="3" width="18.140625" style="10" customWidth="1"/>
    <col min="4" max="4" width="15.28515625" style="10" customWidth="1"/>
    <col min="5" max="5" width="14.85546875" style="10" customWidth="1"/>
    <col min="6" max="6" width="13.140625" style="11" customWidth="1"/>
    <col min="7" max="7" width="19.28515625" style="10" customWidth="1"/>
    <col min="8" max="8" width="16.7109375" style="10" customWidth="1"/>
    <col min="9" max="9" width="16.7109375" style="11" customWidth="1"/>
    <col min="10" max="10" width="24.28515625" style="10" customWidth="1"/>
    <col min="11" max="11" width="11.7109375" style="11" customWidth="1"/>
    <col min="12" max="12" width="9.140625" style="11"/>
    <col min="13" max="13" width="15.5703125" style="2" customWidth="1"/>
  </cols>
  <sheetData>
    <row r="1" spans="1:13" s="4" customFormat="1">
      <c r="A1" s="48" t="s">
        <v>0</v>
      </c>
      <c r="B1" s="3" t="s">
        <v>1</v>
      </c>
      <c r="C1" s="14" t="s">
        <v>2</v>
      </c>
      <c r="D1" s="30" t="s">
        <v>3</v>
      </c>
      <c r="E1" s="30" t="s">
        <v>4</v>
      </c>
      <c r="F1" s="30" t="s">
        <v>5</v>
      </c>
      <c r="G1" s="18" t="s">
        <v>6</v>
      </c>
      <c r="H1" s="16" t="s">
        <v>7</v>
      </c>
      <c r="I1" s="16" t="s">
        <v>8</v>
      </c>
      <c r="J1" s="20" t="s">
        <v>9</v>
      </c>
      <c r="K1" s="5" t="s">
        <v>10</v>
      </c>
      <c r="L1" s="5" t="s">
        <v>11</v>
      </c>
      <c r="M1" s="5" t="s">
        <v>12</v>
      </c>
    </row>
    <row r="2" spans="1:13">
      <c r="A2" s="47" t="s">
        <v>13</v>
      </c>
      <c r="B2" s="1" t="s">
        <v>14</v>
      </c>
      <c r="C2" s="15">
        <v>1719.3007999999998</v>
      </c>
      <c r="D2" s="12">
        <f>C2*11%</f>
        <v>189.12308799999997</v>
      </c>
      <c r="E2" s="8">
        <f>(M2*K2)-L2</f>
        <v>0</v>
      </c>
      <c r="F2" s="13">
        <f>C2*5%</f>
        <v>85.965039999999988</v>
      </c>
      <c r="G2" s="19">
        <f t="shared" ref="G2:G25" si="0">C2-D2-F2-E2</f>
        <v>1444.2126719999997</v>
      </c>
      <c r="H2" s="17">
        <f t="shared" ref="H2:H25" si="1">C2-G2</f>
        <v>275.0881280000001</v>
      </c>
      <c r="I2" s="21">
        <f t="shared" ref="I2:I25" si="2">H2/C2</f>
        <v>0.16000000000000009</v>
      </c>
      <c r="J2" s="8" t="s">
        <v>48</v>
      </c>
      <c r="K2" s="9">
        <f t="shared" ref="K2:K25" si="3">IF(M2&lt;=1903.98,0%,IF(M2&lt;=2826.65,7.5%,IF(M2&lt;=3751.05,15%,IF(M2&lt;=4664.68,22.5%,IF(M2&gt;4664.68,27.5%,0)))))</f>
        <v>0</v>
      </c>
      <c r="L2" s="22">
        <f>IF(K2=0%,0,IF(K2=7.5%,142.8,IF(K2=15%,354.8,IF(K2=22.5%,636.12,IF(K2=27.5%,869.36,0)))))</f>
        <v>0</v>
      </c>
      <c r="M2" s="23">
        <f t="shared" ref="M2:M25" si="4">C2-D2</f>
        <v>1530.1777119999997</v>
      </c>
    </row>
    <row r="3" spans="1:13" hidden="1">
      <c r="A3" s="47" t="s">
        <v>16</v>
      </c>
      <c r="B3" s="1" t="s">
        <v>17</v>
      </c>
      <c r="C3" s="15">
        <v>3786.3749999999959</v>
      </c>
      <c r="D3" s="12">
        <f t="shared" ref="D3:D25" si="5">C3*11%</f>
        <v>416.50124999999957</v>
      </c>
      <c r="E3" s="8">
        <f t="shared" ref="E3:E25" si="6">(M3*K3)-L3</f>
        <v>150.68106249999937</v>
      </c>
      <c r="F3" s="13">
        <f t="shared" ref="F3:F25" si="7">C3*5%</f>
        <v>189.3187499999998</v>
      </c>
      <c r="G3" s="19">
        <f t="shared" si="0"/>
        <v>3029.8739374999968</v>
      </c>
      <c r="H3" s="17">
        <f t="shared" si="1"/>
        <v>756.50106249999908</v>
      </c>
      <c r="I3" s="21">
        <f t="shared" si="2"/>
        <v>0.19979559935294308</v>
      </c>
      <c r="J3" s="8" t="s">
        <v>49</v>
      </c>
      <c r="K3" s="9">
        <f t="shared" si="3"/>
        <v>0.15</v>
      </c>
      <c r="L3" s="22">
        <f t="shared" ref="L3:L25" si="8">IF(K3=0%,0,IF(K3=7.5%,142.8,IF(K3=15%,354.8,IF(K3=22.5%,636.12,IF(K3=27.5%,869.36,0)))))</f>
        <v>354.8</v>
      </c>
      <c r="M3" s="23">
        <f t="shared" si="4"/>
        <v>3369.8737499999961</v>
      </c>
    </row>
    <row r="4" spans="1:13">
      <c r="A4" s="47" t="s">
        <v>19</v>
      </c>
      <c r="B4" s="1" t="s">
        <v>20</v>
      </c>
      <c r="C4" s="15">
        <v>3156.3739999999957</v>
      </c>
      <c r="D4" s="12">
        <f t="shared" si="5"/>
        <v>347.20113999999955</v>
      </c>
      <c r="E4" s="8">
        <f t="shared" si="6"/>
        <v>67.887964499999697</v>
      </c>
      <c r="F4" s="13">
        <f t="shared" si="7"/>
        <v>157.81869999999981</v>
      </c>
      <c r="G4" s="19">
        <f t="shared" si="0"/>
        <v>2583.4661954999965</v>
      </c>
      <c r="H4" s="17">
        <f t="shared" si="1"/>
        <v>572.9078044999992</v>
      </c>
      <c r="I4" s="21">
        <f t="shared" si="2"/>
        <v>0.18150821306347092</v>
      </c>
      <c r="J4" s="8" t="s">
        <v>21</v>
      </c>
      <c r="K4" s="9">
        <f t="shared" si="3"/>
        <v>7.4999999999999997E-2</v>
      </c>
      <c r="L4" s="22">
        <f t="shared" si="8"/>
        <v>142.80000000000001</v>
      </c>
      <c r="M4" s="23">
        <f t="shared" si="4"/>
        <v>2809.172859999996</v>
      </c>
    </row>
    <row r="5" spans="1:13">
      <c r="A5" s="47" t="s">
        <v>22</v>
      </c>
      <c r="B5" s="1" t="s">
        <v>17</v>
      </c>
      <c r="C5" s="15">
        <v>4305.8579999999911</v>
      </c>
      <c r="D5" s="12">
        <f t="shared" si="5"/>
        <v>473.64437999999905</v>
      </c>
      <c r="E5" s="8">
        <f t="shared" si="6"/>
        <v>226.12806449999823</v>
      </c>
      <c r="F5" s="13">
        <f t="shared" si="7"/>
        <v>215.29289999999958</v>
      </c>
      <c r="G5" s="19">
        <f t="shared" si="0"/>
        <v>3390.7926554999945</v>
      </c>
      <c r="H5" s="17">
        <f t="shared" si="1"/>
        <v>915.06534449999663</v>
      </c>
      <c r="I5" s="21">
        <f t="shared" si="2"/>
        <v>0.2125163775721351</v>
      </c>
      <c r="J5" s="8" t="s">
        <v>21</v>
      </c>
      <c r="K5" s="9">
        <f t="shared" si="3"/>
        <v>0.22500000000000001</v>
      </c>
      <c r="L5" s="22">
        <f t="shared" si="8"/>
        <v>636.12</v>
      </c>
      <c r="M5" s="23">
        <f t="shared" si="4"/>
        <v>3832.2136199999923</v>
      </c>
    </row>
    <row r="6" spans="1:13">
      <c r="A6" s="47" t="s">
        <v>23</v>
      </c>
      <c r="B6" s="1" t="s">
        <v>14</v>
      </c>
      <c r="C6" s="15">
        <v>1689.3579999999993</v>
      </c>
      <c r="D6" s="12">
        <f t="shared" si="5"/>
        <v>185.82937999999993</v>
      </c>
      <c r="E6" s="8">
        <f t="shared" si="6"/>
        <v>0</v>
      </c>
      <c r="F6" s="13">
        <f t="shared" si="7"/>
        <v>84.467899999999972</v>
      </c>
      <c r="G6" s="19">
        <f t="shared" si="0"/>
        <v>1419.0607199999995</v>
      </c>
      <c r="H6" s="17">
        <f t="shared" si="1"/>
        <v>270.29727999999977</v>
      </c>
      <c r="I6" s="21">
        <f t="shared" si="2"/>
        <v>0.15999999999999995</v>
      </c>
      <c r="J6" s="8" t="s">
        <v>21</v>
      </c>
      <c r="K6" s="9">
        <f t="shared" si="3"/>
        <v>0</v>
      </c>
      <c r="L6" s="22">
        <f t="shared" si="8"/>
        <v>0</v>
      </c>
      <c r="M6" s="23">
        <f t="shared" si="4"/>
        <v>1503.5286199999994</v>
      </c>
    </row>
    <row r="7" spans="1:13">
      <c r="A7" s="47" t="s">
        <v>24</v>
      </c>
      <c r="B7" s="1" t="s">
        <v>14</v>
      </c>
      <c r="C7" s="15">
        <v>1270.9399999999991</v>
      </c>
      <c r="D7" s="12">
        <f t="shared" si="5"/>
        <v>139.8033999999999</v>
      </c>
      <c r="E7" s="8">
        <f t="shared" si="6"/>
        <v>0</v>
      </c>
      <c r="F7" s="13">
        <f t="shared" si="7"/>
        <v>63.546999999999962</v>
      </c>
      <c r="G7" s="19">
        <f t="shared" si="0"/>
        <v>1067.5895999999993</v>
      </c>
      <c r="H7" s="17">
        <f t="shared" si="1"/>
        <v>203.35039999999981</v>
      </c>
      <c r="I7" s="21">
        <f t="shared" si="2"/>
        <v>0.15999999999999995</v>
      </c>
      <c r="J7" s="8" t="s">
        <v>50</v>
      </c>
      <c r="K7" s="9">
        <f t="shared" si="3"/>
        <v>0</v>
      </c>
      <c r="L7" s="22">
        <f t="shared" si="8"/>
        <v>0</v>
      </c>
      <c r="M7" s="23">
        <f t="shared" si="4"/>
        <v>1131.1365999999994</v>
      </c>
    </row>
    <row r="8" spans="1:13" hidden="1">
      <c r="A8" s="47" t="s">
        <v>26</v>
      </c>
      <c r="B8" s="1" t="s">
        <v>14</v>
      </c>
      <c r="C8" s="15">
        <v>1930.2728000000002</v>
      </c>
      <c r="D8" s="12">
        <f t="shared" si="5"/>
        <v>212.33000800000002</v>
      </c>
      <c r="E8" s="8">
        <f t="shared" si="6"/>
        <v>0</v>
      </c>
      <c r="F8" s="13">
        <f t="shared" si="7"/>
        <v>96.513640000000009</v>
      </c>
      <c r="G8" s="19">
        <f t="shared" si="0"/>
        <v>1621.4291520000002</v>
      </c>
      <c r="H8" s="17">
        <f t="shared" si="1"/>
        <v>308.84364800000003</v>
      </c>
      <c r="I8" s="21">
        <f t="shared" si="2"/>
        <v>0.16</v>
      </c>
      <c r="J8" s="8" t="s">
        <v>49</v>
      </c>
      <c r="K8" s="9">
        <f t="shared" si="3"/>
        <v>0</v>
      </c>
      <c r="L8" s="22">
        <f t="shared" si="8"/>
        <v>0</v>
      </c>
      <c r="M8" s="23">
        <f t="shared" si="4"/>
        <v>1717.9427920000003</v>
      </c>
    </row>
    <row r="9" spans="1:13" hidden="1">
      <c r="A9" s="47" t="s">
        <v>27</v>
      </c>
      <c r="B9" s="1" t="s">
        <v>14</v>
      </c>
      <c r="C9" s="15">
        <v>1527.9100000000003</v>
      </c>
      <c r="D9" s="12">
        <f t="shared" si="5"/>
        <v>168.07010000000002</v>
      </c>
      <c r="E9" s="8">
        <f t="shared" si="6"/>
        <v>0</v>
      </c>
      <c r="F9" s="13">
        <f t="shared" si="7"/>
        <v>76.395500000000013</v>
      </c>
      <c r="G9" s="19">
        <f t="shared" si="0"/>
        <v>1283.4444000000003</v>
      </c>
      <c r="H9" s="17">
        <f t="shared" si="1"/>
        <v>244.46559999999999</v>
      </c>
      <c r="I9" s="21">
        <f t="shared" si="2"/>
        <v>0.15999999999999998</v>
      </c>
      <c r="J9" s="8" t="s">
        <v>28</v>
      </c>
      <c r="K9" s="9">
        <f t="shared" si="3"/>
        <v>0</v>
      </c>
      <c r="L9" s="22">
        <f t="shared" si="8"/>
        <v>0</v>
      </c>
      <c r="M9" s="23">
        <f t="shared" si="4"/>
        <v>1359.8399000000004</v>
      </c>
    </row>
    <row r="10" spans="1:13" hidden="1">
      <c r="A10" s="47" t="s">
        <v>29</v>
      </c>
      <c r="B10" s="1" t="s">
        <v>17</v>
      </c>
      <c r="C10" s="15">
        <v>3558.6557999999973</v>
      </c>
      <c r="D10" s="12">
        <f t="shared" si="5"/>
        <v>391.45213799999971</v>
      </c>
      <c r="E10" s="8">
        <f t="shared" si="6"/>
        <v>120.28054929999962</v>
      </c>
      <c r="F10" s="13">
        <f t="shared" si="7"/>
        <v>177.93278999999987</v>
      </c>
      <c r="G10" s="19">
        <f t="shared" si="0"/>
        <v>2868.9903226999982</v>
      </c>
      <c r="H10" s="17">
        <f t="shared" si="1"/>
        <v>689.66547729999911</v>
      </c>
      <c r="I10" s="21">
        <f t="shared" si="2"/>
        <v>0.19379943328601762</v>
      </c>
      <c r="J10" s="8" t="s">
        <v>49</v>
      </c>
      <c r="K10" s="9">
        <f t="shared" si="3"/>
        <v>0.15</v>
      </c>
      <c r="L10" s="22">
        <f t="shared" si="8"/>
        <v>354.8</v>
      </c>
      <c r="M10" s="23">
        <f t="shared" si="4"/>
        <v>3167.2036619999976</v>
      </c>
    </row>
    <row r="11" spans="1:13">
      <c r="A11" s="47" t="s">
        <v>30</v>
      </c>
      <c r="B11" s="1" t="s">
        <v>17</v>
      </c>
      <c r="C11" s="15">
        <v>3115.3373999999994</v>
      </c>
      <c r="D11" s="12">
        <f t="shared" si="5"/>
        <v>342.68711399999995</v>
      </c>
      <c r="E11" s="8">
        <f t="shared" si="6"/>
        <v>65.148771449999941</v>
      </c>
      <c r="F11" s="13">
        <f t="shared" si="7"/>
        <v>155.76686999999998</v>
      </c>
      <c r="G11" s="19">
        <f t="shared" si="0"/>
        <v>2551.7346445499998</v>
      </c>
      <c r="H11" s="17">
        <f t="shared" si="1"/>
        <v>563.60275544999968</v>
      </c>
      <c r="I11" s="21">
        <f t="shared" si="2"/>
        <v>0.18091226826667306</v>
      </c>
      <c r="J11" s="8" t="s">
        <v>48</v>
      </c>
      <c r="K11" s="9">
        <f t="shared" si="3"/>
        <v>7.4999999999999997E-2</v>
      </c>
      <c r="L11" s="22">
        <f t="shared" si="8"/>
        <v>142.80000000000001</v>
      </c>
      <c r="M11" s="23">
        <f t="shared" si="4"/>
        <v>2772.6502859999996</v>
      </c>
    </row>
    <row r="12" spans="1:13">
      <c r="A12" s="47" t="s">
        <v>31</v>
      </c>
      <c r="B12" s="1" t="s">
        <v>14</v>
      </c>
      <c r="C12" s="15">
        <v>2003.7900000000004</v>
      </c>
      <c r="D12" s="12">
        <f t="shared" si="5"/>
        <v>220.41690000000006</v>
      </c>
      <c r="E12" s="8">
        <f t="shared" si="6"/>
        <v>0</v>
      </c>
      <c r="F12" s="13">
        <f t="shared" si="7"/>
        <v>100.18950000000002</v>
      </c>
      <c r="G12" s="19">
        <f t="shared" si="0"/>
        <v>1683.1836000000003</v>
      </c>
      <c r="H12" s="17">
        <f t="shared" si="1"/>
        <v>320.60640000000012</v>
      </c>
      <c r="I12" s="21">
        <f t="shared" si="2"/>
        <v>0.16000000000000003</v>
      </c>
      <c r="J12" s="8" t="s">
        <v>21</v>
      </c>
      <c r="K12" s="9">
        <f t="shared" si="3"/>
        <v>0</v>
      </c>
      <c r="L12" s="22">
        <f t="shared" si="8"/>
        <v>0</v>
      </c>
      <c r="M12" s="23">
        <f t="shared" si="4"/>
        <v>1783.3731000000002</v>
      </c>
    </row>
    <row r="13" spans="1:13" hidden="1">
      <c r="A13" s="47" t="s">
        <v>32</v>
      </c>
      <c r="B13" s="1" t="s">
        <v>14</v>
      </c>
      <c r="C13" s="15">
        <v>1866.1656000000007</v>
      </c>
      <c r="D13" s="12">
        <f t="shared" si="5"/>
        <v>205.27821600000007</v>
      </c>
      <c r="E13" s="8">
        <f t="shared" si="6"/>
        <v>0</v>
      </c>
      <c r="F13" s="13">
        <f t="shared" si="7"/>
        <v>93.308280000000039</v>
      </c>
      <c r="G13" s="19">
        <f t="shared" si="0"/>
        <v>1567.5791040000006</v>
      </c>
      <c r="H13" s="17">
        <f t="shared" si="1"/>
        <v>298.58649600000012</v>
      </c>
      <c r="I13" s="21">
        <f t="shared" si="2"/>
        <v>0.16</v>
      </c>
      <c r="J13" s="8" t="s">
        <v>28</v>
      </c>
      <c r="K13" s="9">
        <f t="shared" si="3"/>
        <v>0</v>
      </c>
      <c r="L13" s="22">
        <f t="shared" si="8"/>
        <v>0</v>
      </c>
      <c r="M13" s="23">
        <f t="shared" si="4"/>
        <v>1660.8873840000006</v>
      </c>
    </row>
    <row r="14" spans="1:13" hidden="1">
      <c r="A14" s="47" t="s">
        <v>33</v>
      </c>
      <c r="B14" s="1" t="s">
        <v>14</v>
      </c>
      <c r="C14" s="15">
        <v>1755.6774</v>
      </c>
      <c r="D14" s="12">
        <f t="shared" si="5"/>
        <v>193.124514</v>
      </c>
      <c r="E14" s="8">
        <f t="shared" si="6"/>
        <v>0</v>
      </c>
      <c r="F14" s="13">
        <f t="shared" si="7"/>
        <v>87.783870000000007</v>
      </c>
      <c r="G14" s="19">
        <f t="shared" si="0"/>
        <v>1474.769016</v>
      </c>
      <c r="H14" s="17">
        <f t="shared" si="1"/>
        <v>280.90838400000007</v>
      </c>
      <c r="I14" s="21">
        <f t="shared" si="2"/>
        <v>0.16000000000000003</v>
      </c>
      <c r="J14" s="8" t="s">
        <v>34</v>
      </c>
      <c r="K14" s="9">
        <f t="shared" si="3"/>
        <v>0</v>
      </c>
      <c r="L14" s="22">
        <f t="shared" si="8"/>
        <v>0</v>
      </c>
      <c r="M14" s="23">
        <f t="shared" si="4"/>
        <v>1562.5528859999999</v>
      </c>
    </row>
    <row r="15" spans="1:13" hidden="1">
      <c r="A15" s="47" t="s">
        <v>35</v>
      </c>
      <c r="B15" s="1" t="s">
        <v>36</v>
      </c>
      <c r="C15" s="15">
        <v>1425.5340000000001</v>
      </c>
      <c r="D15" s="12">
        <f t="shared" si="5"/>
        <v>156.80874</v>
      </c>
      <c r="E15" s="8">
        <f t="shared" si="6"/>
        <v>0</v>
      </c>
      <c r="F15" s="13">
        <f t="shared" si="7"/>
        <v>71.276700000000005</v>
      </c>
      <c r="G15" s="19">
        <f t="shared" si="0"/>
        <v>1197.4485600000003</v>
      </c>
      <c r="H15" s="17">
        <f t="shared" si="1"/>
        <v>228.08543999999983</v>
      </c>
      <c r="I15" s="21">
        <f t="shared" si="2"/>
        <v>0.15999999999999986</v>
      </c>
      <c r="J15" s="8" t="s">
        <v>34</v>
      </c>
      <c r="K15" s="9">
        <f t="shared" si="3"/>
        <v>0</v>
      </c>
      <c r="L15" s="22">
        <f t="shared" si="8"/>
        <v>0</v>
      </c>
      <c r="M15" s="23">
        <f t="shared" si="4"/>
        <v>1268.7252600000002</v>
      </c>
    </row>
    <row r="16" spans="1:13">
      <c r="A16" s="47" t="s">
        <v>37</v>
      </c>
      <c r="B16" s="1" t="s">
        <v>36</v>
      </c>
      <c r="C16" s="15">
        <v>1919.9039999999995</v>
      </c>
      <c r="D16" s="12">
        <f t="shared" si="5"/>
        <v>211.18943999999996</v>
      </c>
      <c r="E16" s="8">
        <f t="shared" si="6"/>
        <v>0</v>
      </c>
      <c r="F16" s="13">
        <f t="shared" si="7"/>
        <v>95.995199999999983</v>
      </c>
      <c r="G16" s="19">
        <f t="shared" si="0"/>
        <v>1612.7193599999996</v>
      </c>
      <c r="H16" s="17">
        <f t="shared" si="1"/>
        <v>307.18463999999994</v>
      </c>
      <c r="I16" s="21">
        <f t="shared" si="2"/>
        <v>0.16</v>
      </c>
      <c r="J16" s="8" t="s">
        <v>50</v>
      </c>
      <c r="K16" s="9">
        <f t="shared" si="3"/>
        <v>0</v>
      </c>
      <c r="L16" s="22">
        <f t="shared" si="8"/>
        <v>0</v>
      </c>
      <c r="M16" s="23">
        <f t="shared" si="4"/>
        <v>1708.7145599999997</v>
      </c>
    </row>
    <row r="17" spans="1:13">
      <c r="A17" s="47" t="s">
        <v>38</v>
      </c>
      <c r="B17" s="1" t="s">
        <v>20</v>
      </c>
      <c r="C17" s="15">
        <v>2265.7785000000044</v>
      </c>
      <c r="D17" s="12">
        <f t="shared" si="5"/>
        <v>249.23563500000049</v>
      </c>
      <c r="E17" s="8">
        <f t="shared" si="6"/>
        <v>8.4407148750002818</v>
      </c>
      <c r="F17" s="13">
        <f t="shared" si="7"/>
        <v>113.28892500000023</v>
      </c>
      <c r="G17" s="19">
        <f t="shared" si="0"/>
        <v>1894.8132251250033</v>
      </c>
      <c r="H17" s="17">
        <f t="shared" si="1"/>
        <v>370.96527487500111</v>
      </c>
      <c r="I17" s="21">
        <f t="shared" si="2"/>
        <v>0.1637253045145412</v>
      </c>
      <c r="J17" s="8" t="s">
        <v>48</v>
      </c>
      <c r="K17" s="9">
        <f t="shared" si="3"/>
        <v>7.4999999999999997E-2</v>
      </c>
      <c r="L17" s="22">
        <f t="shared" si="8"/>
        <v>142.80000000000001</v>
      </c>
      <c r="M17" s="23">
        <f t="shared" si="4"/>
        <v>2016.542865000004</v>
      </c>
    </row>
    <row r="18" spans="1:13" hidden="1">
      <c r="A18" s="47" t="s">
        <v>39</v>
      </c>
      <c r="B18" s="1" t="s">
        <v>20</v>
      </c>
      <c r="C18" s="15">
        <v>2958.5099999999989</v>
      </c>
      <c r="D18" s="12">
        <f t="shared" si="5"/>
        <v>325.4360999999999</v>
      </c>
      <c r="E18" s="8">
        <f t="shared" si="6"/>
        <v>54.680542499999916</v>
      </c>
      <c r="F18" s="13">
        <f t="shared" si="7"/>
        <v>147.92549999999994</v>
      </c>
      <c r="G18" s="19">
        <f t="shared" si="0"/>
        <v>2430.4678574999994</v>
      </c>
      <c r="H18" s="17">
        <f t="shared" si="1"/>
        <v>528.0421424999995</v>
      </c>
      <c r="I18" s="21">
        <f t="shared" si="2"/>
        <v>0.17848245992070322</v>
      </c>
      <c r="J18" s="8" t="s">
        <v>40</v>
      </c>
      <c r="K18" s="9">
        <f t="shared" si="3"/>
        <v>7.4999999999999997E-2</v>
      </c>
      <c r="L18" s="22">
        <f t="shared" si="8"/>
        <v>142.80000000000001</v>
      </c>
      <c r="M18" s="23">
        <f t="shared" si="4"/>
        <v>2633.073899999999</v>
      </c>
    </row>
    <row r="19" spans="1:13">
      <c r="A19" s="47" t="s">
        <v>41</v>
      </c>
      <c r="B19" s="1" t="s">
        <v>14</v>
      </c>
      <c r="C19" s="15">
        <v>1368.2524000000003</v>
      </c>
      <c r="D19" s="12">
        <f t="shared" si="5"/>
        <v>150.50776400000004</v>
      </c>
      <c r="E19" s="8">
        <f t="shared" si="6"/>
        <v>0</v>
      </c>
      <c r="F19" s="13">
        <f t="shared" si="7"/>
        <v>68.412620000000018</v>
      </c>
      <c r="G19" s="19">
        <f t="shared" si="0"/>
        <v>1149.3320160000003</v>
      </c>
      <c r="H19" s="17">
        <f t="shared" si="1"/>
        <v>218.92038400000001</v>
      </c>
      <c r="I19" s="21">
        <f t="shared" si="2"/>
        <v>0.15999999999999998</v>
      </c>
      <c r="J19" s="8" t="s">
        <v>21</v>
      </c>
      <c r="K19" s="9">
        <f t="shared" si="3"/>
        <v>0</v>
      </c>
      <c r="L19" s="22">
        <f t="shared" si="8"/>
        <v>0</v>
      </c>
      <c r="M19" s="23">
        <f t="shared" si="4"/>
        <v>1217.7446360000004</v>
      </c>
    </row>
    <row r="20" spans="1:13">
      <c r="A20" s="47" t="s">
        <v>42</v>
      </c>
      <c r="B20" s="1" t="s">
        <v>14</v>
      </c>
      <c r="C20" s="15">
        <v>1417.1223999999993</v>
      </c>
      <c r="D20" s="12">
        <f t="shared" si="5"/>
        <v>155.88346399999992</v>
      </c>
      <c r="E20" s="8">
        <f t="shared" si="6"/>
        <v>0</v>
      </c>
      <c r="F20" s="13">
        <f t="shared" si="7"/>
        <v>70.856119999999962</v>
      </c>
      <c r="G20" s="19">
        <f t="shared" si="0"/>
        <v>1190.3828159999994</v>
      </c>
      <c r="H20" s="17">
        <f t="shared" si="1"/>
        <v>226.73958399999992</v>
      </c>
      <c r="I20" s="21">
        <f t="shared" si="2"/>
        <v>0.16000000000000003</v>
      </c>
      <c r="J20" s="8" t="s">
        <v>21</v>
      </c>
      <c r="K20" s="9">
        <f t="shared" si="3"/>
        <v>0</v>
      </c>
      <c r="L20" s="22">
        <f t="shared" si="8"/>
        <v>0</v>
      </c>
      <c r="M20" s="23">
        <f t="shared" si="4"/>
        <v>1261.2389359999993</v>
      </c>
    </row>
    <row r="21" spans="1:13" hidden="1">
      <c r="A21" s="47" t="s">
        <v>43</v>
      </c>
      <c r="B21" s="1" t="s">
        <v>14</v>
      </c>
      <c r="C21" s="15">
        <v>1786.5384000000006</v>
      </c>
      <c r="D21" s="12">
        <f t="shared" si="5"/>
        <v>196.51922400000007</v>
      </c>
      <c r="E21" s="8">
        <f t="shared" si="6"/>
        <v>0</v>
      </c>
      <c r="F21" s="13">
        <f t="shared" si="7"/>
        <v>89.32692000000003</v>
      </c>
      <c r="G21" s="19">
        <f t="shared" si="0"/>
        <v>1500.6922560000005</v>
      </c>
      <c r="H21" s="17">
        <f t="shared" si="1"/>
        <v>285.84614400000009</v>
      </c>
      <c r="I21" s="21">
        <f t="shared" si="2"/>
        <v>0.16</v>
      </c>
      <c r="J21" s="8" t="s">
        <v>28</v>
      </c>
      <c r="K21" s="9">
        <f t="shared" si="3"/>
        <v>0</v>
      </c>
      <c r="L21" s="22">
        <f t="shared" si="8"/>
        <v>0</v>
      </c>
      <c r="M21" s="23">
        <f t="shared" si="4"/>
        <v>1590.0191760000005</v>
      </c>
    </row>
    <row r="22" spans="1:13">
      <c r="A22" s="47" t="s">
        <v>44</v>
      </c>
      <c r="B22" s="1" t="s">
        <v>14</v>
      </c>
      <c r="C22" s="15">
        <v>1354.4692000000009</v>
      </c>
      <c r="D22" s="12">
        <f t="shared" si="5"/>
        <v>148.99161200000009</v>
      </c>
      <c r="E22" s="8">
        <f t="shared" si="6"/>
        <v>0</v>
      </c>
      <c r="F22" s="13">
        <f t="shared" si="7"/>
        <v>67.723460000000046</v>
      </c>
      <c r="G22" s="19">
        <f t="shared" si="0"/>
        <v>1137.7541280000009</v>
      </c>
      <c r="H22" s="17">
        <f t="shared" si="1"/>
        <v>216.71507199999996</v>
      </c>
      <c r="I22" s="21">
        <f t="shared" si="2"/>
        <v>0.15999999999999986</v>
      </c>
      <c r="J22" s="8" t="s">
        <v>50</v>
      </c>
      <c r="K22" s="9">
        <f t="shared" si="3"/>
        <v>0</v>
      </c>
      <c r="L22" s="22">
        <f t="shared" si="8"/>
        <v>0</v>
      </c>
      <c r="M22" s="23">
        <f t="shared" si="4"/>
        <v>1205.4775880000009</v>
      </c>
    </row>
    <row r="23" spans="1:13">
      <c r="A23" s="47" t="s">
        <v>45</v>
      </c>
      <c r="B23" s="1" t="s">
        <v>14</v>
      </c>
      <c r="C23" s="15">
        <v>1395.513999999999</v>
      </c>
      <c r="D23" s="12">
        <f t="shared" si="5"/>
        <v>153.50653999999989</v>
      </c>
      <c r="E23" s="8">
        <f t="shared" si="6"/>
        <v>0</v>
      </c>
      <c r="F23" s="13">
        <f t="shared" si="7"/>
        <v>69.775699999999958</v>
      </c>
      <c r="G23" s="19">
        <f t="shared" si="0"/>
        <v>1172.2317599999992</v>
      </c>
      <c r="H23" s="17">
        <f t="shared" si="1"/>
        <v>223.28223999999977</v>
      </c>
      <c r="I23" s="21">
        <f t="shared" si="2"/>
        <v>0.15999999999999995</v>
      </c>
      <c r="J23" s="8" t="s">
        <v>21</v>
      </c>
      <c r="K23" s="9">
        <f t="shared" si="3"/>
        <v>0</v>
      </c>
      <c r="L23" s="22">
        <f t="shared" si="8"/>
        <v>0</v>
      </c>
      <c r="M23" s="23">
        <f t="shared" si="4"/>
        <v>1242.0074599999991</v>
      </c>
    </row>
    <row r="24" spans="1:13" hidden="1">
      <c r="A24" s="47" t="s">
        <v>46</v>
      </c>
      <c r="B24" s="1" t="s">
        <v>14</v>
      </c>
      <c r="C24" s="15">
        <v>1560.1183999999994</v>
      </c>
      <c r="D24" s="12">
        <f t="shared" si="5"/>
        <v>171.61302399999994</v>
      </c>
      <c r="E24" s="8">
        <f t="shared" si="6"/>
        <v>0</v>
      </c>
      <c r="F24" s="13">
        <f t="shared" si="7"/>
        <v>78.005919999999975</v>
      </c>
      <c r="G24" s="19">
        <f t="shared" si="0"/>
        <v>1310.4994559999993</v>
      </c>
      <c r="H24" s="17">
        <f t="shared" si="1"/>
        <v>249.61894400000006</v>
      </c>
      <c r="I24" s="21">
        <f t="shared" si="2"/>
        <v>0.16000000000000009</v>
      </c>
      <c r="J24" s="8" t="s">
        <v>28</v>
      </c>
      <c r="K24" s="9">
        <f t="shared" si="3"/>
        <v>0</v>
      </c>
      <c r="L24" s="22">
        <f t="shared" si="8"/>
        <v>0</v>
      </c>
      <c r="M24" s="23">
        <f t="shared" si="4"/>
        <v>1388.5053759999994</v>
      </c>
    </row>
    <row r="25" spans="1:13" hidden="1">
      <c r="A25" s="47" t="s">
        <v>47</v>
      </c>
      <c r="B25" s="1" t="s">
        <v>14</v>
      </c>
      <c r="C25" s="15">
        <v>3206.5600000000018</v>
      </c>
      <c r="D25" s="12">
        <f t="shared" si="5"/>
        <v>352.72160000000019</v>
      </c>
      <c r="E25" s="8">
        <f t="shared" si="6"/>
        <v>73.275760000000218</v>
      </c>
      <c r="F25" s="13">
        <f t="shared" si="7"/>
        <v>160.32800000000009</v>
      </c>
      <c r="G25" s="19">
        <f t="shared" si="0"/>
        <v>2620.2346400000015</v>
      </c>
      <c r="H25" s="17">
        <f t="shared" si="1"/>
        <v>586.32536000000027</v>
      </c>
      <c r="I25" s="21">
        <f t="shared" si="2"/>
        <v>0.18285182875106032</v>
      </c>
      <c r="J25" s="32" t="s">
        <v>28</v>
      </c>
      <c r="K25" s="9">
        <f t="shared" si="3"/>
        <v>0.15</v>
      </c>
      <c r="L25" s="22">
        <f t="shared" si="8"/>
        <v>354.8</v>
      </c>
      <c r="M25" s="23">
        <f t="shared" si="4"/>
        <v>2853.8384000000015</v>
      </c>
    </row>
  </sheetData>
  <autoFilter ref="A1:M25" xr:uid="{5A6FF0F4-E741-42E3-AD23-F0EAD07D9235}">
    <filterColumn colId="9">
      <filters>
        <filter val="NFA"/>
        <filter val="NFA / Já recolhe o INSS"/>
        <filter val="NFA / Seguro"/>
      </filters>
    </filterColumn>
  </autoFilter>
  <conditionalFormatting sqref="A12:A15 A1:A9">
    <cfRule type="duplicateValues" dxfId="14" priority="2"/>
  </conditionalFormatting>
  <conditionalFormatting sqref="A12:A15 A2:A9">
    <cfRule type="duplicateValues" dxfId="13" priority="3"/>
  </conditionalFormatting>
  <conditionalFormatting sqref="A10:A11">
    <cfRule type="duplicateValues" dxfId="12" priority="1"/>
  </conditionalFormatting>
  <pageMargins left="0.511811024" right="0.511811024" top="0.78740157499999996" bottom="0.78740157499999996" header="0.31496062000000002" footer="0.31496062000000002"/>
  <pageSetup paperSize="9" scale="5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4D97-A3A2-4D89-BFA9-10E7EB485D74}">
  <sheetPr>
    <pageSetUpPr fitToPage="1"/>
  </sheetPr>
  <dimension ref="A1:M25"/>
  <sheetViews>
    <sheetView showGridLines="0" tabSelected="1" zoomScale="80" zoomScaleNormal="80" workbookViewId="0">
      <pane ySplit="1" topLeftCell="A2" activePane="bottomLeft" state="frozen"/>
      <selection pane="bottomLeft" activeCell="B22" sqref="B22"/>
    </sheetView>
  </sheetViews>
  <sheetFormatPr defaultRowHeight="15"/>
  <cols>
    <col min="1" max="1" width="38.140625" style="49" customWidth="1"/>
    <col min="2" max="2" width="14.140625" style="10" customWidth="1"/>
    <col min="3" max="3" width="18.140625" style="10" customWidth="1"/>
    <col min="4" max="4" width="15.28515625" style="10" customWidth="1"/>
    <col min="5" max="5" width="14.85546875" style="10" customWidth="1"/>
    <col min="6" max="6" width="13.140625" style="11" customWidth="1"/>
    <col min="7" max="7" width="19.28515625" style="10" customWidth="1"/>
    <col min="8" max="8" width="16.7109375" style="10" customWidth="1"/>
    <col min="9" max="9" width="16.7109375" style="11" customWidth="1"/>
    <col min="10" max="10" width="24.28515625" style="10" customWidth="1"/>
    <col min="11" max="11" width="11.7109375" style="11" customWidth="1"/>
    <col min="12" max="12" width="9.140625" style="11"/>
    <col min="13" max="13" width="15.5703125" style="2" customWidth="1"/>
  </cols>
  <sheetData>
    <row r="1" spans="1:13" s="4" customFormat="1">
      <c r="A1" s="48" t="s">
        <v>0</v>
      </c>
      <c r="B1" s="3" t="s">
        <v>1</v>
      </c>
      <c r="C1" s="14" t="s">
        <v>2</v>
      </c>
      <c r="D1" s="30" t="s">
        <v>3</v>
      </c>
      <c r="E1" s="30" t="s">
        <v>4</v>
      </c>
      <c r="F1" s="30" t="s">
        <v>5</v>
      </c>
      <c r="G1" s="18" t="s">
        <v>6</v>
      </c>
      <c r="H1" s="16" t="s">
        <v>7</v>
      </c>
      <c r="I1" s="16" t="s">
        <v>8</v>
      </c>
      <c r="J1" s="20" t="s">
        <v>9</v>
      </c>
      <c r="K1" s="5" t="s">
        <v>10</v>
      </c>
      <c r="L1" s="5" t="s">
        <v>11</v>
      </c>
      <c r="M1" s="5" t="s">
        <v>12</v>
      </c>
    </row>
    <row r="2" spans="1:13">
      <c r="A2" s="47" t="s">
        <v>51</v>
      </c>
      <c r="B2" s="1" t="s">
        <v>14</v>
      </c>
      <c r="C2" s="15"/>
      <c r="D2" s="12">
        <f>C2*11%</f>
        <v>0</v>
      </c>
      <c r="E2" s="8">
        <f>(M2*K2)-L2</f>
        <v>0</v>
      </c>
      <c r="F2" s="13">
        <f>C2*5%</f>
        <v>0</v>
      </c>
      <c r="G2" s="19">
        <f>C2-D2-F2-E2</f>
        <v>0</v>
      </c>
      <c r="H2" s="17">
        <f>C2-G2</f>
        <v>0</v>
      </c>
      <c r="I2" s="21" t="str">
        <f>IFERROR(H2/C2,"")</f>
        <v/>
      </c>
      <c r="J2" s="50" t="s">
        <v>52</v>
      </c>
      <c r="K2" s="9">
        <f>IF(M2&lt;=1903.98,0%,IF(M2&lt;=2826.65,7.5%,IF(M2&lt;=3751.05,15%,IF(M2&lt;=4664.68,22.5%,IF(M2&gt;4664.68,27.5%,0)))))</f>
        <v>0</v>
      </c>
      <c r="L2" s="22">
        <f>IF(K2=0%,0,IF(K2=7.5%,142.8,IF(K2=15%,354.8,IF(K2=22.5%,636.12,IF(K2=27.5%,869.36,0)))))</f>
        <v>0</v>
      </c>
      <c r="M2" s="23">
        <f>C2-D2</f>
        <v>0</v>
      </c>
    </row>
    <row r="3" spans="1:13">
      <c r="A3" s="47" t="s">
        <v>33</v>
      </c>
      <c r="B3" s="1" t="s">
        <v>14</v>
      </c>
      <c r="C3" s="15"/>
      <c r="D3" s="12">
        <f>C3*11%</f>
        <v>0</v>
      </c>
      <c r="E3" s="8">
        <f>(M3*K3)-L3</f>
        <v>0</v>
      </c>
      <c r="F3" s="13">
        <f>C3*5%</f>
        <v>0</v>
      </c>
      <c r="G3" s="19">
        <f>C3-D3-F3-E3</f>
        <v>0</v>
      </c>
      <c r="H3" s="17">
        <f>C3-G3</f>
        <v>0</v>
      </c>
      <c r="I3" s="21" t="str">
        <f>IFERROR(H3/C3,"")</f>
        <v/>
      </c>
      <c r="J3" s="8" t="s">
        <v>34</v>
      </c>
      <c r="K3" s="9">
        <f>IF(M3&lt;=1903.98,0%,IF(M3&lt;=2826.65,7.5%,IF(M3&lt;=3751.05,15%,IF(M3&lt;=4664.68,22.5%,IF(M3&gt;4664.68,27.5%,0)))))</f>
        <v>0</v>
      </c>
      <c r="L3" s="22">
        <f>IF(K3=0%,0,IF(K3=7.5%,142.8,IF(K3=15%,354.8,IF(K3=22.5%,636.12,IF(K3=27.5%,869.36,0)))))</f>
        <v>0</v>
      </c>
      <c r="M3" s="23">
        <f>C3-D3</f>
        <v>0</v>
      </c>
    </row>
    <row r="4" spans="1:13">
      <c r="A4" s="47" t="s">
        <v>35</v>
      </c>
      <c r="B4" s="1" t="s">
        <v>36</v>
      </c>
      <c r="C4" s="15"/>
      <c r="D4" s="12">
        <f>C4*11%</f>
        <v>0</v>
      </c>
      <c r="E4" s="8">
        <f>(M4*K4)-L4</f>
        <v>0</v>
      </c>
      <c r="F4" s="13">
        <f>C4*5%</f>
        <v>0</v>
      </c>
      <c r="G4" s="19">
        <f>C4-D4-F4-E4</f>
        <v>0</v>
      </c>
      <c r="H4" s="17">
        <f>C4-G4</f>
        <v>0</v>
      </c>
      <c r="I4" s="21" t="str">
        <f>IFERROR(H4/C4,"")</f>
        <v/>
      </c>
      <c r="J4" s="8" t="s">
        <v>34</v>
      </c>
      <c r="K4" s="9">
        <f>IF(M4&lt;=1903.98,0%,IF(M4&lt;=2826.65,7.5%,IF(M4&lt;=3751.05,15%,IF(M4&lt;=4664.68,22.5%,IF(M4&gt;4664.68,27.5%,0)))))</f>
        <v>0</v>
      </c>
      <c r="L4" s="22">
        <f>IF(K4=0%,0,IF(K4=7.5%,142.8,IF(K4=15%,354.8,IF(K4=22.5%,636.12,IF(K4=27.5%,869.36,0)))))</f>
        <v>0</v>
      </c>
      <c r="M4" s="23">
        <f>C4-D4</f>
        <v>0</v>
      </c>
    </row>
    <row r="5" spans="1:13">
      <c r="A5" s="47" t="s">
        <v>27</v>
      </c>
      <c r="B5" s="1" t="s">
        <v>14</v>
      </c>
      <c r="C5" s="15"/>
      <c r="D5" s="12">
        <f>C5*11%</f>
        <v>0</v>
      </c>
      <c r="E5" s="8">
        <f>(M5*K5)-L5</f>
        <v>0</v>
      </c>
      <c r="F5" s="13">
        <f>C5*5%</f>
        <v>0</v>
      </c>
      <c r="G5" s="19">
        <f>C5-D5-F5-E5</f>
        <v>0</v>
      </c>
      <c r="H5" s="17">
        <f>C5-G5</f>
        <v>0</v>
      </c>
      <c r="I5" s="21" t="str">
        <f>IFERROR(H5/C5,"")</f>
        <v/>
      </c>
      <c r="J5" s="8" t="s">
        <v>28</v>
      </c>
      <c r="K5" s="9">
        <f>IF(M5&lt;=1903.98,0%,IF(M5&lt;=2826.65,7.5%,IF(M5&lt;=3751.05,15%,IF(M5&lt;=4664.68,22.5%,IF(M5&gt;4664.68,27.5%,0)))))</f>
        <v>0</v>
      </c>
      <c r="L5" s="22">
        <f>IF(K5=0%,0,IF(K5=7.5%,142.8,IF(K5=15%,354.8,IF(K5=22.5%,636.12,IF(K5=27.5%,869.36,0)))))</f>
        <v>0</v>
      </c>
      <c r="M5" s="23">
        <f>C5-D5</f>
        <v>0</v>
      </c>
    </row>
    <row r="6" spans="1:13">
      <c r="A6" s="47" t="s">
        <v>37</v>
      </c>
      <c r="B6" s="1" t="s">
        <v>36</v>
      </c>
      <c r="C6" s="15"/>
      <c r="D6" s="12">
        <f>C6*11%</f>
        <v>0</v>
      </c>
      <c r="E6" s="8">
        <f>(M6*K6)-L6</f>
        <v>0</v>
      </c>
      <c r="F6" s="13">
        <f>C6*5%</f>
        <v>0</v>
      </c>
      <c r="G6" s="19">
        <f>C6-D6-F6-E6</f>
        <v>0</v>
      </c>
      <c r="H6" s="17">
        <f>C6-G6</f>
        <v>0</v>
      </c>
      <c r="I6" s="21" t="str">
        <f>IFERROR(H6/C6,"")</f>
        <v/>
      </c>
      <c r="J6" s="8" t="s">
        <v>50</v>
      </c>
      <c r="K6" s="9">
        <f>IF(M6&lt;=1903.98,0%,IF(M6&lt;=2826.65,7.5%,IF(M6&lt;=3751.05,15%,IF(M6&lt;=4664.68,22.5%,IF(M6&gt;4664.68,27.5%,0)))))</f>
        <v>0</v>
      </c>
      <c r="L6" s="22">
        <f>IF(K6=0%,0,IF(K6=7.5%,142.8,IF(K6=15%,354.8,IF(K6=22.5%,636.12,IF(K6=27.5%,869.36,0)))))</f>
        <v>0</v>
      </c>
      <c r="M6" s="23">
        <f>C6-D6</f>
        <v>0</v>
      </c>
    </row>
    <row r="7" spans="1:13">
      <c r="A7" s="47" t="s">
        <v>26</v>
      </c>
      <c r="B7" s="1" t="s">
        <v>14</v>
      </c>
      <c r="C7" s="15"/>
      <c r="D7" s="12">
        <f>C7*11%</f>
        <v>0</v>
      </c>
      <c r="E7" s="8">
        <f>(M7*K7)-L7</f>
        <v>0</v>
      </c>
      <c r="F7" s="13">
        <f>C7*5%</f>
        <v>0</v>
      </c>
      <c r="G7" s="19">
        <f>C7-D7-F7-E7</f>
        <v>0</v>
      </c>
      <c r="H7" s="17">
        <f>C7-G7</f>
        <v>0</v>
      </c>
      <c r="I7" s="21" t="str">
        <f>IFERROR(H7/C7,"")</f>
        <v/>
      </c>
      <c r="J7" s="8" t="s">
        <v>49</v>
      </c>
      <c r="K7" s="9">
        <f>IF(M7&lt;=1903.98,0%,IF(M7&lt;=2826.65,7.5%,IF(M7&lt;=3751.05,15%,IF(M7&lt;=4664.68,22.5%,IF(M7&gt;4664.68,27.5%,0)))))</f>
        <v>0</v>
      </c>
      <c r="L7" s="22">
        <f>IF(K7=0%,0,IF(K7=7.5%,142.8,IF(K7=15%,354.8,IF(K7=22.5%,636.12,IF(K7=27.5%,869.36,0)))))</f>
        <v>0</v>
      </c>
      <c r="M7" s="23">
        <f>C7-D7</f>
        <v>0</v>
      </c>
    </row>
    <row r="8" spans="1:13">
      <c r="A8" s="47" t="s">
        <v>45</v>
      </c>
      <c r="B8" s="1" t="s">
        <v>14</v>
      </c>
      <c r="C8" s="15"/>
      <c r="D8" s="12">
        <f>C8*11%</f>
        <v>0</v>
      </c>
      <c r="E8" s="8">
        <f>(M8*K8)-L8</f>
        <v>0</v>
      </c>
      <c r="F8" s="13">
        <f>C8*5%</f>
        <v>0</v>
      </c>
      <c r="G8" s="19">
        <f>C8-D8-F8-E8</f>
        <v>0</v>
      </c>
      <c r="H8" s="17">
        <f>C8-G8</f>
        <v>0</v>
      </c>
      <c r="I8" s="21" t="str">
        <f>IFERROR(H8/C8,"")</f>
        <v/>
      </c>
      <c r="J8" s="8" t="s">
        <v>21</v>
      </c>
      <c r="K8" s="9">
        <f>IF(M8&lt;=1903.98,0%,IF(M8&lt;=2826.65,7.5%,IF(M8&lt;=3751.05,15%,IF(M8&lt;=4664.68,22.5%,IF(M8&gt;4664.68,27.5%,0)))))</f>
        <v>0</v>
      </c>
      <c r="L8" s="22">
        <f>IF(K8=0%,0,IF(K8=7.5%,142.8,IF(K8=15%,354.8,IF(K8=22.5%,636.12,IF(K8=27.5%,869.36,0)))))</f>
        <v>0</v>
      </c>
      <c r="M8" s="23">
        <f>C8-D8</f>
        <v>0</v>
      </c>
    </row>
    <row r="9" spans="1:13">
      <c r="A9" s="47" t="s">
        <v>46</v>
      </c>
      <c r="B9" s="1" t="s">
        <v>14</v>
      </c>
      <c r="C9" s="15"/>
      <c r="D9" s="12">
        <f>C9*11%</f>
        <v>0</v>
      </c>
      <c r="E9" s="8">
        <f>(M9*K9)-L9</f>
        <v>0</v>
      </c>
      <c r="F9" s="13">
        <f>C9*5%</f>
        <v>0</v>
      </c>
      <c r="G9" s="19">
        <f>C9-D9-F9-E9</f>
        <v>0</v>
      </c>
      <c r="H9" s="17">
        <f>C9-G9</f>
        <v>0</v>
      </c>
      <c r="I9" s="21" t="str">
        <f>IFERROR(H9/C9,"")</f>
        <v/>
      </c>
      <c r="J9" s="8" t="s">
        <v>28</v>
      </c>
      <c r="K9" s="9">
        <f>IF(M9&lt;=1903.98,0%,IF(M9&lt;=2826.65,7.5%,IF(M9&lt;=3751.05,15%,IF(M9&lt;=4664.68,22.5%,IF(M9&gt;4664.68,27.5%,0)))))</f>
        <v>0</v>
      </c>
      <c r="L9" s="22">
        <f>IF(K9=0%,0,IF(K9=7.5%,142.8,IF(K9=15%,354.8,IF(K9=22.5%,636.12,IF(K9=27.5%,869.36,0)))))</f>
        <v>0</v>
      </c>
      <c r="M9" s="23">
        <f>C9-D9</f>
        <v>0</v>
      </c>
    </row>
    <row r="10" spans="1:13">
      <c r="A10" s="47" t="s">
        <v>22</v>
      </c>
      <c r="B10" s="1" t="s">
        <v>17</v>
      </c>
      <c r="C10" s="15"/>
      <c r="D10" s="12">
        <f>C10*11%</f>
        <v>0</v>
      </c>
      <c r="E10" s="8">
        <f>(M10*K10)-L10</f>
        <v>0</v>
      </c>
      <c r="F10" s="13">
        <f>C10*5%</f>
        <v>0</v>
      </c>
      <c r="G10" s="19">
        <f>C10-D10-F10-E10</f>
        <v>0</v>
      </c>
      <c r="H10" s="17">
        <f>C10-G10</f>
        <v>0</v>
      </c>
      <c r="I10" s="21" t="str">
        <f>IFERROR(H10/C10,"")</f>
        <v/>
      </c>
      <c r="J10" s="8" t="s">
        <v>21</v>
      </c>
      <c r="K10" s="9">
        <f>IF(M10&lt;=1903.98,0%,IF(M10&lt;=2826.65,7.5%,IF(M10&lt;=3751.05,15%,IF(M10&lt;=4664.68,22.5%,IF(M10&gt;4664.68,27.5%,0)))))</f>
        <v>0</v>
      </c>
      <c r="L10" s="22">
        <f>IF(K10=0%,0,IF(K10=7.5%,142.8,IF(K10=15%,354.8,IF(K10=22.5%,636.12,IF(K10=27.5%,869.36,0)))))</f>
        <v>0</v>
      </c>
      <c r="M10" s="23">
        <f>C10-D10</f>
        <v>0</v>
      </c>
    </row>
    <row r="11" spans="1:13">
      <c r="A11" s="47" t="s">
        <v>43</v>
      </c>
      <c r="B11" s="1" t="s">
        <v>14</v>
      </c>
      <c r="C11" s="15"/>
      <c r="D11" s="12">
        <f>C11*11%</f>
        <v>0</v>
      </c>
      <c r="E11" s="8">
        <f>(M11*K11)-L11</f>
        <v>0</v>
      </c>
      <c r="F11" s="13">
        <f>C11*5%</f>
        <v>0</v>
      </c>
      <c r="G11" s="19">
        <f>C11-D11-F11-E11</f>
        <v>0</v>
      </c>
      <c r="H11" s="17">
        <f>C11-G11</f>
        <v>0</v>
      </c>
      <c r="I11" s="21" t="str">
        <f>IFERROR(H11/C11,"")</f>
        <v/>
      </c>
      <c r="J11" s="8" t="s">
        <v>28</v>
      </c>
      <c r="K11" s="9">
        <f>IF(M11&lt;=1903.98,0%,IF(M11&lt;=2826.65,7.5%,IF(M11&lt;=3751.05,15%,IF(M11&lt;=4664.68,22.5%,IF(M11&gt;4664.68,27.5%,0)))))</f>
        <v>0</v>
      </c>
      <c r="L11" s="22">
        <f>IF(K11=0%,0,IF(K11=7.5%,142.8,IF(K11=15%,354.8,IF(K11=22.5%,636.12,IF(K11=27.5%,869.36,0)))))</f>
        <v>0</v>
      </c>
      <c r="M11" s="23">
        <f>C11-D11</f>
        <v>0</v>
      </c>
    </row>
    <row r="12" spans="1:13">
      <c r="A12" s="47" t="s">
        <v>53</v>
      </c>
      <c r="B12" s="1" t="s">
        <v>14</v>
      </c>
      <c r="C12" s="15"/>
      <c r="D12" s="12">
        <f>C12*11%</f>
        <v>0</v>
      </c>
      <c r="E12" s="8">
        <f>(M12*K12)-L12</f>
        <v>0</v>
      </c>
      <c r="F12" s="13">
        <f>C12*5%</f>
        <v>0</v>
      </c>
      <c r="G12" s="19">
        <f>C12-D12-F12-E12</f>
        <v>0</v>
      </c>
      <c r="H12" s="17">
        <f>C12-G12</f>
        <v>0</v>
      </c>
      <c r="I12" s="21" t="str">
        <f>IFERROR(H12/C12,"")</f>
        <v/>
      </c>
      <c r="J12" s="50" t="s">
        <v>52</v>
      </c>
      <c r="K12" s="9">
        <f>IF(M12&lt;=1903.98,0%,IF(M12&lt;=2826.65,7.5%,IF(M12&lt;=3751.05,15%,IF(M12&lt;=4664.68,22.5%,IF(M12&gt;4664.68,27.5%,0)))))</f>
        <v>0</v>
      </c>
      <c r="L12" s="22">
        <f>IF(K12=0%,0,IF(K12=7.5%,142.8,IF(K12=15%,354.8,IF(K12=22.5%,636.12,IF(K12=27.5%,869.36,0)))))</f>
        <v>0</v>
      </c>
      <c r="M12" s="23">
        <f>C12-D12</f>
        <v>0</v>
      </c>
    </row>
    <row r="13" spans="1:13">
      <c r="A13" s="47" t="s">
        <v>30</v>
      </c>
      <c r="B13" s="1" t="s">
        <v>17</v>
      </c>
      <c r="C13" s="15"/>
      <c r="D13" s="12">
        <f>C13*11%</f>
        <v>0</v>
      </c>
      <c r="E13" s="8">
        <f>(M13*K13)-L13</f>
        <v>0</v>
      </c>
      <c r="F13" s="13">
        <f>C13*5%</f>
        <v>0</v>
      </c>
      <c r="G13" s="19">
        <f>C13-D13-F13-E13</f>
        <v>0</v>
      </c>
      <c r="H13" s="17">
        <f>C13-G13</f>
        <v>0</v>
      </c>
      <c r="I13" s="21" t="str">
        <f>IFERROR(H13/C13,"")</f>
        <v/>
      </c>
      <c r="J13" s="8" t="s">
        <v>48</v>
      </c>
      <c r="K13" s="9">
        <f>IF(M13&lt;=1903.98,0%,IF(M13&lt;=2826.65,7.5%,IF(M13&lt;=3751.05,15%,IF(M13&lt;=4664.68,22.5%,IF(M13&gt;4664.68,27.5%,0)))))</f>
        <v>0</v>
      </c>
      <c r="L13" s="22">
        <f>IF(K13=0%,0,IF(K13=7.5%,142.8,IF(K13=15%,354.8,IF(K13=22.5%,636.12,IF(K13=27.5%,869.36,0)))))</f>
        <v>0</v>
      </c>
      <c r="M13" s="23">
        <f>C13-D13</f>
        <v>0</v>
      </c>
    </row>
    <row r="14" spans="1:13">
      <c r="A14" s="47" t="s">
        <v>38</v>
      </c>
      <c r="B14" s="1" t="s">
        <v>20</v>
      </c>
      <c r="C14" s="15"/>
      <c r="D14" s="12">
        <f>C14*11%</f>
        <v>0</v>
      </c>
      <c r="E14" s="8">
        <f>(M14*K14)-L14</f>
        <v>0</v>
      </c>
      <c r="F14" s="13">
        <f>C14*5%</f>
        <v>0</v>
      </c>
      <c r="G14" s="19">
        <f>C14-D14-F14-E14</f>
        <v>0</v>
      </c>
      <c r="H14" s="17">
        <f>C14-G14</f>
        <v>0</v>
      </c>
      <c r="I14" s="21" t="str">
        <f>IFERROR(H14/C14,"")</f>
        <v/>
      </c>
      <c r="J14" s="8" t="s">
        <v>48</v>
      </c>
      <c r="K14" s="9">
        <f>IF(M14&lt;=1903.98,0%,IF(M14&lt;=2826.65,7.5%,IF(M14&lt;=3751.05,15%,IF(M14&lt;=4664.68,22.5%,IF(M14&gt;4664.68,27.5%,0)))))</f>
        <v>0</v>
      </c>
      <c r="L14" s="22">
        <f>IF(K14=0%,0,IF(K14=7.5%,142.8,IF(K14=15%,354.8,IF(K14=22.5%,636.12,IF(K14=27.5%,869.36,0)))))</f>
        <v>0</v>
      </c>
      <c r="M14" s="23">
        <f>C14-D14</f>
        <v>0</v>
      </c>
    </row>
    <row r="15" spans="1:13">
      <c r="A15" s="47" t="s">
        <v>42</v>
      </c>
      <c r="B15" s="1" t="s">
        <v>14</v>
      </c>
      <c r="C15" s="15"/>
      <c r="D15" s="12">
        <f>C15*11%</f>
        <v>0</v>
      </c>
      <c r="E15" s="8">
        <f>(M15*K15)-L15</f>
        <v>0</v>
      </c>
      <c r="F15" s="13">
        <f>C15*5%</f>
        <v>0</v>
      </c>
      <c r="G15" s="19">
        <f>C15-D15-F15-E15</f>
        <v>0</v>
      </c>
      <c r="H15" s="17">
        <f>C15-G15</f>
        <v>0</v>
      </c>
      <c r="I15" s="21" t="str">
        <f>IFERROR(H15/C15,"")</f>
        <v/>
      </c>
      <c r="J15" s="8" t="s">
        <v>21</v>
      </c>
      <c r="K15" s="9">
        <f>IF(M15&lt;=1903.98,0%,IF(M15&lt;=2826.65,7.5%,IF(M15&lt;=3751.05,15%,IF(M15&lt;=4664.68,22.5%,IF(M15&gt;4664.68,27.5%,0)))))</f>
        <v>0</v>
      </c>
      <c r="L15" s="22">
        <f>IF(K15=0%,0,IF(K15=7.5%,142.8,IF(K15=15%,354.8,IF(K15=22.5%,636.12,IF(K15=27.5%,869.36,0)))))</f>
        <v>0</v>
      </c>
      <c r="M15" s="23">
        <f>C15-D15</f>
        <v>0</v>
      </c>
    </row>
    <row r="16" spans="1:13">
      <c r="A16" s="47" t="s">
        <v>19</v>
      </c>
      <c r="B16" s="1" t="s">
        <v>20</v>
      </c>
      <c r="C16" s="15"/>
      <c r="D16" s="12">
        <f>C16*11%</f>
        <v>0</v>
      </c>
      <c r="E16" s="8">
        <f>(M16*K16)-L16</f>
        <v>0</v>
      </c>
      <c r="F16" s="13">
        <f>C16*5%</f>
        <v>0</v>
      </c>
      <c r="G16" s="19">
        <f>C16-D16-F16-E16</f>
        <v>0</v>
      </c>
      <c r="H16" s="17">
        <f>C16-G16</f>
        <v>0</v>
      </c>
      <c r="I16" s="21" t="str">
        <f>IFERROR(H16/C16,"")</f>
        <v/>
      </c>
      <c r="J16" s="8" t="s">
        <v>21</v>
      </c>
      <c r="K16" s="9">
        <f>IF(M16&lt;=1903.98,0%,IF(M16&lt;=2826.65,7.5%,IF(M16&lt;=3751.05,15%,IF(M16&lt;=4664.68,22.5%,IF(M16&gt;4664.68,27.5%,0)))))</f>
        <v>0</v>
      </c>
      <c r="L16" s="22">
        <f>IF(K16=0%,0,IF(K16=7.5%,142.8,IF(K16=15%,354.8,IF(K16=22.5%,636.12,IF(K16=27.5%,869.36,0)))))</f>
        <v>0</v>
      </c>
      <c r="M16" s="23">
        <f>C16-D16</f>
        <v>0</v>
      </c>
    </row>
    <row r="17" spans="1:13">
      <c r="A17" s="47" t="s">
        <v>31</v>
      </c>
      <c r="B17" s="1" t="s">
        <v>14</v>
      </c>
      <c r="C17" s="15"/>
      <c r="D17" s="12">
        <f>C17*11%</f>
        <v>0</v>
      </c>
      <c r="E17" s="8">
        <f>(M17*K17)-L17</f>
        <v>0</v>
      </c>
      <c r="F17" s="13">
        <f>C17*5%</f>
        <v>0</v>
      </c>
      <c r="G17" s="19">
        <f>C17-D17-F17-E17</f>
        <v>0</v>
      </c>
      <c r="H17" s="17">
        <f>C17-G17</f>
        <v>0</v>
      </c>
      <c r="I17" s="21" t="str">
        <f>IFERROR(H17/C17,"")</f>
        <v/>
      </c>
      <c r="J17" s="8" t="s">
        <v>21</v>
      </c>
      <c r="K17" s="9">
        <f>IF(M17&lt;=1903.98,0%,IF(M17&lt;=2826.65,7.5%,IF(M17&lt;=3751.05,15%,IF(M17&lt;=4664.68,22.5%,IF(M17&gt;4664.68,27.5%,0)))))</f>
        <v>0</v>
      </c>
      <c r="L17" s="22">
        <f>IF(K17=0%,0,IF(K17=7.5%,142.8,IF(K17=15%,354.8,IF(K17=22.5%,636.12,IF(K17=27.5%,869.36,0)))))</f>
        <v>0</v>
      </c>
      <c r="M17" s="23">
        <f>C17-D17</f>
        <v>0</v>
      </c>
    </row>
    <row r="18" spans="1:13">
      <c r="A18" s="47" t="s">
        <v>47</v>
      </c>
      <c r="B18" s="1" t="s">
        <v>14</v>
      </c>
      <c r="C18" s="15"/>
      <c r="D18" s="12">
        <f>C18*11%</f>
        <v>0</v>
      </c>
      <c r="E18" s="8">
        <f>(M18*K18)-L18</f>
        <v>0</v>
      </c>
      <c r="F18" s="13">
        <f>C18*5%</f>
        <v>0</v>
      </c>
      <c r="G18" s="19">
        <f>C18-D18-F18-E18</f>
        <v>0</v>
      </c>
      <c r="H18" s="17">
        <f>C18-G18</f>
        <v>0</v>
      </c>
      <c r="I18" s="21" t="str">
        <f>IFERROR(H18/C18,"")</f>
        <v/>
      </c>
      <c r="J18" s="8" t="s">
        <v>28</v>
      </c>
      <c r="K18" s="9">
        <f>IF(M18&lt;=1903.98,0%,IF(M18&lt;=2826.65,7.5%,IF(M18&lt;=3751.05,15%,IF(M18&lt;=4664.68,22.5%,IF(M18&gt;4664.68,27.5%,0)))))</f>
        <v>0</v>
      </c>
      <c r="L18" s="22">
        <f>IF(K18=0%,0,IF(K18=7.5%,142.8,IF(K18=15%,354.8,IF(K18=22.5%,636.12,IF(K18=27.5%,869.36,0)))))</f>
        <v>0</v>
      </c>
      <c r="M18" s="23">
        <f>C18-D18</f>
        <v>0</v>
      </c>
    </row>
    <row r="19" spans="1:13">
      <c r="A19" s="47" t="s">
        <v>13</v>
      </c>
      <c r="B19" s="1" t="s">
        <v>14</v>
      </c>
      <c r="C19" s="15"/>
      <c r="D19" s="12">
        <f>C19*11%</f>
        <v>0</v>
      </c>
      <c r="E19" s="8">
        <f>(M19*K19)-L19</f>
        <v>0</v>
      </c>
      <c r="F19" s="13">
        <f>C19*5%</f>
        <v>0</v>
      </c>
      <c r="G19" s="19">
        <f>C19-D19-F19-E19</f>
        <v>0</v>
      </c>
      <c r="H19" s="17">
        <f>C19-G19</f>
        <v>0</v>
      </c>
      <c r="I19" s="21" t="str">
        <f>IFERROR(H19/C19,"")</f>
        <v/>
      </c>
      <c r="J19" s="8" t="s">
        <v>48</v>
      </c>
      <c r="K19" s="9">
        <f>IF(M19&lt;=1903.98,0%,IF(M19&lt;=2826.65,7.5%,IF(M19&lt;=3751.05,15%,IF(M19&lt;=4664.68,22.5%,IF(M19&gt;4664.68,27.5%,0)))))</f>
        <v>0</v>
      </c>
      <c r="L19" s="22">
        <f>IF(K19=0%,0,IF(K19=7.5%,142.8,IF(K19=15%,354.8,IF(K19=22.5%,636.12,IF(K19=27.5%,869.36,0)))))</f>
        <v>0</v>
      </c>
      <c r="M19" s="23">
        <f>C19-D19</f>
        <v>0</v>
      </c>
    </row>
    <row r="20" spans="1:13">
      <c r="A20" s="47" t="s">
        <v>23</v>
      </c>
      <c r="B20" s="1" t="s">
        <v>14</v>
      </c>
      <c r="C20" s="15"/>
      <c r="D20" s="12">
        <f>C20*11%</f>
        <v>0</v>
      </c>
      <c r="E20" s="8">
        <f>(M20*K20)-L20</f>
        <v>0</v>
      </c>
      <c r="F20" s="13">
        <f>C20*5%</f>
        <v>0</v>
      </c>
      <c r="G20" s="19">
        <f>C20-D20-F20-E20</f>
        <v>0</v>
      </c>
      <c r="H20" s="17">
        <f>C20-G20</f>
        <v>0</v>
      </c>
      <c r="I20" s="21" t="str">
        <f>IFERROR(H20/C20,"")</f>
        <v/>
      </c>
      <c r="J20" s="8" t="s">
        <v>21</v>
      </c>
      <c r="K20" s="9">
        <f>IF(M20&lt;=1903.98,0%,IF(M20&lt;=2826.65,7.5%,IF(M20&lt;=3751.05,15%,IF(M20&lt;=4664.68,22.5%,IF(M20&gt;4664.68,27.5%,0)))))</f>
        <v>0</v>
      </c>
      <c r="L20" s="22">
        <f>IF(K20=0%,0,IF(K20=7.5%,142.8,IF(K20=15%,354.8,IF(K20=22.5%,636.12,IF(K20=27.5%,869.36,0)))))</f>
        <v>0</v>
      </c>
      <c r="M20" s="23">
        <f>C20-D20</f>
        <v>0</v>
      </c>
    </row>
    <row r="21" spans="1:13">
      <c r="A21" s="47" t="s">
        <v>39</v>
      </c>
      <c r="B21" s="1" t="s">
        <v>20</v>
      </c>
      <c r="C21" s="15"/>
      <c r="D21" s="12">
        <f>C21*11%</f>
        <v>0</v>
      </c>
      <c r="E21" s="8">
        <f>(M21*K21)-L21</f>
        <v>0</v>
      </c>
      <c r="F21" s="13">
        <f>C21*5%</f>
        <v>0</v>
      </c>
      <c r="G21" s="19">
        <f>C21-D21-F21-E21</f>
        <v>0</v>
      </c>
      <c r="H21" s="17">
        <f>C21-G21</f>
        <v>0</v>
      </c>
      <c r="I21" s="21" t="str">
        <f>IFERROR(H21/C21,"")</f>
        <v/>
      </c>
      <c r="J21" s="8" t="s">
        <v>40</v>
      </c>
      <c r="K21" s="9">
        <f>IF(M21&lt;=1903.98,0%,IF(M21&lt;=2826.65,7.5%,IF(M21&lt;=3751.05,15%,IF(M21&lt;=4664.68,22.5%,IF(M21&gt;4664.68,27.5%,0)))))</f>
        <v>0</v>
      </c>
      <c r="L21" s="22">
        <f>IF(K21=0%,0,IF(K21=7.5%,142.8,IF(K21=15%,354.8,IF(K21=22.5%,636.12,IF(K21=27.5%,869.36,0)))))</f>
        <v>0</v>
      </c>
      <c r="M21" s="23">
        <f>C21-D21</f>
        <v>0</v>
      </c>
    </row>
    <row r="22" spans="1:13">
      <c r="A22" s="47" t="s">
        <v>32</v>
      </c>
      <c r="B22" s="1" t="s">
        <v>14</v>
      </c>
      <c r="C22" s="15"/>
      <c r="D22" s="12">
        <f>C22*11%</f>
        <v>0</v>
      </c>
      <c r="E22" s="8">
        <f>(M22*K22)-L22</f>
        <v>0</v>
      </c>
      <c r="F22" s="13">
        <f>C22*5%</f>
        <v>0</v>
      </c>
      <c r="G22" s="19">
        <f>C22-D22-F22-E22</f>
        <v>0</v>
      </c>
      <c r="H22" s="17">
        <f>C22-G22</f>
        <v>0</v>
      </c>
      <c r="I22" s="21" t="str">
        <f>IFERROR(H22/C22,"")</f>
        <v/>
      </c>
      <c r="J22" s="8" t="s">
        <v>28</v>
      </c>
      <c r="K22" s="9">
        <f>IF(M22&lt;=1903.98,0%,IF(M22&lt;=2826.65,7.5%,IF(M22&lt;=3751.05,15%,IF(M22&lt;=4664.68,22.5%,IF(M22&gt;4664.68,27.5%,0)))))</f>
        <v>0</v>
      </c>
      <c r="L22" s="22">
        <f>IF(K22=0%,0,IF(K22=7.5%,142.8,IF(K22=15%,354.8,IF(K22=22.5%,636.12,IF(K22=27.5%,869.36,0)))))</f>
        <v>0</v>
      </c>
      <c r="M22" s="23">
        <f>C22-D22</f>
        <v>0</v>
      </c>
    </row>
    <row r="23" spans="1:13">
      <c r="A23" s="47" t="s">
        <v>41</v>
      </c>
      <c r="B23" s="1" t="s">
        <v>14</v>
      </c>
      <c r="C23" s="15"/>
      <c r="D23" s="12">
        <f>C23*11%</f>
        <v>0</v>
      </c>
      <c r="E23" s="8">
        <f>(M23*K23)-L23</f>
        <v>0</v>
      </c>
      <c r="F23" s="13">
        <f>C23*5%</f>
        <v>0</v>
      </c>
      <c r="G23" s="19">
        <f>C23-D23-F23-E23</f>
        <v>0</v>
      </c>
      <c r="H23" s="17">
        <f>C23-G23</f>
        <v>0</v>
      </c>
      <c r="I23" s="21" t="str">
        <f>IFERROR(H23/C23,"")</f>
        <v/>
      </c>
      <c r="J23" s="8" t="s">
        <v>21</v>
      </c>
      <c r="K23" s="9">
        <f>IF(M23&lt;=1903.98,0%,IF(M23&lt;=2826.65,7.5%,IF(M23&lt;=3751.05,15%,IF(M23&lt;=4664.68,22.5%,IF(M23&gt;4664.68,27.5%,0)))))</f>
        <v>0</v>
      </c>
      <c r="L23" s="22">
        <f>IF(K23=0%,0,IF(K23=7.5%,142.8,IF(K23=15%,354.8,IF(K23=22.5%,636.12,IF(K23=27.5%,869.36,0)))))</f>
        <v>0</v>
      </c>
      <c r="M23" s="23">
        <f>C23-D23</f>
        <v>0</v>
      </c>
    </row>
    <row r="24" spans="1:13">
      <c r="A24" s="47" t="s">
        <v>16</v>
      </c>
      <c r="B24" s="1" t="s">
        <v>17</v>
      </c>
      <c r="C24" s="15"/>
      <c r="D24" s="12">
        <f>C24*11%</f>
        <v>0</v>
      </c>
      <c r="E24" s="8">
        <f>(M24*K24)-L24</f>
        <v>0</v>
      </c>
      <c r="F24" s="13">
        <f>C24*5%</f>
        <v>0</v>
      </c>
      <c r="G24" s="19">
        <f>C24-D24-F24-E24</f>
        <v>0</v>
      </c>
      <c r="H24" s="17">
        <f>C24-G24</f>
        <v>0</v>
      </c>
      <c r="I24" s="21" t="str">
        <f>IFERROR(H24/C24,"")</f>
        <v/>
      </c>
      <c r="J24" s="8" t="s">
        <v>49</v>
      </c>
      <c r="K24" s="9">
        <f>IF(M24&lt;=1903.98,0%,IF(M24&lt;=2826.65,7.5%,IF(M24&lt;=3751.05,15%,IF(M24&lt;=4664.68,22.5%,IF(M24&gt;4664.68,27.5%,0)))))</f>
        <v>0</v>
      </c>
      <c r="L24" s="22">
        <f>IF(K24=0%,0,IF(K24=7.5%,142.8,IF(K24=15%,354.8,IF(K24=22.5%,636.12,IF(K24=27.5%,869.36,0)))))</f>
        <v>0</v>
      </c>
      <c r="M24" s="23">
        <f>C24-D24</f>
        <v>0</v>
      </c>
    </row>
    <row r="25" spans="1:13">
      <c r="A25" s="47" t="s">
        <v>29</v>
      </c>
      <c r="B25" s="1" t="s">
        <v>17</v>
      </c>
      <c r="C25" s="15"/>
      <c r="D25" s="12">
        <f>C25*11%</f>
        <v>0</v>
      </c>
      <c r="E25" s="8">
        <f>(M25*K25)-L25</f>
        <v>0</v>
      </c>
      <c r="F25" s="13">
        <f>C25*5%</f>
        <v>0</v>
      </c>
      <c r="G25" s="19">
        <f>C25-D25-F25-E25</f>
        <v>0</v>
      </c>
      <c r="H25" s="17">
        <f>C25-G25</f>
        <v>0</v>
      </c>
      <c r="I25" s="21" t="str">
        <f>IFERROR(H25/C25,"")</f>
        <v/>
      </c>
      <c r="J25" s="8" t="s">
        <v>49</v>
      </c>
      <c r="K25" s="9">
        <f>IF(M25&lt;=1903.98,0%,IF(M25&lt;=2826.65,7.5%,IF(M25&lt;=3751.05,15%,IF(M25&lt;=4664.68,22.5%,IF(M25&gt;4664.68,27.5%,0)))))</f>
        <v>0</v>
      </c>
      <c r="L25" s="22">
        <f>IF(K25=0%,0,IF(K25=7.5%,142.8,IF(K25=15%,354.8,IF(K25=22.5%,636.12,IF(K25=27.5%,869.36,0)))))</f>
        <v>0</v>
      </c>
      <c r="M25" s="23">
        <f>C25-D25</f>
        <v>0</v>
      </c>
    </row>
  </sheetData>
  <autoFilter ref="A1:M25" xr:uid="{5A6FF0F4-E741-42E3-AD23-F0EAD07D9235}">
    <sortState xmlns:xlrd2="http://schemas.microsoft.com/office/spreadsheetml/2017/richdata2" ref="A2:M25">
      <sortCondition ref="A1:A25"/>
    </sortState>
  </autoFilter>
  <conditionalFormatting sqref="A12:A15 A1:A9">
    <cfRule type="duplicateValues" dxfId="11" priority="2"/>
  </conditionalFormatting>
  <conditionalFormatting sqref="A12:A15 A2:A9">
    <cfRule type="duplicateValues" dxfId="10" priority="3"/>
  </conditionalFormatting>
  <conditionalFormatting sqref="A10:A11">
    <cfRule type="duplicateValues" dxfId="9" priority="1"/>
  </conditionalFormatting>
  <pageMargins left="0.511811024" right="0.511811024" top="0.78740157499999996" bottom="0.78740157499999996" header="0.31496062000000002" footer="0.31496062000000002"/>
  <pageSetup paperSize="9" scale="5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5833-C4EA-4F10-BA8D-73B2E94857D3}">
  <dimension ref="A1:D30"/>
  <sheetViews>
    <sheetView showGridLines="0" zoomScale="80" zoomScaleNormal="80" workbookViewId="0">
      <selection activeCell="B15" sqref="B15"/>
    </sheetView>
  </sheetViews>
  <sheetFormatPr defaultRowHeight="12.75"/>
  <cols>
    <col min="1" max="1" width="38.42578125" style="34" customWidth="1"/>
    <col min="2" max="2" width="44.140625" style="34" customWidth="1"/>
    <col min="3" max="16384" width="9.140625" style="34"/>
  </cols>
  <sheetData>
    <row r="1" spans="1:4">
      <c r="A1" s="33" t="s">
        <v>0</v>
      </c>
      <c r="B1" s="35" t="s">
        <v>54</v>
      </c>
      <c r="C1" s="35"/>
      <c r="D1" s="35"/>
    </row>
    <row r="2" spans="1:4">
      <c r="A2" s="35" t="s">
        <v>55</v>
      </c>
      <c r="B2" s="35" t="s">
        <v>56</v>
      </c>
      <c r="C2" s="35"/>
      <c r="D2" s="35"/>
    </row>
    <row r="3" spans="1:4">
      <c r="A3" s="36" t="s">
        <v>33</v>
      </c>
      <c r="B3" s="35" t="s">
        <v>57</v>
      </c>
      <c r="C3" s="35"/>
      <c r="D3" s="35"/>
    </row>
    <row r="4" spans="1:4">
      <c r="A4" s="35" t="s">
        <v>58</v>
      </c>
      <c r="B4" s="35" t="s">
        <v>59</v>
      </c>
      <c r="C4" s="35"/>
      <c r="D4" s="35"/>
    </row>
    <row r="5" spans="1:4">
      <c r="A5" s="36" t="s">
        <v>35</v>
      </c>
      <c r="B5" s="35" t="s">
        <v>60</v>
      </c>
      <c r="C5" s="35"/>
      <c r="D5" s="35"/>
    </row>
    <row r="6" spans="1:4">
      <c r="A6" s="36" t="s">
        <v>27</v>
      </c>
      <c r="B6" s="37" t="s">
        <v>61</v>
      </c>
      <c r="C6" s="35"/>
      <c r="D6" s="35"/>
    </row>
    <row r="7" spans="1:4">
      <c r="A7" s="35" t="s">
        <v>62</v>
      </c>
      <c r="B7" s="35" t="s">
        <v>63</v>
      </c>
      <c r="C7" s="35"/>
      <c r="D7" s="35"/>
    </row>
    <row r="8" spans="1:4">
      <c r="A8" s="35" t="s">
        <v>64</v>
      </c>
      <c r="B8" s="35" t="s">
        <v>65</v>
      </c>
      <c r="C8" s="35"/>
      <c r="D8" s="35"/>
    </row>
    <row r="9" spans="1:4">
      <c r="A9" s="36" t="s">
        <v>37</v>
      </c>
      <c r="B9" s="37" t="s">
        <v>66</v>
      </c>
      <c r="C9" s="35"/>
      <c r="D9" s="35"/>
    </row>
    <row r="10" spans="1:4">
      <c r="A10" s="35" t="s">
        <v>67</v>
      </c>
      <c r="B10" s="35" t="s">
        <v>68</v>
      </c>
      <c r="C10" s="35"/>
      <c r="D10" s="35"/>
    </row>
    <row r="11" spans="1:4">
      <c r="A11" s="36" t="s">
        <v>26</v>
      </c>
      <c r="B11" s="35" t="s">
        <v>69</v>
      </c>
      <c r="C11" s="35"/>
      <c r="D11" s="35"/>
    </row>
    <row r="12" spans="1:4">
      <c r="A12" s="36" t="s">
        <v>45</v>
      </c>
      <c r="B12" s="37" t="s">
        <v>70</v>
      </c>
      <c r="C12" s="35"/>
      <c r="D12" s="35"/>
    </row>
    <row r="13" spans="1:4">
      <c r="A13" s="36" t="s">
        <v>46</v>
      </c>
      <c r="B13" s="37" t="s">
        <v>71</v>
      </c>
      <c r="C13" s="35"/>
      <c r="D13" s="35"/>
    </row>
    <row r="14" spans="1:4">
      <c r="A14" s="36" t="s">
        <v>22</v>
      </c>
      <c r="B14" s="35" t="s">
        <v>72</v>
      </c>
      <c r="C14" s="35"/>
      <c r="D14" s="35"/>
    </row>
    <row r="15" spans="1:4">
      <c r="A15" s="36" t="s">
        <v>43</v>
      </c>
      <c r="B15" s="37" t="s">
        <v>73</v>
      </c>
      <c r="C15" s="35"/>
      <c r="D15" s="35"/>
    </row>
    <row r="16" spans="1:4">
      <c r="A16" s="35" t="s">
        <v>74</v>
      </c>
      <c r="B16" s="35" t="s">
        <v>75</v>
      </c>
      <c r="C16" s="35"/>
      <c r="D16" s="35"/>
    </row>
    <row r="17" spans="1:4">
      <c r="A17" s="36" t="s">
        <v>44</v>
      </c>
      <c r="B17" s="37" t="s">
        <v>76</v>
      </c>
      <c r="C17" s="35"/>
      <c r="D17" s="35"/>
    </row>
    <row r="18" spans="1:4">
      <c r="A18" s="36" t="s">
        <v>30</v>
      </c>
      <c r="B18" s="35" t="s">
        <v>77</v>
      </c>
      <c r="C18" s="35"/>
      <c r="D18" s="35"/>
    </row>
    <row r="19" spans="1:4">
      <c r="A19" s="36" t="s">
        <v>42</v>
      </c>
      <c r="B19" s="37" t="s">
        <v>78</v>
      </c>
      <c r="C19" s="35"/>
      <c r="D19" s="35"/>
    </row>
    <row r="20" spans="1:4" ht="15">
      <c r="A20" s="36" t="s">
        <v>19</v>
      </c>
      <c r="B20" s="46" t="s">
        <v>79</v>
      </c>
      <c r="C20" s="35"/>
      <c r="D20" s="35"/>
    </row>
    <row r="21" spans="1:4">
      <c r="A21" s="36" t="s">
        <v>24</v>
      </c>
      <c r="B21" s="37" t="s">
        <v>80</v>
      </c>
      <c r="C21" s="35"/>
      <c r="D21" s="35"/>
    </row>
    <row r="22" spans="1:4">
      <c r="A22" s="35" t="s">
        <v>81</v>
      </c>
      <c r="B22" s="35" t="s">
        <v>82</v>
      </c>
      <c r="C22" s="35"/>
      <c r="D22" s="35"/>
    </row>
    <row r="23" spans="1:4">
      <c r="A23" s="36" t="s">
        <v>31</v>
      </c>
      <c r="B23" s="37" t="s">
        <v>83</v>
      </c>
      <c r="C23" s="35"/>
      <c r="D23" s="35"/>
    </row>
    <row r="24" spans="1:4">
      <c r="A24" s="35" t="s">
        <v>47</v>
      </c>
      <c r="B24" s="35" t="s">
        <v>84</v>
      </c>
      <c r="C24" s="35"/>
      <c r="D24" s="35"/>
    </row>
    <row r="25" spans="1:4">
      <c r="A25" s="36" t="s">
        <v>13</v>
      </c>
      <c r="B25" s="35" t="s">
        <v>85</v>
      </c>
      <c r="C25" s="35"/>
      <c r="D25" s="35"/>
    </row>
    <row r="26" spans="1:4">
      <c r="A26" s="36" t="s">
        <v>23</v>
      </c>
      <c r="B26" s="37" t="s">
        <v>86</v>
      </c>
      <c r="C26" s="35"/>
      <c r="D26" s="35"/>
    </row>
    <row r="27" spans="1:4">
      <c r="A27" s="36" t="s">
        <v>39</v>
      </c>
      <c r="B27" s="35" t="s">
        <v>87</v>
      </c>
      <c r="C27" s="35"/>
      <c r="D27" s="35"/>
    </row>
    <row r="28" spans="1:4">
      <c r="A28" s="36" t="s">
        <v>32</v>
      </c>
      <c r="B28" s="37" t="s">
        <v>88</v>
      </c>
      <c r="C28" s="35"/>
      <c r="D28" s="35"/>
    </row>
    <row r="29" spans="1:4">
      <c r="A29" s="36" t="s">
        <v>41</v>
      </c>
      <c r="B29" s="37" t="s">
        <v>89</v>
      </c>
      <c r="C29" s="35"/>
      <c r="D29" s="35"/>
    </row>
    <row r="30" spans="1:4">
      <c r="A30" s="36" t="s">
        <v>16</v>
      </c>
      <c r="B30" s="35" t="s">
        <v>90</v>
      </c>
      <c r="C30" s="35"/>
      <c r="D30" s="35"/>
    </row>
  </sheetData>
  <sortState xmlns:xlrd2="http://schemas.microsoft.com/office/spreadsheetml/2017/richdata2" ref="A2:B30">
    <sortCondition ref="A3:A30"/>
  </sortState>
  <conditionalFormatting sqref="A10:A11">
    <cfRule type="duplicateValues" dxfId="8" priority="1"/>
  </conditionalFormatting>
  <conditionalFormatting sqref="A12:A14 A1:A9">
    <cfRule type="duplicateValues" dxfId="7" priority="4"/>
  </conditionalFormatting>
  <conditionalFormatting sqref="A12:A14 A2:A9">
    <cfRule type="duplicateValues" dxfId="6" priority="7"/>
  </conditionalFormatting>
  <hyperlinks>
    <hyperlink ref="B6" r:id="rId1" xr:uid="{BBE15534-72AD-4E61-8C78-8373D10CCBE6}"/>
    <hyperlink ref="B9" r:id="rId2" xr:uid="{BDA79AF4-0571-4B75-A8AC-DC663FB86D7E}"/>
    <hyperlink ref="B12" r:id="rId3" xr:uid="{B061F7D2-4F24-42C5-BF16-45ABEE322292}"/>
    <hyperlink ref="B13" r:id="rId4" xr:uid="{46F95ABA-C9FF-4A75-B859-22611DF84E5E}"/>
    <hyperlink ref="B15" r:id="rId5" xr:uid="{8F84501F-9678-46E7-A402-F64725949E89}"/>
    <hyperlink ref="B17" r:id="rId6" xr:uid="{66C3D9C0-45C4-4ECC-A92F-E04FFDDE60DD}"/>
    <hyperlink ref="B19" r:id="rId7" xr:uid="{3B26F774-CBBF-42A0-B08C-A51217FBD9B5}"/>
    <hyperlink ref="B21" r:id="rId8" xr:uid="{47B10B03-27BA-4409-9F5E-607662F1CA95}"/>
    <hyperlink ref="B23" r:id="rId9" xr:uid="{D66B22B3-C716-482B-8626-EBE07EB4B3C0}"/>
    <hyperlink ref="B26" r:id="rId10" xr:uid="{05BCA1C0-25F7-4A3C-B8A4-F767FE5FA9F8}"/>
    <hyperlink ref="B28" r:id="rId11" xr:uid="{88D04D6C-628E-4CC8-9DBE-402BD5E91C1E}"/>
    <hyperlink ref="B29" r:id="rId12" xr:uid="{FD95FF07-888F-4B62-89D8-B5D2086227C8}"/>
    <hyperlink ref="B20" r:id="rId13" xr:uid="{5923B1B5-04E8-4900-9A5D-6A17C247999C}"/>
  </hyperlinks>
  <pageMargins left="0.511811024" right="0.511811024" top="0.78740157499999996" bottom="0.78740157499999996" header="0.31496062000000002" footer="0.31496062000000002"/>
  <legacy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16CC-F3E0-4D98-8ADA-63546DBC1B43}">
  <dimension ref="A1:H25"/>
  <sheetViews>
    <sheetView showGridLines="0" zoomScale="80" zoomScaleNormal="80" workbookViewId="0">
      <pane ySplit="1" topLeftCell="A2" activePane="bottomLeft" state="frozen"/>
      <selection pane="bottomLeft" activeCell="M20" sqref="M20"/>
    </sheetView>
  </sheetViews>
  <sheetFormatPr defaultRowHeight="15"/>
  <cols>
    <col min="1" max="1" width="42.5703125" customWidth="1"/>
    <col min="2" max="2" width="12.85546875" style="44" customWidth="1"/>
    <col min="3" max="7" width="10.7109375" style="2" customWidth="1"/>
  </cols>
  <sheetData>
    <row r="1" spans="1:8" s="4" customFormat="1">
      <c r="A1" s="39" t="s">
        <v>0</v>
      </c>
      <c r="B1" s="40" t="s">
        <v>91</v>
      </c>
      <c r="C1" s="40" t="s">
        <v>92</v>
      </c>
      <c r="D1" s="40" t="s">
        <v>93</v>
      </c>
      <c r="E1" s="40" t="s">
        <v>94</v>
      </c>
      <c r="F1" s="40" t="s">
        <v>95</v>
      </c>
      <c r="G1" s="40" t="s">
        <v>96</v>
      </c>
      <c r="H1" s="4" t="s">
        <v>97</v>
      </c>
    </row>
    <row r="2" spans="1:8">
      <c r="A2" s="41" t="s">
        <v>13</v>
      </c>
      <c r="B2" s="40" t="s">
        <v>98</v>
      </c>
      <c r="C2" s="42"/>
      <c r="D2" s="42"/>
      <c r="E2" s="42"/>
      <c r="F2" s="42"/>
      <c r="G2" s="42"/>
      <c r="H2" t="s">
        <v>21</v>
      </c>
    </row>
    <row r="3" spans="1:8">
      <c r="A3" s="41" t="s">
        <v>16</v>
      </c>
      <c r="B3" s="40" t="s">
        <v>98</v>
      </c>
      <c r="C3" s="42"/>
      <c r="D3" s="42"/>
      <c r="E3" s="42"/>
      <c r="F3" s="42"/>
      <c r="G3" s="42"/>
      <c r="H3" t="s">
        <v>28</v>
      </c>
    </row>
    <row r="4" spans="1:8">
      <c r="A4" s="41" t="s">
        <v>19</v>
      </c>
      <c r="B4" s="45" t="s">
        <v>99</v>
      </c>
      <c r="C4" s="42"/>
      <c r="D4" s="42"/>
      <c r="E4" s="42"/>
      <c r="F4" s="42"/>
      <c r="G4" s="42"/>
      <c r="H4" t="s">
        <v>21</v>
      </c>
    </row>
    <row r="5" spans="1:8">
      <c r="A5" s="41" t="s">
        <v>22</v>
      </c>
      <c r="B5" s="40" t="s">
        <v>98</v>
      </c>
      <c r="C5" s="42"/>
      <c r="D5" s="42"/>
      <c r="E5" s="42"/>
      <c r="F5" s="42"/>
      <c r="G5" s="42"/>
      <c r="H5" t="s">
        <v>21</v>
      </c>
    </row>
    <row r="6" spans="1:8">
      <c r="A6" s="41" t="s">
        <v>23</v>
      </c>
      <c r="B6" s="38" t="s">
        <v>99</v>
      </c>
      <c r="C6" s="42"/>
      <c r="D6" s="42"/>
      <c r="E6" s="42"/>
      <c r="F6" s="42"/>
      <c r="G6" s="42"/>
      <c r="H6" t="s">
        <v>21</v>
      </c>
    </row>
    <row r="7" spans="1:8">
      <c r="A7" s="41" t="s">
        <v>24</v>
      </c>
      <c r="B7" s="43" t="s">
        <v>99</v>
      </c>
      <c r="C7" s="42"/>
      <c r="D7" s="42"/>
      <c r="E7" s="42"/>
      <c r="F7" s="42"/>
      <c r="G7" s="42"/>
      <c r="H7" t="s">
        <v>25</v>
      </c>
    </row>
    <row r="8" spans="1:8">
      <c r="A8" s="41" t="s">
        <v>26</v>
      </c>
      <c r="B8" s="40" t="s">
        <v>98</v>
      </c>
      <c r="C8" s="42"/>
      <c r="D8" s="42"/>
      <c r="E8" s="42"/>
      <c r="F8" s="42"/>
      <c r="G8" s="42"/>
      <c r="H8" t="s">
        <v>28</v>
      </c>
    </row>
    <row r="9" spans="1:8">
      <c r="A9" s="41" t="s">
        <v>27</v>
      </c>
      <c r="B9" s="38" t="s">
        <v>99</v>
      </c>
      <c r="C9" s="42"/>
      <c r="D9" s="42"/>
      <c r="E9" s="42"/>
      <c r="F9" s="42"/>
      <c r="G9" s="42"/>
      <c r="H9" t="s">
        <v>28</v>
      </c>
    </row>
    <row r="10" spans="1:8">
      <c r="A10" s="41" t="s">
        <v>29</v>
      </c>
      <c r="B10" s="40" t="s">
        <v>98</v>
      </c>
      <c r="C10" s="42"/>
      <c r="D10" s="42"/>
      <c r="E10" s="42"/>
      <c r="F10" s="42"/>
      <c r="G10" s="42"/>
      <c r="H10" t="s">
        <v>28</v>
      </c>
    </row>
    <row r="11" spans="1:8">
      <c r="A11" s="41" t="s">
        <v>30</v>
      </c>
      <c r="B11" s="40" t="s">
        <v>98</v>
      </c>
      <c r="C11" s="42"/>
      <c r="D11" s="42"/>
      <c r="E11" s="42"/>
      <c r="F11" s="42"/>
      <c r="G11" s="42"/>
      <c r="H11" t="s">
        <v>21</v>
      </c>
    </row>
    <row r="12" spans="1:8">
      <c r="A12" s="41" t="s">
        <v>31</v>
      </c>
      <c r="B12" s="38" t="s">
        <v>99</v>
      </c>
      <c r="C12" s="42"/>
      <c r="D12" s="42"/>
      <c r="E12" s="42"/>
      <c r="F12" s="42"/>
      <c r="G12" s="42"/>
      <c r="H12" t="s">
        <v>21</v>
      </c>
    </row>
    <row r="13" spans="1:8">
      <c r="A13" s="41" t="s">
        <v>32</v>
      </c>
      <c r="B13" s="38" t="s">
        <v>99</v>
      </c>
      <c r="C13" s="42"/>
      <c r="D13" s="42"/>
      <c r="E13" s="42"/>
      <c r="F13" s="42"/>
      <c r="G13" s="42"/>
      <c r="H13" t="s">
        <v>28</v>
      </c>
    </row>
    <row r="14" spans="1:8">
      <c r="A14" s="41" t="s">
        <v>33</v>
      </c>
      <c r="B14" s="40" t="s">
        <v>98</v>
      </c>
      <c r="C14" s="42"/>
      <c r="D14" s="42"/>
      <c r="E14" s="42"/>
      <c r="F14" s="42"/>
      <c r="G14" s="42"/>
      <c r="H14" t="s">
        <v>34</v>
      </c>
    </row>
    <row r="15" spans="1:8">
      <c r="A15" s="41" t="s">
        <v>35</v>
      </c>
      <c r="B15" s="40" t="s">
        <v>98</v>
      </c>
      <c r="C15" s="42"/>
      <c r="D15" s="42"/>
      <c r="E15" s="42"/>
      <c r="F15" s="42"/>
      <c r="G15" s="42"/>
      <c r="H15" t="s">
        <v>34</v>
      </c>
    </row>
    <row r="16" spans="1:8">
      <c r="A16" s="41" t="s">
        <v>37</v>
      </c>
      <c r="B16" s="38" t="s">
        <v>99</v>
      </c>
      <c r="C16" s="42"/>
      <c r="D16" s="42"/>
      <c r="E16" s="42"/>
      <c r="F16" s="42"/>
      <c r="G16" s="42"/>
      <c r="H16" t="s">
        <v>25</v>
      </c>
    </row>
    <row r="17" spans="1:8">
      <c r="A17" s="41" t="s">
        <v>38</v>
      </c>
      <c r="B17" s="40" t="s">
        <v>98</v>
      </c>
      <c r="C17" s="42"/>
      <c r="D17" s="42"/>
      <c r="E17" s="42"/>
      <c r="F17" s="42"/>
      <c r="G17" s="42"/>
      <c r="H17" t="s">
        <v>21</v>
      </c>
    </row>
    <row r="18" spans="1:8">
      <c r="A18" s="41" t="s">
        <v>39</v>
      </c>
      <c r="B18" s="38" t="s">
        <v>99</v>
      </c>
      <c r="C18" s="42"/>
      <c r="D18" s="42"/>
      <c r="E18" s="42"/>
      <c r="F18" s="42"/>
      <c r="G18" s="42"/>
      <c r="H18" t="s">
        <v>40</v>
      </c>
    </row>
    <row r="19" spans="1:8">
      <c r="A19" s="41" t="s">
        <v>41</v>
      </c>
      <c r="B19" s="38" t="s">
        <v>99</v>
      </c>
      <c r="C19" s="42"/>
      <c r="D19" s="42"/>
      <c r="E19" s="42"/>
      <c r="F19" s="42"/>
      <c r="G19" s="42"/>
      <c r="H19" t="s">
        <v>21</v>
      </c>
    </row>
    <row r="20" spans="1:8">
      <c r="A20" s="41" t="s">
        <v>42</v>
      </c>
      <c r="B20" s="45" t="s">
        <v>99</v>
      </c>
      <c r="C20" s="42"/>
      <c r="D20" s="42"/>
      <c r="E20" s="42"/>
      <c r="F20" s="42"/>
      <c r="G20" s="42"/>
      <c r="H20" t="s">
        <v>21</v>
      </c>
    </row>
    <row r="21" spans="1:8">
      <c r="A21" s="41" t="s">
        <v>43</v>
      </c>
      <c r="B21" s="40" t="s">
        <v>100</v>
      </c>
      <c r="C21" s="42"/>
      <c r="D21" s="42"/>
      <c r="E21" s="42"/>
      <c r="F21" s="42"/>
      <c r="G21" s="42"/>
      <c r="H21" t="s">
        <v>28</v>
      </c>
    </row>
    <row r="22" spans="1:8">
      <c r="A22" s="41" t="s">
        <v>44</v>
      </c>
      <c r="B22" s="38" t="s">
        <v>99</v>
      </c>
      <c r="C22" s="42"/>
      <c r="D22" s="42"/>
      <c r="E22" s="42"/>
      <c r="F22" s="42"/>
      <c r="G22" s="42"/>
      <c r="H22" t="s">
        <v>21</v>
      </c>
    </row>
    <row r="23" spans="1:8">
      <c r="A23" s="41" t="s">
        <v>45</v>
      </c>
      <c r="B23" s="45" t="s">
        <v>99</v>
      </c>
      <c r="C23" s="42"/>
      <c r="D23" s="42"/>
      <c r="E23" s="42"/>
      <c r="F23" s="42"/>
      <c r="G23" s="42"/>
      <c r="H23" t="s">
        <v>21</v>
      </c>
    </row>
    <row r="24" spans="1:8">
      <c r="A24" s="41" t="s">
        <v>46</v>
      </c>
      <c r="B24" s="45" t="s">
        <v>99</v>
      </c>
      <c r="C24" s="42"/>
      <c r="D24" s="42"/>
      <c r="E24" s="42"/>
      <c r="F24" s="42"/>
      <c r="G24" s="42"/>
      <c r="H24" t="s">
        <v>28</v>
      </c>
    </row>
    <row r="25" spans="1:8">
      <c r="A25" s="41" t="s">
        <v>47</v>
      </c>
      <c r="B25" s="45" t="s">
        <v>99</v>
      </c>
      <c r="C25" s="42"/>
      <c r="D25" s="42"/>
      <c r="E25" s="42"/>
      <c r="F25" s="42"/>
      <c r="G25" s="42"/>
      <c r="H25" t="s">
        <v>28</v>
      </c>
    </row>
  </sheetData>
  <autoFilter ref="A1:H25" xr:uid="{431316CC-F3E0-4D98-8ADA-63546DBC1B43}"/>
  <phoneticPr fontId="14" type="noConversion"/>
  <conditionalFormatting sqref="A12:A15 A2:A9">
    <cfRule type="duplicateValues" dxfId="5" priority="7"/>
  </conditionalFormatting>
  <conditionalFormatting sqref="A10:A11">
    <cfRule type="duplicateValues" dxfId="4" priority="5"/>
  </conditionalFormatting>
  <conditionalFormatting sqref="B1:B1048576">
    <cfRule type="containsText" dxfId="3" priority="2" operator="containsText" text="Pen">
      <formula>NOT(ISERROR(SEARCH("Pen",B1)))</formula>
    </cfRule>
    <cfRule type="containsText" dxfId="2" priority="3" operator="containsText" text="Enviada">
      <formula>NOT(ISERROR(SEARCH("Enviada",B1)))</formula>
    </cfRule>
    <cfRule type="containsText" dxfId="1" priority="4" operator="containsText" text="Enviada">
      <formula>NOT(ISERROR(SEARCH("Enviada",B1)))</formula>
    </cfRule>
  </conditionalFormatting>
  <conditionalFormatting sqref="A12:A15 A1:A9">
    <cfRule type="duplicateValues" dxfId="0" priority="8"/>
  </conditionalFormatting>
  <hyperlinks>
    <hyperlink ref="B6" r:id="rId1" xr:uid="{1B2CBCAD-CAC7-4015-9478-C8619A033DA1}"/>
    <hyperlink ref="B7" r:id="rId2" xr:uid="{7087F75A-B367-43E4-AA3C-5BC840EDE02B}"/>
    <hyperlink ref="B13" r:id="rId3" xr:uid="{DABD2393-5E47-453C-BA82-265E05AC425B}"/>
    <hyperlink ref="B18" r:id="rId4" xr:uid="{C7CE0C58-D2D7-419B-B0A6-5FC90227DAC3}"/>
    <hyperlink ref="B19" r:id="rId5" xr:uid="{189D4FE6-9453-4231-B11C-939E9F991D1D}"/>
    <hyperlink ref="B16" r:id="rId6" xr:uid="{B6031750-B6CC-453C-8D2F-35F122C387C9}"/>
    <hyperlink ref="B9" r:id="rId7" xr:uid="{8AB3AF20-9BC5-4A9B-B61A-55ABBE279CDE}"/>
    <hyperlink ref="B22" r:id="rId8" xr:uid="{7B5A25CF-E0E0-41DC-9B71-6E229118F89D}"/>
    <hyperlink ref="B12" r:id="rId9" xr:uid="{49EB6F49-F364-40F3-ABD4-F48F788B5021}"/>
    <hyperlink ref="B20" r:id="rId10" xr:uid="{F2820C6D-EC43-47C0-8D2C-FB4B667ECA15}"/>
    <hyperlink ref="B23" r:id="rId11" xr:uid="{53A8F5C8-4F11-4C1B-989F-D09CA73667C7}"/>
    <hyperlink ref="B4" r:id="rId12" xr:uid="{649C651C-E5EA-4441-8BA7-A5383199DABB}"/>
    <hyperlink ref="B24" r:id="rId13" display="Pendente" xr:uid="{EE832C28-28A2-4068-B21A-8B901E053BA9}"/>
    <hyperlink ref="B25" r:id="rId14" display="Pendente" xr:uid="{71D3F5A2-EE79-4002-9EB1-5FBC84C04C9B}"/>
  </hyperlinks>
  <pageMargins left="0.511811024" right="0.511811024" top="0.78740157499999996" bottom="0.78740157499999996" header="0.31496062000000002" footer="0.31496062000000002"/>
  <pageSetup paperSize="9" orientation="portrait" r:id="rId15"/>
  <legacy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45ED-BC6A-4FC8-A29E-9345332F7F97}">
  <dimension ref="A1:C27"/>
  <sheetViews>
    <sheetView showGridLines="0" topLeftCell="B1" zoomScale="80" zoomScaleNormal="80" workbookViewId="0">
      <selection activeCell="C27" sqref="C27"/>
    </sheetView>
  </sheetViews>
  <sheetFormatPr defaultRowHeight="15"/>
  <cols>
    <col min="1" max="1" width="35.140625" hidden="1" customWidth="1"/>
  </cols>
  <sheetData>
    <row r="1" spans="1:1">
      <c r="A1" s="25"/>
    </row>
    <row r="3" spans="1:1">
      <c r="A3" s="26"/>
    </row>
    <row r="5" spans="1:1">
      <c r="A5" s="26"/>
    </row>
    <row r="7" spans="1:1">
      <c r="A7" s="26"/>
    </row>
    <row r="9" spans="1:1">
      <c r="A9" s="26"/>
    </row>
    <row r="11" spans="1:1">
      <c r="A11" s="26"/>
    </row>
    <row r="13" spans="1:1">
      <c r="A13" s="26"/>
    </row>
    <row r="15" spans="1:1">
      <c r="A15" s="26"/>
    </row>
    <row r="17" spans="1:3">
      <c r="A17" s="26"/>
    </row>
    <row r="18" spans="1:3">
      <c r="A18" s="24"/>
    </row>
    <row r="19" spans="1:3">
      <c r="A19" s="26"/>
    </row>
    <row r="21" spans="1:3">
      <c r="A21" s="26"/>
    </row>
    <row r="23" spans="1:3">
      <c r="A23" s="24"/>
    </row>
    <row r="24" spans="1:3">
      <c r="A24" s="27"/>
    </row>
    <row r="26" spans="1:3">
      <c r="A26" s="28"/>
    </row>
    <row r="27" spans="1:3">
      <c r="C27" s="29" t="s">
        <v>101</v>
      </c>
    </row>
  </sheetData>
  <hyperlinks>
    <hyperlink ref="C27" r:id="rId1" display="https://www.contabilizei.com.br/calculadora-rpa-autonomo/" xr:uid="{61580117-7368-4C95-B603-0F3BA68F943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48AF-DC6D-422D-9438-8204D6F2A092}">
  <dimension ref="A1"/>
  <sheetViews>
    <sheetView showGridLines="0" workbookViewId="0">
      <selection activeCell="Q10" sqref="Q10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FB59-05DA-4EB6-A2B4-A4DD0197AD3A}">
  <dimension ref="A1"/>
  <sheetViews>
    <sheetView showGridLines="0" zoomScale="80" zoomScaleNormal="80" workbookViewId="0">
      <selection activeCell="S23" sqref="S23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Iaam Marcos</dc:creator>
  <cp:keywords/>
  <dc:description/>
  <cp:lastModifiedBy>iaam controle</cp:lastModifiedBy>
  <cp:revision/>
  <dcterms:created xsi:type="dcterms:W3CDTF">2021-08-03T21:52:18Z</dcterms:created>
  <dcterms:modified xsi:type="dcterms:W3CDTF">2021-10-04T03:53:05Z</dcterms:modified>
  <cp:category/>
  <cp:contentStatus/>
</cp:coreProperties>
</file>