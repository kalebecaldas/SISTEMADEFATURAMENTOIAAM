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.docs.live.net/3d79642c121cbf9a/Fechamento Profissionais/"/>
    </mc:Choice>
  </mc:AlternateContent>
  <xr:revisionPtr revIDLastSave="424" documentId="8_{AC264299-BFCB-408B-A375-09345AC28C0E}" xr6:coauthVersionLast="47" xr6:coauthVersionMax="47" xr10:uidLastSave="{C81AC487-BECE-4720-9340-7F58C91780E7}"/>
  <bookViews>
    <workbookView xWindow="-120" yWindow="-120" windowWidth="20730" windowHeight="11160" firstSheet="7" activeTab="7" xr2:uid="{00000000-000D-0000-FFFF-FFFF00000000}"/>
  </bookViews>
  <sheets>
    <sheet name="Contratos" sheetId="21" state="hidden" r:id="rId1"/>
    <sheet name="Indices" sheetId="11" state="hidden" r:id="rId2"/>
    <sheet name="Abril 2021" sheetId="17" state="hidden" r:id="rId3"/>
    <sheet name="Fechamento Março" sheetId="14" state="hidden" r:id="rId4"/>
    <sheet name="Maio 2021" sheetId="22" state="hidden" r:id="rId5"/>
    <sheet name="Junho 2021" sheetId="23" state="hidden" r:id="rId6"/>
    <sheet name="Julho 2021" sheetId="24" r:id="rId7"/>
    <sheet name="Agosto 2021" sheetId="27" r:id="rId8"/>
    <sheet name="Setembro 2021" sheetId="28" r:id="rId9"/>
    <sheet name="Planilha2" sheetId="26" state="hidden" r:id="rId10"/>
  </sheets>
  <definedNames>
    <definedName name="_xlnm._FilterDatabase" localSheetId="2" hidden="1">'Abril 2021'!$B$2:$E$29</definedName>
    <definedName name="_xlnm._FilterDatabase" localSheetId="7" hidden="1">'Agosto 2021'!$B$2:$S$35</definedName>
    <definedName name="_xlnm._FilterDatabase" localSheetId="0" hidden="1">Contratos!$A$1:$I$22</definedName>
    <definedName name="_xlnm._FilterDatabase" localSheetId="3" hidden="1">'Fechamento Março'!$B$2:$W$21</definedName>
    <definedName name="_xlnm._FilterDatabase" localSheetId="1" hidden="1">Indices!$A$1:$I$32</definedName>
    <definedName name="_xlnm._FilterDatabase" localSheetId="6" hidden="1">'Julho 2021'!$B$2:$R$34</definedName>
    <definedName name="_xlnm._FilterDatabase" localSheetId="5" hidden="1">'Junho 2021'!$B$2:$V$32</definedName>
    <definedName name="_xlnm._FilterDatabase" localSheetId="4" hidden="1">'Maio 2021'!$B$2:$E$29</definedName>
    <definedName name="_xlnm._FilterDatabase" localSheetId="8" hidden="1">'Setembro 2021'!$B$2:$S$35</definedName>
    <definedName name="CAP">#REF!</definedName>
    <definedName name="FAT">#REF!</definedName>
    <definedName name="final" localSheetId="2">'Abril 2021'!$B$2:$T$39</definedName>
    <definedName name="final" localSheetId="7">'Agosto 2021'!$B$2:$Q$31</definedName>
    <definedName name="final" localSheetId="3">'Fechamento Março'!$B$2:$U$36</definedName>
    <definedName name="final" localSheetId="6">'Julho 2021'!$B$2:$Q$31</definedName>
    <definedName name="final" localSheetId="5">'Junho 2021'!$B$2:$U$39</definedName>
    <definedName name="final" localSheetId="4">'Maio 2021'!$B$2:$T$39</definedName>
    <definedName name="final" localSheetId="8">'Setembro 2021'!$B$2:$Q$31</definedName>
    <definedName name="final">#REF!</definedName>
    <definedName name="regra">Indices!$A:$I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2" i="28" l="1"/>
  <c r="M35" i="28"/>
  <c r="J35" i="28"/>
  <c r="I35" i="28"/>
  <c r="P35" i="28" s="1"/>
  <c r="H35" i="28"/>
  <c r="G35" i="28"/>
  <c r="N35" i="28"/>
  <c r="M34" i="28"/>
  <c r="O34" i="28" s="1"/>
  <c r="J34" i="28"/>
  <c r="I34" i="28"/>
  <c r="P34" i="28" s="1"/>
  <c r="H34" i="28"/>
  <c r="G34" i="28"/>
  <c r="N34" i="28"/>
  <c r="M33" i="28"/>
  <c r="R33" i="28" s="1"/>
  <c r="J33" i="28"/>
  <c r="I33" i="28"/>
  <c r="P33" i="28" s="1"/>
  <c r="H33" i="28"/>
  <c r="G33" i="28"/>
  <c r="N33" i="28"/>
  <c r="P32" i="28"/>
  <c r="N32" i="28"/>
  <c r="M32" i="28"/>
  <c r="O32" i="28" s="1"/>
  <c r="Q32" i="28" s="1"/>
  <c r="V32" i="28" s="1"/>
  <c r="N31" i="28"/>
  <c r="M31" i="28"/>
  <c r="J31" i="28"/>
  <c r="I31" i="28"/>
  <c r="P31" i="28" s="1"/>
  <c r="H31" i="28"/>
  <c r="G31" i="28"/>
  <c r="N30" i="28"/>
  <c r="M30" i="28"/>
  <c r="O30" i="28" s="1"/>
  <c r="J30" i="28"/>
  <c r="I30" i="28"/>
  <c r="P30" i="28" s="1"/>
  <c r="H30" i="28"/>
  <c r="G30" i="28"/>
  <c r="N29" i="28"/>
  <c r="M29" i="28"/>
  <c r="J29" i="28"/>
  <c r="I29" i="28"/>
  <c r="P29" i="28" s="1"/>
  <c r="H29" i="28"/>
  <c r="G29" i="28"/>
  <c r="R28" i="28"/>
  <c r="P28" i="28"/>
  <c r="N28" i="28"/>
  <c r="M28" i="28"/>
  <c r="Q28" i="28" s="1"/>
  <c r="V28" i="28" s="1"/>
  <c r="M27" i="28"/>
  <c r="R27" i="28" s="1"/>
  <c r="M26" i="28"/>
  <c r="R26" i="28" s="1"/>
  <c r="J26" i="28"/>
  <c r="I26" i="28"/>
  <c r="P26" i="28" s="1"/>
  <c r="H26" i="28"/>
  <c r="G26" i="28"/>
  <c r="N26" i="28"/>
  <c r="P25" i="28"/>
  <c r="M25" i="28"/>
  <c r="J25" i="28"/>
  <c r="I25" i="28"/>
  <c r="H25" i="28"/>
  <c r="G25" i="28"/>
  <c r="N25" i="28"/>
  <c r="N24" i="28"/>
  <c r="M24" i="28"/>
  <c r="R24" i="28" s="1"/>
  <c r="J24" i="28"/>
  <c r="I24" i="28"/>
  <c r="P24" i="28" s="1"/>
  <c r="H24" i="28"/>
  <c r="G24" i="28"/>
  <c r="N23" i="28"/>
  <c r="M23" i="28"/>
  <c r="J23" i="28"/>
  <c r="I23" i="28"/>
  <c r="P23" i="28" s="1"/>
  <c r="H23" i="28"/>
  <c r="G23" i="28"/>
  <c r="N22" i="28"/>
  <c r="M22" i="28"/>
  <c r="J22" i="28"/>
  <c r="I22" i="28"/>
  <c r="P22" i="28" s="1"/>
  <c r="H22" i="28"/>
  <c r="G22" i="28"/>
  <c r="N21" i="28"/>
  <c r="M21" i="28"/>
  <c r="R21" i="28" s="1"/>
  <c r="J21" i="28"/>
  <c r="I21" i="28"/>
  <c r="P21" i="28" s="1"/>
  <c r="H21" i="28"/>
  <c r="G21" i="28"/>
  <c r="N20" i="28"/>
  <c r="M20" i="28"/>
  <c r="J20" i="28"/>
  <c r="I20" i="28"/>
  <c r="P20" i="28" s="1"/>
  <c r="H20" i="28"/>
  <c r="G20" i="28"/>
  <c r="P19" i="28"/>
  <c r="N19" i="28"/>
  <c r="M19" i="28"/>
  <c r="R19" i="28" s="1"/>
  <c r="N18" i="28"/>
  <c r="M18" i="28"/>
  <c r="J18" i="28"/>
  <c r="I18" i="28"/>
  <c r="P18" i="28" s="1"/>
  <c r="H18" i="28"/>
  <c r="G18" i="28"/>
  <c r="P17" i="28"/>
  <c r="N17" i="28"/>
  <c r="M17" i="28"/>
  <c r="R17" i="28" s="1"/>
  <c r="P16" i="28"/>
  <c r="N16" i="28"/>
  <c r="M16" i="28"/>
  <c r="R16" i="28" s="1"/>
  <c r="N15" i="28"/>
  <c r="M15" i="28"/>
  <c r="J15" i="28"/>
  <c r="I15" i="28"/>
  <c r="P15" i="28" s="1"/>
  <c r="H15" i="28"/>
  <c r="G15" i="28"/>
  <c r="N14" i="28"/>
  <c r="M14" i="28"/>
  <c r="J14" i="28"/>
  <c r="I14" i="28"/>
  <c r="P14" i="28" s="1"/>
  <c r="H14" i="28"/>
  <c r="G14" i="28"/>
  <c r="N13" i="28"/>
  <c r="M13" i="28"/>
  <c r="J13" i="28"/>
  <c r="I13" i="28"/>
  <c r="P13" i="28" s="1"/>
  <c r="H13" i="28"/>
  <c r="G13" i="28"/>
  <c r="O13" i="28" s="1"/>
  <c r="N12" i="28"/>
  <c r="M12" i="28"/>
  <c r="J12" i="28"/>
  <c r="I12" i="28"/>
  <c r="P12" i="28" s="1"/>
  <c r="H12" i="28"/>
  <c r="G12" i="28"/>
  <c r="M11" i="28"/>
  <c r="J11" i="28"/>
  <c r="I11" i="28"/>
  <c r="P11" i="28" s="1"/>
  <c r="H11" i="28"/>
  <c r="G11" i="28"/>
  <c r="N11" i="28"/>
  <c r="S10" i="28"/>
  <c r="R10" i="28"/>
  <c r="S9" i="28"/>
  <c r="R9" i="28"/>
  <c r="S8" i="28"/>
  <c r="R8" i="28"/>
  <c r="S7" i="28"/>
  <c r="R7" i="28"/>
  <c r="S6" i="28"/>
  <c r="R6" i="28"/>
  <c r="S5" i="28"/>
  <c r="R5" i="28"/>
  <c r="S4" i="28"/>
  <c r="R4" i="28"/>
  <c r="S3" i="28"/>
  <c r="R3" i="28"/>
  <c r="G52" i="27"/>
  <c r="R13" i="28" l="1"/>
  <c r="O22" i="28"/>
  <c r="Q22" i="28" s="1"/>
  <c r="V22" i="28" s="1"/>
  <c r="Q27" i="28"/>
  <c r="V27" i="28" s="1"/>
  <c r="O19" i="28"/>
  <c r="O23" i="28"/>
  <c r="Q23" i="28" s="1"/>
  <c r="V23" i="28" s="1"/>
  <c r="R12" i="28"/>
  <c r="O18" i="28"/>
  <c r="O14" i="28"/>
  <c r="Q14" i="28" s="1"/>
  <c r="V14" i="28" s="1"/>
  <c r="R15" i="28"/>
  <c r="O17" i="28"/>
  <c r="Q17" i="28" s="1"/>
  <c r="V17" i="28" s="1"/>
  <c r="R22" i="28"/>
  <c r="R23" i="28"/>
  <c r="R29" i="28"/>
  <c r="R14" i="28"/>
  <c r="O29" i="28"/>
  <c r="Q29" i="28" s="1"/>
  <c r="V29" i="28" s="1"/>
  <c r="O21" i="28"/>
  <c r="O20" i="28"/>
  <c r="Q20" i="28" s="1"/>
  <c r="V20" i="28" s="1"/>
  <c r="Q19" i="28"/>
  <c r="V19" i="28" s="1"/>
  <c r="R35" i="28"/>
  <c r="O11" i="28"/>
  <c r="Q11" i="28" s="1"/>
  <c r="V11" i="28" s="1"/>
  <c r="R18" i="28"/>
  <c r="O25" i="28"/>
  <c r="Q25" i="28" s="1"/>
  <c r="V25" i="28" s="1"/>
  <c r="R30" i="28"/>
  <c r="O31" i="28"/>
  <c r="Q31" i="28" s="1"/>
  <c r="V31" i="28" s="1"/>
  <c r="Q30" i="28"/>
  <c r="V30" i="28" s="1"/>
  <c r="Q34" i="28"/>
  <c r="V34" i="28" s="1"/>
  <c r="Q21" i="28"/>
  <c r="V21" i="28" s="1"/>
  <c r="Q18" i="28"/>
  <c r="V18" i="28" s="1"/>
  <c r="Q13" i="28"/>
  <c r="V13" i="28" s="1"/>
  <c r="R11" i="28"/>
  <c r="O12" i="28"/>
  <c r="Q12" i="28" s="1"/>
  <c r="V12" i="28" s="1"/>
  <c r="R20" i="28"/>
  <c r="R25" i="28"/>
  <c r="R32" i="28"/>
  <c r="R34" i="28"/>
  <c r="O15" i="28"/>
  <c r="Q15" i="28" s="1"/>
  <c r="V15" i="28" s="1"/>
  <c r="O16" i="28"/>
  <c r="Q16" i="28" s="1"/>
  <c r="V16" i="28" s="1"/>
  <c r="O24" i="28"/>
  <c r="Q24" i="28" s="1"/>
  <c r="V24" i="28" s="1"/>
  <c r="O26" i="28"/>
  <c r="Q26" i="28" s="1"/>
  <c r="V26" i="28" s="1"/>
  <c r="R31" i="28"/>
  <c r="O33" i="28"/>
  <c r="Q33" i="28" s="1"/>
  <c r="V33" i="28" s="1"/>
  <c r="O35" i="28"/>
  <c r="Q35" i="28" s="1"/>
  <c r="V35" i="28" s="1"/>
  <c r="O28" i="28"/>
  <c r="F16" i="27" l="1"/>
  <c r="F11" i="27"/>
  <c r="F26" i="27"/>
  <c r="F33" i="27"/>
  <c r="F29" i="27"/>
  <c r="F25" i="27"/>
  <c r="F35" i="27"/>
  <c r="F34" i="27"/>
  <c r="G23" i="27" l="1"/>
  <c r="I23" i="27"/>
  <c r="S3" i="27"/>
  <c r="S4" i="27"/>
  <c r="S5" i="27"/>
  <c r="S6" i="27"/>
  <c r="S7" i="27"/>
  <c r="S8" i="27"/>
  <c r="S9" i="27"/>
  <c r="S10" i="27"/>
  <c r="G29" i="27"/>
  <c r="P28" i="27"/>
  <c r="M28" i="27"/>
  <c r="R28" i="27" s="1"/>
  <c r="N28" i="27"/>
  <c r="Q28" i="27" l="1"/>
  <c r="V28" i="27" s="1"/>
  <c r="O28" i="27"/>
  <c r="N20" i="27" l="1"/>
  <c r="M20" i="27"/>
  <c r="J20" i="27"/>
  <c r="I20" i="27"/>
  <c r="P20" i="27" s="1"/>
  <c r="H20" i="27"/>
  <c r="G20" i="27"/>
  <c r="P17" i="27"/>
  <c r="M17" i="27"/>
  <c r="R17" i="27" s="1"/>
  <c r="N17" i="27"/>
  <c r="N25" i="27"/>
  <c r="M25" i="27"/>
  <c r="J25" i="27"/>
  <c r="I25" i="27"/>
  <c r="P25" i="27" s="1"/>
  <c r="H25" i="27"/>
  <c r="G25" i="27"/>
  <c r="N30" i="27"/>
  <c r="M30" i="27"/>
  <c r="J30" i="27"/>
  <c r="I30" i="27"/>
  <c r="P30" i="27" s="1"/>
  <c r="H30" i="27"/>
  <c r="G30" i="27"/>
  <c r="N29" i="27"/>
  <c r="M29" i="27"/>
  <c r="J29" i="27"/>
  <c r="I29" i="27"/>
  <c r="P29" i="27" s="1"/>
  <c r="H29" i="27"/>
  <c r="P16" i="27"/>
  <c r="M16" i="27"/>
  <c r="R16" i="27" s="1"/>
  <c r="N16" i="27"/>
  <c r="M12" i="27"/>
  <c r="J12" i="27"/>
  <c r="I12" i="27"/>
  <c r="P12" i="27" s="1"/>
  <c r="H12" i="27"/>
  <c r="G12" i="27"/>
  <c r="N12" i="27"/>
  <c r="N23" i="27"/>
  <c r="M23" i="27"/>
  <c r="J23" i="27"/>
  <c r="P23" i="27"/>
  <c r="H23" i="27"/>
  <c r="M11" i="27"/>
  <c r="J11" i="27"/>
  <c r="I11" i="27"/>
  <c r="P11" i="27" s="1"/>
  <c r="H11" i="27"/>
  <c r="G11" i="27"/>
  <c r="N11" i="27"/>
  <c r="N14" i="27"/>
  <c r="M14" i="27"/>
  <c r="J14" i="27"/>
  <c r="I14" i="27"/>
  <c r="P14" i="27" s="1"/>
  <c r="H14" i="27"/>
  <c r="G14" i="27"/>
  <c r="P19" i="27"/>
  <c r="N19" i="27"/>
  <c r="M19" i="27"/>
  <c r="R19" i="27" s="1"/>
  <c r="N13" i="27"/>
  <c r="M13" i="27"/>
  <c r="J13" i="27"/>
  <c r="I13" i="27"/>
  <c r="P13" i="27" s="1"/>
  <c r="H13" i="27"/>
  <c r="G13" i="27"/>
  <c r="P32" i="27"/>
  <c r="N32" i="27"/>
  <c r="M32" i="27"/>
  <c r="R32" i="27" s="1"/>
  <c r="N15" i="27"/>
  <c r="M15" i="27"/>
  <c r="J15" i="27"/>
  <c r="I15" i="27"/>
  <c r="P15" i="27" s="1"/>
  <c r="H15" i="27"/>
  <c r="G15" i="27"/>
  <c r="M27" i="27"/>
  <c r="N33" i="27"/>
  <c r="M33" i="27"/>
  <c r="J33" i="27"/>
  <c r="I33" i="27"/>
  <c r="P33" i="27" s="1"/>
  <c r="H33" i="27"/>
  <c r="G33" i="27"/>
  <c r="N26" i="27"/>
  <c r="M26" i="27"/>
  <c r="J26" i="27"/>
  <c r="I26" i="27"/>
  <c r="P26" i="27" s="1"/>
  <c r="H26" i="27"/>
  <c r="G26" i="27"/>
  <c r="N24" i="27"/>
  <c r="M24" i="27"/>
  <c r="J24" i="27"/>
  <c r="I24" i="27"/>
  <c r="P24" i="27" s="1"/>
  <c r="H24" i="27"/>
  <c r="G24" i="27"/>
  <c r="N22" i="27"/>
  <c r="M22" i="27"/>
  <c r="J22" i="27"/>
  <c r="I22" i="27"/>
  <c r="P22" i="27" s="1"/>
  <c r="H22" i="27"/>
  <c r="G22" i="27"/>
  <c r="N31" i="27"/>
  <c r="M31" i="27"/>
  <c r="J31" i="27"/>
  <c r="I31" i="27"/>
  <c r="P31" i="27" s="1"/>
  <c r="H31" i="27"/>
  <c r="G31" i="27"/>
  <c r="N21" i="27"/>
  <c r="M21" i="27"/>
  <c r="J21" i="27"/>
  <c r="I21" i="27"/>
  <c r="P21" i="27" s="1"/>
  <c r="H21" i="27"/>
  <c r="G21" i="27"/>
  <c r="N35" i="27"/>
  <c r="M35" i="27"/>
  <c r="J35" i="27"/>
  <c r="I35" i="27"/>
  <c r="P35" i="27" s="1"/>
  <c r="H35" i="27"/>
  <c r="G35" i="27"/>
  <c r="N18" i="27"/>
  <c r="M18" i="27"/>
  <c r="J18" i="27"/>
  <c r="I18" i="27"/>
  <c r="P18" i="27" s="1"/>
  <c r="H18" i="27"/>
  <c r="G18" i="27"/>
  <c r="N34" i="27"/>
  <c r="M34" i="27"/>
  <c r="J34" i="27"/>
  <c r="I34" i="27"/>
  <c r="P34" i="27" s="1"/>
  <c r="H34" i="27"/>
  <c r="G34" i="27"/>
  <c r="R7" i="27"/>
  <c r="R6" i="27"/>
  <c r="R5" i="27"/>
  <c r="R10" i="27"/>
  <c r="R3" i="27"/>
  <c r="R4" i="27"/>
  <c r="R8" i="27"/>
  <c r="R9" i="27"/>
  <c r="O44" i="24"/>
  <c r="O12" i="27" l="1"/>
  <c r="Q12" i="27" s="1"/>
  <c r="V12" i="27" s="1"/>
  <c r="R29" i="27"/>
  <c r="O18" i="27"/>
  <c r="Q18" i="27" s="1"/>
  <c r="V18" i="27" s="1"/>
  <c r="O15" i="27"/>
  <c r="Q15" i="27" s="1"/>
  <c r="V15" i="27" s="1"/>
  <c r="O25" i="27"/>
  <c r="Q25" i="27" s="1"/>
  <c r="V25" i="27" s="1"/>
  <c r="Q27" i="27"/>
  <c r="V27" i="27" s="1"/>
  <c r="R27" i="27"/>
  <c r="R34" i="27"/>
  <c r="R14" i="27"/>
  <c r="R18" i="27"/>
  <c r="R24" i="27"/>
  <c r="O23" i="27"/>
  <c r="Q23" i="27" s="1"/>
  <c r="V23" i="27" s="1"/>
  <c r="R25" i="27"/>
  <c r="R30" i="27"/>
  <c r="R21" i="27"/>
  <c r="O33" i="27"/>
  <c r="Q33" i="27" s="1"/>
  <c r="V33" i="27" s="1"/>
  <c r="O13" i="27"/>
  <c r="Q13" i="27" s="1"/>
  <c r="V13" i="27" s="1"/>
  <c r="R11" i="27"/>
  <c r="O34" i="27"/>
  <c r="Q34" i="27" s="1"/>
  <c r="V34" i="27" s="1"/>
  <c r="R35" i="27"/>
  <c r="O14" i="27"/>
  <c r="Q14" i="27" s="1"/>
  <c r="V14" i="27" s="1"/>
  <c r="R20" i="27"/>
  <c r="R26" i="27"/>
  <c r="O17" i="27"/>
  <c r="Q17" i="27" s="1"/>
  <c r="V17" i="27" s="1"/>
  <c r="R22" i="27"/>
  <c r="O31" i="27"/>
  <c r="Q31" i="27" s="1"/>
  <c r="V31" i="27" s="1"/>
  <c r="R15" i="27"/>
  <c r="R23" i="27"/>
  <c r="R33" i="27"/>
  <c r="R13" i="27"/>
  <c r="R12" i="27"/>
  <c r="O29" i="27"/>
  <c r="Q29" i="27" s="1"/>
  <c r="V29" i="27" s="1"/>
  <c r="R31" i="27"/>
  <c r="O30" i="27"/>
  <c r="Q30" i="27" s="1"/>
  <c r="V30" i="27" s="1"/>
  <c r="O22" i="27"/>
  <c r="Q22" i="27" s="1"/>
  <c r="V22" i="27" s="1"/>
  <c r="O11" i="27"/>
  <c r="Q11" i="27" s="1"/>
  <c r="V11" i="27" s="1"/>
  <c r="O24" i="27"/>
  <c r="Q24" i="27" s="1"/>
  <c r="V24" i="27" s="1"/>
  <c r="O32" i="27"/>
  <c r="Q32" i="27" s="1"/>
  <c r="V32" i="27" s="1"/>
  <c r="O19" i="27"/>
  <c r="Q19" i="27" s="1"/>
  <c r="V19" i="27" s="1"/>
  <c r="O35" i="27"/>
  <c r="Q35" i="27" s="1"/>
  <c r="V35" i="27" s="1"/>
  <c r="O21" i="27"/>
  <c r="Q21" i="27" s="1"/>
  <c r="V21" i="27" s="1"/>
  <c r="O26" i="27"/>
  <c r="Q26" i="27" s="1"/>
  <c r="V26" i="27" s="1"/>
  <c r="O16" i="27"/>
  <c r="Q16" i="27" s="1"/>
  <c r="V16" i="27" s="1"/>
  <c r="O20" i="27"/>
  <c r="Q20" i="27" s="1"/>
  <c r="V20" i="27" s="1"/>
  <c r="F26" i="24"/>
  <c r="F28" i="24" l="1"/>
  <c r="N28" i="24" s="1"/>
  <c r="O20" i="24"/>
  <c r="N20" i="24"/>
  <c r="M20" i="24"/>
  <c r="P20" i="24" s="1"/>
  <c r="R10" i="24"/>
  <c r="R9" i="24"/>
  <c r="R8" i="24"/>
  <c r="F33" i="24"/>
  <c r="N33" i="24" s="1"/>
  <c r="P33" i="24"/>
  <c r="M33" i="24"/>
  <c r="R33" i="24" s="1"/>
  <c r="F29" i="24"/>
  <c r="N29" i="24" s="1"/>
  <c r="J16" i="24"/>
  <c r="I16" i="24"/>
  <c r="P16" i="24" s="1"/>
  <c r="H16" i="24"/>
  <c r="G16" i="24"/>
  <c r="J25" i="24"/>
  <c r="I25" i="24"/>
  <c r="P25" i="24" s="1"/>
  <c r="H25" i="24"/>
  <c r="G25" i="24"/>
  <c r="J28" i="24"/>
  <c r="I28" i="24"/>
  <c r="P28" i="24" s="1"/>
  <c r="H28" i="24"/>
  <c r="G28" i="24"/>
  <c r="J26" i="24"/>
  <c r="I26" i="24"/>
  <c r="P26" i="24" s="1"/>
  <c r="H26" i="24"/>
  <c r="G26" i="24"/>
  <c r="J17" i="24"/>
  <c r="I17" i="24"/>
  <c r="P17" i="24" s="1"/>
  <c r="H17" i="24"/>
  <c r="G17" i="24"/>
  <c r="G19" i="24"/>
  <c r="H19" i="24"/>
  <c r="I19" i="24"/>
  <c r="P19" i="24" s="1"/>
  <c r="J19" i="24"/>
  <c r="M19" i="24"/>
  <c r="N19" i="24"/>
  <c r="G27" i="24"/>
  <c r="H27" i="24"/>
  <c r="I27" i="24"/>
  <c r="P27" i="24" s="1"/>
  <c r="J27" i="24"/>
  <c r="M27" i="24"/>
  <c r="N27" i="24"/>
  <c r="M24" i="24"/>
  <c r="O24" i="24" s="1"/>
  <c r="N24" i="24"/>
  <c r="P24" i="24"/>
  <c r="M29" i="24"/>
  <c r="O29" i="24" s="1"/>
  <c r="P29" i="24"/>
  <c r="M26" i="24"/>
  <c r="N26" i="24"/>
  <c r="M25" i="24"/>
  <c r="N25" i="24"/>
  <c r="M16" i="24"/>
  <c r="N16" i="24"/>
  <c r="G15" i="24"/>
  <c r="H15" i="24"/>
  <c r="I15" i="24"/>
  <c r="P15" i="24" s="1"/>
  <c r="J15" i="24"/>
  <c r="M15" i="24"/>
  <c r="N15" i="24"/>
  <c r="F34" i="24"/>
  <c r="N34" i="24" s="1"/>
  <c r="M34" i="24"/>
  <c r="J34" i="24"/>
  <c r="I34" i="24"/>
  <c r="P34" i="24" s="1"/>
  <c r="H34" i="24"/>
  <c r="G34" i="24"/>
  <c r="J32" i="24"/>
  <c r="I32" i="24"/>
  <c r="P32" i="24" s="1"/>
  <c r="H32" i="24"/>
  <c r="G32" i="24"/>
  <c r="N22" i="24"/>
  <c r="N32" i="24"/>
  <c r="P22" i="24"/>
  <c r="M22" i="24"/>
  <c r="O22" i="24" s="1"/>
  <c r="M32" i="24"/>
  <c r="M31" i="24"/>
  <c r="J31" i="24"/>
  <c r="I31" i="24"/>
  <c r="P31" i="24" s="1"/>
  <c r="H31" i="24"/>
  <c r="G31" i="24"/>
  <c r="N31" i="24"/>
  <c r="N12" i="24"/>
  <c r="M12" i="24"/>
  <c r="J12" i="24"/>
  <c r="I12" i="24"/>
  <c r="P12" i="24" s="1"/>
  <c r="H12" i="24"/>
  <c r="G12" i="24"/>
  <c r="M18" i="24"/>
  <c r="J18" i="24"/>
  <c r="I18" i="24"/>
  <c r="P18" i="24" s="1"/>
  <c r="H18" i="24"/>
  <c r="G18" i="24"/>
  <c r="N18" i="24"/>
  <c r="R6" i="24"/>
  <c r="M17" i="24"/>
  <c r="N17" i="24"/>
  <c r="R5" i="24"/>
  <c r="N14" i="24"/>
  <c r="M14" i="24"/>
  <c r="J14" i="24"/>
  <c r="I14" i="24"/>
  <c r="P14" i="24" s="1"/>
  <c r="H14" i="24"/>
  <c r="G14" i="24"/>
  <c r="M13" i="24"/>
  <c r="J13" i="24"/>
  <c r="I13" i="24"/>
  <c r="P13" i="24" s="1"/>
  <c r="H13" i="24"/>
  <c r="G13" i="24"/>
  <c r="N13" i="24"/>
  <c r="M11" i="24"/>
  <c r="J11" i="24"/>
  <c r="I11" i="24"/>
  <c r="P11" i="24" s="1"/>
  <c r="H11" i="24"/>
  <c r="G11" i="24"/>
  <c r="N11" i="24"/>
  <c r="R4" i="24"/>
  <c r="N30" i="24"/>
  <c r="M30" i="24"/>
  <c r="J30" i="24"/>
  <c r="I30" i="24"/>
  <c r="P30" i="24" s="1"/>
  <c r="H30" i="24"/>
  <c r="G30" i="24"/>
  <c r="N23" i="24"/>
  <c r="M23" i="24"/>
  <c r="J23" i="24"/>
  <c r="I23" i="24"/>
  <c r="P23" i="24" s="1"/>
  <c r="H23" i="24"/>
  <c r="G23" i="24"/>
  <c r="M21" i="24"/>
  <c r="J21" i="24"/>
  <c r="I21" i="24"/>
  <c r="P21" i="24" s="1"/>
  <c r="H21" i="24"/>
  <c r="G21" i="24"/>
  <c r="N21" i="24"/>
  <c r="Q32" i="23"/>
  <c r="N32" i="23"/>
  <c r="V32" i="23" s="1"/>
  <c r="S31" i="23"/>
  <c r="Q31" i="23"/>
  <c r="O31" i="23"/>
  <c r="N31" i="23"/>
  <c r="P31" i="23" s="1"/>
  <c r="F31" i="23"/>
  <c r="U26" i="23"/>
  <c r="S30" i="23"/>
  <c r="Q30" i="23"/>
  <c r="O30" i="23"/>
  <c r="N30" i="23"/>
  <c r="V30" i="23" s="1"/>
  <c r="V26" i="23"/>
  <c r="P26" i="23"/>
  <c r="S29" i="23"/>
  <c r="N29" i="23"/>
  <c r="K29" i="23"/>
  <c r="J29" i="23"/>
  <c r="I29" i="23"/>
  <c r="Q29" i="23" s="1"/>
  <c r="H29" i="23"/>
  <c r="G29" i="23"/>
  <c r="F29" i="23"/>
  <c r="O29" i="23" s="1"/>
  <c r="S28" i="23"/>
  <c r="N28" i="23"/>
  <c r="K28" i="23"/>
  <c r="J28" i="23"/>
  <c r="I28" i="23"/>
  <c r="Q28" i="23" s="1"/>
  <c r="H28" i="23"/>
  <c r="G28" i="23"/>
  <c r="F28" i="23"/>
  <c r="O28" i="23" s="1"/>
  <c r="S27" i="23"/>
  <c r="N27" i="23"/>
  <c r="K27" i="23"/>
  <c r="J27" i="23"/>
  <c r="I27" i="23"/>
  <c r="Q27" i="23" s="1"/>
  <c r="H27" i="23"/>
  <c r="G27" i="23"/>
  <c r="F27" i="23"/>
  <c r="O27" i="23" s="1"/>
  <c r="S26" i="23"/>
  <c r="K26" i="23"/>
  <c r="S25" i="23"/>
  <c r="N25" i="23"/>
  <c r="K25" i="23"/>
  <c r="J25" i="23"/>
  <c r="I25" i="23"/>
  <c r="Q25" i="23" s="1"/>
  <c r="H25" i="23"/>
  <c r="G25" i="23"/>
  <c r="F25" i="23"/>
  <c r="O25" i="23" s="1"/>
  <c r="S24" i="23"/>
  <c r="N24" i="23"/>
  <c r="K24" i="23"/>
  <c r="J24" i="23"/>
  <c r="I24" i="23"/>
  <c r="Q24" i="23" s="1"/>
  <c r="H24" i="23"/>
  <c r="G24" i="23"/>
  <c r="F24" i="23"/>
  <c r="O24" i="23" s="1"/>
  <c r="S23" i="23"/>
  <c r="K23" i="23"/>
  <c r="J23" i="23"/>
  <c r="V23" i="23" s="1"/>
  <c r="I23" i="23"/>
  <c r="Q23" i="23" s="1"/>
  <c r="H23" i="23"/>
  <c r="G23" i="23"/>
  <c r="F23" i="23"/>
  <c r="O23" i="23" s="1"/>
  <c r="S22" i="23"/>
  <c r="N22" i="23"/>
  <c r="K22" i="23"/>
  <c r="J22" i="23"/>
  <c r="I22" i="23"/>
  <c r="Q22" i="23" s="1"/>
  <c r="H22" i="23"/>
  <c r="G22" i="23"/>
  <c r="F22" i="23"/>
  <c r="O22" i="23" s="1"/>
  <c r="S21" i="23"/>
  <c r="K21" i="23"/>
  <c r="J21" i="23"/>
  <c r="V21" i="23" s="1"/>
  <c r="I21" i="23"/>
  <c r="Q21" i="23" s="1"/>
  <c r="H21" i="23"/>
  <c r="G21" i="23"/>
  <c r="F21" i="23"/>
  <c r="O21" i="23" s="1"/>
  <c r="N20" i="23"/>
  <c r="K20" i="23"/>
  <c r="J20" i="23"/>
  <c r="I20" i="23"/>
  <c r="Q20" i="23" s="1"/>
  <c r="H20" i="23"/>
  <c r="G20" i="23"/>
  <c r="F20" i="23"/>
  <c r="O20" i="23" s="1"/>
  <c r="N19" i="23"/>
  <c r="K19" i="23"/>
  <c r="J19" i="23"/>
  <c r="I19" i="23"/>
  <c r="Q19" i="23" s="1"/>
  <c r="H19" i="23"/>
  <c r="G19" i="23"/>
  <c r="F19" i="23"/>
  <c r="O19" i="23" s="1"/>
  <c r="N18" i="23"/>
  <c r="K18" i="23"/>
  <c r="J18" i="23"/>
  <c r="I18" i="23"/>
  <c r="Q18" i="23" s="1"/>
  <c r="H18" i="23"/>
  <c r="G18" i="23"/>
  <c r="F18" i="23"/>
  <c r="O18" i="23" s="1"/>
  <c r="K17" i="23"/>
  <c r="J17" i="23"/>
  <c r="V17" i="23" s="1"/>
  <c r="I17" i="23"/>
  <c r="Q17" i="23" s="1"/>
  <c r="H17" i="23"/>
  <c r="G17" i="23"/>
  <c r="F17" i="23"/>
  <c r="O17" i="23" s="1"/>
  <c r="N16" i="23"/>
  <c r="K16" i="23"/>
  <c r="J16" i="23"/>
  <c r="I16" i="23"/>
  <c r="Q16" i="23" s="1"/>
  <c r="H16" i="23"/>
  <c r="G16" i="23"/>
  <c r="F16" i="23"/>
  <c r="O16" i="23" s="1"/>
  <c r="N15" i="23"/>
  <c r="K15" i="23"/>
  <c r="J15" i="23"/>
  <c r="I15" i="23"/>
  <c r="Q15" i="23" s="1"/>
  <c r="H15" i="23"/>
  <c r="G15" i="23"/>
  <c r="F15" i="23"/>
  <c r="O15" i="23" s="1"/>
  <c r="N14" i="23"/>
  <c r="K14" i="23"/>
  <c r="J14" i="23"/>
  <c r="I14" i="23"/>
  <c r="Q14" i="23" s="1"/>
  <c r="H14" i="23"/>
  <c r="G14" i="23"/>
  <c r="F14" i="23"/>
  <c r="O14" i="23" s="1"/>
  <c r="N13" i="23"/>
  <c r="K13" i="23"/>
  <c r="J13" i="23"/>
  <c r="I13" i="23"/>
  <c r="Q13" i="23" s="1"/>
  <c r="H13" i="23"/>
  <c r="G13" i="23"/>
  <c r="F13" i="23"/>
  <c r="O13" i="23" s="1"/>
  <c r="N12" i="23"/>
  <c r="K12" i="23"/>
  <c r="J12" i="23"/>
  <c r="I12" i="23"/>
  <c r="Q12" i="23" s="1"/>
  <c r="H12" i="23"/>
  <c r="G12" i="23"/>
  <c r="F12" i="23"/>
  <c r="O12" i="23" s="1"/>
  <c r="N11" i="23"/>
  <c r="K11" i="23"/>
  <c r="J11" i="23"/>
  <c r="I11" i="23"/>
  <c r="Q11" i="23" s="1"/>
  <c r="H11" i="23"/>
  <c r="G11" i="23"/>
  <c r="F11" i="23"/>
  <c r="O11" i="23" s="1"/>
  <c r="N10" i="23"/>
  <c r="K10" i="23"/>
  <c r="I10" i="23"/>
  <c r="Q10" i="23" s="1"/>
  <c r="H10" i="23"/>
  <c r="G10" i="23"/>
  <c r="F10" i="23"/>
  <c r="O10" i="23" s="1"/>
  <c r="N9" i="23"/>
  <c r="K9" i="23"/>
  <c r="J9" i="23"/>
  <c r="I9" i="23"/>
  <c r="Q9" i="23" s="1"/>
  <c r="H9" i="23"/>
  <c r="G9" i="23"/>
  <c r="F9" i="23"/>
  <c r="O9" i="23" s="1"/>
  <c r="K8" i="23"/>
  <c r="N7" i="23"/>
  <c r="K7" i="23"/>
  <c r="J7" i="23"/>
  <c r="I7" i="23"/>
  <c r="Q7" i="23" s="1"/>
  <c r="H7" i="23"/>
  <c r="G7" i="23"/>
  <c r="F7" i="23"/>
  <c r="O7" i="23" s="1"/>
  <c r="N6" i="23"/>
  <c r="K6" i="23"/>
  <c r="J6" i="23"/>
  <c r="I6" i="23"/>
  <c r="Q6" i="23" s="1"/>
  <c r="H6" i="23"/>
  <c r="G6" i="23"/>
  <c r="F6" i="23"/>
  <c r="O6" i="23" s="1"/>
  <c r="N5" i="23"/>
  <c r="K5" i="23"/>
  <c r="J5" i="23"/>
  <c r="I5" i="23"/>
  <c r="Q5" i="23" s="1"/>
  <c r="H5" i="23"/>
  <c r="G5" i="23"/>
  <c r="F5" i="23"/>
  <c r="O5" i="23" s="1"/>
  <c r="N4" i="23"/>
  <c r="K4" i="23"/>
  <c r="J4" i="23"/>
  <c r="I4" i="23"/>
  <c r="Q4" i="23" s="1"/>
  <c r="H4" i="23"/>
  <c r="G4" i="23"/>
  <c r="F4" i="23"/>
  <c r="O4" i="23" s="1"/>
  <c r="N3" i="23"/>
  <c r="K3" i="23"/>
  <c r="J3" i="23"/>
  <c r="I3" i="23"/>
  <c r="Q3" i="23" s="1"/>
  <c r="H3" i="23"/>
  <c r="G3" i="23"/>
  <c r="F3" i="23"/>
  <c r="O3" i="23" s="1"/>
  <c r="F26" i="22"/>
  <c r="N26" i="22" s="1"/>
  <c r="F22" i="22"/>
  <c r="N22" i="22" s="1"/>
  <c r="F21" i="22"/>
  <c r="N21" i="22" s="1"/>
  <c r="F16" i="22"/>
  <c r="N16" i="22" s="1"/>
  <c r="F15" i="22"/>
  <c r="N15" i="22" s="1"/>
  <c r="F14" i="22"/>
  <c r="N14" i="22" s="1"/>
  <c r="F13" i="22"/>
  <c r="N13" i="22" s="1"/>
  <c r="F12" i="22"/>
  <c r="N12" i="22" s="1"/>
  <c r="F8" i="22"/>
  <c r="N8" i="22" s="1"/>
  <c r="F7" i="22"/>
  <c r="N7" i="22" s="1"/>
  <c r="F6" i="22"/>
  <c r="N6" i="22" s="1"/>
  <c r="F5" i="22"/>
  <c r="N5" i="22" s="1"/>
  <c r="F4" i="22"/>
  <c r="N4" i="22" s="1"/>
  <c r="Q34" i="22"/>
  <c r="R29" i="22"/>
  <c r="M29" i="22"/>
  <c r="J29" i="22"/>
  <c r="I29" i="22"/>
  <c r="P29" i="22" s="1"/>
  <c r="H29" i="22"/>
  <c r="G29" i="22"/>
  <c r="F29" i="22"/>
  <c r="N29" i="22" s="1"/>
  <c r="R28" i="22"/>
  <c r="M28" i="22"/>
  <c r="J28" i="22"/>
  <c r="I28" i="22"/>
  <c r="P28" i="22" s="1"/>
  <c r="H28" i="22"/>
  <c r="G28" i="22"/>
  <c r="F28" i="22"/>
  <c r="N28" i="22" s="1"/>
  <c r="R27" i="22"/>
  <c r="M27" i="22"/>
  <c r="J27" i="22"/>
  <c r="I27" i="22"/>
  <c r="P27" i="22" s="1"/>
  <c r="H27" i="22"/>
  <c r="G27" i="22"/>
  <c r="F27" i="22"/>
  <c r="N27" i="22" s="1"/>
  <c r="R26" i="22"/>
  <c r="M26" i="22"/>
  <c r="J26" i="22"/>
  <c r="I26" i="22"/>
  <c r="P26" i="22" s="1"/>
  <c r="H26" i="22"/>
  <c r="G26" i="22"/>
  <c r="R25" i="22"/>
  <c r="M25" i="22"/>
  <c r="J25" i="22"/>
  <c r="I25" i="22"/>
  <c r="P25" i="22" s="1"/>
  <c r="H25" i="22"/>
  <c r="G25" i="22"/>
  <c r="F25" i="22"/>
  <c r="N25" i="22" s="1"/>
  <c r="R24" i="22"/>
  <c r="M24" i="22"/>
  <c r="J24" i="22"/>
  <c r="I24" i="22"/>
  <c r="P24" i="22" s="1"/>
  <c r="H24" i="22"/>
  <c r="G24" i="22"/>
  <c r="F24" i="22"/>
  <c r="N24" i="22" s="1"/>
  <c r="R23" i="22"/>
  <c r="J23" i="22"/>
  <c r="I23" i="22"/>
  <c r="P23" i="22" s="1"/>
  <c r="H23" i="22"/>
  <c r="G23" i="22"/>
  <c r="F23" i="22"/>
  <c r="N23" i="22" s="1"/>
  <c r="R22" i="22"/>
  <c r="M22" i="22"/>
  <c r="J22" i="22"/>
  <c r="I22" i="22"/>
  <c r="P22" i="22" s="1"/>
  <c r="H22" i="22"/>
  <c r="G22" i="22"/>
  <c r="R21" i="22"/>
  <c r="J21" i="22"/>
  <c r="I21" i="22"/>
  <c r="P21" i="22" s="1"/>
  <c r="H21" i="22"/>
  <c r="G21" i="22"/>
  <c r="M20" i="22"/>
  <c r="J20" i="22"/>
  <c r="I20" i="22"/>
  <c r="P20" i="22" s="1"/>
  <c r="H20" i="22"/>
  <c r="G20" i="22"/>
  <c r="F20" i="22"/>
  <c r="N20" i="22" s="1"/>
  <c r="M19" i="22"/>
  <c r="J19" i="22"/>
  <c r="I19" i="22"/>
  <c r="P19" i="22" s="1"/>
  <c r="H19" i="22"/>
  <c r="G19" i="22"/>
  <c r="F19" i="22"/>
  <c r="N19" i="22" s="1"/>
  <c r="M18" i="22"/>
  <c r="J18" i="22"/>
  <c r="I18" i="22"/>
  <c r="P18" i="22" s="1"/>
  <c r="H18" i="22"/>
  <c r="G18" i="22"/>
  <c r="F18" i="22"/>
  <c r="N18" i="22" s="1"/>
  <c r="J17" i="22"/>
  <c r="I17" i="22"/>
  <c r="P17" i="22" s="1"/>
  <c r="H17" i="22"/>
  <c r="G17" i="22"/>
  <c r="F17" i="22"/>
  <c r="N17" i="22" s="1"/>
  <c r="M16" i="22"/>
  <c r="J16" i="22"/>
  <c r="I16" i="22"/>
  <c r="P16" i="22" s="1"/>
  <c r="H16" i="22"/>
  <c r="G16" i="22"/>
  <c r="M15" i="22"/>
  <c r="J15" i="22"/>
  <c r="I15" i="22"/>
  <c r="P15" i="22" s="1"/>
  <c r="H15" i="22"/>
  <c r="G15" i="22"/>
  <c r="M14" i="22"/>
  <c r="J14" i="22"/>
  <c r="I14" i="22"/>
  <c r="P14" i="22" s="1"/>
  <c r="H14" i="22"/>
  <c r="G14" i="22"/>
  <c r="M13" i="22"/>
  <c r="J13" i="22"/>
  <c r="I13" i="22"/>
  <c r="P13" i="22" s="1"/>
  <c r="H13" i="22"/>
  <c r="G13" i="22"/>
  <c r="M12" i="22"/>
  <c r="J12" i="22"/>
  <c r="I12" i="22"/>
  <c r="P12" i="22" s="1"/>
  <c r="H12" i="22"/>
  <c r="G12" i="22"/>
  <c r="M11" i="22"/>
  <c r="J11" i="22"/>
  <c r="I11" i="22"/>
  <c r="P11" i="22" s="1"/>
  <c r="H11" i="22"/>
  <c r="G11" i="22"/>
  <c r="F11" i="22"/>
  <c r="N11" i="22" s="1"/>
  <c r="M10" i="22"/>
  <c r="J10" i="22"/>
  <c r="I10" i="22"/>
  <c r="P10" i="22" s="1"/>
  <c r="H10" i="22"/>
  <c r="G10" i="22"/>
  <c r="F10" i="22"/>
  <c r="N10" i="22" s="1"/>
  <c r="M9" i="22"/>
  <c r="J9" i="22"/>
  <c r="I9" i="22"/>
  <c r="P9" i="22" s="1"/>
  <c r="H9" i="22"/>
  <c r="G9" i="22"/>
  <c r="F9" i="22"/>
  <c r="N9" i="22" s="1"/>
  <c r="M8" i="22"/>
  <c r="J8" i="22"/>
  <c r="I8" i="22"/>
  <c r="P8" i="22" s="1"/>
  <c r="H8" i="22"/>
  <c r="G8" i="22"/>
  <c r="M7" i="22"/>
  <c r="J7" i="22"/>
  <c r="I7" i="22"/>
  <c r="P7" i="22" s="1"/>
  <c r="H7" i="22"/>
  <c r="G7" i="22"/>
  <c r="M6" i="22"/>
  <c r="J6" i="22"/>
  <c r="I6" i="22"/>
  <c r="P6" i="22" s="1"/>
  <c r="H6" i="22"/>
  <c r="G6" i="22"/>
  <c r="M5" i="22"/>
  <c r="J5" i="22"/>
  <c r="I5" i="22"/>
  <c r="P5" i="22" s="1"/>
  <c r="H5" i="22"/>
  <c r="G5" i="22"/>
  <c r="M4" i="22"/>
  <c r="J4" i="22"/>
  <c r="I4" i="22"/>
  <c r="P4" i="22" s="1"/>
  <c r="H4" i="22"/>
  <c r="G4" i="22"/>
  <c r="M3" i="22"/>
  <c r="J3" i="22"/>
  <c r="I3" i="22"/>
  <c r="P3" i="22" s="1"/>
  <c r="H3" i="22"/>
  <c r="G3" i="22"/>
  <c r="F3" i="22"/>
  <c r="N3" i="22" s="1"/>
  <c r="K12" i="17"/>
  <c r="O26" i="24" l="1"/>
  <c r="Q26" i="24" s="1"/>
  <c r="Q20" i="24"/>
  <c r="R27" i="24"/>
  <c r="M28" i="24"/>
  <c r="O28" i="24" s="1"/>
  <c r="Q28" i="24" s="1"/>
  <c r="R29" i="24"/>
  <c r="R19" i="24"/>
  <c r="R26" i="24"/>
  <c r="R25" i="24"/>
  <c r="R7" i="24"/>
  <c r="Q24" i="24"/>
  <c r="R24" i="24"/>
  <c r="O15" i="24"/>
  <c r="Q15" i="24" s="1"/>
  <c r="O25" i="24"/>
  <c r="Q25" i="24" s="1"/>
  <c r="O33" i="24"/>
  <c r="Q33" i="24" s="1"/>
  <c r="R15" i="24"/>
  <c r="O19" i="24"/>
  <c r="Q19" i="24" s="1"/>
  <c r="O27" i="24"/>
  <c r="Q27" i="24" s="1"/>
  <c r="Q29" i="24"/>
  <c r="O16" i="24"/>
  <c r="Q16" i="24" s="1"/>
  <c r="R16" i="24"/>
  <c r="R34" i="24"/>
  <c r="R32" i="24"/>
  <c r="O34" i="24"/>
  <c r="Q34" i="24" s="1"/>
  <c r="R31" i="24"/>
  <c r="O21" i="24"/>
  <c r="Q21" i="24" s="1"/>
  <c r="R3" i="24"/>
  <c r="R13" i="24"/>
  <c r="R12" i="24"/>
  <c r="R30" i="24"/>
  <c r="R18" i="24"/>
  <c r="O30" i="24"/>
  <c r="Q30" i="24" s="1"/>
  <c r="O14" i="24"/>
  <c r="Q14" i="24" s="1"/>
  <c r="O23" i="22"/>
  <c r="Q23" i="22" s="1"/>
  <c r="V14" i="23"/>
  <c r="R11" i="24"/>
  <c r="O23" i="24"/>
  <c r="Q23" i="24" s="1"/>
  <c r="O26" i="22"/>
  <c r="Q26" i="22" s="1"/>
  <c r="T26" i="22" s="1"/>
  <c r="R21" i="24"/>
  <c r="R17" i="24"/>
  <c r="O13" i="24"/>
  <c r="Q13" i="24" s="1"/>
  <c r="R23" i="24"/>
  <c r="O11" i="24"/>
  <c r="Q11" i="24" s="1"/>
  <c r="O32" i="24"/>
  <c r="Q32" i="24" s="1"/>
  <c r="O17" i="24"/>
  <c r="Q17" i="24" s="1"/>
  <c r="O18" i="24"/>
  <c r="Q18" i="24" s="1"/>
  <c r="O31" i="24"/>
  <c r="Q31" i="24" s="1"/>
  <c r="Q22" i="24"/>
  <c r="R22" i="24"/>
  <c r="R14" i="24"/>
  <c r="O12" i="24"/>
  <c r="Q12" i="24" s="1"/>
  <c r="O25" i="22"/>
  <c r="Q25" i="22" s="1"/>
  <c r="S25" i="22" s="1"/>
  <c r="O27" i="22"/>
  <c r="Q27" i="22" s="1"/>
  <c r="O28" i="22"/>
  <c r="Q28" i="22" s="1"/>
  <c r="V9" i="23"/>
  <c r="P32" i="23"/>
  <c r="R32" i="23" s="1"/>
  <c r="U32" i="23" s="1"/>
  <c r="P29" i="23"/>
  <c r="R29" i="23" s="1"/>
  <c r="U29" i="23" s="1"/>
  <c r="V6" i="23"/>
  <c r="R31" i="23"/>
  <c r="V31" i="23"/>
  <c r="V5" i="23"/>
  <c r="V13" i="23"/>
  <c r="V24" i="23"/>
  <c r="V25" i="23"/>
  <c r="V3" i="23"/>
  <c r="V11" i="23"/>
  <c r="V18" i="23"/>
  <c r="V19" i="23"/>
  <c r="V20" i="23"/>
  <c r="V28" i="23"/>
  <c r="V29" i="23"/>
  <c r="P30" i="23"/>
  <c r="R30" i="23" s="1"/>
  <c r="U30" i="23" s="1"/>
  <c r="V8" i="23"/>
  <c r="V10" i="23"/>
  <c r="V16" i="23"/>
  <c r="V7" i="23"/>
  <c r="V15" i="23"/>
  <c r="V27" i="23"/>
  <c r="V4" i="23"/>
  <c r="V12" i="23"/>
  <c r="V22" i="23"/>
  <c r="P21" i="23"/>
  <c r="R21" i="23" s="1"/>
  <c r="P6" i="23"/>
  <c r="R6" i="23" s="1"/>
  <c r="U6" i="23" s="1"/>
  <c r="P14" i="23"/>
  <c r="R14" i="23" s="1"/>
  <c r="U14" i="23" s="1"/>
  <c r="P23" i="23"/>
  <c r="R23" i="23" s="1"/>
  <c r="U23" i="23" s="1"/>
  <c r="P13" i="23"/>
  <c r="R13" i="23" s="1"/>
  <c r="U13" i="23" s="1"/>
  <c r="P3" i="23"/>
  <c r="R3" i="23" s="1"/>
  <c r="P4" i="23"/>
  <c r="R4" i="23" s="1"/>
  <c r="U4" i="23" s="1"/>
  <c r="P24" i="23"/>
  <c r="R24" i="23" s="1"/>
  <c r="U24" i="23" s="1"/>
  <c r="P25" i="23"/>
  <c r="R25" i="23" s="1"/>
  <c r="P12" i="23"/>
  <c r="R12" i="23" s="1"/>
  <c r="P22" i="23"/>
  <c r="R22" i="23" s="1"/>
  <c r="U22" i="23" s="1"/>
  <c r="P5" i="23"/>
  <c r="R5" i="23" s="1"/>
  <c r="U5" i="23" s="1"/>
  <c r="P11" i="23"/>
  <c r="R11" i="23" s="1"/>
  <c r="U11" i="23" s="1"/>
  <c r="P17" i="23"/>
  <c r="R17" i="23" s="1"/>
  <c r="U17" i="23" s="1"/>
  <c r="P18" i="23"/>
  <c r="R18" i="23" s="1"/>
  <c r="U18" i="23" s="1"/>
  <c r="P19" i="23"/>
  <c r="R19" i="23" s="1"/>
  <c r="U19" i="23" s="1"/>
  <c r="P20" i="23"/>
  <c r="R20" i="23" s="1"/>
  <c r="U20" i="23" s="1"/>
  <c r="P27" i="23"/>
  <c r="R27" i="23" s="1"/>
  <c r="U27" i="23" s="1"/>
  <c r="P28" i="23"/>
  <c r="R28" i="23" s="1"/>
  <c r="U28" i="23" s="1"/>
  <c r="P10" i="23"/>
  <c r="R10" i="23" s="1"/>
  <c r="P9" i="23"/>
  <c r="R9" i="23" s="1"/>
  <c r="U9" i="23" s="1"/>
  <c r="P16" i="23"/>
  <c r="R16" i="23" s="1"/>
  <c r="U16" i="23" s="1"/>
  <c r="P7" i="23"/>
  <c r="R7" i="23" s="1"/>
  <c r="U7" i="23" s="1"/>
  <c r="P15" i="23"/>
  <c r="R15" i="23" s="1"/>
  <c r="U15" i="23" s="1"/>
  <c r="O13" i="22"/>
  <c r="Q13" i="22" s="1"/>
  <c r="T13" i="22" s="1"/>
  <c r="O11" i="22"/>
  <c r="Q11" i="22" s="1"/>
  <c r="O19" i="22"/>
  <c r="Q19" i="22" s="1"/>
  <c r="O15" i="22"/>
  <c r="Q15" i="22" s="1"/>
  <c r="T15" i="22" s="1"/>
  <c r="O18" i="22"/>
  <c r="Q18" i="22" s="1"/>
  <c r="T18" i="22" s="1"/>
  <c r="O24" i="22"/>
  <c r="Q24" i="22" s="1"/>
  <c r="O3" i="22"/>
  <c r="Q3" i="22" s="1"/>
  <c r="O4" i="22"/>
  <c r="Q4" i="22" s="1"/>
  <c r="O6" i="22"/>
  <c r="Q6" i="22" s="1"/>
  <c r="O9" i="22"/>
  <c r="Q9" i="22" s="1"/>
  <c r="T9" i="22" s="1"/>
  <c r="O10" i="22"/>
  <c r="Q10" i="22" s="1"/>
  <c r="T10" i="22" s="1"/>
  <c r="O12" i="22"/>
  <c r="Q12" i="22" s="1"/>
  <c r="O17" i="22"/>
  <c r="Q17" i="22" s="1"/>
  <c r="T17" i="22" s="1"/>
  <c r="O20" i="22"/>
  <c r="Q20" i="22" s="1"/>
  <c r="T20" i="22" s="1"/>
  <c r="O8" i="22"/>
  <c r="Q8" i="22" s="1"/>
  <c r="S8" i="22" s="1"/>
  <c r="O7" i="22"/>
  <c r="Q7" i="22" s="1"/>
  <c r="S7" i="22" s="1"/>
  <c r="O14" i="22"/>
  <c r="Q14" i="22" s="1"/>
  <c r="O29" i="22"/>
  <c r="Q29" i="22" s="1"/>
  <c r="O5" i="22"/>
  <c r="Q5" i="22" s="1"/>
  <c r="O21" i="22"/>
  <c r="Q21" i="22" s="1"/>
  <c r="O22" i="22"/>
  <c r="Q22" i="22" s="1"/>
  <c r="S22" i="22" s="1"/>
  <c r="O16" i="22"/>
  <c r="Q16" i="22" s="1"/>
  <c r="T16" i="22" s="1"/>
  <c r="K19" i="17"/>
  <c r="M19" i="17" s="1"/>
  <c r="K29" i="17"/>
  <c r="M29" i="17" s="1"/>
  <c r="K24" i="17"/>
  <c r="M24" i="17" s="1"/>
  <c r="M28" i="17"/>
  <c r="M27" i="17"/>
  <c r="M26" i="17"/>
  <c r="M25" i="17"/>
  <c r="M22" i="17"/>
  <c r="M18" i="17"/>
  <c r="K20" i="17"/>
  <c r="M20" i="17" s="1"/>
  <c r="K16" i="17"/>
  <c r="M16" i="17" s="1"/>
  <c r="K15" i="17"/>
  <c r="M15" i="17" s="1"/>
  <c r="K14" i="17"/>
  <c r="M14" i="17"/>
  <c r="K13" i="17"/>
  <c r="M13" i="17" s="1"/>
  <c r="M12" i="17"/>
  <c r="K11" i="17"/>
  <c r="M11" i="17" s="1"/>
  <c r="M9" i="17"/>
  <c r="K10" i="17"/>
  <c r="M10" i="17" s="1"/>
  <c r="R29" i="17"/>
  <c r="J29" i="17"/>
  <c r="I29" i="17"/>
  <c r="P29" i="17" s="1"/>
  <c r="H29" i="17"/>
  <c r="G29" i="17"/>
  <c r="F29" i="17"/>
  <c r="N29" i="17" s="1"/>
  <c r="K8" i="17"/>
  <c r="M8" i="17" s="1"/>
  <c r="K6" i="17"/>
  <c r="M6" i="17" s="1"/>
  <c r="K5" i="17"/>
  <c r="M5" i="17" s="1"/>
  <c r="M7" i="17"/>
  <c r="K4" i="17"/>
  <c r="M4" i="17" s="1"/>
  <c r="R28" i="24" l="1"/>
  <c r="U31" i="23"/>
  <c r="T31" i="23"/>
  <c r="T8" i="23"/>
  <c r="T12" i="23"/>
  <c r="U12" i="23"/>
  <c r="T3" i="23"/>
  <c r="U3" i="23"/>
  <c r="T10" i="23"/>
  <c r="U10" i="23"/>
  <c r="T21" i="23"/>
  <c r="U21" i="23"/>
  <c r="T25" i="23"/>
  <c r="U25" i="23"/>
  <c r="T29" i="23"/>
  <c r="T30" i="23"/>
  <c r="T28" i="23"/>
  <c r="T13" i="23"/>
  <c r="T6" i="23"/>
  <c r="T4" i="23"/>
  <c r="T16" i="23"/>
  <c r="T15" i="23"/>
  <c r="T11" i="23"/>
  <c r="T24" i="23"/>
  <c r="T26" i="23"/>
  <c r="T23" i="23"/>
  <c r="T7" i="23"/>
  <c r="T27" i="23"/>
  <c r="T14" i="23"/>
  <c r="S10" i="22"/>
  <c r="T22" i="23"/>
  <c r="T5" i="23"/>
  <c r="S13" i="22"/>
  <c r="T25" i="22"/>
  <c r="S26" i="22"/>
  <c r="S16" i="22"/>
  <c r="S15" i="22"/>
  <c r="T8" i="22"/>
  <c r="T22" i="22"/>
  <c r="T7" i="22"/>
  <c r="T27" i="22"/>
  <c r="S27" i="22"/>
  <c r="T23" i="22"/>
  <c r="S23" i="22"/>
  <c r="T4" i="22"/>
  <c r="S4" i="22"/>
  <c r="T3" i="22"/>
  <c r="S3" i="22"/>
  <c r="T14" i="22"/>
  <c r="S14" i="22"/>
  <c r="T6" i="22"/>
  <c r="S6" i="22"/>
  <c r="T21" i="22"/>
  <c r="S21" i="22"/>
  <c r="T5" i="22"/>
  <c r="S5" i="22"/>
  <c r="T19" i="22"/>
  <c r="T11" i="22"/>
  <c r="S11" i="22"/>
  <c r="T12" i="22"/>
  <c r="S12" i="22"/>
  <c r="T28" i="22"/>
  <c r="S28" i="22"/>
  <c r="T29" i="22"/>
  <c r="S29" i="22"/>
  <c r="S24" i="22"/>
  <c r="T24" i="22"/>
  <c r="O29" i="17"/>
  <c r="Q29" i="17" s="1"/>
  <c r="S29" i="17" l="1"/>
  <c r="T29" i="17"/>
  <c r="K3" i="17"/>
  <c r="M3" i="17" s="1"/>
  <c r="R28" i="17"/>
  <c r="R27" i="17"/>
  <c r="R26" i="17"/>
  <c r="R25" i="17"/>
  <c r="R24" i="17"/>
  <c r="R23" i="17"/>
  <c r="J28" i="17"/>
  <c r="I28" i="17"/>
  <c r="P28" i="17" s="1"/>
  <c r="H28" i="17"/>
  <c r="G28" i="17"/>
  <c r="F28" i="17"/>
  <c r="N28" i="17" s="1"/>
  <c r="J27" i="17"/>
  <c r="I27" i="17"/>
  <c r="P27" i="17" s="1"/>
  <c r="H27" i="17"/>
  <c r="G27" i="17"/>
  <c r="F27" i="17"/>
  <c r="N27" i="17" s="1"/>
  <c r="J26" i="17"/>
  <c r="I26" i="17"/>
  <c r="P26" i="17" s="1"/>
  <c r="H26" i="17"/>
  <c r="G26" i="17"/>
  <c r="N26" i="17"/>
  <c r="J25" i="17"/>
  <c r="I25" i="17"/>
  <c r="P25" i="17" s="1"/>
  <c r="H25" i="17"/>
  <c r="G25" i="17"/>
  <c r="F25" i="17"/>
  <c r="N25" i="17" s="1"/>
  <c r="J24" i="17"/>
  <c r="I24" i="17"/>
  <c r="P24" i="17" s="1"/>
  <c r="H24" i="17"/>
  <c r="G24" i="17"/>
  <c r="F24" i="17"/>
  <c r="N24" i="17" s="1"/>
  <c r="R22" i="17"/>
  <c r="R21" i="17"/>
  <c r="Q34" i="17"/>
  <c r="J23" i="17"/>
  <c r="I23" i="17"/>
  <c r="P23" i="17" s="1"/>
  <c r="H23" i="17"/>
  <c r="G23" i="17"/>
  <c r="F23" i="17"/>
  <c r="N23" i="17" s="1"/>
  <c r="J22" i="17"/>
  <c r="I22" i="17"/>
  <c r="P22" i="17" s="1"/>
  <c r="H22" i="17"/>
  <c r="G22" i="17"/>
  <c r="N22" i="17"/>
  <c r="J21" i="17"/>
  <c r="I21" i="17"/>
  <c r="P21" i="17" s="1"/>
  <c r="H21" i="17"/>
  <c r="G21" i="17"/>
  <c r="F21" i="17"/>
  <c r="N21" i="17" s="1"/>
  <c r="J20" i="17"/>
  <c r="I20" i="17"/>
  <c r="P20" i="17" s="1"/>
  <c r="H20" i="17"/>
  <c r="G20" i="17"/>
  <c r="F20" i="17"/>
  <c r="N20" i="17" s="1"/>
  <c r="J19" i="17"/>
  <c r="I19" i="17"/>
  <c r="P19" i="17" s="1"/>
  <c r="H19" i="17"/>
  <c r="G19" i="17"/>
  <c r="F19" i="17"/>
  <c r="N19" i="17" s="1"/>
  <c r="J18" i="17"/>
  <c r="I18" i="17"/>
  <c r="P18" i="17" s="1"/>
  <c r="H18" i="17"/>
  <c r="G18" i="17"/>
  <c r="F18" i="17"/>
  <c r="N18" i="17" s="1"/>
  <c r="J17" i="17"/>
  <c r="I17" i="17"/>
  <c r="P17" i="17" s="1"/>
  <c r="H17" i="17"/>
  <c r="G17" i="17"/>
  <c r="F17" i="17"/>
  <c r="N17" i="17" s="1"/>
  <c r="J16" i="17"/>
  <c r="I16" i="17"/>
  <c r="P16" i="17" s="1"/>
  <c r="H16" i="17"/>
  <c r="G16" i="17"/>
  <c r="F16" i="17"/>
  <c r="N16" i="17" s="1"/>
  <c r="J15" i="17"/>
  <c r="I15" i="17"/>
  <c r="P15" i="17" s="1"/>
  <c r="H15" i="17"/>
  <c r="G15" i="17"/>
  <c r="F15" i="17"/>
  <c r="N15" i="17" s="1"/>
  <c r="J14" i="17"/>
  <c r="I14" i="17"/>
  <c r="P14" i="17" s="1"/>
  <c r="H14" i="17"/>
  <c r="G14" i="17"/>
  <c r="F14" i="17"/>
  <c r="N14" i="17" s="1"/>
  <c r="J13" i="17"/>
  <c r="I13" i="17"/>
  <c r="P13" i="17" s="1"/>
  <c r="H13" i="17"/>
  <c r="G13" i="17"/>
  <c r="F13" i="17"/>
  <c r="N13" i="17" s="1"/>
  <c r="J12" i="17"/>
  <c r="I12" i="17"/>
  <c r="P12" i="17" s="1"/>
  <c r="H12" i="17"/>
  <c r="G12" i="17"/>
  <c r="N12" i="17"/>
  <c r="J11" i="17"/>
  <c r="I11" i="17"/>
  <c r="P11" i="17" s="1"/>
  <c r="H11" i="17"/>
  <c r="G11" i="17"/>
  <c r="F11" i="17"/>
  <c r="N11" i="17" s="1"/>
  <c r="J10" i="17"/>
  <c r="I10" i="17"/>
  <c r="P10" i="17" s="1"/>
  <c r="H10" i="17"/>
  <c r="G10" i="17"/>
  <c r="F10" i="17"/>
  <c r="N10" i="17" s="1"/>
  <c r="J9" i="17"/>
  <c r="I9" i="17"/>
  <c r="P9" i="17" s="1"/>
  <c r="H9" i="17"/>
  <c r="G9" i="17"/>
  <c r="F9" i="17"/>
  <c r="N9" i="17" s="1"/>
  <c r="J8" i="17"/>
  <c r="I8" i="17"/>
  <c r="P8" i="17" s="1"/>
  <c r="H8" i="17"/>
  <c r="G8" i="17"/>
  <c r="F8" i="17"/>
  <c r="N8" i="17" s="1"/>
  <c r="J7" i="17"/>
  <c r="I7" i="17"/>
  <c r="P7" i="17" s="1"/>
  <c r="H7" i="17"/>
  <c r="G7" i="17"/>
  <c r="F7" i="17"/>
  <c r="N7" i="17" s="1"/>
  <c r="J6" i="17"/>
  <c r="I6" i="17"/>
  <c r="P6" i="17" s="1"/>
  <c r="H6" i="17"/>
  <c r="G6" i="17"/>
  <c r="F6" i="17"/>
  <c r="N6" i="17" s="1"/>
  <c r="J5" i="17"/>
  <c r="I5" i="17"/>
  <c r="P5" i="17" s="1"/>
  <c r="H5" i="17"/>
  <c r="G5" i="17"/>
  <c r="F5" i="17"/>
  <c r="N5" i="17" s="1"/>
  <c r="J4" i="17"/>
  <c r="I4" i="17"/>
  <c r="P4" i="17" s="1"/>
  <c r="H4" i="17"/>
  <c r="G4" i="17"/>
  <c r="F4" i="17"/>
  <c r="N4" i="17" s="1"/>
  <c r="J3" i="17"/>
  <c r="I3" i="17"/>
  <c r="P3" i="17" s="1"/>
  <c r="H3" i="17"/>
  <c r="G3" i="17"/>
  <c r="F3" i="17"/>
  <c r="N3" i="17" s="1"/>
  <c r="O25" i="17" l="1"/>
  <c r="Q25" i="17" s="1"/>
  <c r="T25" i="17" s="1"/>
  <c r="O28" i="17"/>
  <c r="Q28" i="17" s="1"/>
  <c r="O23" i="17"/>
  <c r="Q23" i="17" s="1"/>
  <c r="O24" i="17"/>
  <c r="Q24" i="17" s="1"/>
  <c r="T24" i="17" s="1"/>
  <c r="O27" i="17"/>
  <c r="Q27" i="17" s="1"/>
  <c r="T27" i="17" s="1"/>
  <c r="O26" i="17"/>
  <c r="Q26" i="17" s="1"/>
  <c r="T26" i="17" s="1"/>
  <c r="O5" i="17"/>
  <c r="Q5" i="17" s="1"/>
  <c r="T5" i="17" s="1"/>
  <c r="O16" i="17"/>
  <c r="Q16" i="17" s="1"/>
  <c r="T16" i="17" s="1"/>
  <c r="O19" i="17"/>
  <c r="Q19" i="17" s="1"/>
  <c r="T19" i="17" s="1"/>
  <c r="O3" i="17"/>
  <c r="Q3" i="17" s="1"/>
  <c r="T3" i="17" s="1"/>
  <c r="O18" i="17"/>
  <c r="Q18" i="17" s="1"/>
  <c r="T18" i="17" s="1"/>
  <c r="O21" i="17"/>
  <c r="Q21" i="17" s="1"/>
  <c r="T21" i="17" s="1"/>
  <c r="O6" i="17"/>
  <c r="Q6" i="17" s="1"/>
  <c r="O22" i="17"/>
  <c r="Q22" i="17" s="1"/>
  <c r="T22" i="17" s="1"/>
  <c r="O8" i="17"/>
  <c r="Q8" i="17" s="1"/>
  <c r="T8" i="17" s="1"/>
  <c r="O14" i="17"/>
  <c r="Q14" i="17" s="1"/>
  <c r="T14" i="17" s="1"/>
  <c r="O10" i="17"/>
  <c r="Q10" i="17" s="1"/>
  <c r="T10" i="17" s="1"/>
  <c r="O13" i="17"/>
  <c r="Q13" i="17" s="1"/>
  <c r="T13" i="17" s="1"/>
  <c r="O7" i="17"/>
  <c r="Q7" i="17" s="1"/>
  <c r="T7" i="17" s="1"/>
  <c r="O12" i="17"/>
  <c r="Q12" i="17" s="1"/>
  <c r="T12" i="17" s="1"/>
  <c r="O11" i="17"/>
  <c r="Q11" i="17" s="1"/>
  <c r="T11" i="17" s="1"/>
  <c r="O17" i="17"/>
  <c r="Q17" i="17" s="1"/>
  <c r="T17" i="17" s="1"/>
  <c r="O15" i="17"/>
  <c r="Q15" i="17" s="1"/>
  <c r="T15" i="17" s="1"/>
  <c r="O20" i="17"/>
  <c r="Q20" i="17" s="1"/>
  <c r="T20" i="17" s="1"/>
  <c r="O4" i="17"/>
  <c r="Q4" i="17" s="1"/>
  <c r="O9" i="17"/>
  <c r="Q9" i="17" s="1"/>
  <c r="T9" i="17" s="1"/>
  <c r="L12" i="14"/>
  <c r="N12" i="14" s="1"/>
  <c r="J12" i="14"/>
  <c r="I12" i="14"/>
  <c r="Q12" i="14" s="1"/>
  <c r="H12" i="14"/>
  <c r="G12" i="14"/>
  <c r="F12" i="14"/>
  <c r="O12" i="14" s="1"/>
  <c r="S6" i="17" l="1"/>
  <c r="T6" i="17"/>
  <c r="S23" i="17"/>
  <c r="T23" i="17"/>
  <c r="S28" i="17"/>
  <c r="T28" i="17"/>
  <c r="S4" i="17"/>
  <c r="T4" i="17"/>
  <c r="S24" i="17"/>
  <c r="S26" i="17"/>
  <c r="S27" i="17"/>
  <c r="S25" i="17"/>
  <c r="S21" i="17"/>
  <c r="S15" i="17"/>
  <c r="S5" i="17"/>
  <c r="S3" i="17"/>
  <c r="S22" i="17"/>
  <c r="S10" i="17"/>
  <c r="S11" i="17"/>
  <c r="S14" i="17"/>
  <c r="S13" i="17"/>
  <c r="S8" i="17"/>
  <c r="S12" i="17"/>
  <c r="S16" i="17"/>
  <c r="S7" i="17"/>
  <c r="P12" i="14"/>
  <c r="R12" i="14" s="1"/>
  <c r="W12" i="14"/>
  <c r="N11" i="14"/>
  <c r="N13" i="14"/>
  <c r="N5" i="14"/>
  <c r="N15" i="14"/>
  <c r="N10" i="14"/>
  <c r="N7" i="14"/>
  <c r="N17" i="14"/>
  <c r="N18" i="14"/>
  <c r="N16" i="14"/>
  <c r="N4" i="14"/>
  <c r="M29" i="14"/>
  <c r="N3" i="14"/>
  <c r="N14" i="14"/>
  <c r="N9" i="14"/>
  <c r="N8" i="14"/>
  <c r="N6" i="14"/>
  <c r="N19" i="14"/>
  <c r="J14" i="14"/>
  <c r="I14" i="14"/>
  <c r="Q14" i="14" s="1"/>
  <c r="H14" i="14"/>
  <c r="G14" i="14"/>
  <c r="F14" i="14"/>
  <c r="O14" i="14" s="1"/>
  <c r="J9" i="14"/>
  <c r="I9" i="14"/>
  <c r="Q9" i="14" s="1"/>
  <c r="H9" i="14"/>
  <c r="G9" i="14"/>
  <c r="F9" i="14"/>
  <c r="O9" i="14" s="1"/>
  <c r="J16" i="14"/>
  <c r="I16" i="14"/>
  <c r="Q16" i="14" s="1"/>
  <c r="H16" i="14"/>
  <c r="G16" i="14"/>
  <c r="F16" i="14"/>
  <c r="O16" i="14" s="1"/>
  <c r="J10" i="14"/>
  <c r="I10" i="14"/>
  <c r="Q10" i="14" s="1"/>
  <c r="H10" i="14"/>
  <c r="G10" i="14"/>
  <c r="F10" i="14"/>
  <c r="O10" i="14" s="1"/>
  <c r="J7" i="14"/>
  <c r="I7" i="14"/>
  <c r="Q7" i="14" s="1"/>
  <c r="H7" i="14"/>
  <c r="G7" i="14"/>
  <c r="F7" i="14"/>
  <c r="O7" i="14" s="1"/>
  <c r="J8" i="14"/>
  <c r="I8" i="14"/>
  <c r="Q8" i="14" s="1"/>
  <c r="H8" i="14"/>
  <c r="G8" i="14"/>
  <c r="F8" i="14"/>
  <c r="O8" i="14" s="1"/>
  <c r="J4" i="14"/>
  <c r="I4" i="14"/>
  <c r="Q4" i="14" s="1"/>
  <c r="H4" i="14"/>
  <c r="G4" i="14"/>
  <c r="F4" i="14"/>
  <c r="O4" i="14" s="1"/>
  <c r="J6" i="14"/>
  <c r="I6" i="14"/>
  <c r="Q6" i="14" s="1"/>
  <c r="H6" i="14"/>
  <c r="G6" i="14"/>
  <c r="F6" i="14"/>
  <c r="O6" i="14" s="1"/>
  <c r="J17" i="14"/>
  <c r="I17" i="14"/>
  <c r="Q17" i="14" s="1"/>
  <c r="H17" i="14"/>
  <c r="G17" i="14"/>
  <c r="F17" i="14"/>
  <c r="O17" i="14" s="1"/>
  <c r="J18" i="14"/>
  <c r="I18" i="14"/>
  <c r="Q18" i="14" s="1"/>
  <c r="H18" i="14"/>
  <c r="G18" i="14"/>
  <c r="F18" i="14"/>
  <c r="O18" i="14" s="1"/>
  <c r="J11" i="14"/>
  <c r="I11" i="14"/>
  <c r="Q11" i="14" s="1"/>
  <c r="H11" i="14"/>
  <c r="G11" i="14"/>
  <c r="F11" i="14"/>
  <c r="O11" i="14" s="1"/>
  <c r="J3" i="14"/>
  <c r="I3" i="14"/>
  <c r="Q3" i="14" s="1"/>
  <c r="H3" i="14"/>
  <c r="G3" i="14"/>
  <c r="F3" i="14"/>
  <c r="O3" i="14" s="1"/>
  <c r="J19" i="14"/>
  <c r="I19" i="14"/>
  <c r="Q19" i="14" s="1"/>
  <c r="H19" i="14"/>
  <c r="G19" i="14"/>
  <c r="F19" i="14"/>
  <c r="O19" i="14" s="1"/>
  <c r="J13" i="14"/>
  <c r="I13" i="14"/>
  <c r="Q13" i="14" s="1"/>
  <c r="H13" i="14"/>
  <c r="G13" i="14"/>
  <c r="F13" i="14"/>
  <c r="O13" i="14" s="1"/>
  <c r="J5" i="14"/>
  <c r="I5" i="14"/>
  <c r="Q5" i="14" s="1"/>
  <c r="H5" i="14"/>
  <c r="G5" i="14"/>
  <c r="F5" i="14"/>
  <c r="O5" i="14" s="1"/>
  <c r="J15" i="14"/>
  <c r="I15" i="14"/>
  <c r="Q15" i="14" s="1"/>
  <c r="H15" i="14"/>
  <c r="G15" i="14"/>
  <c r="F15" i="14"/>
  <c r="O15" i="14" s="1"/>
  <c r="W3" i="14" l="1"/>
  <c r="W7" i="14"/>
  <c r="W10" i="14"/>
  <c r="T12" i="14"/>
  <c r="U12" i="14"/>
  <c r="W9" i="14"/>
  <c r="W14" i="14"/>
  <c r="W18" i="14"/>
  <c r="W8" i="14"/>
  <c r="W17" i="14"/>
  <c r="W13" i="14"/>
  <c r="W19" i="14"/>
  <c r="W16" i="14"/>
  <c r="W11" i="14"/>
  <c r="W4" i="14"/>
  <c r="W6" i="14"/>
  <c r="W15" i="14"/>
  <c r="W5" i="14"/>
  <c r="P11" i="14"/>
  <c r="R11" i="14" s="1"/>
  <c r="T11" i="14" s="1"/>
  <c r="P9" i="14"/>
  <c r="R9" i="14" s="1"/>
  <c r="P14" i="14"/>
  <c r="R14" i="14" s="1"/>
  <c r="P6" i="14"/>
  <c r="R6" i="14" s="1"/>
  <c r="T6" i="14" s="1"/>
  <c r="P3" i="14"/>
  <c r="R3" i="14" s="1"/>
  <c r="U3" i="14" s="1"/>
  <c r="P19" i="14"/>
  <c r="R19" i="14" s="1"/>
  <c r="U19" i="14" s="1"/>
  <c r="P10" i="14"/>
  <c r="R10" i="14" s="1"/>
  <c r="P8" i="14"/>
  <c r="R8" i="14" s="1"/>
  <c r="P7" i="14"/>
  <c r="R7" i="14" s="1"/>
  <c r="P5" i="14"/>
  <c r="R5" i="14" s="1"/>
  <c r="U5" i="14" s="1"/>
  <c r="P16" i="14"/>
  <c r="R16" i="14" s="1"/>
  <c r="P15" i="14"/>
  <c r="R15" i="14" s="1"/>
  <c r="P13" i="14"/>
  <c r="R13" i="14" s="1"/>
  <c r="N20" i="14"/>
  <c r="P18" i="14"/>
  <c r="R18" i="14" s="1"/>
  <c r="T18" i="14" s="1"/>
  <c r="P17" i="14"/>
  <c r="R17" i="14" s="1"/>
  <c r="P4" i="14"/>
  <c r="R4" i="14" s="1"/>
  <c r="U14" i="14" l="1"/>
  <c r="U6" i="14"/>
  <c r="T3" i="14"/>
  <c r="T19" i="14"/>
  <c r="U11" i="14"/>
  <c r="T15" i="14"/>
  <c r="U15" i="14"/>
  <c r="T5" i="14"/>
  <c r="U18" i="14"/>
  <c r="U13" i="14"/>
  <c r="T13" i="14"/>
  <c r="T8" i="14"/>
  <c r="U8" i="14"/>
  <c r="U9" i="14"/>
  <c r="U17" i="14"/>
  <c r="T17" i="14"/>
  <c r="U16" i="14"/>
  <c r="R20" i="14"/>
  <c r="U20" i="14" s="1"/>
  <c r="U4" i="14"/>
  <c r="T4" i="14"/>
  <c r="U10" i="14"/>
  <c r="T10" i="14"/>
  <c r="U7" i="14"/>
  <c r="T7" i="14"/>
  <c r="K11" i="14" l="1"/>
  <c r="V11" i="14" s="1"/>
  <c r="R18" i="22" l="1"/>
  <c r="S18" i="22" s="1"/>
  <c r="S18" i="23"/>
  <c r="T18" i="23" s="1"/>
  <c r="R18" i="17"/>
  <c r="S18" i="17" s="1"/>
  <c r="S16" i="14"/>
  <c r="T16" i="14" s="1"/>
  <c r="R20" i="22" l="1"/>
  <c r="S20" i="22" s="1"/>
  <c r="S20" i="23"/>
  <c r="T20" i="23" s="1"/>
  <c r="R20" i="17"/>
  <c r="S20" i="17" s="1"/>
  <c r="S14" i="14"/>
  <c r="T14" i="14" s="1"/>
  <c r="K12" i="14" l="1"/>
  <c r="V12" i="14" s="1"/>
  <c r="K4" i="14"/>
  <c r="V4" i="14" s="1"/>
  <c r="K7" i="14"/>
  <c r="V7" i="14" s="1"/>
  <c r="K16" i="14"/>
  <c r="V16" i="14" s="1"/>
  <c r="K9" i="14"/>
  <c r="V9" i="14" s="1"/>
  <c r="K6" i="14"/>
  <c r="V6" i="14" s="1"/>
  <c r="K8" i="14"/>
  <c r="V8" i="14" s="1"/>
  <c r="K17" i="14"/>
  <c r="V17" i="14" s="1"/>
  <c r="K10" i="14"/>
  <c r="V10" i="14" s="1"/>
  <c r="K3" i="14" l="1"/>
  <c r="V3" i="14" l="1"/>
  <c r="K19" i="14"/>
  <c r="V19" i="14" s="1"/>
  <c r="K14" i="14" l="1"/>
  <c r="V14" i="14" s="1"/>
  <c r="K18" i="14" l="1"/>
  <c r="V18" i="14" s="1"/>
  <c r="K5" i="14"/>
  <c r="K15" i="14"/>
  <c r="V15" i="14" s="1"/>
  <c r="K13" i="14"/>
  <c r="V13" i="14" s="1"/>
  <c r="V5" i="14" l="1"/>
  <c r="K20" i="14"/>
  <c r="R19" i="22" l="1"/>
  <c r="S19" i="22" s="1"/>
  <c r="S19" i="23"/>
  <c r="T19" i="23" s="1"/>
  <c r="R19" i="17"/>
  <c r="S19" i="17" s="1"/>
  <c r="S9" i="14"/>
  <c r="T9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tc={9D805E52-ADF1-4936-A3F0-EF4E32C3B086}</author>
  </authors>
  <commentList>
    <comment ref="F30" authorId="0" shapeId="0" xr:uid="{9D805E52-ADF1-4936-A3F0-EF4E32C3B086}">
      <text>
        <t>[Threaded comment]
Your version of Excel allows you to read this threaded comment; however, any edits to it will get removed if the file is opened in a newer version of Excel. Learn more: https://go.microsoft.com/fwlink/?linkid=870924
Comment:
    Iniciou dia 28/06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tc={5B505AA1-4F86-4DED-9623-7172C22D1A26}</author>
    <author>tc={F9B3E4C2-C148-4866-A5FF-CFF60F965077}</author>
    <author>tc={C116A524-2F30-4F33-9FD0-329BDC7105E4}</author>
    <author>tc={DAEBCF4B-3047-4608-8FD5-90D0ADCBAB3C}</author>
    <author>tc={F3CE56D4-205E-427C-870F-D4A07785A84A}</author>
  </authors>
  <commentList>
    <comment ref="B26" authorId="0" shapeId="0" xr:uid="{5B505AA1-4F86-4DED-9623-7172C22D1A26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Descontar dias faltantes 10.07 a 15.07</t>
      </text>
    </comment>
    <comment ref="B28" authorId="1" shapeId="0" xr:uid="{F9B3E4C2-C148-4866-A5FF-CFF60F965077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Faltou 21 e 28</t>
      </text>
    </comment>
    <comment ref="B29" authorId="2" shapeId="0" xr:uid="{C116A524-2F30-4F33-9FD0-329BDC7105E4}">
      <text>
        <t>[Threaded comment]
Your version of Excel allows you to read this threaded comment; however, any edits to it will get removed if the file is opened in a newer version of Excel. Learn more: https://go.microsoft.com/fwlink/?linkid=870924
Comment:
    Iniciou 05/07/2021</t>
      </text>
    </comment>
    <comment ref="B33" authorId="3" shapeId="0" xr:uid="{DAEBCF4B-3047-4608-8FD5-90D0ADCBAB3C}">
      <text>
        <t>[Threaded comment]
Your version of Excel allows you to read this threaded comment; however, any edits to it will get removed if the file is opened in a newer version of Excel. Learn more: https://go.microsoft.com/fwlink/?linkid=870924
Comment:
    iniciou 05/07/2021</t>
      </text>
    </comment>
    <comment ref="B34" authorId="4" shapeId="0" xr:uid="{F3CE56D4-205E-427C-870F-D4A07785A84A}">
      <text>
        <t>[Threaded comment]
Your version of Excel allows you to read this threaded comment; however, any edits to it will get removed if the file is opened in a newer version of Excel. Learn more: https://go.microsoft.com/fwlink/?linkid=870924
Comment:
    Inicio 12/07/2021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tc={BA6F3ABF-49BC-4287-A8C4-700744FEA45D}</author>
    <author>tc={A304D997-7963-4CB8-8061-23283A01205B}</author>
    <author>tc={A32EE2C5-AC0D-4EDD-8A5A-9D082526EADC}</author>
    <author>tc={A9FECC83-5FEC-462D-855B-3FAD4206774B}</author>
    <author>tc={5A919C01-BBFD-4D80-95AF-FE694051330B}</author>
    <author>tc={9D522940-BD97-4B01-B815-996491F344A7}</author>
    <author>tc={45744131-710F-4C91-9551-FC82EF8EB583}</author>
  </authors>
  <commentList>
    <comment ref="B11" authorId="0" shapeId="0" xr:uid="{BA6F3ABF-49BC-4287-A8C4-700744FEA45D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Faltou 07/08 e 28/08 (Sabados)</t>
      </text>
    </comment>
    <comment ref="B25" authorId="1" shapeId="0" xr:uid="{A304D997-7963-4CB8-8061-23283A01205B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Faltou 14 e 16/08</t>
      </text>
    </comment>
    <comment ref="B26" authorId="2" shapeId="0" xr:uid="{A32EE2C5-AC0D-4EDD-8A5A-9D082526EADC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Faltou 03/08/2021</t>
      </text>
    </comment>
    <comment ref="B29" authorId="3" shapeId="0" xr:uid="{A9FECC83-5FEC-462D-855B-3FAD4206774B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Faltou 05/08 para afzer exame</t>
      </text>
    </comment>
    <comment ref="B33" authorId="4" shapeId="0" xr:uid="{5A919C01-BBFD-4D80-95AF-FE694051330B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Faltou 26/08 colação de grau</t>
      </text>
    </comment>
    <comment ref="B34" authorId="5" shapeId="0" xr:uid="{9D522940-BD97-4B01-B815-996491F344A7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Faltou 19,20,21 para fazer curso</t>
      </text>
    </comment>
    <comment ref="B35" authorId="6" shapeId="0" xr:uid="{45744131-710F-4C91-9551-FC82EF8EB583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Faltou 19, 20, 21 para fazer curso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tc={790B7FB7-6D2A-4240-BDFE-DFFAF3112A00}</author>
    <author>tc={0C33E85B-0A7F-4BED-9629-351EC572E625}</author>
    <author>tc={867EFC4C-2FE4-4B8B-87F2-84988182A7FB}</author>
    <author>tc={4C42FE66-FAE2-4601-AB07-91380FA39284}</author>
    <author>tc={3490F671-6EE5-4012-AB3A-F6D26528DB3C}</author>
    <author>tc={B5A39561-BDFA-4AB7-9702-EF6B54ECED3D}</author>
    <author>tc={EE1D7670-E002-483C-946A-340EB911B215}</author>
  </authors>
  <commentList>
    <comment ref="B11" authorId="0" shapeId="0" xr:uid="{790B7FB7-6D2A-4240-BDFE-DFFAF3112A00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Faltou 07/08 e 28/08 (Sabados)</t>
      </text>
    </comment>
    <comment ref="B25" authorId="1" shapeId="0" xr:uid="{0C33E85B-0A7F-4BED-9629-351EC572E625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Faltou 14 e 16/08</t>
      </text>
    </comment>
    <comment ref="B26" authorId="2" shapeId="0" xr:uid="{867EFC4C-2FE4-4B8B-87F2-84988182A7FB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Faltou 03/08/2021</t>
      </text>
    </comment>
    <comment ref="B29" authorId="3" shapeId="0" xr:uid="{4C42FE66-FAE2-4601-AB07-91380FA39284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Faltou 05/08 para afzer exame</t>
      </text>
    </comment>
    <comment ref="B33" authorId="4" shapeId="0" xr:uid="{3490F671-6EE5-4012-AB3A-F6D26528DB3C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Faltou 26/08 colação de grau</t>
      </text>
    </comment>
    <comment ref="B34" authorId="5" shapeId="0" xr:uid="{B5A39561-BDFA-4AB7-9702-EF6B54ECED3D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Faltou 19,20,21 para fazer curso</t>
      </text>
    </comment>
    <comment ref="B35" authorId="6" shapeId="0" xr:uid="{EE1D7670-E002-483C-946A-340EB911B215}">
      <text>
        <t>[Threaded comment]
Your version of Excel allows you to read this threaded comment; however, any edits to it will get removed if the file is opened in a newer version of Excel. Learn more: https://go.microsoft.com/fwlink/?linkid=870924
Comment:
    Faltou 19, 20, 21 para fazer curso</t>
      </text>
    </comment>
  </commentList>
</comments>
</file>

<file path=xl/sharedStrings.xml><?xml version="1.0" encoding="utf-8"?>
<sst xmlns="http://schemas.openxmlformats.org/spreadsheetml/2006/main" count="1490" uniqueCount="130">
  <si>
    <t>Profissional</t>
  </si>
  <si>
    <t>Area</t>
  </si>
  <si>
    <t>Unidade</t>
  </si>
  <si>
    <t>Grupo</t>
  </si>
  <si>
    <t>Fixo</t>
  </si>
  <si>
    <t>Indice 1</t>
  </si>
  <si>
    <t>Indice 2</t>
  </si>
  <si>
    <t>Particular</t>
  </si>
  <si>
    <t>Meta</t>
  </si>
  <si>
    <t>Weliton Anexo</t>
  </si>
  <si>
    <t>Acupuntura</t>
  </si>
  <si>
    <t>Anexo</t>
  </si>
  <si>
    <t>Kariny Beserra Santiago</t>
  </si>
  <si>
    <t>Weliton SJ</t>
  </si>
  <si>
    <t>SJ</t>
  </si>
  <si>
    <t>Leiliany Acup</t>
  </si>
  <si>
    <t xml:space="preserve">Karine </t>
  </si>
  <si>
    <t>Fisioterapia</t>
  </si>
  <si>
    <t xml:space="preserve">Katiuscia </t>
  </si>
  <si>
    <t>Matriz</t>
  </si>
  <si>
    <t xml:space="preserve">Suelen </t>
  </si>
  <si>
    <t>Bruna</t>
  </si>
  <si>
    <t>Susana</t>
  </si>
  <si>
    <t xml:space="preserve">Glaumir </t>
  </si>
  <si>
    <t>Eduardo</t>
  </si>
  <si>
    <t>Tairine</t>
  </si>
  <si>
    <t>Nathalia</t>
  </si>
  <si>
    <t xml:space="preserve">Cecilia </t>
  </si>
  <si>
    <t xml:space="preserve">Vinicius </t>
  </si>
  <si>
    <t>Marcela</t>
  </si>
  <si>
    <t xml:space="preserve">Ediane </t>
  </si>
  <si>
    <t>Neuro</t>
  </si>
  <si>
    <t xml:space="preserve">Flavia </t>
  </si>
  <si>
    <t>Mariane</t>
  </si>
  <si>
    <t>RPG</t>
  </si>
  <si>
    <t>Leiliany RPG</t>
  </si>
  <si>
    <t>Tereza</t>
  </si>
  <si>
    <t>RPG até 6500 = 18% acima 20, part 22 -- Mislene Manhã mudar metrica até 13mil, 18% acima 20%</t>
  </si>
  <si>
    <t>Desconto / Falta</t>
  </si>
  <si>
    <t>Desconto em Valor</t>
  </si>
  <si>
    <t>Criterio - Valor Fixo / 130 hrs mensais = R$ 5,00 por hra (Arredondados)</t>
  </si>
  <si>
    <t>Penalidade</t>
  </si>
  <si>
    <t>Não aplica a remuração maxima</t>
  </si>
  <si>
    <t>Faixa Faturamento</t>
  </si>
  <si>
    <t>Comunicado</t>
  </si>
  <si>
    <t>Contrato</t>
  </si>
  <si>
    <t>Weliton Douglas de Freitas Viana (A)</t>
  </si>
  <si>
    <t>OK</t>
  </si>
  <si>
    <t>Weliton Douglas de Freitas Viana (SJ)</t>
  </si>
  <si>
    <t>Ok</t>
  </si>
  <si>
    <t>Leiliany Palmeira da Silva (Acup)</t>
  </si>
  <si>
    <t>Cecília Fernandes Silva de Sousa</t>
  </si>
  <si>
    <t>VA</t>
  </si>
  <si>
    <t>Enviado</t>
  </si>
  <si>
    <t>Glaumir Sampaio Cavalcante Junior</t>
  </si>
  <si>
    <t>Katiuscia Rosas Guimarães</t>
  </si>
  <si>
    <t>Eduardo Aleixo da Silva</t>
  </si>
  <si>
    <t>ok</t>
  </si>
  <si>
    <t>Vinicius Xavier Rodrigues Sena</t>
  </si>
  <si>
    <t>Marcella Verônica Romão Escábia</t>
  </si>
  <si>
    <t xml:space="preserve">Kellyane </t>
  </si>
  <si>
    <t>Não se aplica</t>
  </si>
  <si>
    <t>Geraldo</t>
  </si>
  <si>
    <t>Clemerson</t>
  </si>
  <si>
    <t>Fatima</t>
  </si>
  <si>
    <t>Beatriz</t>
  </si>
  <si>
    <t>Ediane Regina dos Santos</t>
  </si>
  <si>
    <t>Flávia Souza dos Santos</t>
  </si>
  <si>
    <t>Mariane do Amaral Felix</t>
  </si>
  <si>
    <t>Suspensa</t>
  </si>
  <si>
    <t>Leiliany Palmeira da Silva (RPG)</t>
  </si>
  <si>
    <t>Colocar no contrato de acupuntura as Agulhas?</t>
  </si>
  <si>
    <t>Mislene (Manhã)</t>
  </si>
  <si>
    <t>PJ</t>
  </si>
  <si>
    <t>Suelen de Sá Guimarães</t>
  </si>
  <si>
    <t>Tereza Cristina Mendonça da Silva</t>
  </si>
  <si>
    <t xml:space="preserve">Viviane </t>
  </si>
  <si>
    <t>Nathalia Iasmin Jacquiminouth Aires</t>
  </si>
  <si>
    <t>Bruna Cristina Cruz Lima</t>
  </si>
  <si>
    <t>Susana Brito de Albuquerque Moura</t>
  </si>
  <si>
    <t>Laryssa  Paulain Lascas Riker</t>
  </si>
  <si>
    <t>Matheus dos Santos Machado</t>
  </si>
  <si>
    <t>Thalita Guedes de Carvalho Souza</t>
  </si>
  <si>
    <t>Janete Vieira Alves</t>
  </si>
  <si>
    <t>Joria Freitas da Silva</t>
  </si>
  <si>
    <t>Rayane Lima da Silva Falcão</t>
  </si>
  <si>
    <t>Metrica / Conceito</t>
  </si>
  <si>
    <t>Fechamento Abril 2021</t>
  </si>
  <si>
    <t>Remuneração</t>
  </si>
  <si>
    <t>Convenio</t>
  </si>
  <si>
    <t>Total</t>
  </si>
  <si>
    <t>Remuneração Total</t>
  </si>
  <si>
    <t>Cust Aprox Agulha</t>
  </si>
  <si>
    <t>Liq</t>
  </si>
  <si>
    <t>Custo Sob Fat</t>
  </si>
  <si>
    <t>Kariny Fis</t>
  </si>
  <si>
    <t>Kariny Acu</t>
  </si>
  <si>
    <t>Capacidade Faturamento</t>
  </si>
  <si>
    <t>Faturamento / Março 2021</t>
  </si>
  <si>
    <t>Valores</t>
  </si>
  <si>
    <t>Conv</t>
  </si>
  <si>
    <t>Part</t>
  </si>
  <si>
    <t>Cap</t>
  </si>
  <si>
    <t>Faixa</t>
  </si>
  <si>
    <t>Rebeca</t>
  </si>
  <si>
    <t xml:space="preserve"> </t>
  </si>
  <si>
    <t>Faturamento Maio 2021</t>
  </si>
  <si>
    <t>Total Conv</t>
  </si>
  <si>
    <t>Faturamento Junho 2021</t>
  </si>
  <si>
    <t>Status</t>
  </si>
  <si>
    <t>Matheus</t>
  </si>
  <si>
    <t>Thalita</t>
  </si>
  <si>
    <t>Katiuscia</t>
  </si>
  <si>
    <t/>
  </si>
  <si>
    <t>fora</t>
  </si>
  <si>
    <t>Faturamento Julho 2021</t>
  </si>
  <si>
    <t>Pelvica</t>
  </si>
  <si>
    <t>Eliane Carneiro Farias</t>
  </si>
  <si>
    <t>Pilates</t>
  </si>
  <si>
    <t>Fatima Maria Tavares dos Santos</t>
  </si>
  <si>
    <t>Fernando Henrique Franco Lamonato</t>
  </si>
  <si>
    <t>Bem</t>
  </si>
  <si>
    <t>Fora</t>
  </si>
  <si>
    <t>Legenda</t>
  </si>
  <si>
    <t>Formulas Modificadas</t>
  </si>
  <si>
    <t>Faturamento Agosto 2021</t>
  </si>
  <si>
    <t>INSS (11%)</t>
  </si>
  <si>
    <t>IRPF</t>
  </si>
  <si>
    <t>Liquido a Receber</t>
  </si>
  <si>
    <t>Silvia Fernanda Mangerona Petrullo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</si>
</sst>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#,##0.00_ ;\-#,##0.00\ 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11111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2AFA4D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0">
    <xf numFmtId="0" fontId="0" fillId="0" borderId="0" xfId="0"/>
    <xf numFmtId="44" fontId="0" fillId="0" borderId="0" xfId="1" applyFont="1"/>
    <xf numFmtId="0" fontId="2" fillId="0" borderId="1" xfId="0" applyFont="1" applyBorder="1" applyAlignment="1">
      <alignment horizontal="center"/>
    </xf>
    <xf numFmtId="0" fontId="3" fillId="0" borderId="0" xfId="0" applyFont="1"/>
    <xf numFmtId="44" fontId="3" fillId="0" borderId="0" xfId="1" applyFont="1"/>
    <xf numFmtId="0" fontId="3" fillId="0" borderId="0" xfId="0" applyFont="1" applyAlignment="1">
      <alignment vertical="center"/>
    </xf>
    <xf numFmtId="44" fontId="3" fillId="0" borderId="0" xfId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/>
    <xf numFmtId="9" fontId="4" fillId="3" borderId="1" xfId="2" applyFont="1" applyFill="1" applyBorder="1" applyAlignment="1">
      <alignment horizontal="center" vertical="center" wrapText="1"/>
    </xf>
    <xf numFmtId="44" fontId="3" fillId="0" borderId="0" xfId="1" applyFont="1" applyFill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3" fontId="3" fillId="0" borderId="1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4" fontId="3" fillId="0" borderId="0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4" fontId="3" fillId="0" borderId="0" xfId="0" applyNumberFormat="1" applyFont="1" applyAlignment="1">
      <alignment vertical="center"/>
    </xf>
    <xf numFmtId="9" fontId="3" fillId="0" borderId="0" xfId="2" applyFont="1" applyFill="1" applyBorder="1" applyAlignment="1">
      <alignment vertical="center"/>
    </xf>
    <xf numFmtId="9" fontId="4" fillId="0" borderId="1" xfId="2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/>
    <xf numFmtId="164" fontId="9" fillId="0" borderId="1" xfId="1" applyNumberFormat="1" applyFont="1" applyFill="1" applyBorder="1" applyAlignment="1">
      <alignment horizontal="center"/>
    </xf>
    <xf numFmtId="4" fontId="9" fillId="0" borderId="1" xfId="0" applyNumberFormat="1" applyFont="1" applyBorder="1" applyAlignment="1">
      <alignment horizontal="center"/>
    </xf>
    <xf numFmtId="9" fontId="9" fillId="0" borderId="1" xfId="2" applyFont="1" applyFill="1" applyBorder="1" applyAlignment="1">
      <alignment horizontal="center"/>
    </xf>
    <xf numFmtId="164" fontId="9" fillId="0" borderId="0" xfId="1" applyNumberFormat="1" applyFont="1" applyFill="1" applyAlignment="1">
      <alignment horizontal="center"/>
    </xf>
    <xf numFmtId="4" fontId="9" fillId="0" borderId="0" xfId="0" applyNumberFormat="1" applyFont="1" applyAlignment="1">
      <alignment horizontal="center"/>
    </xf>
    <xf numFmtId="9" fontId="9" fillId="0" borderId="0" xfId="2" applyFont="1" applyFill="1" applyAlignment="1">
      <alignment horizontal="center"/>
    </xf>
    <xf numFmtId="3" fontId="4" fillId="0" borderId="0" xfId="0" applyNumberFormat="1" applyFont="1" applyAlignment="1">
      <alignment horizontal="center" vertical="center" wrapText="1"/>
    </xf>
    <xf numFmtId="3" fontId="3" fillId="0" borderId="0" xfId="1" applyNumberFormat="1" applyFont="1" applyFill="1" applyBorder="1" applyAlignment="1">
      <alignment horizontal="center" vertical="center" wrapText="1"/>
    </xf>
    <xf numFmtId="3" fontId="3" fillId="0" borderId="0" xfId="1" applyNumberFormat="1" applyFont="1" applyFill="1" applyBorder="1" applyAlignment="1">
      <alignment vertical="center" wrapText="1"/>
    </xf>
    <xf numFmtId="3" fontId="3" fillId="0" borderId="0" xfId="1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vertical="center"/>
    </xf>
    <xf numFmtId="3" fontId="4" fillId="3" borderId="1" xfId="2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9" fontId="3" fillId="0" borderId="0" xfId="2" applyFont="1" applyFill="1" applyBorder="1" applyAlignment="1">
      <alignment horizontal="center" vertical="center" wrapText="1"/>
    </xf>
    <xf numFmtId="3" fontId="4" fillId="0" borderId="1" xfId="1" applyNumberFormat="1" applyFont="1" applyFill="1" applyBorder="1" applyAlignment="1">
      <alignment horizontal="center" vertical="center"/>
    </xf>
    <xf numFmtId="3" fontId="4" fillId="3" borderId="1" xfId="1" applyNumberFormat="1" applyFont="1" applyFill="1" applyBorder="1" applyAlignment="1">
      <alignment horizontal="center" vertical="center" wrapText="1"/>
    </xf>
    <xf numFmtId="3" fontId="4" fillId="0" borderId="1" xfId="1" applyNumberFormat="1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0" xfId="0" applyFont="1"/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9" fontId="3" fillId="0" borderId="1" xfId="2" applyFont="1" applyFill="1" applyBorder="1" applyAlignment="1">
      <alignment horizontal="center" vertical="center" wrapText="1"/>
    </xf>
    <xf numFmtId="3" fontId="4" fillId="7" borderId="1" xfId="2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3" fontId="4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9" fontId="3" fillId="0" borderId="0" xfId="2" applyFont="1" applyFill="1" applyBorder="1" applyAlignment="1">
      <alignment horizontal="center" vertical="center"/>
    </xf>
    <xf numFmtId="3" fontId="10" fillId="3" borderId="2" xfId="1" applyNumberFormat="1" applyFont="1" applyFill="1" applyBorder="1" applyAlignment="1">
      <alignment horizontal="center" vertical="center" wrapText="1"/>
    </xf>
    <xf numFmtId="3" fontId="10" fillId="3" borderId="2" xfId="0" applyNumberFormat="1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3" fontId="10" fillId="3" borderId="1" xfId="1" applyNumberFormat="1" applyFont="1" applyFill="1" applyBorder="1" applyAlignment="1">
      <alignment horizontal="center" vertical="center" wrapText="1"/>
    </xf>
    <xf numFmtId="9" fontId="10" fillId="3" borderId="1" xfId="2" applyFont="1" applyFill="1" applyBorder="1" applyAlignment="1">
      <alignment horizontal="center" vertical="center" wrapText="1"/>
    </xf>
    <xf numFmtId="3" fontId="10" fillId="3" borderId="1" xfId="2" applyNumberFormat="1" applyFont="1" applyFill="1" applyBorder="1" applyAlignment="1">
      <alignment horizontal="center" vertical="center" wrapText="1"/>
    </xf>
    <xf numFmtId="3" fontId="10" fillId="0" borderId="1" xfId="1" applyNumberFormat="1" applyFont="1" applyFill="1" applyBorder="1" applyAlignment="1">
      <alignment horizontal="center" vertical="center" wrapText="1"/>
    </xf>
    <xf numFmtId="3" fontId="10" fillId="7" borderId="2" xfId="0" applyNumberFormat="1" applyFont="1" applyFill="1" applyBorder="1" applyAlignment="1">
      <alignment horizontal="center" vertical="center" wrapText="1"/>
    </xf>
    <xf numFmtId="3" fontId="10" fillId="2" borderId="2" xfId="1" applyNumberFormat="1" applyFont="1" applyFill="1" applyBorder="1" applyAlignment="1">
      <alignment horizontal="center" vertical="center" wrapText="1"/>
    </xf>
    <xf numFmtId="44" fontId="10" fillId="7" borderId="1" xfId="1" applyFont="1" applyFill="1" applyBorder="1" applyAlignment="1">
      <alignment horizontal="center" vertical="center" wrapText="1"/>
    </xf>
    <xf numFmtId="44" fontId="10" fillId="2" borderId="1" xfId="1" applyFont="1" applyFill="1" applyBorder="1" applyAlignment="1">
      <alignment horizontal="center" vertical="center" wrapText="1"/>
    </xf>
    <xf numFmtId="3" fontId="10" fillId="0" borderId="0" xfId="0" applyNumberFormat="1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3" fontId="10" fillId="0" borderId="2" xfId="1" applyNumberFormat="1" applyFont="1" applyFill="1" applyBorder="1" applyAlignment="1">
      <alignment horizontal="center" vertical="center"/>
    </xf>
    <xf numFmtId="44" fontId="10" fillId="0" borderId="1" xfId="1" applyFont="1" applyFill="1" applyBorder="1" applyAlignment="1">
      <alignment horizontal="center" vertical="center"/>
    </xf>
    <xf numFmtId="3" fontId="11" fillId="0" borderId="0" xfId="1" applyNumberFormat="1" applyFont="1" applyFill="1" applyBorder="1" applyAlignment="1">
      <alignment horizontal="center" vertical="center" wrapText="1"/>
    </xf>
    <xf numFmtId="3" fontId="11" fillId="0" borderId="0" xfId="1" applyNumberFormat="1" applyFont="1" applyFill="1" applyBorder="1" applyAlignment="1">
      <alignment vertical="center" wrapText="1"/>
    </xf>
    <xf numFmtId="3" fontId="11" fillId="0" borderId="0" xfId="1" applyNumberFormat="1" applyFont="1" applyFill="1" applyBorder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/>
    <xf numFmtId="3" fontId="3" fillId="0" borderId="1" xfId="2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4" fontId="3" fillId="0" borderId="1" xfId="1" applyNumberFormat="1" applyFont="1" applyFill="1" applyBorder="1" applyAlignment="1">
      <alignment horizontal="center" vertical="center" wrapText="1"/>
    </xf>
    <xf numFmtId="4" fontId="3" fillId="0" borderId="1" xfId="1" applyNumberFormat="1" applyFont="1" applyFill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 wrapText="1"/>
    </xf>
    <xf numFmtId="4" fontId="3" fillId="0" borderId="0" xfId="1" applyNumberFormat="1" applyFont="1" applyFill="1" applyBorder="1" applyAlignment="1">
      <alignment horizontal="center" vertical="center" wrapText="1"/>
    </xf>
    <xf numFmtId="4" fontId="3" fillId="0" borderId="0" xfId="1" applyNumberFormat="1" applyFont="1" applyFill="1" applyBorder="1" applyAlignment="1">
      <alignment vertical="center" wrapText="1"/>
    </xf>
    <xf numFmtId="4" fontId="3" fillId="0" borderId="0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44" fontId="0" fillId="0" borderId="0" xfId="1" applyFont="1" applyAlignment="1">
      <alignment horizontal="center"/>
    </xf>
    <xf numFmtId="44" fontId="3" fillId="0" borderId="1" xfId="1" applyFont="1" applyFill="1" applyBorder="1" applyAlignment="1">
      <alignment horizontal="center" vertical="center"/>
    </xf>
    <xf numFmtId="44" fontId="3" fillId="0" borderId="0" xfId="1" applyFont="1" applyFill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4" fontId="4" fillId="0" borderId="1" xfId="1" applyNumberFormat="1" applyFont="1" applyFill="1" applyBorder="1" applyAlignment="1">
      <alignment horizontal="center" vertical="center"/>
    </xf>
    <xf numFmtId="9" fontId="0" fillId="0" borderId="0" xfId="2" applyFont="1" applyAlignment="1">
      <alignment horizontal="center"/>
    </xf>
    <xf numFmtId="0" fontId="0" fillId="0" borderId="1" xfId="0" applyBorder="1"/>
    <xf numFmtId="44" fontId="0" fillId="0" borderId="1" xfId="1" applyFont="1" applyFill="1" applyBorder="1" applyAlignment="1">
      <alignment horizontal="center"/>
    </xf>
    <xf numFmtId="9" fontId="0" fillId="0" borderId="1" xfId="2" applyFont="1" applyFill="1" applyBorder="1" applyAlignment="1">
      <alignment horizontal="center"/>
    </xf>
    <xf numFmtId="44" fontId="0" fillId="0" borderId="1" xfId="1" applyFont="1" applyFill="1" applyBorder="1"/>
    <xf numFmtId="44" fontId="2" fillId="0" borderId="1" xfId="1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4" fontId="4" fillId="2" borderId="1" xfId="1" applyNumberFormat="1" applyFont="1" applyFill="1" applyBorder="1" applyAlignment="1">
      <alignment horizontal="center" vertical="center" wrapText="1"/>
    </xf>
    <xf numFmtId="4" fontId="3" fillId="2" borderId="1" xfId="1" applyNumberFormat="1" applyFont="1" applyFill="1" applyBorder="1" applyAlignment="1">
      <alignment horizontal="center" vertical="center" wrapText="1"/>
    </xf>
    <xf numFmtId="3" fontId="3" fillId="2" borderId="1" xfId="2" applyNumberFormat="1" applyFont="1" applyFill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44" fontId="3" fillId="0" borderId="1" xfId="1" applyFont="1" applyFill="1" applyBorder="1" applyAlignment="1">
      <alignment vertical="center"/>
    </xf>
    <xf numFmtId="0" fontId="0" fillId="0" borderId="4" xfId="0" applyBorder="1"/>
    <xf numFmtId="0" fontId="7" fillId="0" borderId="1" xfId="0" applyFont="1" applyBorder="1" applyAlignment="1">
      <alignment vertical="center"/>
    </xf>
    <xf numFmtId="0" fontId="0" fillId="9" borderId="4" xfId="0" applyFill="1" applyBorder="1"/>
    <xf numFmtId="0" fontId="7" fillId="0" borderId="1" xfId="0" applyFont="1" applyBorder="1" applyAlignment="1">
      <alignment horizontal="left" vertical="center"/>
    </xf>
    <xf numFmtId="0" fontId="12" fillId="0" borderId="4" xfId="0" applyFont="1" applyBorder="1"/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3" fontId="4" fillId="0" borderId="3" xfId="1" applyNumberFormat="1" applyFont="1" applyFill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" fontId="4" fillId="0" borderId="3" xfId="1" applyNumberFormat="1" applyFont="1" applyFill="1" applyBorder="1" applyAlignment="1">
      <alignment horizontal="center" vertical="center" wrapText="1"/>
    </xf>
    <xf numFmtId="4" fontId="4" fillId="0" borderId="3" xfId="1" applyNumberFormat="1" applyFont="1" applyFill="1" applyBorder="1" applyAlignment="1">
      <alignment horizontal="center" vertical="center"/>
    </xf>
    <xf numFmtId="10" fontId="3" fillId="0" borderId="0" xfId="0" applyNumberFormat="1" applyFont="1"/>
    <xf numFmtId="10" fontId="3" fillId="0" borderId="0" xfId="2" applyNumberFormat="1" applyFont="1"/>
    <xf numFmtId="9" fontId="3" fillId="0" borderId="0" xfId="0" applyNumberFormat="1" applyFont="1"/>
    <xf numFmtId="44" fontId="13" fillId="0" borderId="0" xfId="1" applyFont="1"/>
    <xf numFmtId="0" fontId="13" fillId="0" borderId="0" xfId="0" applyFont="1"/>
    <xf numFmtId="44" fontId="5" fillId="0" borderId="1" xfId="1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" fontId="5" fillId="0" borderId="1" xfId="1" applyNumberFormat="1" applyFont="1" applyFill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/>
    </xf>
    <xf numFmtId="3" fontId="3" fillId="2" borderId="1" xfId="1" applyNumberFormat="1" applyFont="1" applyFill="1" applyBorder="1" applyAlignment="1">
      <alignment horizontal="center" vertical="center" wrapText="1"/>
    </xf>
    <xf numFmtId="4" fontId="3" fillId="2" borderId="0" xfId="1" applyNumberFormat="1" applyFont="1" applyFill="1" applyBorder="1" applyAlignment="1">
      <alignment horizontal="center" vertical="center"/>
    </xf>
    <xf numFmtId="4" fontId="3" fillId="2" borderId="0" xfId="1" applyNumberFormat="1" applyFont="1" applyFill="1" applyBorder="1" applyAlignment="1">
      <alignment horizontal="left" vertical="center"/>
    </xf>
    <xf numFmtId="4" fontId="3" fillId="0" borderId="0" xfId="1" applyNumberFormat="1" applyFont="1" applyFill="1" applyBorder="1" applyAlignment="1">
      <alignment horizontal="left" vertical="center"/>
    </xf>
    <xf numFmtId="9" fontId="3" fillId="0" borderId="1" xfId="0" applyNumberFormat="1" applyFont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9" fontId="3" fillId="0" borderId="0" xfId="2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4" fontId="14" fillId="0" borderId="1" xfId="1" applyFont="1" applyBorder="1" applyAlignment="1">
      <alignment horizontal="center" vertical="center"/>
    </xf>
    <xf numFmtId="44" fontId="4" fillId="0" borderId="1" xfId="1" applyFont="1" applyBorder="1" applyAlignment="1">
      <alignment horizontal="center" vertical="center"/>
    </xf>
    <xf numFmtId="3" fontId="3" fillId="0" borderId="1" xfId="1" applyNumberFormat="1" applyFont="1" applyFill="1" applyBorder="1" applyAlignment="1">
      <alignment horizontal="center" vertical="center" wrapText="1"/>
    </xf>
    <xf numFmtId="4" fontId="4" fillId="8" borderId="1" xfId="1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 wrapText="1"/>
    </xf>
    <xf numFmtId="3" fontId="4" fillId="2" borderId="1" xfId="1" applyNumberFormat="1" applyFont="1" applyFill="1" applyBorder="1" applyAlignment="1">
      <alignment horizontal="center" vertical="center" wrapText="1"/>
    </xf>
    <xf numFmtId="44" fontId="10" fillId="0" borderId="1" xfId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vertical="center"/>
    </xf>
    <xf numFmtId="4" fontId="4" fillId="0" borderId="1" xfId="1" applyNumberFormat="1" applyFont="1" applyFill="1" applyBorder="1" applyAlignment="1">
      <alignment horizontal="center" vertical="center" wrapText="1"/>
    </xf>
    <xf numFmtId="3" fontId="3" fillId="0" borderId="1" xfId="1" applyNumberFormat="1" applyFont="1" applyFill="1" applyBorder="1" applyAlignment="1">
      <alignment horizontal="center" vertical="center" wrapText="1"/>
    </xf>
    <xf numFmtId="44" fontId="4" fillId="0" borderId="1" xfId="1" applyFont="1" applyFill="1" applyBorder="1" applyAlignment="1">
      <alignment horizontal="center" vertical="center" wrapText="1"/>
    </xf>
    <xf numFmtId="4" fontId="4" fillId="8" borderId="1" xfId="1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 wrapText="1"/>
    </xf>
    <xf numFmtId="3" fontId="4" fillId="2" borderId="1" xfId="1" applyNumberFormat="1" applyFont="1" applyFill="1" applyBorder="1" applyAlignment="1">
      <alignment horizontal="center" vertical="center" wrapText="1"/>
    </xf>
    <xf numFmtId="44" fontId="10" fillId="0" borderId="1" xfId="1" applyFont="1" applyFill="1" applyBorder="1" applyAlignment="1">
      <alignment horizontal="center" vertical="center" wrapText="1"/>
    </xf>
    <xf numFmtId="49" fontId="10" fillId="0" borderId="1" xfId="1" applyNumberFormat="1" applyFont="1" applyFill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 wrapText="1"/>
    </xf>
    <xf numFmtId="3" fontId="3" fillId="0" borderId="1" xfId="1" applyNumberFormat="1" applyFont="1" applyFill="1" applyBorder="1" applyAlignment="1">
      <alignment vertical="center" wrapText="1"/>
    </xf>
    <xf numFmtId="3" fontId="3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vertical="center" wrapText="1"/>
    </xf>
    <xf numFmtId="4" fontId="4" fillId="0" borderId="1" xfId="1" applyNumberFormat="1" applyFont="1" applyFill="1" applyBorder="1" applyAlignment="1">
      <alignment horizontal="center" vertical="center" wrapText="1"/>
    </xf>
    <xf numFmtId="44" fontId="3" fillId="0" borderId="0" xfId="1" applyFont="1" applyAlignment="1">
      <alignment horizontal="center"/>
    </xf>
    <xf numFmtId="0" fontId="3" fillId="0" borderId="0" xfId="0" applyFont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13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2AFA4D"/>
      <color rgb="FFAFFD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aam controle" id="{1AD84B35-5966-4E64-B3F4-F9E466FD521B}" userId="3d79642c121cbf9a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0" dT="2021-07-01T20:22:58.85" personId="{1AD84B35-5966-4E64-B3F4-F9E466FD521B}" id="{9D805E52-ADF1-4936-A3F0-EF4E32C3B086}">
    <text>Iniciou dia 28/06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6" dT="2021-08-20T22:01:01.03" personId="{1AD84B35-5966-4E64-B3F4-F9E466FD521B}" id="{5B505AA1-4F86-4DED-9623-7172C22D1A26}">
    <text>Descontar dias faltantes 10.07 a 15.07</text>
  </threadedComment>
  <threadedComment ref="B28" dT="2021-08-03T15:36:00.76" personId="{1AD84B35-5966-4E64-B3F4-F9E466FD521B}" id="{F9B3E4C2-C148-4866-A5FF-CFF60F965077}">
    <text>Faltou 21 e 28</text>
  </threadedComment>
  <threadedComment ref="B29" dT="2021-08-03T15:40:47.46" personId="{1AD84B35-5966-4E64-B3F4-F9E466FD521B}" id="{C116A524-2F30-4F33-9FD0-329BDC7105E4}">
    <text>Iniciou 05/07/2021</text>
  </threadedComment>
  <threadedComment ref="B33" dT="2021-08-03T15:43:08.98" personId="{1AD84B35-5966-4E64-B3F4-F9E466FD521B}" id="{DAEBCF4B-3047-4608-8FD5-90D0ADCBAB3C}">
    <text>iniciou 05/07/2021</text>
  </threadedComment>
  <threadedComment ref="B34" dT="2021-08-03T14:44:34.58" personId="{1AD84B35-5966-4E64-B3F4-F9E466FD521B}" id="{F3CE56D4-205E-427C-870F-D4A07785A84A}">
    <text>Inicio 12/07/2021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1" dT="2021-09-09T18:17:22.13" personId="{1AD84B35-5966-4E64-B3F4-F9E466FD521B}" id="{BA6F3ABF-49BC-4287-A8C4-700744FEA45D}">
    <text>Faltou 07/08 e 28/08 (Sabados)</text>
  </threadedComment>
  <threadedComment ref="B25" dT="2021-09-09T18:06:41.44" personId="{1AD84B35-5966-4E64-B3F4-F9E466FD521B}" id="{A304D997-7963-4CB8-8061-23283A01205B}">
    <text>Faltou 14 e 16/08</text>
  </threadedComment>
  <threadedComment ref="B26" dT="2021-09-09T18:14:31.42" personId="{1AD84B35-5966-4E64-B3F4-F9E466FD521B}" id="{A32EE2C5-AC0D-4EDD-8A5A-9D082526EADC}">
    <text>Faltou 03/08/2021</text>
  </threadedComment>
  <threadedComment ref="B29" dT="2021-09-09T18:08:28.48" personId="{1AD84B35-5966-4E64-B3F4-F9E466FD521B}" id="{A9FECC83-5FEC-462D-855B-3FAD4206774B}">
    <text>Faltou 05/08 para afzer exame</text>
  </threadedComment>
  <threadedComment ref="B33" dT="2021-09-09T18:11:31.31" personId="{1AD84B35-5966-4E64-B3F4-F9E466FD521B}" id="{5A919C01-BBFD-4D80-95AF-FE694051330B}">
    <text>Faltou 26/08 colação de grau</text>
  </threadedComment>
  <threadedComment ref="B34" dT="2021-09-09T18:02:33.37" personId="{1AD84B35-5966-4E64-B3F4-F9E466FD521B}" id="{9D522940-BD97-4B01-B815-996491F344A7}">
    <text>Faltou 19,20,21 para fazer curso</text>
  </threadedComment>
  <threadedComment ref="B35" dT="2021-09-09T18:02:16.70" personId="{1AD84B35-5966-4E64-B3F4-F9E466FD521B}" id="{45744131-710F-4C91-9551-FC82EF8EB583}">
    <text>Faltou 19, 20, 21 para fazer curso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1" dT="2021-09-09T18:17:22.13" personId="{1AD84B35-5966-4E64-B3F4-F9E466FD521B}" id="{790B7FB7-6D2A-4240-BDFE-DFFAF3112A00}">
    <text>Faltou 07/08 e 28/08 (Sabados)</text>
  </threadedComment>
  <threadedComment ref="B25" dT="2021-09-09T18:06:41.44" personId="{1AD84B35-5966-4E64-B3F4-F9E466FD521B}" id="{0C33E85B-0A7F-4BED-9629-351EC572E625}">
    <text>Faltou 14 e 16/08</text>
  </threadedComment>
  <threadedComment ref="B26" dT="2021-09-09T18:14:31.42" personId="{1AD84B35-5966-4E64-B3F4-F9E466FD521B}" id="{867EFC4C-2FE4-4B8B-87F2-84988182A7FB}">
    <text>Faltou 03/08/2021</text>
  </threadedComment>
  <threadedComment ref="B29" dT="2021-09-09T18:08:28.48" personId="{1AD84B35-5966-4E64-B3F4-F9E466FD521B}" id="{4C42FE66-FAE2-4601-AB07-91380FA39284}">
    <text>Faltou 05/08 para afzer exame</text>
  </threadedComment>
  <threadedComment ref="B33" dT="2021-09-09T18:11:31.31" personId="{1AD84B35-5966-4E64-B3F4-F9E466FD521B}" id="{3490F671-6EE5-4012-AB3A-F6D26528DB3C}">
    <text>Faltou 26/08 colação de grau</text>
  </threadedComment>
  <threadedComment ref="B34" dT="2021-09-09T18:02:33.37" personId="{1AD84B35-5966-4E64-B3F4-F9E466FD521B}" id="{B5A39561-BDFA-4AB7-9702-EF6B54ECED3D}">
    <text>Faltou 19,20,21 para fazer curso</text>
  </threadedComment>
  <threadedComment ref="B35" dT="2021-09-09T18:02:16.70" personId="{1AD84B35-5966-4E64-B3F4-F9E466FD521B}" id="{EE1D7670-E002-483C-946A-340EB911B215}">
    <text>Faltou 19, 20, 21 para fazer curso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35E1-C5E3-42E1-8E0B-3FE9C466BD79}">
  <dimension ref="A1:I38"/>
  <sheetViews>
    <sheetView zoomScale="90" zoomScaleNormal="90" workbookViewId="0">
      <selection activeCell="A3" sqref="A3"/>
    </sheetView>
  </sheetViews>
  <sheetFormatPr defaultRowHeight="15"/>
  <cols>
    <col min="1" max="1" width="38.28515625" customWidth="1"/>
    <col min="2" max="2" width="11.42578125" bestFit="1" customWidth="1"/>
    <col min="3" max="3" width="15.140625" customWidth="1"/>
    <col min="4" max="4" width="11.42578125" bestFit="1" customWidth="1"/>
    <col min="5" max="5" width="17.5703125" style="95" bestFit="1" customWidth="1"/>
    <col min="6" max="7" width="7.85546875" style="100" bestFit="1" customWidth="1"/>
    <col min="8" max="8" width="9.42578125" style="100" bestFit="1" customWidth="1"/>
    <col min="9" max="9" width="16.14062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105" t="s">
        <v>4</v>
      </c>
      <c r="F1" s="106" t="s">
        <v>5</v>
      </c>
      <c r="G1" s="106" t="s">
        <v>6</v>
      </c>
      <c r="H1" s="106" t="s">
        <v>7</v>
      </c>
      <c r="I1" s="105" t="s">
        <v>8</v>
      </c>
    </row>
    <row r="2" spans="1:9">
      <c r="A2" s="101" t="s">
        <v>9</v>
      </c>
      <c r="B2" s="101" t="s">
        <v>10</v>
      </c>
      <c r="C2" s="101" t="s">
        <v>11</v>
      </c>
      <c r="D2" s="101" t="s">
        <v>10</v>
      </c>
      <c r="E2" s="102">
        <v>600</v>
      </c>
      <c r="F2" s="103">
        <v>0.16</v>
      </c>
      <c r="G2" s="103">
        <v>0.18</v>
      </c>
      <c r="H2" s="103">
        <v>0.22</v>
      </c>
      <c r="I2" s="104">
        <v>14000</v>
      </c>
    </row>
    <row r="3" spans="1:9">
      <c r="A3" s="113" t="s">
        <v>12</v>
      </c>
      <c r="B3" s="101" t="s">
        <v>10</v>
      </c>
      <c r="C3" s="101" t="s">
        <v>11</v>
      </c>
      <c r="D3" s="101" t="s">
        <v>10</v>
      </c>
      <c r="E3" s="102">
        <v>600</v>
      </c>
      <c r="F3" s="103">
        <v>0.16</v>
      </c>
      <c r="G3" s="103">
        <v>0.18</v>
      </c>
      <c r="H3" s="103">
        <v>0.22</v>
      </c>
      <c r="I3" s="104">
        <v>14000</v>
      </c>
    </row>
    <row r="4" spans="1:9">
      <c r="A4" s="101" t="s">
        <v>13</v>
      </c>
      <c r="B4" s="101" t="s">
        <v>10</v>
      </c>
      <c r="C4" s="101" t="s">
        <v>14</v>
      </c>
      <c r="D4" s="101" t="s">
        <v>10</v>
      </c>
      <c r="E4" s="102">
        <v>600</v>
      </c>
      <c r="F4" s="103">
        <v>0.16</v>
      </c>
      <c r="G4" s="103">
        <v>0.18</v>
      </c>
      <c r="H4" s="103">
        <v>0.25</v>
      </c>
      <c r="I4" s="104">
        <v>13000</v>
      </c>
    </row>
    <row r="5" spans="1:9">
      <c r="A5" s="101" t="s">
        <v>15</v>
      </c>
      <c r="B5" s="101" t="s">
        <v>10</v>
      </c>
      <c r="C5" s="101" t="s">
        <v>14</v>
      </c>
      <c r="D5" s="101" t="s">
        <v>10</v>
      </c>
      <c r="E5" s="102">
        <v>600</v>
      </c>
      <c r="F5" s="103">
        <v>0.16</v>
      </c>
      <c r="G5" s="103">
        <v>0.18</v>
      </c>
      <c r="H5" s="103">
        <v>0.25</v>
      </c>
      <c r="I5" s="104">
        <v>13000</v>
      </c>
    </row>
    <row r="6" spans="1:9">
      <c r="A6" s="101" t="s">
        <v>16</v>
      </c>
      <c r="B6" s="101" t="s">
        <v>17</v>
      </c>
      <c r="C6" s="101" t="s">
        <v>11</v>
      </c>
      <c r="D6" s="101" t="s">
        <v>17</v>
      </c>
      <c r="E6" s="102">
        <v>600</v>
      </c>
      <c r="F6" s="103">
        <v>0.12</v>
      </c>
      <c r="G6" s="103">
        <v>0.14000000000000001</v>
      </c>
      <c r="H6" s="103">
        <v>0.22</v>
      </c>
      <c r="I6" s="104">
        <v>13000</v>
      </c>
    </row>
    <row r="7" spans="1:9">
      <c r="A7" s="101" t="s">
        <v>18</v>
      </c>
      <c r="B7" s="101" t="s">
        <v>17</v>
      </c>
      <c r="C7" s="101" t="s">
        <v>19</v>
      </c>
      <c r="D7" s="101" t="s">
        <v>17</v>
      </c>
      <c r="E7" s="102">
        <v>600</v>
      </c>
      <c r="F7" s="103">
        <v>0.12</v>
      </c>
      <c r="G7" s="103">
        <v>0.14000000000000001</v>
      </c>
      <c r="H7" s="103">
        <v>0.22</v>
      </c>
      <c r="I7" s="104">
        <v>13000</v>
      </c>
    </row>
    <row r="8" spans="1:9">
      <c r="A8" s="101" t="s">
        <v>20</v>
      </c>
      <c r="B8" s="101" t="s">
        <v>17</v>
      </c>
      <c r="C8" s="101" t="s">
        <v>11</v>
      </c>
      <c r="D8" s="101" t="s">
        <v>17</v>
      </c>
      <c r="E8" s="102">
        <v>600</v>
      </c>
      <c r="F8" s="103">
        <v>0.12</v>
      </c>
      <c r="G8" s="103">
        <v>0.14000000000000001</v>
      </c>
      <c r="H8" s="103">
        <v>0.22</v>
      </c>
      <c r="I8" s="104">
        <v>13000</v>
      </c>
    </row>
    <row r="9" spans="1:9">
      <c r="A9" s="101" t="s">
        <v>21</v>
      </c>
      <c r="B9" s="101" t="s">
        <v>17</v>
      </c>
      <c r="C9" s="101" t="s">
        <v>11</v>
      </c>
      <c r="D9" s="101" t="s">
        <v>17</v>
      </c>
      <c r="E9" s="102">
        <v>600</v>
      </c>
      <c r="F9" s="103">
        <v>0.12</v>
      </c>
      <c r="G9" s="103">
        <v>0.14000000000000001</v>
      </c>
      <c r="H9" s="103">
        <v>0.22</v>
      </c>
      <c r="I9" s="104">
        <v>13000</v>
      </c>
    </row>
    <row r="10" spans="1:9">
      <c r="A10" s="101" t="s">
        <v>22</v>
      </c>
      <c r="B10" s="101" t="s">
        <v>17</v>
      </c>
      <c r="C10" s="101" t="s">
        <v>11</v>
      </c>
      <c r="D10" s="101" t="s">
        <v>17</v>
      </c>
      <c r="E10" s="102">
        <v>600</v>
      </c>
      <c r="F10" s="103">
        <v>0.12</v>
      </c>
      <c r="G10" s="103">
        <v>0.14000000000000001</v>
      </c>
      <c r="H10" s="103">
        <v>0.22</v>
      </c>
      <c r="I10" s="104">
        <v>13000</v>
      </c>
    </row>
    <row r="11" spans="1:9">
      <c r="A11" s="101" t="s">
        <v>23</v>
      </c>
      <c r="B11" s="101" t="s">
        <v>17</v>
      </c>
      <c r="C11" s="101" t="s">
        <v>14</v>
      </c>
      <c r="D11" s="101" t="s">
        <v>17</v>
      </c>
      <c r="E11" s="102">
        <v>600</v>
      </c>
      <c r="F11" s="103">
        <v>0.16</v>
      </c>
      <c r="G11" s="103">
        <v>0.18</v>
      </c>
      <c r="H11" s="103">
        <v>0.25</v>
      </c>
      <c r="I11" s="104">
        <v>8000</v>
      </c>
    </row>
    <row r="12" spans="1:9">
      <c r="A12" s="101" t="s">
        <v>24</v>
      </c>
      <c r="B12" s="101" t="s">
        <v>17</v>
      </c>
      <c r="C12" s="101" t="s">
        <v>14</v>
      </c>
      <c r="D12" s="101" t="s">
        <v>17</v>
      </c>
      <c r="E12" s="102">
        <v>600</v>
      </c>
      <c r="F12" s="103">
        <v>0.16</v>
      </c>
      <c r="G12" s="103">
        <v>0.18</v>
      </c>
      <c r="H12" s="103">
        <v>0.25</v>
      </c>
      <c r="I12" s="104">
        <v>8000</v>
      </c>
    </row>
    <row r="13" spans="1:9">
      <c r="A13" s="101" t="s">
        <v>25</v>
      </c>
      <c r="B13" s="101" t="s">
        <v>17</v>
      </c>
      <c r="C13" s="101" t="s">
        <v>14</v>
      </c>
      <c r="D13" s="101" t="s">
        <v>17</v>
      </c>
      <c r="E13" s="102">
        <v>600</v>
      </c>
      <c r="F13" s="103">
        <v>0.16</v>
      </c>
      <c r="G13" s="103">
        <v>0.18</v>
      </c>
      <c r="H13" s="103">
        <v>0.25</v>
      </c>
      <c r="I13" s="104">
        <v>8000</v>
      </c>
    </row>
    <row r="14" spans="1:9">
      <c r="A14" s="101" t="s">
        <v>26</v>
      </c>
      <c r="B14" s="101" t="s">
        <v>17</v>
      </c>
      <c r="C14" s="101" t="s">
        <v>14</v>
      </c>
      <c r="D14" s="101" t="s">
        <v>17</v>
      </c>
      <c r="E14" s="102">
        <v>600</v>
      </c>
      <c r="F14" s="103">
        <v>0.16</v>
      </c>
      <c r="G14" s="103">
        <v>0.18</v>
      </c>
      <c r="H14" s="103">
        <v>0.25</v>
      </c>
      <c r="I14" s="104">
        <v>8000</v>
      </c>
    </row>
    <row r="15" spans="1:9">
      <c r="A15" s="101" t="s">
        <v>27</v>
      </c>
      <c r="B15" s="101" t="s">
        <v>17</v>
      </c>
      <c r="C15" s="101" t="s">
        <v>19</v>
      </c>
      <c r="D15" s="101" t="s">
        <v>17</v>
      </c>
      <c r="E15" s="102">
        <v>600</v>
      </c>
      <c r="F15" s="103">
        <v>0.12</v>
      </c>
      <c r="G15" s="103">
        <v>0.14000000000000001</v>
      </c>
      <c r="H15" s="103">
        <v>0.22</v>
      </c>
      <c r="I15" s="104">
        <v>13000</v>
      </c>
    </row>
    <row r="16" spans="1:9">
      <c r="A16" s="101" t="s">
        <v>28</v>
      </c>
      <c r="B16" s="101" t="s">
        <v>17</v>
      </c>
      <c r="C16" s="101" t="s">
        <v>19</v>
      </c>
      <c r="D16" s="101" t="s">
        <v>17</v>
      </c>
      <c r="E16" s="102">
        <v>600</v>
      </c>
      <c r="F16" s="103">
        <v>0.12</v>
      </c>
      <c r="G16" s="103">
        <v>0.14000000000000001</v>
      </c>
      <c r="H16" s="103">
        <v>0.22</v>
      </c>
      <c r="I16" s="104">
        <v>13000</v>
      </c>
    </row>
    <row r="17" spans="1:9">
      <c r="A17" s="101" t="s">
        <v>29</v>
      </c>
      <c r="B17" s="101" t="s">
        <v>17</v>
      </c>
      <c r="C17" s="101" t="s">
        <v>19</v>
      </c>
      <c r="D17" s="101" t="s">
        <v>17</v>
      </c>
      <c r="E17" s="102">
        <v>600</v>
      </c>
      <c r="F17" s="103">
        <v>0.12</v>
      </c>
      <c r="G17" s="103">
        <v>0.14000000000000001</v>
      </c>
      <c r="H17" s="103">
        <v>0.22</v>
      </c>
      <c r="I17" s="104">
        <v>13000</v>
      </c>
    </row>
    <row r="18" spans="1:9">
      <c r="A18" s="101" t="s">
        <v>30</v>
      </c>
      <c r="B18" s="101" t="s">
        <v>17</v>
      </c>
      <c r="C18" s="101" t="s">
        <v>19</v>
      </c>
      <c r="D18" s="101" t="s">
        <v>31</v>
      </c>
      <c r="E18" s="102">
        <v>600</v>
      </c>
      <c r="F18" s="103">
        <v>0.2</v>
      </c>
      <c r="G18" s="103">
        <v>0.22</v>
      </c>
      <c r="H18" s="103">
        <v>0.25</v>
      </c>
      <c r="I18" s="104">
        <v>8000</v>
      </c>
    </row>
    <row r="19" spans="1:9">
      <c r="A19" s="101" t="s">
        <v>32</v>
      </c>
      <c r="B19" s="101" t="s">
        <v>17</v>
      </c>
      <c r="C19" s="101" t="s">
        <v>19</v>
      </c>
      <c r="D19" s="101" t="s">
        <v>31</v>
      </c>
      <c r="E19" s="102">
        <v>600</v>
      </c>
      <c r="F19" s="103">
        <v>0.2</v>
      </c>
      <c r="G19" s="103">
        <v>0.22</v>
      </c>
      <c r="H19" s="103">
        <v>0.25</v>
      </c>
      <c r="I19" s="104">
        <v>8000</v>
      </c>
    </row>
    <row r="20" spans="1:9">
      <c r="A20" s="101" t="s">
        <v>33</v>
      </c>
      <c r="B20" s="101" t="s">
        <v>17</v>
      </c>
      <c r="C20" s="101" t="s">
        <v>11</v>
      </c>
      <c r="D20" s="101" t="s">
        <v>34</v>
      </c>
      <c r="E20" s="102">
        <v>600</v>
      </c>
      <c r="F20" s="103">
        <v>0.2</v>
      </c>
      <c r="G20" s="103">
        <v>0.22</v>
      </c>
      <c r="H20" s="103">
        <v>0.25</v>
      </c>
      <c r="I20" s="104">
        <v>7000</v>
      </c>
    </row>
    <row r="21" spans="1:9">
      <c r="A21" s="101" t="s">
        <v>35</v>
      </c>
      <c r="B21" s="101" t="s">
        <v>17</v>
      </c>
      <c r="C21" s="101" t="s">
        <v>19</v>
      </c>
      <c r="D21" s="101" t="s">
        <v>34</v>
      </c>
      <c r="E21" s="102">
        <v>600</v>
      </c>
      <c r="F21" s="103">
        <v>0.2</v>
      </c>
      <c r="G21" s="103">
        <v>0.22</v>
      </c>
      <c r="H21" s="103">
        <v>0.25</v>
      </c>
      <c r="I21" s="104">
        <v>13000</v>
      </c>
    </row>
    <row r="22" spans="1:9">
      <c r="A22" s="101" t="s">
        <v>36</v>
      </c>
      <c r="B22" s="101" t="s">
        <v>17</v>
      </c>
      <c r="C22" s="101" t="s">
        <v>19</v>
      </c>
      <c r="D22" s="101" t="s">
        <v>34</v>
      </c>
      <c r="E22" s="102">
        <v>600</v>
      </c>
      <c r="F22" s="103">
        <v>0.2</v>
      </c>
      <c r="G22" s="103">
        <v>0.22</v>
      </c>
      <c r="H22" s="103">
        <v>0.25</v>
      </c>
      <c r="I22" s="104">
        <v>13000</v>
      </c>
    </row>
    <row r="33" spans="1:3">
      <c r="C33" t="s">
        <v>37</v>
      </c>
    </row>
    <row r="36" spans="1:3">
      <c r="A36" t="s">
        <v>38</v>
      </c>
    </row>
    <row r="37" spans="1:3">
      <c r="A37" t="s">
        <v>39</v>
      </c>
      <c r="C37" t="s">
        <v>40</v>
      </c>
    </row>
    <row r="38" spans="1:3">
      <c r="A38" t="s">
        <v>41</v>
      </c>
      <c r="C38" t="s">
        <v>42</v>
      </c>
    </row>
  </sheetData>
  <autoFilter ref="A1:I22" xr:uid="{FE406567-32C4-4D97-A654-561C68284F0B}"/>
  <conditionalFormatting sqref="A3">
    <cfRule type="duplicateValues" dxfId="135" priority="1"/>
  </conditionalFormatting>
  <conditionalFormatting sqref="A3">
    <cfRule type="duplicateValues" dxfId="134" priority="2"/>
  </conditionalFormatting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9" filterMode="1"/>
  <dimension ref="A1:L35"/>
  <sheetViews>
    <sheetView showGridLines="0" zoomScale="80" zoomScaleNormal="80" workbookViewId="0">
      <pane ySplit="1" topLeftCell="A15" activePane="bottomLeft" state="frozen"/>
      <selection pane="bottomLeft" activeCell="A35" sqref="A35"/>
    </sheetView>
  </sheetViews>
  <sheetFormatPr defaultRowHeight="15"/>
  <cols>
    <col min="1" max="1" width="32.7109375" style="28" customWidth="1"/>
    <col min="2" max="2" width="16.85546875" style="28" customWidth="1"/>
    <col min="3" max="3" width="14.5703125" style="28" customWidth="1"/>
    <col min="4" max="4" width="20.42578125" style="28" customWidth="1"/>
    <col min="5" max="5" width="18.140625" style="32" customWidth="1"/>
    <col min="6" max="7" width="9.140625" style="34"/>
    <col min="8" max="8" width="11.140625" style="34" customWidth="1"/>
    <col min="9" max="9" width="9.140625" style="33"/>
    <col min="10" max="10" width="9.28515625" style="28" customWidth="1"/>
    <col min="11" max="16384" width="9.140625" style="28"/>
  </cols>
  <sheetData>
    <row r="1" spans="1:11" s="51" customFormat="1">
      <c r="A1" s="24" t="s">
        <v>0</v>
      </c>
      <c r="B1" s="50" t="s">
        <v>1</v>
      </c>
      <c r="C1" s="50" t="s">
        <v>2</v>
      </c>
      <c r="D1" s="50" t="s">
        <v>3</v>
      </c>
      <c r="E1" s="29" t="s">
        <v>43</v>
      </c>
      <c r="F1" s="31" t="s">
        <v>5</v>
      </c>
      <c r="G1" s="31" t="s">
        <v>6</v>
      </c>
      <c r="H1" s="31" t="s">
        <v>7</v>
      </c>
      <c r="I1" s="30" t="s">
        <v>4</v>
      </c>
      <c r="J1" s="51" t="s">
        <v>44</v>
      </c>
      <c r="K1" s="51" t="s">
        <v>45</v>
      </c>
    </row>
    <row r="2" spans="1:11" hidden="1">
      <c r="A2" s="113" t="s">
        <v>46</v>
      </c>
      <c r="B2" s="26" t="s">
        <v>10</v>
      </c>
      <c r="C2" s="27" t="s">
        <v>11</v>
      </c>
      <c r="D2" s="52" t="s">
        <v>10</v>
      </c>
      <c r="E2" s="29">
        <v>14000</v>
      </c>
      <c r="F2" s="31">
        <v>0.16</v>
      </c>
      <c r="G2" s="31">
        <v>0.18</v>
      </c>
      <c r="H2" s="31">
        <v>0.22</v>
      </c>
      <c r="I2" s="30">
        <v>600</v>
      </c>
      <c r="J2" s="28" t="s">
        <v>47</v>
      </c>
    </row>
    <row r="3" spans="1:11" hidden="1">
      <c r="A3" s="115" t="s">
        <v>48</v>
      </c>
      <c r="B3" s="26" t="s">
        <v>10</v>
      </c>
      <c r="C3" s="27" t="s">
        <v>14</v>
      </c>
      <c r="D3" s="52" t="s">
        <v>10</v>
      </c>
      <c r="E3" s="29">
        <v>13000</v>
      </c>
      <c r="F3" s="31">
        <v>0.16</v>
      </c>
      <c r="G3" s="31">
        <v>0.18</v>
      </c>
      <c r="H3" s="31">
        <v>0.25</v>
      </c>
      <c r="I3" s="30">
        <v>600</v>
      </c>
      <c r="J3" s="28" t="s">
        <v>49</v>
      </c>
    </row>
    <row r="4" spans="1:11" hidden="1">
      <c r="A4" s="113" t="s">
        <v>50</v>
      </c>
      <c r="B4" s="26" t="s">
        <v>10</v>
      </c>
      <c r="C4" s="27" t="s">
        <v>14</v>
      </c>
      <c r="D4" s="52" t="s">
        <v>10</v>
      </c>
      <c r="E4" s="29">
        <v>13000</v>
      </c>
      <c r="F4" s="31">
        <v>0.16</v>
      </c>
      <c r="G4" s="31">
        <v>0.18</v>
      </c>
      <c r="H4" s="31">
        <v>0.25</v>
      </c>
      <c r="I4" s="30">
        <v>600</v>
      </c>
      <c r="J4" s="28" t="s">
        <v>47</v>
      </c>
    </row>
    <row r="5" spans="1:11">
      <c r="A5" s="113" t="s">
        <v>51</v>
      </c>
      <c r="B5" s="26" t="s">
        <v>17</v>
      </c>
      <c r="C5" s="26" t="s">
        <v>52</v>
      </c>
      <c r="D5" s="53" t="s">
        <v>17</v>
      </c>
      <c r="E5" s="29">
        <v>13000</v>
      </c>
      <c r="F5" s="31">
        <v>0.12</v>
      </c>
      <c r="G5" s="31">
        <v>0.14000000000000001</v>
      </c>
      <c r="H5" s="31">
        <v>0.22</v>
      </c>
      <c r="I5" s="30">
        <v>600</v>
      </c>
      <c r="J5" s="28" t="s">
        <v>47</v>
      </c>
      <c r="K5" s="28" t="s">
        <v>53</v>
      </c>
    </row>
    <row r="6" spans="1:11" hidden="1">
      <c r="A6" s="113" t="s">
        <v>54</v>
      </c>
      <c r="B6" s="26" t="s">
        <v>17</v>
      </c>
      <c r="C6" s="26" t="s">
        <v>14</v>
      </c>
      <c r="D6" s="53" t="s">
        <v>17</v>
      </c>
      <c r="E6" s="29">
        <v>8000</v>
      </c>
      <c r="F6" s="31">
        <v>0.16</v>
      </c>
      <c r="G6" s="31">
        <v>0.18</v>
      </c>
      <c r="H6" s="31">
        <v>0.25</v>
      </c>
      <c r="I6" s="30">
        <v>600</v>
      </c>
      <c r="J6" s="28" t="s">
        <v>49</v>
      </c>
      <c r="K6" s="28" t="s">
        <v>53</v>
      </c>
    </row>
    <row r="7" spans="1:11" hidden="1">
      <c r="A7" s="25" t="s">
        <v>16</v>
      </c>
      <c r="B7" s="26" t="s">
        <v>17</v>
      </c>
      <c r="C7" s="26" t="s">
        <v>11</v>
      </c>
      <c r="D7" s="53" t="s">
        <v>17</v>
      </c>
      <c r="E7" s="29">
        <v>13000</v>
      </c>
      <c r="F7" s="31">
        <v>0.12</v>
      </c>
      <c r="G7" s="31">
        <v>0.14000000000000001</v>
      </c>
      <c r="H7" s="31">
        <v>0.22</v>
      </c>
      <c r="I7" s="30">
        <v>600</v>
      </c>
      <c r="J7" s="28" t="s">
        <v>49</v>
      </c>
      <c r="K7" s="28" t="s">
        <v>53</v>
      </c>
    </row>
    <row r="8" spans="1:11">
      <c r="A8" s="113" t="s">
        <v>55</v>
      </c>
      <c r="B8" s="26" t="s">
        <v>17</v>
      </c>
      <c r="C8" s="26" t="s">
        <v>52</v>
      </c>
      <c r="D8" s="53" t="s">
        <v>17</v>
      </c>
      <c r="E8" s="29">
        <v>13000</v>
      </c>
      <c r="F8" s="31">
        <v>0.12</v>
      </c>
      <c r="G8" s="31">
        <v>0.14000000000000001</v>
      </c>
      <c r="H8" s="31">
        <v>0.22</v>
      </c>
      <c r="I8" s="30">
        <v>600</v>
      </c>
      <c r="J8" s="28" t="s">
        <v>49</v>
      </c>
      <c r="K8" s="28" t="s">
        <v>53</v>
      </c>
    </row>
    <row r="9" spans="1:11" hidden="1">
      <c r="A9" s="113" t="s">
        <v>56</v>
      </c>
      <c r="B9" s="26" t="s">
        <v>17</v>
      </c>
      <c r="C9" s="26" t="s">
        <v>14</v>
      </c>
      <c r="D9" s="53" t="s">
        <v>17</v>
      </c>
      <c r="E9" s="29">
        <v>8000</v>
      </c>
      <c r="F9" s="31">
        <v>0.16</v>
      </c>
      <c r="G9" s="31">
        <v>0.18</v>
      </c>
      <c r="H9" s="31">
        <v>0.25</v>
      </c>
      <c r="I9" s="30">
        <v>600</v>
      </c>
      <c r="J9" s="28" t="s">
        <v>57</v>
      </c>
      <c r="K9" s="28" t="s">
        <v>53</v>
      </c>
    </row>
    <row r="10" spans="1:11" hidden="1">
      <c r="A10" s="25" t="s">
        <v>25</v>
      </c>
      <c r="B10" s="26" t="s">
        <v>17</v>
      </c>
      <c r="C10" s="26" t="s">
        <v>14</v>
      </c>
      <c r="D10" s="53" t="s">
        <v>17</v>
      </c>
      <c r="E10" s="29">
        <v>8000</v>
      </c>
      <c r="F10" s="31">
        <v>0.16</v>
      </c>
      <c r="G10" s="31">
        <v>0.18</v>
      </c>
      <c r="H10" s="31">
        <v>0.25</v>
      </c>
      <c r="I10" s="30">
        <v>600</v>
      </c>
      <c r="J10" s="28" t="s">
        <v>49</v>
      </c>
      <c r="K10" s="28" t="s">
        <v>53</v>
      </c>
    </row>
    <row r="11" spans="1:11">
      <c r="A11" s="113" t="s">
        <v>58</v>
      </c>
      <c r="B11" s="26" t="s">
        <v>17</v>
      </c>
      <c r="C11" s="26" t="s">
        <v>52</v>
      </c>
      <c r="D11" s="53" t="s">
        <v>17</v>
      </c>
      <c r="E11" s="29">
        <v>13000</v>
      </c>
      <c r="F11" s="31">
        <v>0.12</v>
      </c>
      <c r="G11" s="31">
        <v>0.14000000000000001</v>
      </c>
      <c r="H11" s="31">
        <v>0.22</v>
      </c>
      <c r="I11" s="30">
        <v>600</v>
      </c>
      <c r="J11" s="28" t="s">
        <v>47</v>
      </c>
      <c r="K11" s="28" t="s">
        <v>53</v>
      </c>
    </row>
    <row r="12" spans="1:11">
      <c r="A12" s="113" t="s">
        <v>59</v>
      </c>
      <c r="B12" s="26" t="s">
        <v>17</v>
      </c>
      <c r="C12" s="26" t="s">
        <v>52</v>
      </c>
      <c r="D12" s="53" t="s">
        <v>17</v>
      </c>
      <c r="E12" s="29">
        <v>13000</v>
      </c>
      <c r="F12" s="31">
        <v>0.12</v>
      </c>
      <c r="G12" s="31">
        <v>0.14000000000000001</v>
      </c>
      <c r="H12" s="31">
        <v>0.22</v>
      </c>
      <c r="I12" s="30">
        <v>600</v>
      </c>
    </row>
    <row r="13" spans="1:11" hidden="1">
      <c r="A13" s="25" t="s">
        <v>60</v>
      </c>
      <c r="B13" s="26" t="s">
        <v>17</v>
      </c>
      <c r="C13" s="26" t="s">
        <v>61</v>
      </c>
      <c r="D13" s="26" t="s">
        <v>61</v>
      </c>
      <c r="E13" s="29"/>
      <c r="F13" s="31"/>
      <c r="G13" s="31"/>
      <c r="H13" s="31"/>
      <c r="I13" s="30"/>
    </row>
    <row r="14" spans="1:11" hidden="1">
      <c r="A14" s="25" t="s">
        <v>62</v>
      </c>
      <c r="B14" s="26" t="s">
        <v>10</v>
      </c>
      <c r="C14" s="26" t="s">
        <v>61</v>
      </c>
      <c r="D14" s="26" t="s">
        <v>61</v>
      </c>
      <c r="E14" s="29"/>
      <c r="F14" s="31"/>
      <c r="G14" s="31"/>
      <c r="H14" s="31"/>
      <c r="I14" s="30"/>
    </row>
    <row r="15" spans="1:11" hidden="1">
      <c r="A15" s="25" t="s">
        <v>63</v>
      </c>
      <c r="B15" s="26" t="s">
        <v>10</v>
      </c>
      <c r="C15" s="26" t="s">
        <v>61</v>
      </c>
      <c r="D15" s="26" t="s">
        <v>61</v>
      </c>
      <c r="E15" s="29"/>
      <c r="F15" s="31"/>
      <c r="G15" s="31"/>
      <c r="H15" s="31"/>
      <c r="I15" s="30"/>
    </row>
    <row r="16" spans="1:11" hidden="1">
      <c r="A16" s="25" t="s">
        <v>64</v>
      </c>
      <c r="B16" s="26" t="s">
        <v>10</v>
      </c>
      <c r="C16" s="26" t="s">
        <v>61</v>
      </c>
      <c r="D16" s="26" t="s">
        <v>61</v>
      </c>
      <c r="E16" s="29"/>
      <c r="F16" s="31"/>
      <c r="G16" s="31"/>
      <c r="H16" s="31"/>
      <c r="I16" s="30"/>
    </row>
    <row r="17" spans="1:12" hidden="1">
      <c r="A17" s="25" t="s">
        <v>65</v>
      </c>
      <c r="B17" s="26" t="s">
        <v>17</v>
      </c>
      <c r="C17" s="26" t="s">
        <v>61</v>
      </c>
      <c r="D17" s="26" t="s">
        <v>61</v>
      </c>
      <c r="E17" s="29"/>
      <c r="F17" s="31"/>
      <c r="G17" s="31"/>
      <c r="H17" s="31"/>
      <c r="I17" s="30"/>
    </row>
    <row r="18" spans="1:12">
      <c r="A18" s="113" t="s">
        <v>66</v>
      </c>
      <c r="B18" s="26" t="s">
        <v>17</v>
      </c>
      <c r="C18" s="26" t="s">
        <v>52</v>
      </c>
      <c r="D18" s="54" t="s">
        <v>31</v>
      </c>
      <c r="E18" s="29">
        <v>8000</v>
      </c>
      <c r="F18" s="23">
        <v>0.2</v>
      </c>
      <c r="G18" s="23">
        <v>0.22</v>
      </c>
      <c r="H18" s="23">
        <v>0.25</v>
      </c>
      <c r="I18" s="30">
        <v>600</v>
      </c>
      <c r="J18" s="28" t="s">
        <v>47</v>
      </c>
      <c r="K18" s="28" t="s">
        <v>53</v>
      </c>
    </row>
    <row r="19" spans="1:12">
      <c r="A19" s="113" t="s">
        <v>67</v>
      </c>
      <c r="B19" s="26" t="s">
        <v>17</v>
      </c>
      <c r="C19" s="26" t="s">
        <v>52</v>
      </c>
      <c r="D19" s="54" t="s">
        <v>31</v>
      </c>
      <c r="E19" s="29">
        <v>8000</v>
      </c>
      <c r="F19" s="23">
        <v>0.2</v>
      </c>
      <c r="G19" s="23">
        <v>0.22</v>
      </c>
      <c r="H19" s="23">
        <v>0.25</v>
      </c>
      <c r="I19" s="30">
        <v>600</v>
      </c>
      <c r="J19" s="28" t="s">
        <v>49</v>
      </c>
      <c r="K19" s="28" t="s">
        <v>53</v>
      </c>
    </row>
    <row r="20" spans="1:12" hidden="1">
      <c r="A20" s="113" t="s">
        <v>68</v>
      </c>
      <c r="B20" s="26" t="s">
        <v>17</v>
      </c>
      <c r="C20" s="26" t="s">
        <v>11</v>
      </c>
      <c r="D20" s="55" t="s">
        <v>34</v>
      </c>
      <c r="E20" s="29">
        <v>13000</v>
      </c>
      <c r="F20" s="31">
        <v>0.2</v>
      </c>
      <c r="G20" s="31">
        <v>0.22</v>
      </c>
      <c r="H20" s="31">
        <v>0.25</v>
      </c>
      <c r="I20" s="30">
        <v>600</v>
      </c>
      <c r="J20" s="28" t="s">
        <v>69</v>
      </c>
    </row>
    <row r="21" spans="1:12">
      <c r="A21" s="115" t="s">
        <v>70</v>
      </c>
      <c r="B21" s="26" t="s">
        <v>17</v>
      </c>
      <c r="C21" s="26" t="s">
        <v>52</v>
      </c>
      <c r="D21" s="55" t="s">
        <v>34</v>
      </c>
      <c r="E21" s="29">
        <v>13000</v>
      </c>
      <c r="F21" s="31">
        <v>0.2</v>
      </c>
      <c r="G21" s="31">
        <v>0.22</v>
      </c>
      <c r="H21" s="31">
        <v>0.25</v>
      </c>
      <c r="I21" s="30">
        <v>600</v>
      </c>
      <c r="J21" s="28" t="s">
        <v>47</v>
      </c>
      <c r="L21" s="28" t="s">
        <v>71</v>
      </c>
    </row>
    <row r="22" spans="1:12">
      <c r="A22" s="24" t="s">
        <v>72</v>
      </c>
      <c r="B22" s="26" t="s">
        <v>17</v>
      </c>
      <c r="C22" s="26" t="s">
        <v>52</v>
      </c>
      <c r="D22" s="55" t="s">
        <v>34</v>
      </c>
      <c r="E22" s="29">
        <v>13000</v>
      </c>
      <c r="F22" s="31">
        <v>0.2</v>
      </c>
      <c r="G22" s="31">
        <v>0.22</v>
      </c>
      <c r="H22" s="31">
        <v>0.25</v>
      </c>
      <c r="I22" s="30">
        <v>600</v>
      </c>
      <c r="J22" s="28" t="s">
        <v>73</v>
      </c>
    </row>
    <row r="23" spans="1:12" hidden="1">
      <c r="A23" s="113" t="s">
        <v>74</v>
      </c>
      <c r="B23" s="26" t="s">
        <v>17</v>
      </c>
      <c r="C23" s="26" t="s">
        <v>11</v>
      </c>
      <c r="D23" s="53" t="s">
        <v>17</v>
      </c>
      <c r="E23" s="29">
        <v>13000</v>
      </c>
      <c r="F23" s="31">
        <v>0.12</v>
      </c>
      <c r="G23" s="31">
        <v>0.14000000000000001</v>
      </c>
      <c r="H23" s="31">
        <v>0.22</v>
      </c>
      <c r="I23" s="30">
        <v>600</v>
      </c>
      <c r="J23" s="28" t="s">
        <v>47</v>
      </c>
      <c r="K23" s="28" t="s">
        <v>53</v>
      </c>
    </row>
    <row r="24" spans="1:12">
      <c r="A24" s="113" t="s">
        <v>75</v>
      </c>
      <c r="B24" s="26" t="s">
        <v>17</v>
      </c>
      <c r="C24" s="26" t="s">
        <v>52</v>
      </c>
      <c r="D24" s="55" t="s">
        <v>34</v>
      </c>
      <c r="E24" s="29">
        <v>13000</v>
      </c>
      <c r="F24" s="31">
        <v>0.2</v>
      </c>
      <c r="G24" s="31">
        <v>0.22</v>
      </c>
      <c r="H24" s="31">
        <v>0.25</v>
      </c>
      <c r="I24" s="30">
        <v>600</v>
      </c>
      <c r="J24" s="28" t="s">
        <v>49</v>
      </c>
    </row>
    <row r="25" spans="1:12">
      <c r="A25" s="25" t="s">
        <v>76</v>
      </c>
      <c r="B25" s="26" t="s">
        <v>17</v>
      </c>
      <c r="C25" s="26" t="s">
        <v>52</v>
      </c>
      <c r="D25" s="55" t="s">
        <v>34</v>
      </c>
      <c r="E25" s="29">
        <v>7000</v>
      </c>
      <c r="F25" s="31">
        <v>0.2</v>
      </c>
      <c r="G25" s="31">
        <v>0.22</v>
      </c>
      <c r="H25" s="31">
        <v>0.25</v>
      </c>
      <c r="I25" s="30">
        <v>600</v>
      </c>
      <c r="J25" s="28" t="s">
        <v>69</v>
      </c>
    </row>
    <row r="26" spans="1:12" hidden="1">
      <c r="A26" s="113" t="s">
        <v>77</v>
      </c>
      <c r="B26" s="28" t="s">
        <v>17</v>
      </c>
      <c r="C26" s="28" t="s">
        <v>14</v>
      </c>
      <c r="D26" s="28" t="s">
        <v>17</v>
      </c>
      <c r="E26" s="29">
        <v>8000</v>
      </c>
      <c r="F26" s="31">
        <v>0.16</v>
      </c>
      <c r="G26" s="31">
        <v>0.18</v>
      </c>
      <c r="H26" s="31">
        <v>0.25</v>
      </c>
      <c r="I26" s="30">
        <v>600</v>
      </c>
    </row>
    <row r="27" spans="1:12" hidden="1">
      <c r="A27" s="113" t="s">
        <v>78</v>
      </c>
      <c r="B27" s="28" t="s">
        <v>17</v>
      </c>
      <c r="C27" s="28" t="s">
        <v>11</v>
      </c>
      <c r="D27" s="28" t="s">
        <v>17</v>
      </c>
      <c r="E27" s="29">
        <v>13000</v>
      </c>
      <c r="F27" s="31">
        <v>0.12</v>
      </c>
      <c r="G27" s="31">
        <v>0.14000000000000001</v>
      </c>
      <c r="H27" s="31">
        <v>0.22</v>
      </c>
      <c r="I27" s="30">
        <v>600</v>
      </c>
    </row>
    <row r="28" spans="1:12" hidden="1">
      <c r="A28" s="113" t="s">
        <v>12</v>
      </c>
      <c r="B28" s="28" t="s">
        <v>10</v>
      </c>
      <c r="C28" s="28" t="s">
        <v>11</v>
      </c>
      <c r="D28" s="28" t="s">
        <v>10</v>
      </c>
      <c r="E28" s="29">
        <v>14000</v>
      </c>
      <c r="F28" s="31">
        <v>0.16</v>
      </c>
      <c r="G28" s="31">
        <v>0.18</v>
      </c>
      <c r="H28" s="31">
        <v>0.22</v>
      </c>
      <c r="I28" s="30">
        <v>600</v>
      </c>
    </row>
    <row r="29" spans="1:12" hidden="1">
      <c r="A29" s="113" t="s">
        <v>79</v>
      </c>
      <c r="B29" s="28" t="s">
        <v>17</v>
      </c>
      <c r="C29" s="28" t="s">
        <v>11</v>
      </c>
      <c r="D29" s="28" t="s">
        <v>17</v>
      </c>
      <c r="E29" s="29">
        <v>13000</v>
      </c>
      <c r="F29" s="31">
        <v>0.12</v>
      </c>
      <c r="G29" s="31">
        <v>0.14000000000000001</v>
      </c>
      <c r="H29" s="31">
        <v>0.22</v>
      </c>
      <c r="I29" s="30">
        <v>600</v>
      </c>
    </row>
    <row r="30" spans="1:12" hidden="1">
      <c r="A30" s="113" t="s">
        <v>80</v>
      </c>
      <c r="B30" s="28" t="s">
        <v>17</v>
      </c>
      <c r="C30" s="28" t="s">
        <v>11</v>
      </c>
      <c r="D30" s="28" t="s">
        <v>17</v>
      </c>
      <c r="E30" s="29">
        <v>13000</v>
      </c>
      <c r="F30" s="31">
        <v>0.12</v>
      </c>
      <c r="G30" s="31">
        <v>0.14000000000000001</v>
      </c>
      <c r="H30" s="31">
        <v>0.22</v>
      </c>
      <c r="I30" s="30">
        <v>600</v>
      </c>
    </row>
    <row r="31" spans="1:12" hidden="1">
      <c r="A31" s="113" t="s">
        <v>81</v>
      </c>
      <c r="B31" s="28" t="s">
        <v>17</v>
      </c>
      <c r="C31" s="28" t="s">
        <v>11</v>
      </c>
      <c r="D31" s="28" t="s">
        <v>17</v>
      </c>
      <c r="E31" s="29">
        <v>13000</v>
      </c>
      <c r="F31" s="31">
        <v>0.12</v>
      </c>
      <c r="G31" s="31">
        <v>0.14000000000000001</v>
      </c>
      <c r="H31" s="31">
        <v>0.22</v>
      </c>
      <c r="I31" s="30">
        <v>600</v>
      </c>
    </row>
    <row r="32" spans="1:12" hidden="1">
      <c r="A32" s="113" t="s">
        <v>82</v>
      </c>
      <c r="B32" s="26" t="s">
        <v>17</v>
      </c>
      <c r="C32" s="26" t="s">
        <v>14</v>
      </c>
      <c r="D32" s="53" t="s">
        <v>17</v>
      </c>
      <c r="E32" s="29">
        <v>8000</v>
      </c>
      <c r="F32" s="31">
        <v>0.16</v>
      </c>
      <c r="G32" s="31">
        <v>0.18</v>
      </c>
      <c r="H32" s="31">
        <v>0.25</v>
      </c>
      <c r="I32" s="30">
        <v>600</v>
      </c>
    </row>
    <row r="33" spans="1:9">
      <c r="A33" s="113" t="s">
        <v>83</v>
      </c>
      <c r="B33" s="26" t="s">
        <v>17</v>
      </c>
      <c r="C33" s="26" t="s">
        <v>52</v>
      </c>
      <c r="D33" s="53" t="s">
        <v>17</v>
      </c>
      <c r="E33" s="29">
        <v>13000</v>
      </c>
      <c r="F33" s="31">
        <v>0.12</v>
      </c>
      <c r="G33" s="31">
        <v>0.14000000000000001</v>
      </c>
      <c r="H33" s="31">
        <v>0.22</v>
      </c>
      <c r="I33" s="30">
        <v>600</v>
      </c>
    </row>
    <row r="34" spans="1:9">
      <c r="A34" s="113" t="s">
        <v>84</v>
      </c>
      <c r="B34" s="26" t="s">
        <v>17</v>
      </c>
      <c r="C34" s="26" t="s">
        <v>52</v>
      </c>
      <c r="D34" s="53" t="s">
        <v>17</v>
      </c>
      <c r="E34" s="29">
        <v>13000</v>
      </c>
      <c r="F34" s="31">
        <v>0.12</v>
      </c>
      <c r="G34" s="31">
        <v>0.14000000000000001</v>
      </c>
      <c r="H34" s="31">
        <v>0.22</v>
      </c>
      <c r="I34" s="30">
        <v>600</v>
      </c>
    </row>
    <row r="35" spans="1:9">
      <c r="A35" s="117" t="s">
        <v>85</v>
      </c>
    </row>
  </sheetData>
  <autoFilter ref="A1:I32" xr:uid="{00000000-0009-0000-0000-000006000000}">
    <filterColumn colId="2">
      <filters>
        <filter val="VA"/>
      </filters>
    </filterColumn>
  </autoFilter>
  <conditionalFormatting sqref="A10">
    <cfRule type="duplicateValues" dxfId="133" priority="36"/>
  </conditionalFormatting>
  <conditionalFormatting sqref="A10">
    <cfRule type="duplicateValues" dxfId="132" priority="37"/>
  </conditionalFormatting>
  <conditionalFormatting sqref="C1:D27 C29:D29 C35:D1048576 D33">
    <cfRule type="containsText" dxfId="131" priority="35" operator="containsText" text="nã">
      <formula>NOT(ISERROR(SEARCH("nã",C1)))</formula>
    </cfRule>
  </conditionalFormatting>
  <conditionalFormatting sqref="C28:D28">
    <cfRule type="containsText" dxfId="130" priority="34" operator="containsText" text="nã">
      <formula>NOT(ISERROR(SEARCH("nã",C28)))</formula>
    </cfRule>
  </conditionalFormatting>
  <conditionalFormatting sqref="A28">
    <cfRule type="duplicateValues" dxfId="129" priority="32"/>
  </conditionalFormatting>
  <conditionalFormatting sqref="A28">
    <cfRule type="duplicateValues" dxfId="128" priority="33"/>
  </conditionalFormatting>
  <conditionalFormatting sqref="C30:D30">
    <cfRule type="containsText" dxfId="127" priority="31" operator="containsText" text="nã">
      <formula>NOT(ISERROR(SEARCH("nã",C30)))</formula>
    </cfRule>
  </conditionalFormatting>
  <conditionalFormatting sqref="A20">
    <cfRule type="duplicateValues" dxfId="126" priority="27"/>
  </conditionalFormatting>
  <conditionalFormatting sqref="A20">
    <cfRule type="duplicateValues" dxfId="125" priority="28"/>
  </conditionalFormatting>
  <conditionalFormatting sqref="A31">
    <cfRule type="duplicateValues" dxfId="124" priority="25"/>
  </conditionalFormatting>
  <conditionalFormatting sqref="A31">
    <cfRule type="duplicateValues" dxfId="123" priority="26"/>
  </conditionalFormatting>
  <conditionalFormatting sqref="C31:D31">
    <cfRule type="containsText" dxfId="122" priority="24" operator="containsText" text="nã">
      <formula>NOT(ISERROR(SEARCH("nã",C31)))</formula>
    </cfRule>
  </conditionalFormatting>
  <conditionalFormatting sqref="A23">
    <cfRule type="duplicateValues" dxfId="121" priority="22"/>
  </conditionalFormatting>
  <conditionalFormatting sqref="A23">
    <cfRule type="duplicateValues" dxfId="120" priority="23"/>
  </conditionalFormatting>
  <conditionalFormatting sqref="A29">
    <cfRule type="duplicateValues" dxfId="119" priority="20"/>
  </conditionalFormatting>
  <conditionalFormatting sqref="A29">
    <cfRule type="duplicateValues" dxfId="118" priority="21"/>
  </conditionalFormatting>
  <conditionalFormatting sqref="A2">
    <cfRule type="duplicateValues" dxfId="117" priority="18"/>
  </conditionalFormatting>
  <conditionalFormatting sqref="A2">
    <cfRule type="duplicateValues" dxfId="116" priority="19"/>
  </conditionalFormatting>
  <conditionalFormatting sqref="A27">
    <cfRule type="duplicateValues" dxfId="115" priority="16"/>
  </conditionalFormatting>
  <conditionalFormatting sqref="A27">
    <cfRule type="duplicateValues" dxfId="114" priority="17"/>
  </conditionalFormatting>
  <conditionalFormatting sqref="A6">
    <cfRule type="duplicateValues" dxfId="113" priority="14"/>
  </conditionalFormatting>
  <conditionalFormatting sqref="A6">
    <cfRule type="duplicateValues" dxfId="112" priority="15"/>
  </conditionalFormatting>
  <conditionalFormatting sqref="A4">
    <cfRule type="duplicateValues" dxfId="111" priority="13"/>
  </conditionalFormatting>
  <conditionalFormatting sqref="A9">
    <cfRule type="duplicateValues" dxfId="110" priority="11"/>
  </conditionalFormatting>
  <conditionalFormatting sqref="A9">
    <cfRule type="duplicateValues" dxfId="109" priority="12"/>
  </conditionalFormatting>
  <conditionalFormatting sqref="A26">
    <cfRule type="duplicateValues" dxfId="108" priority="9"/>
  </conditionalFormatting>
  <conditionalFormatting sqref="A26">
    <cfRule type="duplicateValues" dxfId="107" priority="10"/>
  </conditionalFormatting>
  <conditionalFormatting sqref="C32:D32">
    <cfRule type="containsText" dxfId="106" priority="8" operator="containsText" text="nã">
      <formula>NOT(ISERROR(SEARCH("nã",C32)))</formula>
    </cfRule>
  </conditionalFormatting>
  <conditionalFormatting sqref="A3">
    <cfRule type="duplicateValues" dxfId="105" priority="7"/>
  </conditionalFormatting>
  <conditionalFormatting sqref="A18">
    <cfRule type="duplicateValues" dxfId="104" priority="5"/>
  </conditionalFormatting>
  <conditionalFormatting sqref="A18">
    <cfRule type="duplicateValues" dxfId="103" priority="6"/>
  </conditionalFormatting>
  <conditionalFormatting sqref="C33">
    <cfRule type="containsText" dxfId="102" priority="4" operator="containsText" text="nã">
      <formula>NOT(ISERROR(SEARCH("nã",C33)))</formula>
    </cfRule>
  </conditionalFormatting>
  <conditionalFormatting sqref="C34">
    <cfRule type="containsText" dxfId="101" priority="2" operator="containsText" text="nã">
      <formula>NOT(ISERROR(SEARCH("nã",C34)))</formula>
    </cfRule>
  </conditionalFormatting>
  <conditionalFormatting sqref="D34">
    <cfRule type="containsText" dxfId="100" priority="1" operator="containsText" text="nã">
      <formula>NOT(ISERROR(SEARCH("nã",D34)))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3EBC2-8DC4-402D-A12A-C45460885688}">
  <sheetPr codeName="Planilha6">
    <pageSetUpPr fitToPage="1"/>
  </sheetPr>
  <dimension ref="B1:W45"/>
  <sheetViews>
    <sheetView showGridLines="0" zoomScale="90" zoomScaleNormal="90" workbookViewId="0">
      <pane xSplit="1" ySplit="2" topLeftCell="B5" activePane="bottomRight" state="frozen"/>
      <selection pane="bottomRight" activeCell="K2" sqref="K1:K1048576"/>
      <selection pane="bottomLeft" activeCell="A4" sqref="A4"/>
      <selection pane="topRight" activeCell="B1" sqref="B1"/>
    </sheetView>
  </sheetViews>
  <sheetFormatPr defaultRowHeight="12.75"/>
  <cols>
    <col min="1" max="1" width="2.85546875" style="5" customWidth="1"/>
    <col min="2" max="2" width="15.28515625" style="14" customWidth="1"/>
    <col min="3" max="3" width="13.5703125" style="10" customWidth="1"/>
    <col min="4" max="4" width="13.85546875" style="10" customWidth="1"/>
    <col min="5" max="5" width="12.140625" style="97" customWidth="1"/>
    <col min="6" max="6" width="6.42578125" style="39" customWidth="1"/>
    <col min="7" max="7" width="7.85546875" style="10" bestFit="1" customWidth="1"/>
    <col min="8" max="8" width="7.85546875" style="13" bestFit="1" customWidth="1"/>
    <col min="9" max="9" width="9.5703125" style="44" bestFit="1" customWidth="1"/>
    <col min="10" max="10" width="7.140625" style="87" bestFit="1" customWidth="1"/>
    <col min="11" max="11" width="9.85546875" style="90" bestFit="1" customWidth="1"/>
    <col min="12" max="12" width="9.5703125" style="90" bestFit="1" customWidth="1"/>
    <col min="13" max="13" width="9.85546875" style="90" bestFit="1" customWidth="1"/>
    <col min="14" max="14" width="7.140625" style="91" bestFit="1" customWidth="1"/>
    <col min="15" max="15" width="8.7109375" style="92" bestFit="1" customWidth="1"/>
    <col min="16" max="16" width="9.42578125" style="93" customWidth="1"/>
    <col min="17" max="17" width="22.140625" style="93" bestFit="1" customWidth="1"/>
    <col min="18" max="18" width="12.28515625" style="87" hidden="1" customWidth="1"/>
    <col min="19" max="19" width="9.5703125" style="19" hidden="1" customWidth="1"/>
    <col min="20" max="20" width="12.28515625" style="5" bestFit="1" customWidth="1"/>
    <col min="21" max="21" width="9.140625" style="5"/>
    <col min="22" max="22" width="13.42578125" style="5" bestFit="1" customWidth="1"/>
    <col min="23" max="16384" width="9.140625" style="5"/>
  </cols>
  <sheetData>
    <row r="1" spans="2:23" ht="38.25" customHeight="1">
      <c r="E1" s="10"/>
      <c r="F1" s="154" t="s">
        <v>86</v>
      </c>
      <c r="G1" s="154"/>
      <c r="H1" s="154"/>
      <c r="I1" s="154"/>
      <c r="J1" s="154"/>
      <c r="K1" s="155" t="s">
        <v>87</v>
      </c>
      <c r="L1" s="155"/>
      <c r="M1" s="155"/>
      <c r="N1" s="155" t="s">
        <v>88</v>
      </c>
      <c r="O1" s="155"/>
      <c r="P1" s="155"/>
      <c r="Q1" s="155"/>
      <c r="R1" s="42"/>
      <c r="S1" s="44"/>
    </row>
    <row r="2" spans="2:23" ht="26.1" customHeight="1">
      <c r="B2" s="15" t="s">
        <v>0</v>
      </c>
      <c r="C2" s="8" t="s">
        <v>1</v>
      </c>
      <c r="D2" s="8" t="s">
        <v>2</v>
      </c>
      <c r="E2" s="8" t="s">
        <v>3</v>
      </c>
      <c r="F2" s="48" t="s">
        <v>4</v>
      </c>
      <c r="G2" s="61" t="s">
        <v>5</v>
      </c>
      <c r="H2" s="61" t="s">
        <v>6</v>
      </c>
      <c r="I2" s="57" t="s">
        <v>7</v>
      </c>
      <c r="J2" s="61" t="s">
        <v>8</v>
      </c>
      <c r="K2" s="152" t="s">
        <v>89</v>
      </c>
      <c r="L2" s="152" t="s">
        <v>7</v>
      </c>
      <c r="M2" s="152" t="s">
        <v>90</v>
      </c>
      <c r="N2" s="99" t="s">
        <v>4</v>
      </c>
      <c r="O2" s="99" t="s">
        <v>90</v>
      </c>
      <c r="P2" s="99" t="s">
        <v>7</v>
      </c>
      <c r="Q2" s="145" t="s">
        <v>91</v>
      </c>
      <c r="R2" s="144" t="s">
        <v>92</v>
      </c>
      <c r="S2" s="146" t="s">
        <v>93</v>
      </c>
      <c r="T2" s="57" t="s">
        <v>94</v>
      </c>
    </row>
    <row r="3" spans="2:23" ht="15" customHeight="1">
      <c r="B3" s="16" t="s">
        <v>27</v>
      </c>
      <c r="C3" s="83" t="s">
        <v>17</v>
      </c>
      <c r="D3" s="83" t="s">
        <v>52</v>
      </c>
      <c r="E3" s="83" t="s">
        <v>17</v>
      </c>
      <c r="F3" s="144" t="str">
        <f t="shared" ref="F3:F29" si="0">IFERROR(VLOOKUP($B3,regra,9,0),"?")</f>
        <v>?</v>
      </c>
      <c r="G3" s="58" t="str">
        <f t="shared" ref="G3:G29" si="1">IFERROR(VLOOKUP($B3,regra,6,0),"?")</f>
        <v>?</v>
      </c>
      <c r="H3" s="58" t="str">
        <f t="shared" ref="H3:H29" si="2">IFERROR(VLOOKUP($B3,regra,7,0),"?")</f>
        <v>?</v>
      </c>
      <c r="I3" s="58" t="str">
        <f t="shared" ref="I3:I29" si="3">IFERROR(VLOOKUP($B3,regra,8,0),"?")</f>
        <v>?</v>
      </c>
      <c r="J3" s="85" t="str">
        <f t="shared" ref="J3:J29" si="4">IFERROR(VLOOKUP($B3,regra,5,0),"?")</f>
        <v>?</v>
      </c>
      <c r="K3" s="88">
        <f>11369-L3</f>
        <v>10609</v>
      </c>
      <c r="L3" s="88">
        <v>760</v>
      </c>
      <c r="M3" s="88">
        <f>L3+K3</f>
        <v>11369</v>
      </c>
      <c r="N3" s="88" t="str">
        <f t="shared" ref="N3:N29" si="5">F3</f>
        <v>?</v>
      </c>
      <c r="O3" s="89" t="e">
        <f t="shared" ref="O3:O29" si="6">IF(M3&gt;J3,M3*H3,M3*G3)</f>
        <v>#VALUE!</v>
      </c>
      <c r="P3" s="89" t="e">
        <f t="shared" ref="P3:P29" si="7">L3*I3</f>
        <v>#VALUE!</v>
      </c>
      <c r="Q3" s="88" t="e">
        <f>SUM(N3:P3)</f>
        <v>#VALUE!</v>
      </c>
      <c r="R3" s="17">
        <v>0</v>
      </c>
      <c r="S3" s="146" t="e">
        <f t="shared" ref="S3:S8" si="8">Q3-R3</f>
        <v>#VALUE!</v>
      </c>
      <c r="T3" s="58" t="e">
        <f>Q3/M3</f>
        <v>#VALUE!</v>
      </c>
      <c r="V3" s="21"/>
      <c r="W3" s="22"/>
    </row>
    <row r="4" spans="2:23" ht="15" customHeight="1">
      <c r="B4" s="16" t="s">
        <v>30</v>
      </c>
      <c r="C4" s="83" t="s">
        <v>17</v>
      </c>
      <c r="D4" s="83" t="s">
        <v>52</v>
      </c>
      <c r="E4" s="83" t="s">
        <v>31</v>
      </c>
      <c r="F4" s="144" t="str">
        <f t="shared" si="0"/>
        <v>?</v>
      </c>
      <c r="G4" s="58" t="str">
        <f t="shared" si="1"/>
        <v>?</v>
      </c>
      <c r="H4" s="58" t="str">
        <f t="shared" si="2"/>
        <v>?</v>
      </c>
      <c r="I4" s="58" t="str">
        <f t="shared" si="3"/>
        <v>?</v>
      </c>
      <c r="J4" s="85" t="str">
        <f t="shared" si="4"/>
        <v>?</v>
      </c>
      <c r="K4" s="88">
        <f>3148-L4</f>
        <v>2768</v>
      </c>
      <c r="L4" s="88">
        <v>380</v>
      </c>
      <c r="M4" s="88">
        <f t="shared" ref="M4:M29" si="9">L4+K4</f>
        <v>3148</v>
      </c>
      <c r="N4" s="88" t="str">
        <f t="shared" si="5"/>
        <v>?</v>
      </c>
      <c r="O4" s="89" t="e">
        <f t="shared" si="6"/>
        <v>#VALUE!</v>
      </c>
      <c r="P4" s="89" t="e">
        <f t="shared" si="7"/>
        <v>#VALUE!</v>
      </c>
      <c r="Q4" s="88" t="e">
        <f t="shared" ref="Q4:Q22" si="10">SUM(N4:P4)</f>
        <v>#VALUE!</v>
      </c>
      <c r="R4" s="17">
        <v>0</v>
      </c>
      <c r="S4" s="146" t="e">
        <f t="shared" si="8"/>
        <v>#VALUE!</v>
      </c>
      <c r="T4" s="58" t="e">
        <f t="shared" ref="T4:T29" si="11">Q4/M4</f>
        <v>#VALUE!</v>
      </c>
    </row>
    <row r="5" spans="2:23" ht="15" customHeight="1">
      <c r="B5" s="16" t="s">
        <v>32</v>
      </c>
      <c r="C5" s="83" t="s">
        <v>17</v>
      </c>
      <c r="D5" s="83" t="s">
        <v>52</v>
      </c>
      <c r="E5" s="83" t="s">
        <v>31</v>
      </c>
      <c r="F5" s="144" t="str">
        <f t="shared" si="0"/>
        <v>?</v>
      </c>
      <c r="G5" s="58" t="str">
        <f t="shared" si="1"/>
        <v>?</v>
      </c>
      <c r="H5" s="58" t="str">
        <f t="shared" si="2"/>
        <v>?</v>
      </c>
      <c r="I5" s="58" t="str">
        <f t="shared" si="3"/>
        <v>?</v>
      </c>
      <c r="J5" s="85" t="str">
        <f t="shared" si="4"/>
        <v>?</v>
      </c>
      <c r="K5" s="88">
        <f>4848-L5</f>
        <v>3588</v>
      </c>
      <c r="L5" s="88">
        <v>1260</v>
      </c>
      <c r="M5" s="88">
        <f t="shared" si="9"/>
        <v>4848</v>
      </c>
      <c r="N5" s="88" t="str">
        <f t="shared" si="5"/>
        <v>?</v>
      </c>
      <c r="O5" s="89" t="e">
        <f t="shared" si="6"/>
        <v>#VALUE!</v>
      </c>
      <c r="P5" s="89" t="e">
        <f t="shared" si="7"/>
        <v>#VALUE!</v>
      </c>
      <c r="Q5" s="88" t="e">
        <f t="shared" si="10"/>
        <v>#VALUE!</v>
      </c>
      <c r="R5" s="17">
        <v>0</v>
      </c>
      <c r="S5" s="146" t="e">
        <f t="shared" si="8"/>
        <v>#VALUE!</v>
      </c>
      <c r="T5" s="58" t="e">
        <f t="shared" si="11"/>
        <v>#VALUE!</v>
      </c>
    </row>
    <row r="6" spans="2:23" ht="15" customHeight="1">
      <c r="B6" s="16" t="s">
        <v>23</v>
      </c>
      <c r="C6" s="83" t="s">
        <v>17</v>
      </c>
      <c r="D6" s="83" t="s">
        <v>14</v>
      </c>
      <c r="E6" s="83" t="s">
        <v>17</v>
      </c>
      <c r="F6" s="144" t="str">
        <f t="shared" si="0"/>
        <v>?</v>
      </c>
      <c r="G6" s="58" t="str">
        <f t="shared" si="1"/>
        <v>?</v>
      </c>
      <c r="H6" s="58" t="str">
        <f t="shared" si="2"/>
        <v>?</v>
      </c>
      <c r="I6" s="58" t="str">
        <f t="shared" si="3"/>
        <v>?</v>
      </c>
      <c r="J6" s="85" t="str">
        <f t="shared" si="4"/>
        <v>?</v>
      </c>
      <c r="K6" s="88">
        <f>6816-1330</f>
        <v>5486</v>
      </c>
      <c r="L6" s="88">
        <v>1330</v>
      </c>
      <c r="M6" s="88">
        <f t="shared" si="9"/>
        <v>6816</v>
      </c>
      <c r="N6" s="88" t="str">
        <f t="shared" si="5"/>
        <v>?</v>
      </c>
      <c r="O6" s="89" t="e">
        <f t="shared" si="6"/>
        <v>#VALUE!</v>
      </c>
      <c r="P6" s="89" t="e">
        <f t="shared" si="7"/>
        <v>#VALUE!</v>
      </c>
      <c r="Q6" s="88" t="e">
        <f t="shared" si="10"/>
        <v>#VALUE!</v>
      </c>
      <c r="R6" s="17">
        <v>0</v>
      </c>
      <c r="S6" s="146" t="e">
        <f t="shared" si="8"/>
        <v>#VALUE!</v>
      </c>
      <c r="T6" s="58" t="e">
        <f t="shared" si="11"/>
        <v>#VALUE!</v>
      </c>
    </row>
    <row r="7" spans="2:23" ht="15" customHeight="1">
      <c r="B7" s="16" t="s">
        <v>16</v>
      </c>
      <c r="C7" s="83" t="s">
        <v>17</v>
      </c>
      <c r="D7" s="83" t="s">
        <v>11</v>
      </c>
      <c r="E7" s="83" t="s">
        <v>17</v>
      </c>
      <c r="F7" s="144">
        <f t="shared" si="0"/>
        <v>600</v>
      </c>
      <c r="G7" s="58">
        <f t="shared" si="1"/>
        <v>0.12</v>
      </c>
      <c r="H7" s="58">
        <f t="shared" si="2"/>
        <v>0.14000000000000001</v>
      </c>
      <c r="I7" s="58">
        <f t="shared" si="3"/>
        <v>0.22</v>
      </c>
      <c r="J7" s="85">
        <f t="shared" si="4"/>
        <v>13000</v>
      </c>
      <c r="K7" s="88">
        <v>8281</v>
      </c>
      <c r="L7" s="88">
        <v>0</v>
      </c>
      <c r="M7" s="88">
        <f t="shared" si="9"/>
        <v>8281</v>
      </c>
      <c r="N7" s="88">
        <f t="shared" si="5"/>
        <v>600</v>
      </c>
      <c r="O7" s="89">
        <f t="shared" si="6"/>
        <v>993.71999999999991</v>
      </c>
      <c r="P7" s="89">
        <f t="shared" si="7"/>
        <v>0</v>
      </c>
      <c r="Q7" s="88">
        <f t="shared" si="10"/>
        <v>1593.7199999999998</v>
      </c>
      <c r="R7" s="17">
        <v>0</v>
      </c>
      <c r="S7" s="146">
        <f t="shared" si="8"/>
        <v>1593.7199999999998</v>
      </c>
      <c r="T7" s="58">
        <f t="shared" si="11"/>
        <v>0.19245501750996255</v>
      </c>
    </row>
    <row r="8" spans="2:23" ht="15" customHeight="1">
      <c r="B8" s="16" t="s">
        <v>18</v>
      </c>
      <c r="C8" s="83" t="s">
        <v>17</v>
      </c>
      <c r="D8" s="83" t="s">
        <v>11</v>
      </c>
      <c r="E8" s="83" t="s">
        <v>17</v>
      </c>
      <c r="F8" s="144" t="str">
        <f t="shared" si="0"/>
        <v>?</v>
      </c>
      <c r="G8" s="58" t="str">
        <f t="shared" si="1"/>
        <v>?</v>
      </c>
      <c r="H8" s="58" t="str">
        <f t="shared" si="2"/>
        <v>?</v>
      </c>
      <c r="I8" s="58" t="str">
        <f t="shared" si="3"/>
        <v>?</v>
      </c>
      <c r="J8" s="85" t="str">
        <f t="shared" si="4"/>
        <v>?</v>
      </c>
      <c r="K8" s="88">
        <f>8359-1000</f>
        <v>7359</v>
      </c>
      <c r="L8" s="88">
        <v>1000</v>
      </c>
      <c r="M8" s="88">
        <f t="shared" si="9"/>
        <v>8359</v>
      </c>
      <c r="N8" s="88" t="str">
        <f t="shared" si="5"/>
        <v>?</v>
      </c>
      <c r="O8" s="89" t="e">
        <f t="shared" si="6"/>
        <v>#VALUE!</v>
      </c>
      <c r="P8" s="89" t="e">
        <f t="shared" si="7"/>
        <v>#VALUE!</v>
      </c>
      <c r="Q8" s="88" t="e">
        <f t="shared" si="10"/>
        <v>#VALUE!</v>
      </c>
      <c r="R8" s="17">
        <v>0</v>
      </c>
      <c r="S8" s="146" t="e">
        <f t="shared" si="8"/>
        <v>#VALUE!</v>
      </c>
      <c r="T8" s="58" t="e">
        <f t="shared" si="11"/>
        <v>#VALUE!</v>
      </c>
    </row>
    <row r="9" spans="2:23" ht="15" customHeight="1">
      <c r="B9" s="16" t="s">
        <v>60</v>
      </c>
      <c r="C9" s="83" t="s">
        <v>17</v>
      </c>
      <c r="D9" s="86" t="s">
        <v>61</v>
      </c>
      <c r="E9" s="86" t="s">
        <v>61</v>
      </c>
      <c r="F9" s="144">
        <f t="shared" si="0"/>
        <v>0</v>
      </c>
      <c r="G9" s="58">
        <f t="shared" si="1"/>
        <v>0</v>
      </c>
      <c r="H9" s="58">
        <f t="shared" si="2"/>
        <v>0</v>
      </c>
      <c r="I9" s="58">
        <f t="shared" si="3"/>
        <v>0</v>
      </c>
      <c r="J9" s="85">
        <f t="shared" si="4"/>
        <v>0</v>
      </c>
      <c r="K9" s="88"/>
      <c r="L9" s="88"/>
      <c r="M9" s="88">
        <f t="shared" si="9"/>
        <v>0</v>
      </c>
      <c r="N9" s="88">
        <f t="shared" si="5"/>
        <v>0</v>
      </c>
      <c r="O9" s="89">
        <f t="shared" si="6"/>
        <v>0</v>
      </c>
      <c r="P9" s="89">
        <f t="shared" si="7"/>
        <v>0</v>
      </c>
      <c r="Q9" s="88">
        <f t="shared" si="10"/>
        <v>0</v>
      </c>
      <c r="R9" s="17">
        <v>0</v>
      </c>
      <c r="S9" s="151"/>
      <c r="T9" s="58" t="e">
        <f t="shared" si="11"/>
        <v>#DIV/0!</v>
      </c>
    </row>
    <row r="10" spans="2:23" ht="15" customHeight="1">
      <c r="B10" s="16" t="s">
        <v>35</v>
      </c>
      <c r="C10" s="83" t="s">
        <v>17</v>
      </c>
      <c r="D10" s="83" t="s">
        <v>52</v>
      </c>
      <c r="E10" s="83" t="s">
        <v>34</v>
      </c>
      <c r="F10" s="144" t="str">
        <f t="shared" si="0"/>
        <v>?</v>
      </c>
      <c r="G10" s="58" t="str">
        <f t="shared" si="1"/>
        <v>?</v>
      </c>
      <c r="H10" s="58" t="str">
        <f t="shared" si="2"/>
        <v>?</v>
      </c>
      <c r="I10" s="58" t="str">
        <f t="shared" si="3"/>
        <v>?</v>
      </c>
      <c r="J10" s="85" t="str">
        <f t="shared" si="4"/>
        <v>?</v>
      </c>
      <c r="K10" s="88">
        <f>6431-320</f>
        <v>6111</v>
      </c>
      <c r="L10" s="88">
        <v>320</v>
      </c>
      <c r="M10" s="88">
        <f t="shared" si="9"/>
        <v>6431</v>
      </c>
      <c r="N10" s="88" t="str">
        <f t="shared" si="5"/>
        <v>?</v>
      </c>
      <c r="O10" s="89" t="e">
        <f t="shared" si="6"/>
        <v>#VALUE!</v>
      </c>
      <c r="P10" s="89" t="e">
        <f t="shared" si="7"/>
        <v>#VALUE!</v>
      </c>
      <c r="Q10" s="88" t="e">
        <f t="shared" si="10"/>
        <v>#VALUE!</v>
      </c>
      <c r="R10" s="17">
        <v>0</v>
      </c>
      <c r="S10" s="146" t="e">
        <f t="shared" ref="S10:S16" si="12">Q10-R10</f>
        <v>#VALUE!</v>
      </c>
      <c r="T10" s="58" t="e">
        <f t="shared" si="11"/>
        <v>#VALUE!</v>
      </c>
    </row>
    <row r="11" spans="2:23" ht="15" customHeight="1">
      <c r="B11" s="25" t="s">
        <v>72</v>
      </c>
      <c r="C11" s="83" t="s">
        <v>17</v>
      </c>
      <c r="D11" s="83" t="s">
        <v>52</v>
      </c>
      <c r="E11" s="83" t="s">
        <v>34</v>
      </c>
      <c r="F11" s="144">
        <f t="shared" si="0"/>
        <v>600</v>
      </c>
      <c r="G11" s="58">
        <f t="shared" si="1"/>
        <v>0.2</v>
      </c>
      <c r="H11" s="58">
        <f t="shared" si="2"/>
        <v>0.22</v>
      </c>
      <c r="I11" s="58">
        <f t="shared" si="3"/>
        <v>0.25</v>
      </c>
      <c r="J11" s="85">
        <f t="shared" si="4"/>
        <v>13000</v>
      </c>
      <c r="K11" s="88">
        <f>12432-1050</f>
        <v>11382</v>
      </c>
      <c r="L11" s="88">
        <v>1050</v>
      </c>
      <c r="M11" s="88">
        <f t="shared" si="9"/>
        <v>12432</v>
      </c>
      <c r="N11" s="88">
        <f t="shared" si="5"/>
        <v>600</v>
      </c>
      <c r="O11" s="89">
        <f t="shared" si="6"/>
        <v>2486.4</v>
      </c>
      <c r="P11" s="89">
        <f t="shared" si="7"/>
        <v>262.5</v>
      </c>
      <c r="Q11" s="88">
        <f t="shared" si="10"/>
        <v>3348.9</v>
      </c>
      <c r="R11" s="17">
        <v>0</v>
      </c>
      <c r="S11" s="146">
        <f t="shared" si="12"/>
        <v>3348.9</v>
      </c>
      <c r="T11" s="58">
        <f t="shared" si="11"/>
        <v>0.26937741312741315</v>
      </c>
    </row>
    <row r="12" spans="2:23" ht="15" customHeight="1">
      <c r="B12" s="16" t="s">
        <v>24</v>
      </c>
      <c r="C12" s="83" t="s">
        <v>17</v>
      </c>
      <c r="D12" s="83" t="s">
        <v>14</v>
      </c>
      <c r="E12" s="83" t="s">
        <v>17</v>
      </c>
      <c r="F12" s="144">
        <v>520</v>
      </c>
      <c r="G12" s="58" t="str">
        <f t="shared" si="1"/>
        <v>?</v>
      </c>
      <c r="H12" s="58" t="str">
        <f t="shared" si="2"/>
        <v>?</v>
      </c>
      <c r="I12" s="58" t="str">
        <f t="shared" si="3"/>
        <v>?</v>
      </c>
      <c r="J12" s="85" t="str">
        <f t="shared" si="4"/>
        <v>?</v>
      </c>
      <c r="K12" s="88">
        <f>4562.96-L12</f>
        <v>4282.96</v>
      </c>
      <c r="L12" s="88">
        <v>280</v>
      </c>
      <c r="M12" s="88">
        <f t="shared" si="9"/>
        <v>4562.96</v>
      </c>
      <c r="N12" s="88">
        <f t="shared" si="5"/>
        <v>520</v>
      </c>
      <c r="O12" s="89" t="e">
        <f t="shared" si="6"/>
        <v>#VALUE!</v>
      </c>
      <c r="P12" s="89" t="e">
        <f t="shared" si="7"/>
        <v>#VALUE!</v>
      </c>
      <c r="Q12" s="145" t="e">
        <f t="shared" si="10"/>
        <v>#VALUE!</v>
      </c>
      <c r="R12" s="17">
        <v>0</v>
      </c>
      <c r="S12" s="98" t="e">
        <f t="shared" si="12"/>
        <v>#VALUE!</v>
      </c>
      <c r="T12" s="58" t="e">
        <f t="shared" si="11"/>
        <v>#VALUE!</v>
      </c>
    </row>
    <row r="13" spans="2:23" ht="15" customHeight="1">
      <c r="B13" s="16" t="s">
        <v>20</v>
      </c>
      <c r="C13" s="83" t="s">
        <v>17</v>
      </c>
      <c r="D13" s="83" t="s">
        <v>11</v>
      </c>
      <c r="E13" s="83" t="s">
        <v>17</v>
      </c>
      <c r="F13" s="144" t="str">
        <f t="shared" si="0"/>
        <v>?</v>
      </c>
      <c r="G13" s="58" t="str">
        <f t="shared" si="1"/>
        <v>?</v>
      </c>
      <c r="H13" s="58" t="str">
        <f t="shared" si="2"/>
        <v>?</v>
      </c>
      <c r="I13" s="58" t="str">
        <f t="shared" si="3"/>
        <v>?</v>
      </c>
      <c r="J13" s="85" t="str">
        <f t="shared" si="4"/>
        <v>?</v>
      </c>
      <c r="K13" s="88">
        <f>6913-540</f>
        <v>6373</v>
      </c>
      <c r="L13" s="88">
        <v>540</v>
      </c>
      <c r="M13" s="88">
        <f t="shared" si="9"/>
        <v>6913</v>
      </c>
      <c r="N13" s="88" t="str">
        <f t="shared" si="5"/>
        <v>?</v>
      </c>
      <c r="O13" s="89" t="e">
        <f t="shared" si="6"/>
        <v>#VALUE!</v>
      </c>
      <c r="P13" s="89" t="e">
        <f t="shared" si="7"/>
        <v>#VALUE!</v>
      </c>
      <c r="Q13" s="88" t="e">
        <f t="shared" si="10"/>
        <v>#VALUE!</v>
      </c>
      <c r="R13" s="17">
        <v>0</v>
      </c>
      <c r="S13" s="146" t="e">
        <f t="shared" si="12"/>
        <v>#VALUE!</v>
      </c>
      <c r="T13" s="58" t="e">
        <f t="shared" si="11"/>
        <v>#VALUE!</v>
      </c>
    </row>
    <row r="14" spans="2:23" ht="15" customHeight="1">
      <c r="B14" s="16" t="s">
        <v>25</v>
      </c>
      <c r="C14" s="83" t="s">
        <v>17</v>
      </c>
      <c r="D14" s="83" t="s">
        <v>14</v>
      </c>
      <c r="E14" s="83" t="s">
        <v>17</v>
      </c>
      <c r="F14" s="144">
        <f t="shared" si="0"/>
        <v>600</v>
      </c>
      <c r="G14" s="58">
        <f t="shared" si="1"/>
        <v>0.16</v>
      </c>
      <c r="H14" s="58">
        <f t="shared" si="2"/>
        <v>0.18</v>
      </c>
      <c r="I14" s="58">
        <f t="shared" si="3"/>
        <v>0.25</v>
      </c>
      <c r="J14" s="85">
        <f t="shared" si="4"/>
        <v>8000</v>
      </c>
      <c r="K14" s="88">
        <f>5883-1880</f>
        <v>4003</v>
      </c>
      <c r="L14" s="88">
        <v>1880</v>
      </c>
      <c r="M14" s="88">
        <f t="shared" si="9"/>
        <v>5883</v>
      </c>
      <c r="N14" s="88">
        <f t="shared" si="5"/>
        <v>600</v>
      </c>
      <c r="O14" s="89">
        <f t="shared" si="6"/>
        <v>941.28</v>
      </c>
      <c r="P14" s="89">
        <f t="shared" si="7"/>
        <v>470</v>
      </c>
      <c r="Q14" s="88">
        <f t="shared" si="10"/>
        <v>2011.28</v>
      </c>
      <c r="R14" s="17">
        <v>0</v>
      </c>
      <c r="S14" s="146">
        <f t="shared" si="12"/>
        <v>2011.28</v>
      </c>
      <c r="T14" s="58">
        <f t="shared" si="11"/>
        <v>0.34187999320074791</v>
      </c>
    </row>
    <row r="15" spans="2:23" ht="15" customHeight="1">
      <c r="B15" s="16" t="s">
        <v>36</v>
      </c>
      <c r="C15" s="83" t="s">
        <v>17</v>
      </c>
      <c r="D15" s="83" t="s">
        <v>52</v>
      </c>
      <c r="E15" s="83" t="s">
        <v>34</v>
      </c>
      <c r="F15" s="144" t="str">
        <f t="shared" si="0"/>
        <v>?</v>
      </c>
      <c r="G15" s="58" t="str">
        <f t="shared" si="1"/>
        <v>?</v>
      </c>
      <c r="H15" s="58" t="str">
        <f t="shared" si="2"/>
        <v>?</v>
      </c>
      <c r="I15" s="58" t="str">
        <f t="shared" si="3"/>
        <v>?</v>
      </c>
      <c r="J15" s="85" t="str">
        <f t="shared" si="4"/>
        <v>?</v>
      </c>
      <c r="K15" s="88">
        <f>8499-90</f>
        <v>8409</v>
      </c>
      <c r="L15" s="88">
        <v>90</v>
      </c>
      <c r="M15" s="88">
        <f t="shared" si="9"/>
        <v>8499</v>
      </c>
      <c r="N15" s="88" t="str">
        <f t="shared" si="5"/>
        <v>?</v>
      </c>
      <c r="O15" s="89" t="e">
        <f t="shared" si="6"/>
        <v>#VALUE!</v>
      </c>
      <c r="P15" s="89" t="e">
        <f t="shared" si="7"/>
        <v>#VALUE!</v>
      </c>
      <c r="Q15" s="88" t="e">
        <f t="shared" si="10"/>
        <v>#VALUE!</v>
      </c>
      <c r="R15" s="17">
        <v>0</v>
      </c>
      <c r="S15" s="146" t="e">
        <f t="shared" si="12"/>
        <v>#VALUE!</v>
      </c>
      <c r="T15" s="58" t="e">
        <f t="shared" si="11"/>
        <v>#VALUE!</v>
      </c>
    </row>
    <row r="16" spans="2:23" ht="15" customHeight="1">
      <c r="B16" s="16" t="s">
        <v>28</v>
      </c>
      <c r="C16" s="83" t="s">
        <v>17</v>
      </c>
      <c r="D16" s="83" t="s">
        <v>52</v>
      </c>
      <c r="E16" s="83" t="s">
        <v>17</v>
      </c>
      <c r="F16" s="144" t="str">
        <f t="shared" si="0"/>
        <v>?</v>
      </c>
      <c r="G16" s="58" t="str">
        <f t="shared" si="1"/>
        <v>?</v>
      </c>
      <c r="H16" s="58" t="str">
        <f t="shared" si="2"/>
        <v>?</v>
      </c>
      <c r="I16" s="58" t="str">
        <f t="shared" si="3"/>
        <v>?</v>
      </c>
      <c r="J16" s="85" t="str">
        <f t="shared" si="4"/>
        <v>?</v>
      </c>
      <c r="K16" s="88">
        <f>8875-720</f>
        <v>8155</v>
      </c>
      <c r="L16" s="88">
        <v>720</v>
      </c>
      <c r="M16" s="88">
        <f t="shared" si="9"/>
        <v>8875</v>
      </c>
      <c r="N16" s="88" t="str">
        <f t="shared" si="5"/>
        <v>?</v>
      </c>
      <c r="O16" s="89" t="e">
        <f t="shared" si="6"/>
        <v>#VALUE!</v>
      </c>
      <c r="P16" s="89" t="e">
        <f t="shared" si="7"/>
        <v>#VALUE!</v>
      </c>
      <c r="Q16" s="88" t="e">
        <f t="shared" si="10"/>
        <v>#VALUE!</v>
      </c>
      <c r="R16" s="17">
        <v>0</v>
      </c>
      <c r="S16" s="146" t="e">
        <f t="shared" si="12"/>
        <v>#VALUE!</v>
      </c>
      <c r="T16" s="58" t="e">
        <f t="shared" si="11"/>
        <v>#VALUE!</v>
      </c>
    </row>
    <row r="17" spans="2:20" ht="18.75" customHeight="1">
      <c r="B17" s="16" t="s">
        <v>62</v>
      </c>
      <c r="C17" s="83" t="s">
        <v>10</v>
      </c>
      <c r="D17" s="86" t="s">
        <v>61</v>
      </c>
      <c r="E17" s="86" t="s">
        <v>61</v>
      </c>
      <c r="F17" s="144">
        <f t="shared" si="0"/>
        <v>0</v>
      </c>
      <c r="G17" s="58">
        <f t="shared" si="1"/>
        <v>0</v>
      </c>
      <c r="H17" s="58">
        <f t="shared" si="2"/>
        <v>0</v>
      </c>
      <c r="I17" s="58">
        <f t="shared" si="3"/>
        <v>0</v>
      </c>
      <c r="J17" s="85">
        <f t="shared" si="4"/>
        <v>0</v>
      </c>
      <c r="K17" s="88"/>
      <c r="L17" s="88"/>
      <c r="M17" s="88"/>
      <c r="N17" s="88">
        <f t="shared" si="5"/>
        <v>0</v>
      </c>
      <c r="O17" s="89">
        <f t="shared" si="6"/>
        <v>0</v>
      </c>
      <c r="P17" s="89">
        <f t="shared" si="7"/>
        <v>0</v>
      </c>
      <c r="Q17" s="88">
        <f t="shared" si="10"/>
        <v>0</v>
      </c>
      <c r="R17" s="17">
        <v>0</v>
      </c>
      <c r="S17" s="151"/>
      <c r="T17" s="58" t="e">
        <f t="shared" si="11"/>
        <v>#DIV/0!</v>
      </c>
    </row>
    <row r="18" spans="2:20" ht="15" customHeight="1">
      <c r="B18" s="11" t="s">
        <v>9</v>
      </c>
      <c r="C18" s="83" t="s">
        <v>10</v>
      </c>
      <c r="D18" s="83" t="s">
        <v>11</v>
      </c>
      <c r="E18" s="83" t="s">
        <v>10</v>
      </c>
      <c r="F18" s="144" t="str">
        <f t="shared" si="0"/>
        <v>?</v>
      </c>
      <c r="G18" s="58" t="str">
        <f t="shared" si="1"/>
        <v>?</v>
      </c>
      <c r="H18" s="58" t="str">
        <f t="shared" si="2"/>
        <v>?</v>
      </c>
      <c r="I18" s="58" t="str">
        <f t="shared" si="3"/>
        <v>?</v>
      </c>
      <c r="J18" s="85" t="str">
        <f t="shared" si="4"/>
        <v>?</v>
      </c>
      <c r="K18" s="88">
        <v>12971</v>
      </c>
      <c r="L18" s="88">
        <v>0</v>
      </c>
      <c r="M18" s="88">
        <f t="shared" si="9"/>
        <v>12971</v>
      </c>
      <c r="N18" s="88" t="str">
        <f t="shared" si="5"/>
        <v>?</v>
      </c>
      <c r="O18" s="89" t="e">
        <f t="shared" si="6"/>
        <v>#VALUE!</v>
      </c>
      <c r="P18" s="89" t="e">
        <f t="shared" si="7"/>
        <v>#VALUE!</v>
      </c>
      <c r="Q18" s="88" t="e">
        <f t="shared" si="10"/>
        <v>#VALUE!</v>
      </c>
      <c r="R18" s="17" t="e">
        <f>#REF!</f>
        <v>#REF!</v>
      </c>
      <c r="S18" s="146" t="e">
        <f>Q18-R18</f>
        <v>#VALUE!</v>
      </c>
      <c r="T18" s="58" t="e">
        <f t="shared" si="11"/>
        <v>#VALUE!</v>
      </c>
    </row>
    <row r="19" spans="2:20" ht="15" customHeight="1">
      <c r="B19" s="11" t="s">
        <v>13</v>
      </c>
      <c r="C19" s="83" t="s">
        <v>10</v>
      </c>
      <c r="D19" s="83" t="s">
        <v>14</v>
      </c>
      <c r="E19" s="83" t="s">
        <v>10</v>
      </c>
      <c r="F19" s="144" t="str">
        <f t="shared" si="0"/>
        <v>?</v>
      </c>
      <c r="G19" s="58" t="str">
        <f t="shared" si="1"/>
        <v>?</v>
      </c>
      <c r="H19" s="58" t="str">
        <f t="shared" si="2"/>
        <v>?</v>
      </c>
      <c r="I19" s="58" t="str">
        <f t="shared" si="3"/>
        <v>?</v>
      </c>
      <c r="J19" s="85" t="str">
        <f t="shared" si="4"/>
        <v>?</v>
      </c>
      <c r="K19" s="88">
        <f>10336.66-490</f>
        <v>9846.66</v>
      </c>
      <c r="L19" s="88">
        <v>490</v>
      </c>
      <c r="M19" s="88">
        <f t="shared" si="9"/>
        <v>10336.66</v>
      </c>
      <c r="N19" s="88" t="str">
        <f t="shared" si="5"/>
        <v>?</v>
      </c>
      <c r="O19" s="89" t="e">
        <f t="shared" si="6"/>
        <v>#VALUE!</v>
      </c>
      <c r="P19" s="89" t="e">
        <f t="shared" si="7"/>
        <v>#VALUE!</v>
      </c>
      <c r="Q19" s="88" t="e">
        <f t="shared" si="10"/>
        <v>#VALUE!</v>
      </c>
      <c r="R19" s="17" t="e">
        <f>#REF!</f>
        <v>#REF!</v>
      </c>
      <c r="S19" s="146" t="e">
        <f t="shared" ref="S19:S20" si="13">Q19-R19</f>
        <v>#VALUE!</v>
      </c>
      <c r="T19" s="58" t="e">
        <f t="shared" si="11"/>
        <v>#VALUE!</v>
      </c>
    </row>
    <row r="20" spans="2:20" ht="15" customHeight="1">
      <c r="B20" s="16" t="s">
        <v>15</v>
      </c>
      <c r="C20" s="83" t="s">
        <v>10</v>
      </c>
      <c r="D20" s="83" t="s">
        <v>14</v>
      </c>
      <c r="E20" s="83" t="s">
        <v>10</v>
      </c>
      <c r="F20" s="144" t="str">
        <f t="shared" si="0"/>
        <v>?</v>
      </c>
      <c r="G20" s="58" t="str">
        <f t="shared" si="1"/>
        <v>?</v>
      </c>
      <c r="H20" s="58" t="str">
        <f t="shared" si="2"/>
        <v>?</v>
      </c>
      <c r="I20" s="58" t="str">
        <f t="shared" si="3"/>
        <v>?</v>
      </c>
      <c r="J20" s="85" t="str">
        <f t="shared" si="4"/>
        <v>?</v>
      </c>
      <c r="K20" s="88">
        <f>8426-500</f>
        <v>7926</v>
      </c>
      <c r="L20" s="88">
        <v>500</v>
      </c>
      <c r="M20" s="88">
        <f t="shared" si="9"/>
        <v>8426</v>
      </c>
      <c r="N20" s="88" t="str">
        <f t="shared" si="5"/>
        <v>?</v>
      </c>
      <c r="O20" s="89" t="e">
        <f t="shared" si="6"/>
        <v>#VALUE!</v>
      </c>
      <c r="P20" s="89" t="e">
        <f t="shared" si="7"/>
        <v>#VALUE!</v>
      </c>
      <c r="Q20" s="88" t="e">
        <f t="shared" si="10"/>
        <v>#VALUE!</v>
      </c>
      <c r="R20" s="17" t="e">
        <f>#REF!</f>
        <v>#REF!</v>
      </c>
      <c r="S20" s="146" t="e">
        <f t="shared" si="13"/>
        <v>#VALUE!</v>
      </c>
      <c r="T20" s="58" t="e">
        <f t="shared" si="11"/>
        <v>#VALUE!</v>
      </c>
    </row>
    <row r="21" spans="2:20" ht="15" customHeight="1">
      <c r="B21" s="16" t="s">
        <v>63</v>
      </c>
      <c r="C21" s="83" t="s">
        <v>10</v>
      </c>
      <c r="D21" s="86" t="s">
        <v>61</v>
      </c>
      <c r="E21" s="86" t="s">
        <v>61</v>
      </c>
      <c r="F21" s="144">
        <f t="shared" si="0"/>
        <v>0</v>
      </c>
      <c r="G21" s="58">
        <f t="shared" si="1"/>
        <v>0</v>
      </c>
      <c r="H21" s="58">
        <f t="shared" si="2"/>
        <v>0</v>
      </c>
      <c r="I21" s="58">
        <f t="shared" si="3"/>
        <v>0</v>
      </c>
      <c r="J21" s="85">
        <f t="shared" si="4"/>
        <v>0</v>
      </c>
      <c r="K21" s="88"/>
      <c r="L21" s="88"/>
      <c r="M21" s="88"/>
      <c r="N21" s="88">
        <f t="shared" si="5"/>
        <v>0</v>
      </c>
      <c r="O21" s="89">
        <f t="shared" si="6"/>
        <v>0</v>
      </c>
      <c r="P21" s="89">
        <f t="shared" si="7"/>
        <v>0</v>
      </c>
      <c r="Q21" s="88">
        <f t="shared" si="10"/>
        <v>0</v>
      </c>
      <c r="R21" s="17" t="e">
        <f>#REF!</f>
        <v>#REF!</v>
      </c>
      <c r="S21" s="146" t="e">
        <f t="shared" ref="S21:S22" si="14">Q21-R21</f>
        <v>#REF!</v>
      </c>
      <c r="T21" s="58" t="e">
        <f t="shared" si="11"/>
        <v>#DIV/0!</v>
      </c>
    </row>
    <row r="22" spans="2:20" ht="15" customHeight="1">
      <c r="B22" s="16" t="s">
        <v>33</v>
      </c>
      <c r="C22" s="83" t="s">
        <v>17</v>
      </c>
      <c r="D22" s="86" t="s">
        <v>11</v>
      </c>
      <c r="E22" s="86" t="s">
        <v>34</v>
      </c>
      <c r="F22" s="144">
        <v>380</v>
      </c>
      <c r="G22" s="58" t="str">
        <f t="shared" si="1"/>
        <v>?</v>
      </c>
      <c r="H22" s="58" t="str">
        <f t="shared" si="2"/>
        <v>?</v>
      </c>
      <c r="I22" s="58" t="str">
        <f t="shared" si="3"/>
        <v>?</v>
      </c>
      <c r="J22" s="85" t="str">
        <f t="shared" si="4"/>
        <v>?</v>
      </c>
      <c r="K22" s="88">
        <v>2850.67</v>
      </c>
      <c r="L22" s="88">
        <v>0</v>
      </c>
      <c r="M22" s="88">
        <f t="shared" si="9"/>
        <v>2850.67</v>
      </c>
      <c r="N22" s="88">
        <f t="shared" si="5"/>
        <v>380</v>
      </c>
      <c r="O22" s="89" t="e">
        <f t="shared" si="6"/>
        <v>#VALUE!</v>
      </c>
      <c r="P22" s="89" t="e">
        <f t="shared" si="7"/>
        <v>#VALUE!</v>
      </c>
      <c r="Q22" s="145" t="e">
        <f t="shared" si="10"/>
        <v>#VALUE!</v>
      </c>
      <c r="R22" s="17" t="e">
        <f>#REF!</f>
        <v>#REF!</v>
      </c>
      <c r="S22" s="98" t="e">
        <f t="shared" si="14"/>
        <v>#VALUE!</v>
      </c>
      <c r="T22" s="58" t="e">
        <f t="shared" si="11"/>
        <v>#VALUE!</v>
      </c>
    </row>
    <row r="23" spans="2:20">
      <c r="B23" s="16" t="s">
        <v>65</v>
      </c>
      <c r="C23" s="83" t="s">
        <v>17</v>
      </c>
      <c r="D23" s="86" t="s">
        <v>61</v>
      </c>
      <c r="E23" s="86" t="s">
        <v>61</v>
      </c>
      <c r="F23" s="144">
        <f t="shared" si="0"/>
        <v>0</v>
      </c>
      <c r="G23" s="58">
        <f t="shared" si="1"/>
        <v>0</v>
      </c>
      <c r="H23" s="58">
        <f t="shared" si="2"/>
        <v>0</v>
      </c>
      <c r="I23" s="58">
        <f t="shared" si="3"/>
        <v>0</v>
      </c>
      <c r="J23" s="85">
        <f t="shared" si="4"/>
        <v>0</v>
      </c>
      <c r="K23" s="88"/>
      <c r="L23" s="88"/>
      <c r="M23" s="88"/>
      <c r="N23" s="88">
        <f t="shared" si="5"/>
        <v>0</v>
      </c>
      <c r="O23" s="89">
        <f t="shared" si="6"/>
        <v>0</v>
      </c>
      <c r="P23" s="89">
        <f t="shared" si="7"/>
        <v>0</v>
      </c>
      <c r="Q23" s="88">
        <f t="shared" ref="Q23:Q27" si="15">SUM(N23:P23)</f>
        <v>0</v>
      </c>
      <c r="R23" s="17" t="e">
        <f>#REF!</f>
        <v>#REF!</v>
      </c>
      <c r="S23" s="146" t="e">
        <f t="shared" ref="S23:S27" si="16">Q23-R23</f>
        <v>#REF!</v>
      </c>
      <c r="T23" s="58" t="e">
        <f t="shared" si="11"/>
        <v>#DIV/0!</v>
      </c>
    </row>
    <row r="24" spans="2:20">
      <c r="B24" s="84" t="s">
        <v>26</v>
      </c>
      <c r="C24" s="84" t="s">
        <v>17</v>
      </c>
      <c r="D24" s="94" t="s">
        <v>14</v>
      </c>
      <c r="E24" s="84" t="s">
        <v>17</v>
      </c>
      <c r="F24" s="144" t="str">
        <f t="shared" si="0"/>
        <v>?</v>
      </c>
      <c r="G24" s="58" t="str">
        <f t="shared" si="1"/>
        <v>?</v>
      </c>
      <c r="H24" s="58" t="str">
        <f t="shared" si="2"/>
        <v>?</v>
      </c>
      <c r="I24" s="58" t="str">
        <f t="shared" si="3"/>
        <v>?</v>
      </c>
      <c r="J24" s="85" t="str">
        <f t="shared" si="4"/>
        <v>?</v>
      </c>
      <c r="K24" s="88">
        <f>5684-1810</f>
        <v>3874</v>
      </c>
      <c r="L24" s="88">
        <v>1810</v>
      </c>
      <c r="M24" s="88">
        <f t="shared" si="9"/>
        <v>5684</v>
      </c>
      <c r="N24" s="88" t="str">
        <f t="shared" si="5"/>
        <v>?</v>
      </c>
      <c r="O24" s="89" t="e">
        <f t="shared" si="6"/>
        <v>#VALUE!</v>
      </c>
      <c r="P24" s="89" t="e">
        <f t="shared" si="7"/>
        <v>#VALUE!</v>
      </c>
      <c r="Q24" s="88" t="e">
        <f t="shared" si="15"/>
        <v>#VALUE!</v>
      </c>
      <c r="R24" s="17" t="e">
        <f>#REF!</f>
        <v>#REF!</v>
      </c>
      <c r="S24" s="146" t="e">
        <f t="shared" si="16"/>
        <v>#VALUE!</v>
      </c>
      <c r="T24" s="58" t="e">
        <f t="shared" si="11"/>
        <v>#VALUE!</v>
      </c>
    </row>
    <row r="25" spans="2:20">
      <c r="B25" s="84" t="s">
        <v>21</v>
      </c>
      <c r="C25" s="84" t="s">
        <v>17</v>
      </c>
      <c r="D25" s="94" t="s">
        <v>11</v>
      </c>
      <c r="E25" s="84" t="s">
        <v>17</v>
      </c>
      <c r="F25" s="144" t="str">
        <f t="shared" si="0"/>
        <v>?</v>
      </c>
      <c r="G25" s="58" t="str">
        <f t="shared" si="1"/>
        <v>?</v>
      </c>
      <c r="H25" s="58" t="str">
        <f t="shared" si="2"/>
        <v>?</v>
      </c>
      <c r="I25" s="58" t="str">
        <f t="shared" si="3"/>
        <v>?</v>
      </c>
      <c r="J25" s="85" t="str">
        <f t="shared" si="4"/>
        <v>?</v>
      </c>
      <c r="K25" s="88"/>
      <c r="L25" s="88"/>
      <c r="M25" s="88">
        <f t="shared" si="9"/>
        <v>0</v>
      </c>
      <c r="N25" s="88" t="str">
        <f t="shared" si="5"/>
        <v>?</v>
      </c>
      <c r="O25" s="89" t="e">
        <f t="shared" si="6"/>
        <v>#VALUE!</v>
      </c>
      <c r="P25" s="89" t="e">
        <f t="shared" si="7"/>
        <v>#VALUE!</v>
      </c>
      <c r="Q25" s="88" t="e">
        <f t="shared" si="15"/>
        <v>#VALUE!</v>
      </c>
      <c r="R25" s="17" t="e">
        <f>#REF!</f>
        <v>#REF!</v>
      </c>
      <c r="S25" s="146" t="e">
        <f t="shared" si="16"/>
        <v>#VALUE!</v>
      </c>
      <c r="T25" s="58" t="e">
        <f t="shared" si="11"/>
        <v>#VALUE!</v>
      </c>
    </row>
    <row r="26" spans="2:20">
      <c r="B26" s="84" t="s">
        <v>95</v>
      </c>
      <c r="C26" s="94" t="s">
        <v>17</v>
      </c>
      <c r="D26" s="94" t="s">
        <v>11</v>
      </c>
      <c r="E26" s="94" t="s">
        <v>17</v>
      </c>
      <c r="F26" s="144">
        <v>340</v>
      </c>
      <c r="G26" s="58" t="str">
        <f t="shared" si="1"/>
        <v>?</v>
      </c>
      <c r="H26" s="58" t="str">
        <f t="shared" si="2"/>
        <v>?</v>
      </c>
      <c r="I26" s="58" t="str">
        <f t="shared" si="3"/>
        <v>?</v>
      </c>
      <c r="J26" s="85" t="str">
        <f t="shared" si="4"/>
        <v>?</v>
      </c>
      <c r="K26" s="88">
        <v>1287.07</v>
      </c>
      <c r="L26" s="88">
        <v>0</v>
      </c>
      <c r="M26" s="88">
        <f t="shared" si="9"/>
        <v>1287.07</v>
      </c>
      <c r="N26" s="88">
        <f t="shared" si="5"/>
        <v>340</v>
      </c>
      <c r="O26" s="89" t="e">
        <f t="shared" si="6"/>
        <v>#VALUE!</v>
      </c>
      <c r="P26" s="89" t="e">
        <f t="shared" si="7"/>
        <v>#VALUE!</v>
      </c>
      <c r="Q26" s="145" t="e">
        <f t="shared" si="15"/>
        <v>#VALUE!</v>
      </c>
      <c r="R26" s="17" t="e">
        <f>#REF!</f>
        <v>#REF!</v>
      </c>
      <c r="S26" s="98" t="e">
        <f t="shared" si="16"/>
        <v>#VALUE!</v>
      </c>
      <c r="T26" s="58" t="e">
        <f t="shared" si="11"/>
        <v>#VALUE!</v>
      </c>
    </row>
    <row r="27" spans="2:20">
      <c r="B27" s="84" t="s">
        <v>96</v>
      </c>
      <c r="C27" s="84" t="s">
        <v>10</v>
      </c>
      <c r="D27" s="94" t="s">
        <v>11</v>
      </c>
      <c r="E27" s="84" t="s">
        <v>10</v>
      </c>
      <c r="F27" s="144" t="str">
        <f t="shared" si="0"/>
        <v>?</v>
      </c>
      <c r="G27" s="58" t="str">
        <f t="shared" si="1"/>
        <v>?</v>
      </c>
      <c r="H27" s="58" t="str">
        <f t="shared" si="2"/>
        <v>?</v>
      </c>
      <c r="I27" s="58" t="str">
        <f t="shared" si="3"/>
        <v>?</v>
      </c>
      <c r="J27" s="85" t="str">
        <f t="shared" si="4"/>
        <v>?</v>
      </c>
      <c r="K27" s="88"/>
      <c r="L27" s="88"/>
      <c r="M27" s="88">
        <f t="shared" si="9"/>
        <v>0</v>
      </c>
      <c r="N27" s="88" t="str">
        <f t="shared" si="5"/>
        <v>?</v>
      </c>
      <c r="O27" s="89" t="e">
        <f t="shared" si="6"/>
        <v>#VALUE!</v>
      </c>
      <c r="P27" s="89" t="e">
        <f t="shared" si="7"/>
        <v>#VALUE!</v>
      </c>
      <c r="Q27" s="88" t="e">
        <f t="shared" si="15"/>
        <v>#VALUE!</v>
      </c>
      <c r="R27" s="17" t="e">
        <f>#REF!</f>
        <v>#REF!</v>
      </c>
      <c r="S27" s="146" t="e">
        <f t="shared" si="16"/>
        <v>#VALUE!</v>
      </c>
      <c r="T27" s="58" t="e">
        <f t="shared" si="11"/>
        <v>#VALUE!</v>
      </c>
    </row>
    <row r="28" spans="2:20">
      <c r="B28" s="84" t="s">
        <v>22</v>
      </c>
      <c r="C28" s="84" t="s">
        <v>17</v>
      </c>
      <c r="D28" s="94" t="s">
        <v>11</v>
      </c>
      <c r="E28" s="84" t="s">
        <v>17</v>
      </c>
      <c r="F28" s="144" t="str">
        <f t="shared" si="0"/>
        <v>?</v>
      </c>
      <c r="G28" s="58" t="str">
        <f t="shared" si="1"/>
        <v>?</v>
      </c>
      <c r="H28" s="58" t="str">
        <f t="shared" si="2"/>
        <v>?</v>
      </c>
      <c r="I28" s="58" t="str">
        <f t="shared" si="3"/>
        <v>?</v>
      </c>
      <c r="J28" s="85" t="str">
        <f t="shared" si="4"/>
        <v>?</v>
      </c>
      <c r="K28" s="88"/>
      <c r="L28" s="88"/>
      <c r="M28" s="88">
        <f t="shared" si="9"/>
        <v>0</v>
      </c>
      <c r="N28" s="88" t="str">
        <f t="shared" si="5"/>
        <v>?</v>
      </c>
      <c r="O28" s="89" t="e">
        <f t="shared" si="6"/>
        <v>#VALUE!</v>
      </c>
      <c r="P28" s="89" t="e">
        <f t="shared" si="7"/>
        <v>#VALUE!</v>
      </c>
      <c r="Q28" s="88" t="e">
        <f>SUM(N28:P28)</f>
        <v>#VALUE!</v>
      </c>
      <c r="R28" s="17" t="e">
        <f>#REF!</f>
        <v>#REF!</v>
      </c>
      <c r="S28" s="146" t="e">
        <f>Q28-R28</f>
        <v>#VALUE!</v>
      </c>
      <c r="T28" s="58" t="e">
        <f t="shared" si="11"/>
        <v>#VALUE!</v>
      </c>
    </row>
    <row r="29" spans="2:20">
      <c r="B29" s="16" t="s">
        <v>29</v>
      </c>
      <c r="C29" s="94" t="s">
        <v>17</v>
      </c>
      <c r="D29" s="83" t="s">
        <v>52</v>
      </c>
      <c r="E29" s="96" t="s">
        <v>17</v>
      </c>
      <c r="F29" s="144" t="str">
        <f t="shared" si="0"/>
        <v>?</v>
      </c>
      <c r="G29" s="58" t="str">
        <f t="shared" si="1"/>
        <v>?</v>
      </c>
      <c r="H29" s="58" t="str">
        <f t="shared" si="2"/>
        <v>?</v>
      </c>
      <c r="I29" s="58" t="str">
        <f t="shared" si="3"/>
        <v>?</v>
      </c>
      <c r="J29" s="85" t="str">
        <f t="shared" si="4"/>
        <v>?</v>
      </c>
      <c r="K29" s="88">
        <f>8663-850</f>
        <v>7813</v>
      </c>
      <c r="L29" s="88">
        <v>850</v>
      </c>
      <c r="M29" s="88">
        <f t="shared" si="9"/>
        <v>8663</v>
      </c>
      <c r="N29" s="88" t="str">
        <f t="shared" si="5"/>
        <v>?</v>
      </c>
      <c r="O29" s="89" t="e">
        <f t="shared" si="6"/>
        <v>#VALUE!</v>
      </c>
      <c r="P29" s="89" t="e">
        <f t="shared" si="7"/>
        <v>#VALUE!</v>
      </c>
      <c r="Q29" s="145" t="e">
        <f>SUM(N29:P29)</f>
        <v>#VALUE!</v>
      </c>
      <c r="R29" s="17" t="e">
        <f>#REF!</f>
        <v>#REF!</v>
      </c>
      <c r="S29" s="146" t="e">
        <f>Q29-R29</f>
        <v>#VALUE!</v>
      </c>
      <c r="T29" s="58" t="e">
        <f t="shared" si="11"/>
        <v>#VALUE!</v>
      </c>
    </row>
    <row r="30" spans="2:20" s="87" customFormat="1">
      <c r="B30" s="14"/>
      <c r="C30" s="10"/>
      <c r="D30" s="10"/>
      <c r="E30" s="97"/>
      <c r="F30" s="39"/>
      <c r="G30" s="10"/>
      <c r="H30" s="13"/>
      <c r="I30" s="44"/>
      <c r="K30" s="90"/>
      <c r="L30" s="90"/>
      <c r="M30" s="90"/>
      <c r="N30" s="91"/>
      <c r="O30" s="92"/>
      <c r="P30" s="93"/>
      <c r="Q30" s="93"/>
      <c r="S30" s="19"/>
    </row>
    <row r="31" spans="2:20" s="87" customFormat="1">
      <c r="B31" s="14"/>
      <c r="C31" s="10"/>
      <c r="D31" s="10"/>
      <c r="E31" s="97"/>
      <c r="F31" s="39"/>
      <c r="G31" s="10"/>
      <c r="H31" s="13"/>
      <c r="I31" s="44"/>
      <c r="K31" s="90"/>
      <c r="L31" s="90"/>
      <c r="M31" s="90"/>
      <c r="N31" s="91"/>
      <c r="O31" s="92"/>
      <c r="P31" s="93"/>
      <c r="Q31" s="93"/>
      <c r="S31" s="19"/>
    </row>
    <row r="34" spans="2:19" s="87" customFormat="1">
      <c r="B34" s="14"/>
      <c r="C34" s="10"/>
      <c r="D34" s="10"/>
      <c r="E34" s="97"/>
      <c r="F34" s="39"/>
      <c r="G34" s="10"/>
      <c r="H34" s="13"/>
      <c r="I34" s="44"/>
      <c r="K34" s="90"/>
      <c r="L34" s="90"/>
      <c r="M34" s="90"/>
      <c r="N34" s="91"/>
      <c r="O34" s="92"/>
      <c r="P34" s="93"/>
      <c r="Q34" s="93">
        <f>5000/12</f>
        <v>416.66666666666669</v>
      </c>
      <c r="S34" s="19"/>
    </row>
    <row r="40" spans="2:19" s="87" customFormat="1">
      <c r="B40" s="14"/>
      <c r="C40" s="10"/>
      <c r="D40" s="10" t="s">
        <v>37</v>
      </c>
      <c r="E40" s="97"/>
      <c r="F40" s="39"/>
      <c r="G40" s="10"/>
      <c r="H40" s="13"/>
      <c r="I40" s="44"/>
      <c r="K40" s="90"/>
      <c r="L40" s="90"/>
      <c r="M40" s="90"/>
      <c r="N40" s="91"/>
      <c r="O40" s="92"/>
      <c r="P40" s="93"/>
      <c r="Q40" s="93"/>
      <c r="S40" s="19"/>
    </row>
    <row r="43" spans="2:19" s="87" customFormat="1">
      <c r="B43" s="156" t="s">
        <v>38</v>
      </c>
      <c r="C43" s="156"/>
      <c r="D43" s="156"/>
      <c r="E43" s="156"/>
      <c r="F43" s="39"/>
      <c r="G43" s="10"/>
      <c r="H43" s="13"/>
      <c r="I43" s="44"/>
      <c r="K43" s="90"/>
      <c r="L43" s="90"/>
      <c r="M43" s="90"/>
      <c r="N43" s="91"/>
      <c r="O43" s="92"/>
      <c r="P43" s="93"/>
      <c r="Q43" s="93"/>
      <c r="S43" s="19"/>
    </row>
    <row r="44" spans="2:19" s="87" customFormat="1" ht="25.5">
      <c r="B44" s="147" t="s">
        <v>39</v>
      </c>
      <c r="C44" s="147"/>
      <c r="D44" s="157" t="s">
        <v>40</v>
      </c>
      <c r="E44" s="157"/>
      <c r="F44" s="39"/>
      <c r="G44" s="10"/>
      <c r="H44" s="13"/>
      <c r="I44" s="44"/>
      <c r="K44" s="90"/>
      <c r="L44" s="90"/>
      <c r="M44" s="90"/>
      <c r="N44" s="91"/>
      <c r="O44" s="92"/>
      <c r="P44" s="93"/>
      <c r="Q44" s="93"/>
      <c r="S44" s="19"/>
    </row>
    <row r="45" spans="2:19" s="87" customFormat="1">
      <c r="B45" s="146" t="s">
        <v>41</v>
      </c>
      <c r="C45" s="146"/>
      <c r="D45" s="153" t="s">
        <v>42</v>
      </c>
      <c r="E45" s="153"/>
      <c r="F45" s="39"/>
      <c r="G45" s="10"/>
      <c r="H45" s="13"/>
      <c r="I45" s="44"/>
      <c r="K45" s="90"/>
      <c r="L45" s="90"/>
      <c r="M45" s="90"/>
      <c r="N45" s="91"/>
      <c r="O45" s="92"/>
      <c r="P45" s="93"/>
      <c r="Q45" s="93"/>
      <c r="S45" s="19"/>
    </row>
  </sheetData>
  <autoFilter ref="B2:E29" xr:uid="{00000000-0009-0000-0000-000004000000}"/>
  <mergeCells count="6">
    <mergeCell ref="D45:E45"/>
    <mergeCell ref="F1:J1"/>
    <mergeCell ref="K1:M1"/>
    <mergeCell ref="N1:Q1"/>
    <mergeCell ref="B43:E43"/>
    <mergeCell ref="D44:E44"/>
  </mergeCells>
  <conditionalFormatting sqref="B18:B19">
    <cfRule type="duplicateValues" dxfId="99" priority="9"/>
  </conditionalFormatting>
  <conditionalFormatting sqref="R1:S1048576">
    <cfRule type="cellIs" dxfId="98" priority="8" operator="equal">
      <formula>0</formula>
    </cfRule>
  </conditionalFormatting>
  <conditionalFormatting sqref="B20:B23 B12:B17 B2:B10">
    <cfRule type="duplicateValues" dxfId="97" priority="10"/>
  </conditionalFormatting>
  <conditionalFormatting sqref="B20:B23 B12:B17 B3:B10">
    <cfRule type="duplicateValues" dxfId="96" priority="11"/>
  </conditionalFormatting>
  <conditionalFormatting sqref="C24:C26 C28">
    <cfRule type="containsText" dxfId="95" priority="7" operator="containsText" text="nã">
      <formula>NOT(ISERROR(SEARCH("nã",C24)))</formula>
    </cfRule>
  </conditionalFormatting>
  <conditionalFormatting sqref="C27">
    <cfRule type="containsText" dxfId="94" priority="6" operator="containsText" text="nã">
      <formula>NOT(ISERROR(SEARCH("nã",C27)))</formula>
    </cfRule>
  </conditionalFormatting>
  <conditionalFormatting sqref="D24:D26 D28">
    <cfRule type="containsText" dxfId="93" priority="5" operator="containsText" text="nã">
      <formula>NOT(ISERROR(SEARCH("nã",D24)))</formula>
    </cfRule>
  </conditionalFormatting>
  <conditionalFormatting sqref="D27">
    <cfRule type="containsText" dxfId="92" priority="4" operator="containsText" text="nã">
      <formula>NOT(ISERROR(SEARCH("nã",D27)))</formula>
    </cfRule>
  </conditionalFormatting>
  <conditionalFormatting sqref="E24:E26 E28">
    <cfRule type="containsText" dxfId="91" priority="3" operator="containsText" text="nã">
      <formula>NOT(ISERROR(SEARCH("nã",E24)))</formula>
    </cfRule>
  </conditionalFormatting>
  <conditionalFormatting sqref="E27">
    <cfRule type="containsText" dxfId="90" priority="2" operator="containsText" text="nã">
      <formula>NOT(ISERROR(SEARCH("nã",E27)))</formula>
    </cfRule>
  </conditionalFormatting>
  <conditionalFormatting sqref="C29">
    <cfRule type="containsText" dxfId="89" priority="1" operator="containsText" text="nã">
      <formula>NOT(ISERROR(SEARCH("nã",C29)))</formula>
    </cfRule>
  </conditionalFormatting>
  <pageMargins left="0.511811024" right="0.511811024" top="0.78740157499999996" bottom="0.78740157499999996" header="0.31496062000000002" footer="0.31496062000000002"/>
  <pageSetup paperSize="9" scale="6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15" filterMode="1">
    <pageSetUpPr fitToPage="1"/>
  </sheetPr>
  <dimension ref="B1:X42"/>
  <sheetViews>
    <sheetView showGridLines="0" zoomScale="80" zoomScaleNormal="80" workbookViewId="0">
      <pane xSplit="1" ySplit="2" topLeftCell="C13" activePane="bottomRight" state="frozen"/>
      <selection pane="bottomRight" activeCell="R13" sqref="R13"/>
      <selection pane="bottomLeft" activeCell="A4" sqref="A4"/>
      <selection pane="topRight" activeCell="B1" sqref="B1"/>
    </sheetView>
  </sheetViews>
  <sheetFormatPr defaultRowHeight="39.950000000000003" customHeight="1"/>
  <cols>
    <col min="1" max="1" width="2.85546875" style="5" customWidth="1"/>
    <col min="2" max="2" width="15.28515625" style="14" customWidth="1"/>
    <col min="3" max="3" width="13.5703125" style="10" customWidth="1"/>
    <col min="4" max="4" width="13.85546875" style="10" customWidth="1"/>
    <col min="5" max="5" width="12.140625" style="6" customWidth="1"/>
    <col min="6" max="6" width="11.5703125" style="39" customWidth="1"/>
    <col min="7" max="7" width="15.7109375" style="10" customWidth="1"/>
    <col min="8" max="8" width="13.5703125" style="13" customWidth="1"/>
    <col min="9" max="9" width="15" style="18" customWidth="1"/>
    <col min="10" max="10" width="14.85546875" style="35" customWidth="1"/>
    <col min="11" max="11" width="16" style="75" customWidth="1"/>
    <col min="12" max="12" width="16.5703125" style="75" customWidth="1"/>
    <col min="13" max="13" width="12.140625" style="75" bestFit="1" customWidth="1"/>
    <col min="14" max="14" width="13.85546875" style="75" bestFit="1" customWidth="1"/>
    <col min="15" max="15" width="12.140625" style="79" bestFit="1" customWidth="1"/>
    <col min="16" max="16" width="12.42578125" style="80" bestFit="1" customWidth="1"/>
    <col min="17" max="17" width="12.42578125" style="81" bestFit="1" customWidth="1"/>
    <col min="18" max="18" width="20.140625" style="82" bestFit="1" customWidth="1"/>
    <col min="19" max="19" width="12.28515625" style="35" customWidth="1"/>
    <col min="20" max="20" width="9.5703125" style="19" customWidth="1"/>
    <col min="21" max="21" width="11.140625" style="5" customWidth="1"/>
    <col min="22" max="22" width="5.85546875" style="10" bestFit="1" customWidth="1"/>
    <col min="23" max="23" width="6.42578125" style="5" customWidth="1"/>
    <col min="24" max="16384" width="9.140625" style="5"/>
  </cols>
  <sheetData>
    <row r="1" spans="2:24" ht="39.950000000000003" customHeight="1">
      <c r="E1" s="10"/>
      <c r="F1" s="159" t="s">
        <v>86</v>
      </c>
      <c r="G1" s="159"/>
      <c r="H1" s="159"/>
      <c r="I1" s="159"/>
      <c r="J1" s="159"/>
      <c r="K1" s="70" t="s">
        <v>97</v>
      </c>
      <c r="L1" s="160" t="s">
        <v>98</v>
      </c>
      <c r="M1" s="160"/>
      <c r="N1" s="160"/>
      <c r="O1" s="161" t="s">
        <v>88</v>
      </c>
      <c r="P1" s="161"/>
      <c r="Q1" s="161"/>
      <c r="R1" s="161"/>
      <c r="S1" s="42"/>
      <c r="T1" s="44"/>
    </row>
    <row r="2" spans="2:24" s="9" customFormat="1" ht="39.950000000000003" customHeight="1">
      <c r="B2" s="15" t="s">
        <v>0</v>
      </c>
      <c r="C2" s="8" t="s">
        <v>1</v>
      </c>
      <c r="D2" s="8" t="s">
        <v>2</v>
      </c>
      <c r="E2" s="8" t="s">
        <v>3</v>
      </c>
      <c r="F2" s="64" t="s">
        <v>4</v>
      </c>
      <c r="G2" s="65" t="s">
        <v>5</v>
      </c>
      <c r="H2" s="65" t="s">
        <v>6</v>
      </c>
      <c r="I2" s="66" t="s">
        <v>7</v>
      </c>
      <c r="J2" s="65" t="s">
        <v>43</v>
      </c>
      <c r="K2" s="71" t="s">
        <v>99</v>
      </c>
      <c r="L2" s="72" t="s">
        <v>89</v>
      </c>
      <c r="M2" s="72" t="s">
        <v>7</v>
      </c>
      <c r="N2" s="72" t="s">
        <v>90</v>
      </c>
      <c r="O2" s="76" t="s">
        <v>4</v>
      </c>
      <c r="P2" s="77" t="s">
        <v>100</v>
      </c>
      <c r="Q2" s="77" t="s">
        <v>101</v>
      </c>
      <c r="R2" s="72" t="s">
        <v>90</v>
      </c>
      <c r="S2" s="48" t="s">
        <v>92</v>
      </c>
      <c r="T2" s="49" t="s">
        <v>93</v>
      </c>
      <c r="U2" s="57" t="s">
        <v>94</v>
      </c>
      <c r="V2" s="62" t="s">
        <v>102</v>
      </c>
      <c r="W2" s="9" t="s">
        <v>103</v>
      </c>
    </row>
    <row r="3" spans="2:24" ht="15" hidden="1" customHeight="1">
      <c r="B3" s="16" t="s">
        <v>16</v>
      </c>
      <c r="C3" s="83" t="s">
        <v>17</v>
      </c>
      <c r="D3" s="83" t="s">
        <v>11</v>
      </c>
      <c r="E3" s="83" t="s">
        <v>17</v>
      </c>
      <c r="F3" s="47">
        <f t="shared" ref="F3:F19" si="0">IFERROR(VLOOKUP($B3,regra,9,0),"?")</f>
        <v>600</v>
      </c>
      <c r="G3" s="12">
        <f t="shared" ref="G3:G19" si="1">IFERROR(VLOOKUP($B3,regra,6,0),"?")</f>
        <v>0.12</v>
      </c>
      <c r="H3" s="12">
        <f t="shared" ref="H3:H19" si="2">IFERROR(VLOOKUP($B3,regra,7,0),"?")</f>
        <v>0.14000000000000001</v>
      </c>
      <c r="I3" s="12">
        <f t="shared" ref="I3:I19" si="3">IFERROR(VLOOKUP($B3,regra,8,0),"?")</f>
        <v>0.22</v>
      </c>
      <c r="J3" s="43">
        <f t="shared" ref="J3:J19" si="4">IFERROR(VLOOKUP($B3,regra,5,0),"?")</f>
        <v>13000</v>
      </c>
      <c r="K3" s="59" t="str">
        <f t="shared" ref="K3:K19" si="5">IFERROR(VLOOKUP(B3,CAP,10,0),"?")</f>
        <v>?</v>
      </c>
      <c r="L3" s="148">
        <v>4358</v>
      </c>
      <c r="M3" s="148">
        <v>900</v>
      </c>
      <c r="N3" s="148">
        <f t="shared" ref="N3:N19" si="6">L3+M3</f>
        <v>5258</v>
      </c>
      <c r="O3" s="48">
        <f t="shared" ref="O3:O19" si="7">F3</f>
        <v>600</v>
      </c>
      <c r="P3" s="46">
        <f t="shared" ref="P3:P19" si="8">IF(N3&gt;J3,N3*H3,N3*G3)</f>
        <v>630.95999999999992</v>
      </c>
      <c r="Q3" s="49">
        <f t="shared" ref="Q3:Q19" si="9">M3*I3</f>
        <v>198</v>
      </c>
      <c r="R3" s="150">
        <f t="shared" ref="R3:R19" si="10">SUM(O3:Q3)</f>
        <v>1428.96</v>
      </c>
      <c r="S3" s="17">
        <v>0</v>
      </c>
      <c r="T3" s="146">
        <f t="shared" ref="T3:T19" si="11">R3-S3</f>
        <v>1428.96</v>
      </c>
      <c r="U3" s="58">
        <f t="shared" ref="U3:U19" si="12">IFERROR(R3/SUM(L3+M3),"")</f>
        <v>0.27176873335869151</v>
      </c>
      <c r="V3" s="63" t="e">
        <f t="shared" ref="V3:V19" si="13">N3/K3</f>
        <v>#VALUE!</v>
      </c>
      <c r="W3" s="22">
        <f t="shared" ref="W3:W19" si="14">N3/J3</f>
        <v>0.40446153846153848</v>
      </c>
      <c r="X3" s="22"/>
    </row>
    <row r="4" spans="2:24" ht="15" hidden="1" customHeight="1">
      <c r="B4" s="16" t="s">
        <v>20</v>
      </c>
      <c r="C4" s="83" t="s">
        <v>17</v>
      </c>
      <c r="D4" s="83" t="s">
        <v>11</v>
      </c>
      <c r="E4" s="83" t="s">
        <v>17</v>
      </c>
      <c r="F4" s="47" t="str">
        <f t="shared" si="0"/>
        <v>?</v>
      </c>
      <c r="G4" s="12" t="str">
        <f t="shared" si="1"/>
        <v>?</v>
      </c>
      <c r="H4" s="12" t="str">
        <f t="shared" si="2"/>
        <v>?</v>
      </c>
      <c r="I4" s="12" t="str">
        <f t="shared" si="3"/>
        <v>?</v>
      </c>
      <c r="J4" s="43" t="str">
        <f t="shared" si="4"/>
        <v>?</v>
      </c>
      <c r="K4" s="59" t="str">
        <f t="shared" si="5"/>
        <v>?</v>
      </c>
      <c r="L4" s="148">
        <v>5200</v>
      </c>
      <c r="M4" s="148">
        <v>500</v>
      </c>
      <c r="N4" s="148">
        <f t="shared" si="6"/>
        <v>5700</v>
      </c>
      <c r="O4" s="48" t="str">
        <f t="shared" si="7"/>
        <v>?</v>
      </c>
      <c r="P4" s="46" t="e">
        <f t="shared" si="8"/>
        <v>#VALUE!</v>
      </c>
      <c r="Q4" s="49" t="e">
        <f t="shared" si="9"/>
        <v>#VALUE!</v>
      </c>
      <c r="R4" s="150" t="e">
        <f t="shared" si="10"/>
        <v>#VALUE!</v>
      </c>
      <c r="S4" s="17">
        <v>0</v>
      </c>
      <c r="T4" s="146" t="e">
        <f t="shared" si="11"/>
        <v>#VALUE!</v>
      </c>
      <c r="U4" s="58" t="str">
        <f t="shared" si="12"/>
        <v/>
      </c>
      <c r="V4" s="63" t="e">
        <f t="shared" si="13"/>
        <v>#VALUE!</v>
      </c>
      <c r="W4" s="22" t="e">
        <f t="shared" si="14"/>
        <v>#VALUE!</v>
      </c>
    </row>
    <row r="5" spans="2:24" ht="15" hidden="1" customHeight="1">
      <c r="B5" s="16" t="s">
        <v>30</v>
      </c>
      <c r="C5" s="83" t="s">
        <v>17</v>
      </c>
      <c r="D5" s="83" t="s">
        <v>52</v>
      </c>
      <c r="E5" s="83" t="s">
        <v>31</v>
      </c>
      <c r="F5" s="47" t="str">
        <f t="shared" si="0"/>
        <v>?</v>
      </c>
      <c r="G5" s="12" t="str">
        <f t="shared" si="1"/>
        <v>?</v>
      </c>
      <c r="H5" s="12" t="str">
        <f t="shared" si="2"/>
        <v>?</v>
      </c>
      <c r="I5" s="12" t="str">
        <f t="shared" si="3"/>
        <v>?</v>
      </c>
      <c r="J5" s="43" t="str">
        <f t="shared" si="4"/>
        <v>?</v>
      </c>
      <c r="K5" s="59" t="str">
        <f t="shared" si="5"/>
        <v>?</v>
      </c>
      <c r="L5" s="148">
        <v>3400</v>
      </c>
      <c r="M5" s="148">
        <v>400</v>
      </c>
      <c r="N5" s="148">
        <f t="shared" si="6"/>
        <v>3800</v>
      </c>
      <c r="O5" s="48" t="str">
        <f t="shared" si="7"/>
        <v>?</v>
      </c>
      <c r="P5" s="46" t="e">
        <f t="shared" si="8"/>
        <v>#VALUE!</v>
      </c>
      <c r="Q5" s="49" t="e">
        <f t="shared" si="9"/>
        <v>#VALUE!</v>
      </c>
      <c r="R5" s="150" t="e">
        <f t="shared" si="10"/>
        <v>#VALUE!</v>
      </c>
      <c r="S5" s="17">
        <v>0</v>
      </c>
      <c r="T5" s="146" t="e">
        <f t="shared" si="11"/>
        <v>#VALUE!</v>
      </c>
      <c r="U5" s="58" t="str">
        <f t="shared" si="12"/>
        <v/>
      </c>
      <c r="V5" s="63" t="e">
        <f t="shared" si="13"/>
        <v>#VALUE!</v>
      </c>
      <c r="W5" s="22" t="e">
        <f t="shared" si="14"/>
        <v>#VALUE!</v>
      </c>
    </row>
    <row r="6" spans="2:24" ht="15" hidden="1" customHeight="1">
      <c r="B6" s="16" t="s">
        <v>104</v>
      </c>
      <c r="C6" s="83" t="s">
        <v>17</v>
      </c>
      <c r="D6" s="83" t="s">
        <v>14</v>
      </c>
      <c r="E6" s="83" t="s">
        <v>17</v>
      </c>
      <c r="F6" s="47" t="str">
        <f t="shared" si="0"/>
        <v>?</v>
      </c>
      <c r="G6" s="12" t="str">
        <f t="shared" si="1"/>
        <v>?</v>
      </c>
      <c r="H6" s="12" t="str">
        <f t="shared" si="2"/>
        <v>?</v>
      </c>
      <c r="I6" s="12" t="str">
        <f t="shared" si="3"/>
        <v>?</v>
      </c>
      <c r="J6" s="43" t="str">
        <f t="shared" si="4"/>
        <v>?</v>
      </c>
      <c r="K6" s="59" t="str">
        <f t="shared" si="5"/>
        <v>?</v>
      </c>
      <c r="L6" s="148">
        <v>3463</v>
      </c>
      <c r="M6" s="148">
        <v>682</v>
      </c>
      <c r="N6" s="148">
        <f t="shared" si="6"/>
        <v>4145</v>
      </c>
      <c r="O6" s="48" t="str">
        <f t="shared" si="7"/>
        <v>?</v>
      </c>
      <c r="P6" s="46" t="e">
        <f t="shared" si="8"/>
        <v>#VALUE!</v>
      </c>
      <c r="Q6" s="49" t="e">
        <f t="shared" si="9"/>
        <v>#VALUE!</v>
      </c>
      <c r="R6" s="150" t="e">
        <f t="shared" si="10"/>
        <v>#VALUE!</v>
      </c>
      <c r="S6" s="17">
        <v>0</v>
      </c>
      <c r="T6" s="146" t="e">
        <f t="shared" si="11"/>
        <v>#VALUE!</v>
      </c>
      <c r="U6" s="58" t="str">
        <f t="shared" si="12"/>
        <v/>
      </c>
      <c r="V6" s="63" t="e">
        <f t="shared" si="13"/>
        <v>#VALUE!</v>
      </c>
      <c r="W6" s="22" t="e">
        <f t="shared" si="14"/>
        <v>#VALUE!</v>
      </c>
    </row>
    <row r="7" spans="2:24" ht="15" hidden="1" customHeight="1">
      <c r="B7" s="16" t="s">
        <v>36</v>
      </c>
      <c r="C7" s="83" t="s">
        <v>17</v>
      </c>
      <c r="D7" s="83" t="s">
        <v>52</v>
      </c>
      <c r="E7" s="83" t="s">
        <v>34</v>
      </c>
      <c r="F7" s="47" t="str">
        <f t="shared" si="0"/>
        <v>?</v>
      </c>
      <c r="G7" s="12" t="str">
        <f t="shared" si="1"/>
        <v>?</v>
      </c>
      <c r="H7" s="12" t="str">
        <f t="shared" si="2"/>
        <v>?</v>
      </c>
      <c r="I7" s="12" t="str">
        <f t="shared" si="3"/>
        <v>?</v>
      </c>
      <c r="J7" s="43" t="str">
        <f t="shared" si="4"/>
        <v>?</v>
      </c>
      <c r="K7" s="59" t="str">
        <f t="shared" si="5"/>
        <v>?</v>
      </c>
      <c r="L7" s="148">
        <v>7900</v>
      </c>
      <c r="M7" s="148">
        <v>300</v>
      </c>
      <c r="N7" s="148">
        <f t="shared" si="6"/>
        <v>8200</v>
      </c>
      <c r="O7" s="48" t="str">
        <f t="shared" si="7"/>
        <v>?</v>
      </c>
      <c r="P7" s="46" t="e">
        <f t="shared" si="8"/>
        <v>#VALUE!</v>
      </c>
      <c r="Q7" s="49" t="e">
        <f t="shared" si="9"/>
        <v>#VALUE!</v>
      </c>
      <c r="R7" s="150" t="e">
        <f t="shared" si="10"/>
        <v>#VALUE!</v>
      </c>
      <c r="S7" s="17">
        <v>0</v>
      </c>
      <c r="T7" s="146" t="e">
        <f t="shared" si="11"/>
        <v>#VALUE!</v>
      </c>
      <c r="U7" s="58" t="str">
        <f t="shared" si="12"/>
        <v/>
      </c>
      <c r="V7" s="63" t="e">
        <f t="shared" si="13"/>
        <v>#VALUE!</v>
      </c>
      <c r="W7" s="22" t="e">
        <f t="shared" si="14"/>
        <v>#VALUE!</v>
      </c>
    </row>
    <row r="8" spans="2:24" ht="15" hidden="1" customHeight="1">
      <c r="B8" s="16" t="s">
        <v>25</v>
      </c>
      <c r="C8" s="83" t="s">
        <v>17</v>
      </c>
      <c r="D8" s="83" t="s">
        <v>14</v>
      </c>
      <c r="E8" s="83" t="s">
        <v>17</v>
      </c>
      <c r="F8" s="47">
        <f t="shared" si="0"/>
        <v>600</v>
      </c>
      <c r="G8" s="12">
        <f t="shared" si="1"/>
        <v>0.16</v>
      </c>
      <c r="H8" s="12">
        <f t="shared" si="2"/>
        <v>0.18</v>
      </c>
      <c r="I8" s="12">
        <f t="shared" si="3"/>
        <v>0.25</v>
      </c>
      <c r="J8" s="43">
        <f t="shared" si="4"/>
        <v>8000</v>
      </c>
      <c r="K8" s="59" t="str">
        <f t="shared" si="5"/>
        <v>?</v>
      </c>
      <c r="L8" s="148">
        <v>3676.3</v>
      </c>
      <c r="M8" s="148">
        <v>1510</v>
      </c>
      <c r="N8" s="148">
        <f t="shared" si="6"/>
        <v>5186.3</v>
      </c>
      <c r="O8" s="48">
        <f t="shared" si="7"/>
        <v>600</v>
      </c>
      <c r="P8" s="46">
        <f t="shared" si="8"/>
        <v>829.80799999999999</v>
      </c>
      <c r="Q8" s="49">
        <f t="shared" si="9"/>
        <v>377.5</v>
      </c>
      <c r="R8" s="150">
        <f t="shared" si="10"/>
        <v>1807.308</v>
      </c>
      <c r="S8" s="17">
        <v>0</v>
      </c>
      <c r="T8" s="146">
        <f t="shared" si="11"/>
        <v>1807.308</v>
      </c>
      <c r="U8" s="58">
        <f t="shared" si="12"/>
        <v>0.34847733451593621</v>
      </c>
      <c r="V8" s="63" t="e">
        <f t="shared" si="13"/>
        <v>#VALUE!</v>
      </c>
      <c r="W8" s="22">
        <f t="shared" si="14"/>
        <v>0.64828750000000002</v>
      </c>
    </row>
    <row r="9" spans="2:24" ht="15" hidden="1" customHeight="1">
      <c r="B9" s="56" t="s">
        <v>13</v>
      </c>
      <c r="C9" s="83" t="s">
        <v>10</v>
      </c>
      <c r="D9" s="20" t="s">
        <v>14</v>
      </c>
      <c r="E9" s="83" t="s">
        <v>10</v>
      </c>
      <c r="F9" s="47" t="str">
        <f t="shared" si="0"/>
        <v>?</v>
      </c>
      <c r="G9" s="12" t="str">
        <f t="shared" si="1"/>
        <v>?</v>
      </c>
      <c r="H9" s="12" t="str">
        <f t="shared" si="2"/>
        <v>?</v>
      </c>
      <c r="I9" s="12" t="str">
        <f t="shared" si="3"/>
        <v>?</v>
      </c>
      <c r="J9" s="43" t="str">
        <f t="shared" si="4"/>
        <v>?</v>
      </c>
      <c r="K9" s="59" t="str">
        <f t="shared" si="5"/>
        <v>?</v>
      </c>
      <c r="L9" s="148">
        <v>7620</v>
      </c>
      <c r="M9" s="148">
        <v>890</v>
      </c>
      <c r="N9" s="148">
        <f t="shared" si="6"/>
        <v>8510</v>
      </c>
      <c r="O9" s="48" t="str">
        <f t="shared" si="7"/>
        <v>?</v>
      </c>
      <c r="P9" s="46" t="e">
        <f t="shared" si="8"/>
        <v>#VALUE!</v>
      </c>
      <c r="Q9" s="49" t="e">
        <f t="shared" si="9"/>
        <v>#VALUE!</v>
      </c>
      <c r="R9" s="150" t="e">
        <f t="shared" si="10"/>
        <v>#VALUE!</v>
      </c>
      <c r="S9" s="17" t="e">
        <f>#REF!</f>
        <v>#REF!</v>
      </c>
      <c r="T9" s="146" t="e">
        <f t="shared" si="11"/>
        <v>#VALUE!</v>
      </c>
      <c r="U9" s="58" t="str">
        <f t="shared" si="12"/>
        <v/>
      </c>
      <c r="V9" s="63" t="e">
        <f t="shared" si="13"/>
        <v>#VALUE!</v>
      </c>
      <c r="W9" s="22" t="e">
        <f t="shared" si="14"/>
        <v>#VALUE!</v>
      </c>
    </row>
    <row r="10" spans="2:24" ht="15" hidden="1" customHeight="1">
      <c r="B10" s="16" t="s">
        <v>28</v>
      </c>
      <c r="C10" s="83" t="s">
        <v>17</v>
      </c>
      <c r="D10" s="83" t="s">
        <v>52</v>
      </c>
      <c r="E10" s="83" t="s">
        <v>17</v>
      </c>
      <c r="F10" s="47" t="str">
        <f t="shared" si="0"/>
        <v>?</v>
      </c>
      <c r="G10" s="12" t="str">
        <f t="shared" si="1"/>
        <v>?</v>
      </c>
      <c r="H10" s="12" t="str">
        <f t="shared" si="2"/>
        <v>?</v>
      </c>
      <c r="I10" s="12" t="str">
        <f t="shared" si="3"/>
        <v>?</v>
      </c>
      <c r="J10" s="43" t="str">
        <f t="shared" si="4"/>
        <v>?</v>
      </c>
      <c r="K10" s="59" t="str">
        <f t="shared" si="5"/>
        <v>?</v>
      </c>
      <c r="L10" s="148">
        <v>6890</v>
      </c>
      <c r="M10" s="148">
        <v>1830</v>
      </c>
      <c r="N10" s="148">
        <f t="shared" si="6"/>
        <v>8720</v>
      </c>
      <c r="O10" s="48" t="str">
        <f t="shared" si="7"/>
        <v>?</v>
      </c>
      <c r="P10" s="46" t="e">
        <f t="shared" si="8"/>
        <v>#VALUE!</v>
      </c>
      <c r="Q10" s="49" t="e">
        <f t="shared" si="9"/>
        <v>#VALUE!</v>
      </c>
      <c r="R10" s="150" t="e">
        <f t="shared" si="10"/>
        <v>#VALUE!</v>
      </c>
      <c r="S10" s="17">
        <v>0</v>
      </c>
      <c r="T10" s="146" t="e">
        <f t="shared" si="11"/>
        <v>#VALUE!</v>
      </c>
      <c r="U10" s="58" t="str">
        <f t="shared" si="12"/>
        <v/>
      </c>
      <c r="V10" s="63" t="e">
        <f t="shared" si="13"/>
        <v>#VALUE!</v>
      </c>
      <c r="W10" s="22" t="e">
        <f t="shared" si="14"/>
        <v>#VALUE!</v>
      </c>
    </row>
    <row r="11" spans="2:24" ht="15" hidden="1" customHeight="1">
      <c r="B11" s="16" t="s">
        <v>18</v>
      </c>
      <c r="C11" s="83" t="s">
        <v>17</v>
      </c>
      <c r="D11" s="83" t="s">
        <v>52</v>
      </c>
      <c r="E11" s="83" t="s">
        <v>17</v>
      </c>
      <c r="F11" s="47" t="str">
        <f t="shared" si="0"/>
        <v>?</v>
      </c>
      <c r="G11" s="12" t="str">
        <f t="shared" si="1"/>
        <v>?</v>
      </c>
      <c r="H11" s="12" t="str">
        <f t="shared" si="2"/>
        <v>?</v>
      </c>
      <c r="I11" s="12" t="str">
        <f t="shared" si="3"/>
        <v>?</v>
      </c>
      <c r="J11" s="43" t="str">
        <f t="shared" si="4"/>
        <v>?</v>
      </c>
      <c r="K11" s="59" t="str">
        <f t="shared" si="5"/>
        <v>?</v>
      </c>
      <c r="L11" s="148">
        <v>8500</v>
      </c>
      <c r="M11" s="148">
        <v>600</v>
      </c>
      <c r="N11" s="148">
        <f t="shared" si="6"/>
        <v>9100</v>
      </c>
      <c r="O11" s="48" t="str">
        <f t="shared" si="7"/>
        <v>?</v>
      </c>
      <c r="P11" s="46" t="e">
        <f t="shared" si="8"/>
        <v>#VALUE!</v>
      </c>
      <c r="Q11" s="49" t="e">
        <f t="shared" si="9"/>
        <v>#VALUE!</v>
      </c>
      <c r="R11" s="150" t="e">
        <f t="shared" si="10"/>
        <v>#VALUE!</v>
      </c>
      <c r="S11" s="17">
        <v>0</v>
      </c>
      <c r="T11" s="146" t="e">
        <f t="shared" si="11"/>
        <v>#VALUE!</v>
      </c>
      <c r="U11" s="58" t="str">
        <f t="shared" si="12"/>
        <v/>
      </c>
      <c r="V11" s="63" t="e">
        <f t="shared" si="13"/>
        <v>#VALUE!</v>
      </c>
      <c r="W11" s="22" t="e">
        <f t="shared" si="14"/>
        <v>#VALUE!</v>
      </c>
    </row>
    <row r="12" spans="2:24" ht="39.950000000000003" hidden="1" customHeight="1">
      <c r="B12" s="16" t="s">
        <v>29</v>
      </c>
      <c r="C12" s="83" t="s">
        <v>17</v>
      </c>
      <c r="D12" s="83" t="s">
        <v>52</v>
      </c>
      <c r="E12" s="83" t="s">
        <v>17</v>
      </c>
      <c r="F12" s="67" t="str">
        <f t="shared" si="0"/>
        <v>?</v>
      </c>
      <c r="G12" s="68" t="str">
        <f t="shared" si="1"/>
        <v>?</v>
      </c>
      <c r="H12" s="68" t="str">
        <f t="shared" si="2"/>
        <v>?</v>
      </c>
      <c r="I12" s="68" t="str">
        <f t="shared" si="3"/>
        <v>?</v>
      </c>
      <c r="J12" s="69" t="str">
        <f t="shared" si="4"/>
        <v>?</v>
      </c>
      <c r="K12" s="73" t="str">
        <f t="shared" ref="K12" si="15">IFERROR(VLOOKUP(B12,CAP,10,0),"?")</f>
        <v>?</v>
      </c>
      <c r="L12" s="74">
        <f>6888.36-540</f>
        <v>6348.36</v>
      </c>
      <c r="M12" s="74">
        <v>540</v>
      </c>
      <c r="N12" s="74">
        <f t="shared" ref="N12" si="16">L12+M12</f>
        <v>6888.36</v>
      </c>
      <c r="O12" s="149" t="str">
        <f t="shared" ref="O12" si="17">F12</f>
        <v>?</v>
      </c>
      <c r="P12" s="78" t="e">
        <f t="shared" ref="P12" si="18">IF(N12&gt;J12,N12*H12,N12*G12)</f>
        <v>#VALUE!</v>
      </c>
      <c r="Q12" s="78" t="e">
        <f t="shared" ref="Q12" si="19">M12*I12</f>
        <v>#VALUE!</v>
      </c>
      <c r="R12" s="74" t="e">
        <f t="shared" ref="R12" si="20">SUM(O12:Q12)</f>
        <v>#VALUE!</v>
      </c>
      <c r="S12" s="17">
        <v>0</v>
      </c>
      <c r="T12" s="146" t="e">
        <f t="shared" ref="T12" si="21">R12-S12</f>
        <v>#VALUE!</v>
      </c>
      <c r="U12" s="58" t="str">
        <f t="shared" ref="U12" si="22">IFERROR(R12/SUM(L12+M12),"")</f>
        <v/>
      </c>
      <c r="V12" s="63" t="e">
        <f t="shared" ref="V12" si="23">N12/K12</f>
        <v>#VALUE!</v>
      </c>
      <c r="W12" s="22" t="e">
        <f t="shared" ref="W12" si="24">N12/J12</f>
        <v>#VALUE!</v>
      </c>
    </row>
    <row r="13" spans="2:24" ht="15" customHeight="1">
      <c r="B13" s="16" t="s">
        <v>32</v>
      </c>
      <c r="C13" s="83" t="s">
        <v>17</v>
      </c>
      <c r="D13" s="83" t="s">
        <v>52</v>
      </c>
      <c r="E13" s="83" t="s">
        <v>31</v>
      </c>
      <c r="F13" s="47" t="str">
        <f t="shared" si="0"/>
        <v>?</v>
      </c>
      <c r="G13" s="12" t="str">
        <f t="shared" si="1"/>
        <v>?</v>
      </c>
      <c r="H13" s="12" t="str">
        <f t="shared" si="2"/>
        <v>?</v>
      </c>
      <c r="I13" s="12" t="str">
        <f t="shared" si="3"/>
        <v>?</v>
      </c>
      <c r="J13" s="43" t="str">
        <f t="shared" si="4"/>
        <v>?</v>
      </c>
      <c r="K13" s="59" t="str">
        <f t="shared" si="5"/>
        <v>?</v>
      </c>
      <c r="L13" s="148">
        <v>6900</v>
      </c>
      <c r="M13" s="148">
        <v>420</v>
      </c>
      <c r="N13" s="148">
        <f t="shared" si="6"/>
        <v>7320</v>
      </c>
      <c r="O13" s="48" t="str">
        <f t="shared" si="7"/>
        <v>?</v>
      </c>
      <c r="P13" s="46" t="e">
        <f t="shared" si="8"/>
        <v>#VALUE!</v>
      </c>
      <c r="Q13" s="49" t="e">
        <f t="shared" si="9"/>
        <v>#VALUE!</v>
      </c>
      <c r="R13" s="150" t="e">
        <f t="shared" si="10"/>
        <v>#VALUE!</v>
      </c>
      <c r="S13" s="17">
        <v>0</v>
      </c>
      <c r="T13" s="146" t="e">
        <f t="shared" si="11"/>
        <v>#VALUE!</v>
      </c>
      <c r="U13" s="58" t="str">
        <f t="shared" si="12"/>
        <v/>
      </c>
      <c r="V13" s="63" t="e">
        <f t="shared" si="13"/>
        <v>#VALUE!</v>
      </c>
      <c r="W13" s="22" t="e">
        <f t="shared" si="14"/>
        <v>#VALUE!</v>
      </c>
    </row>
    <row r="14" spans="2:24" ht="15" hidden="1" customHeight="1">
      <c r="B14" s="15" t="s">
        <v>15</v>
      </c>
      <c r="C14" s="83" t="s">
        <v>10</v>
      </c>
      <c r="D14" s="20" t="s">
        <v>14</v>
      </c>
      <c r="E14" s="83" t="s">
        <v>10</v>
      </c>
      <c r="F14" s="47" t="str">
        <f t="shared" si="0"/>
        <v>?</v>
      </c>
      <c r="G14" s="12" t="str">
        <f t="shared" si="1"/>
        <v>?</v>
      </c>
      <c r="H14" s="12" t="str">
        <f t="shared" si="2"/>
        <v>?</v>
      </c>
      <c r="I14" s="12" t="str">
        <f t="shared" si="3"/>
        <v>?</v>
      </c>
      <c r="J14" s="43" t="str">
        <f t="shared" si="4"/>
        <v>?</v>
      </c>
      <c r="K14" s="59" t="str">
        <f t="shared" si="5"/>
        <v>?</v>
      </c>
      <c r="L14" s="148">
        <v>8580</v>
      </c>
      <c r="M14" s="148">
        <v>915</v>
      </c>
      <c r="N14" s="148">
        <f t="shared" si="6"/>
        <v>9495</v>
      </c>
      <c r="O14" s="48" t="str">
        <f t="shared" si="7"/>
        <v>?</v>
      </c>
      <c r="P14" s="46" t="e">
        <f t="shared" si="8"/>
        <v>#VALUE!</v>
      </c>
      <c r="Q14" s="49" t="e">
        <f t="shared" si="9"/>
        <v>#VALUE!</v>
      </c>
      <c r="R14" s="150" t="e">
        <f t="shared" si="10"/>
        <v>#VALUE!</v>
      </c>
      <c r="S14" s="17" t="e">
        <f>#REF!</f>
        <v>#REF!</v>
      </c>
      <c r="T14" s="146" t="e">
        <f t="shared" si="11"/>
        <v>#VALUE!</v>
      </c>
      <c r="U14" s="58" t="str">
        <f t="shared" si="12"/>
        <v/>
      </c>
      <c r="V14" s="63" t="e">
        <f t="shared" si="13"/>
        <v>#VALUE!</v>
      </c>
      <c r="W14" s="22" t="e">
        <f t="shared" si="14"/>
        <v>#VALUE!</v>
      </c>
    </row>
    <row r="15" spans="2:24" ht="15" hidden="1" customHeight="1">
      <c r="B15" s="16" t="s">
        <v>27</v>
      </c>
      <c r="C15" s="83" t="s">
        <v>17</v>
      </c>
      <c r="D15" s="83" t="s">
        <v>52</v>
      </c>
      <c r="E15" s="83" t="s">
        <v>17</v>
      </c>
      <c r="F15" s="47" t="str">
        <f t="shared" si="0"/>
        <v>?</v>
      </c>
      <c r="G15" s="12" t="str">
        <f t="shared" si="1"/>
        <v>?</v>
      </c>
      <c r="H15" s="12" t="str">
        <f t="shared" si="2"/>
        <v>?</v>
      </c>
      <c r="I15" s="12" t="str">
        <f t="shared" si="3"/>
        <v>?</v>
      </c>
      <c r="J15" s="43" t="str">
        <f t="shared" si="4"/>
        <v>?</v>
      </c>
      <c r="K15" s="59" t="str">
        <f t="shared" si="5"/>
        <v>?</v>
      </c>
      <c r="L15" s="148">
        <v>9746</v>
      </c>
      <c r="M15" s="148">
        <v>800</v>
      </c>
      <c r="N15" s="148">
        <f t="shared" si="6"/>
        <v>10546</v>
      </c>
      <c r="O15" s="48" t="str">
        <f t="shared" si="7"/>
        <v>?</v>
      </c>
      <c r="P15" s="46" t="e">
        <f t="shared" si="8"/>
        <v>#VALUE!</v>
      </c>
      <c r="Q15" s="49" t="e">
        <f t="shared" si="9"/>
        <v>#VALUE!</v>
      </c>
      <c r="R15" s="150" t="e">
        <f t="shared" si="10"/>
        <v>#VALUE!</v>
      </c>
      <c r="S15" s="17">
        <v>0</v>
      </c>
      <c r="T15" s="146" t="e">
        <f t="shared" si="11"/>
        <v>#VALUE!</v>
      </c>
      <c r="U15" s="58" t="str">
        <f t="shared" si="12"/>
        <v/>
      </c>
      <c r="V15" s="63" t="e">
        <f t="shared" si="13"/>
        <v>#VALUE!</v>
      </c>
      <c r="W15" s="22" t="e">
        <f t="shared" si="14"/>
        <v>#VALUE!</v>
      </c>
    </row>
    <row r="16" spans="2:24" ht="15" hidden="1" customHeight="1">
      <c r="B16" s="56" t="s">
        <v>9</v>
      </c>
      <c r="C16" s="83" t="s">
        <v>10</v>
      </c>
      <c r="D16" s="20" t="s">
        <v>11</v>
      </c>
      <c r="E16" s="83" t="s">
        <v>10</v>
      </c>
      <c r="F16" s="47" t="str">
        <f t="shared" si="0"/>
        <v>?</v>
      </c>
      <c r="G16" s="12" t="str">
        <f t="shared" si="1"/>
        <v>?</v>
      </c>
      <c r="H16" s="12" t="str">
        <f t="shared" si="2"/>
        <v>?</v>
      </c>
      <c r="I16" s="12" t="str">
        <f t="shared" si="3"/>
        <v>?</v>
      </c>
      <c r="J16" s="43" t="str">
        <f t="shared" si="4"/>
        <v>?</v>
      </c>
      <c r="K16" s="59" t="str">
        <f t="shared" si="5"/>
        <v>?</v>
      </c>
      <c r="L16" s="148">
        <v>11209</v>
      </c>
      <c r="M16" s="148">
        <v>400</v>
      </c>
      <c r="N16" s="148">
        <f t="shared" si="6"/>
        <v>11609</v>
      </c>
      <c r="O16" s="48" t="str">
        <f t="shared" si="7"/>
        <v>?</v>
      </c>
      <c r="P16" s="46" t="e">
        <f t="shared" si="8"/>
        <v>#VALUE!</v>
      </c>
      <c r="Q16" s="49" t="e">
        <f t="shared" si="9"/>
        <v>#VALUE!</v>
      </c>
      <c r="R16" s="150" t="e">
        <f t="shared" si="10"/>
        <v>#VALUE!</v>
      </c>
      <c r="S16" s="17" t="e">
        <f>#REF!</f>
        <v>#REF!</v>
      </c>
      <c r="T16" s="146" t="e">
        <f t="shared" si="11"/>
        <v>#VALUE!</v>
      </c>
      <c r="U16" s="58" t="str">
        <f t="shared" si="12"/>
        <v/>
      </c>
      <c r="V16" s="63" t="e">
        <f t="shared" si="13"/>
        <v>#VALUE!</v>
      </c>
      <c r="W16" s="22" t="e">
        <f t="shared" si="14"/>
        <v>#VALUE!</v>
      </c>
    </row>
    <row r="17" spans="2:23" ht="15" hidden="1" customHeight="1">
      <c r="B17" s="60" t="s">
        <v>72</v>
      </c>
      <c r="C17" s="83" t="s">
        <v>17</v>
      </c>
      <c r="D17" s="83" t="s">
        <v>52</v>
      </c>
      <c r="E17" s="83" t="s">
        <v>34</v>
      </c>
      <c r="F17" s="47">
        <f t="shared" si="0"/>
        <v>600</v>
      </c>
      <c r="G17" s="12">
        <f t="shared" si="1"/>
        <v>0.2</v>
      </c>
      <c r="H17" s="12">
        <f t="shared" si="2"/>
        <v>0.22</v>
      </c>
      <c r="I17" s="12">
        <f t="shared" si="3"/>
        <v>0.25</v>
      </c>
      <c r="J17" s="43">
        <f t="shared" si="4"/>
        <v>13000</v>
      </c>
      <c r="K17" s="59" t="str">
        <f t="shared" si="5"/>
        <v>?</v>
      </c>
      <c r="L17" s="148">
        <v>10460</v>
      </c>
      <c r="M17" s="148">
        <v>690</v>
      </c>
      <c r="N17" s="148">
        <f t="shared" si="6"/>
        <v>11150</v>
      </c>
      <c r="O17" s="48">
        <f t="shared" si="7"/>
        <v>600</v>
      </c>
      <c r="P17" s="46">
        <f t="shared" si="8"/>
        <v>2230</v>
      </c>
      <c r="Q17" s="49">
        <f t="shared" si="9"/>
        <v>172.5</v>
      </c>
      <c r="R17" s="150">
        <f t="shared" si="10"/>
        <v>3002.5</v>
      </c>
      <c r="S17" s="17">
        <v>0</v>
      </c>
      <c r="T17" s="146">
        <f t="shared" si="11"/>
        <v>3002.5</v>
      </c>
      <c r="U17" s="58">
        <f t="shared" si="12"/>
        <v>0.26928251121076235</v>
      </c>
      <c r="V17" s="63" t="e">
        <f t="shared" si="13"/>
        <v>#VALUE!</v>
      </c>
      <c r="W17" s="22">
        <f t="shared" si="14"/>
        <v>0.85769230769230764</v>
      </c>
    </row>
    <row r="18" spans="2:23" ht="15" hidden="1" customHeight="1">
      <c r="B18" s="15" t="s">
        <v>35</v>
      </c>
      <c r="C18" s="83" t="s">
        <v>17</v>
      </c>
      <c r="D18" s="83" t="s">
        <v>52</v>
      </c>
      <c r="E18" s="83" t="s">
        <v>34</v>
      </c>
      <c r="F18" s="47" t="str">
        <f t="shared" si="0"/>
        <v>?</v>
      </c>
      <c r="G18" s="12" t="str">
        <f t="shared" si="1"/>
        <v>?</v>
      </c>
      <c r="H18" s="12" t="str">
        <f t="shared" si="2"/>
        <v>?</v>
      </c>
      <c r="I18" s="12" t="str">
        <f t="shared" si="3"/>
        <v>?</v>
      </c>
      <c r="J18" s="43" t="str">
        <f t="shared" si="4"/>
        <v>?</v>
      </c>
      <c r="K18" s="59" t="str">
        <f t="shared" si="5"/>
        <v>?</v>
      </c>
      <c r="L18" s="148">
        <v>7500</v>
      </c>
      <c r="M18" s="148">
        <v>0</v>
      </c>
      <c r="N18" s="148">
        <f t="shared" si="6"/>
        <v>7500</v>
      </c>
      <c r="O18" s="48" t="str">
        <f t="shared" si="7"/>
        <v>?</v>
      </c>
      <c r="P18" s="46" t="e">
        <f t="shared" si="8"/>
        <v>#VALUE!</v>
      </c>
      <c r="Q18" s="49" t="e">
        <f t="shared" si="9"/>
        <v>#VALUE!</v>
      </c>
      <c r="R18" s="150" t="e">
        <f t="shared" si="10"/>
        <v>#VALUE!</v>
      </c>
      <c r="S18" s="17">
        <v>0</v>
      </c>
      <c r="T18" s="146" t="e">
        <f t="shared" si="11"/>
        <v>#VALUE!</v>
      </c>
      <c r="U18" s="58" t="str">
        <f t="shared" si="12"/>
        <v/>
      </c>
      <c r="V18" s="63" t="e">
        <f t="shared" si="13"/>
        <v>#VALUE!</v>
      </c>
      <c r="W18" s="22" t="e">
        <f t="shared" si="14"/>
        <v>#VALUE!</v>
      </c>
    </row>
    <row r="19" spans="2:23" ht="15" hidden="1" customHeight="1">
      <c r="B19" s="16" t="s">
        <v>23</v>
      </c>
      <c r="C19" s="83" t="s">
        <v>17</v>
      </c>
      <c r="D19" s="83" t="s">
        <v>14</v>
      </c>
      <c r="E19" s="83" t="s">
        <v>17</v>
      </c>
      <c r="F19" s="47" t="str">
        <f t="shared" si="0"/>
        <v>?</v>
      </c>
      <c r="G19" s="12" t="str">
        <f t="shared" si="1"/>
        <v>?</v>
      </c>
      <c r="H19" s="12" t="str">
        <f t="shared" si="2"/>
        <v>?</v>
      </c>
      <c r="I19" s="12" t="str">
        <f t="shared" si="3"/>
        <v>?</v>
      </c>
      <c r="J19" s="43" t="str">
        <f t="shared" si="4"/>
        <v>?</v>
      </c>
      <c r="K19" s="59" t="str">
        <f t="shared" si="5"/>
        <v>?</v>
      </c>
      <c r="L19" s="148">
        <v>7706</v>
      </c>
      <c r="M19" s="148">
        <v>3007</v>
      </c>
      <c r="N19" s="148">
        <f t="shared" si="6"/>
        <v>10713</v>
      </c>
      <c r="O19" s="48" t="str">
        <f t="shared" si="7"/>
        <v>?</v>
      </c>
      <c r="P19" s="46" t="e">
        <f t="shared" si="8"/>
        <v>#VALUE!</v>
      </c>
      <c r="Q19" s="49" t="e">
        <f t="shared" si="9"/>
        <v>#VALUE!</v>
      </c>
      <c r="R19" s="150" t="e">
        <f t="shared" si="10"/>
        <v>#VALUE!</v>
      </c>
      <c r="S19" s="17">
        <v>0</v>
      </c>
      <c r="T19" s="146" t="e">
        <f t="shared" si="11"/>
        <v>#VALUE!</v>
      </c>
      <c r="U19" s="58" t="str">
        <f t="shared" si="12"/>
        <v/>
      </c>
      <c r="V19" s="63" t="e">
        <f t="shared" si="13"/>
        <v>#VALUE!</v>
      </c>
      <c r="W19" s="22" t="e">
        <f t="shared" si="14"/>
        <v>#VALUE!</v>
      </c>
    </row>
    <row r="20" spans="2:23" ht="12.75" hidden="1">
      <c r="E20" s="5"/>
      <c r="K20" s="35">
        <f>SUBTOTAL(9,K3:K19)</f>
        <v>0</v>
      </c>
      <c r="L20" s="35"/>
      <c r="M20" s="35"/>
      <c r="N20" s="35">
        <f>SUBTOTAL(9,N3:N19)</f>
        <v>7320</v>
      </c>
      <c r="O20" s="36"/>
      <c r="P20" s="37"/>
      <c r="Q20" s="38"/>
      <c r="R20" s="39" t="e">
        <f>SUBTOTAL(9,R3:R19)</f>
        <v>#VALUE!</v>
      </c>
      <c r="U20" s="45" t="e">
        <f>R20/N20</f>
        <v>#VALUE!</v>
      </c>
    </row>
    <row r="21" spans="2:23" ht="12.75" hidden="1">
      <c r="E21" s="5"/>
      <c r="K21" s="35"/>
      <c r="L21" s="35" t="s">
        <v>105</v>
      </c>
      <c r="M21" s="35"/>
      <c r="N21" s="35"/>
      <c r="O21" s="36"/>
      <c r="P21" s="37"/>
      <c r="Q21" s="38"/>
      <c r="R21" s="39"/>
    </row>
    <row r="22" spans="2:23" ht="39.950000000000003" customHeight="1">
      <c r="E22" s="5"/>
    </row>
    <row r="24" spans="2:23" ht="39.950000000000003" customHeight="1">
      <c r="D24" s="10" t="s">
        <v>105</v>
      </c>
    </row>
    <row r="29" spans="2:23" ht="39.950000000000003" customHeight="1">
      <c r="M29" s="75">
        <f>4217/30*31</f>
        <v>4357.5666666666666</v>
      </c>
    </row>
    <row r="37" spans="2:5" ht="39.950000000000003" customHeight="1">
      <c r="D37" s="10" t="s">
        <v>37</v>
      </c>
    </row>
    <row r="40" spans="2:5" ht="39.950000000000003" customHeight="1">
      <c r="B40" s="162" t="s">
        <v>38</v>
      </c>
      <c r="C40" s="162"/>
      <c r="D40" s="162"/>
      <c r="E40" s="162"/>
    </row>
    <row r="41" spans="2:5" ht="39.950000000000003" customHeight="1">
      <c r="B41" s="40" t="s">
        <v>39</v>
      </c>
      <c r="C41" s="147"/>
      <c r="D41" s="163" t="s">
        <v>40</v>
      </c>
      <c r="E41" s="163"/>
    </row>
    <row r="42" spans="2:5" ht="39.950000000000003" customHeight="1">
      <c r="B42" s="41" t="s">
        <v>41</v>
      </c>
      <c r="C42" s="146"/>
      <c r="D42" s="158" t="s">
        <v>42</v>
      </c>
      <c r="E42" s="158"/>
    </row>
  </sheetData>
  <autoFilter ref="B2:W21" xr:uid="{00000000-0009-0000-0000-00000C000000}">
    <filterColumn colId="0">
      <filters>
        <filter val="Flavia"/>
      </filters>
    </filterColumn>
  </autoFilter>
  <sortState xmlns:xlrd2="http://schemas.microsoft.com/office/spreadsheetml/2017/richdata2" ref="B3:W18">
    <sortCondition ref="W3:W18"/>
  </sortState>
  <mergeCells count="6">
    <mergeCell ref="D42:E42"/>
    <mergeCell ref="F1:J1"/>
    <mergeCell ref="L1:N1"/>
    <mergeCell ref="O1:R1"/>
    <mergeCell ref="B40:E40"/>
    <mergeCell ref="D41:E41"/>
  </mergeCells>
  <conditionalFormatting sqref="B17:B18">
    <cfRule type="duplicateValues" dxfId="88" priority="3"/>
  </conditionalFormatting>
  <conditionalFormatting sqref="S1:T11 S13:T1048576">
    <cfRule type="cellIs" dxfId="87" priority="2" operator="equal">
      <formula>0</formula>
    </cfRule>
  </conditionalFormatting>
  <conditionalFormatting sqref="B19 B11:B16 B2:B9">
    <cfRule type="duplicateValues" dxfId="86" priority="20"/>
  </conditionalFormatting>
  <conditionalFormatting sqref="B19 B11:B16 B3:B9">
    <cfRule type="duplicateValues" dxfId="85" priority="23"/>
  </conditionalFormatting>
  <conditionalFormatting sqref="S12:T12">
    <cfRule type="cellIs" dxfId="84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scale="4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F88CD-0CE9-4DDD-A30F-F166C1FB5F90}">
  <sheetPr>
    <pageSetUpPr fitToPage="1"/>
  </sheetPr>
  <dimension ref="B1:W45"/>
  <sheetViews>
    <sheetView showGridLines="0" zoomScale="90" zoomScaleNormal="90" workbookViewId="0">
      <pane xSplit="1" ySplit="2" topLeftCell="C3" activePane="bottomRight" state="frozen"/>
      <selection pane="bottomRight" activeCell="M9" sqref="M9"/>
      <selection pane="bottomLeft" activeCell="A4" sqref="A4"/>
      <selection pane="topRight" activeCell="B1" sqref="B1"/>
    </sheetView>
  </sheetViews>
  <sheetFormatPr defaultRowHeight="12.75"/>
  <cols>
    <col min="1" max="1" width="2.85546875" style="5" customWidth="1"/>
    <col min="2" max="2" width="15.28515625" style="14" customWidth="1"/>
    <col min="3" max="3" width="13.5703125" style="10" customWidth="1"/>
    <col min="4" max="4" width="13.85546875" style="10" customWidth="1"/>
    <col min="5" max="5" width="12.140625" style="6" customWidth="1"/>
    <col min="6" max="6" width="6.42578125" style="39" customWidth="1"/>
    <col min="7" max="7" width="7.85546875" style="10" bestFit="1" customWidth="1"/>
    <col min="8" max="8" width="7.85546875" style="13" bestFit="1" customWidth="1"/>
    <col min="9" max="9" width="9.5703125" style="44" bestFit="1" customWidth="1"/>
    <col min="10" max="10" width="7.140625" style="87" bestFit="1" customWidth="1"/>
    <col min="11" max="11" width="9.85546875" style="90" bestFit="1" customWidth="1"/>
    <col min="12" max="12" width="9.5703125" style="90" bestFit="1" customWidth="1"/>
    <col min="13" max="13" width="9.85546875" style="90" bestFit="1" customWidth="1"/>
    <col min="14" max="14" width="7.140625" style="91" bestFit="1" customWidth="1"/>
    <col min="15" max="15" width="9.5703125" style="92" customWidth="1"/>
    <col min="16" max="16" width="9.42578125" style="93" customWidth="1"/>
    <col min="17" max="17" width="22.140625" style="93" bestFit="1" customWidth="1"/>
    <col min="18" max="18" width="12.28515625" style="87" customWidth="1"/>
    <col min="19" max="19" width="9.5703125" style="19" customWidth="1"/>
    <col min="20" max="20" width="12.28515625" style="5" bestFit="1" customWidth="1"/>
    <col min="21" max="21" width="9.140625" style="5"/>
    <col min="22" max="22" width="13.42578125" style="5" bestFit="1" customWidth="1"/>
    <col min="23" max="16384" width="9.140625" style="5"/>
  </cols>
  <sheetData>
    <row r="1" spans="2:23" ht="38.25" customHeight="1">
      <c r="E1" s="5"/>
      <c r="F1" s="154" t="s">
        <v>86</v>
      </c>
      <c r="G1" s="154"/>
      <c r="H1" s="154"/>
      <c r="I1" s="154"/>
      <c r="J1" s="154"/>
      <c r="K1" s="155" t="s">
        <v>106</v>
      </c>
      <c r="L1" s="155"/>
      <c r="M1" s="155"/>
      <c r="N1" s="155" t="s">
        <v>88</v>
      </c>
      <c r="O1" s="155"/>
      <c r="P1" s="155"/>
      <c r="Q1" s="155"/>
      <c r="R1" s="42"/>
      <c r="S1" s="44"/>
    </row>
    <row r="2" spans="2:23" ht="26.1" customHeight="1">
      <c r="B2" s="15" t="s">
        <v>0</v>
      </c>
      <c r="C2" s="8" t="s">
        <v>1</v>
      </c>
      <c r="D2" s="8" t="s">
        <v>2</v>
      </c>
      <c r="E2" s="107" t="s">
        <v>3</v>
      </c>
      <c r="F2" s="48" t="s">
        <v>4</v>
      </c>
      <c r="G2" s="61" t="s">
        <v>5</v>
      </c>
      <c r="H2" s="61" t="s">
        <v>6</v>
      </c>
      <c r="I2" s="57" t="s">
        <v>7</v>
      </c>
      <c r="J2" s="150" t="s">
        <v>8</v>
      </c>
      <c r="K2" s="152" t="s">
        <v>89</v>
      </c>
      <c r="L2" s="152" t="s">
        <v>7</v>
      </c>
      <c r="M2" s="108" t="s">
        <v>90</v>
      </c>
      <c r="N2" s="99" t="s">
        <v>4</v>
      </c>
      <c r="O2" s="99" t="s">
        <v>107</v>
      </c>
      <c r="P2" s="99" t="s">
        <v>7</v>
      </c>
      <c r="Q2" s="108" t="s">
        <v>91</v>
      </c>
      <c r="R2" s="144" t="s">
        <v>92</v>
      </c>
      <c r="S2" s="146" t="s">
        <v>93</v>
      </c>
      <c r="T2" s="57" t="s">
        <v>94</v>
      </c>
    </row>
    <row r="3" spans="2:23" ht="15" customHeight="1">
      <c r="B3" s="16" t="s">
        <v>27</v>
      </c>
      <c r="C3" s="83" t="s">
        <v>17</v>
      </c>
      <c r="D3" s="83" t="s">
        <v>52</v>
      </c>
      <c r="E3" s="83" t="s">
        <v>17</v>
      </c>
      <c r="F3" s="144" t="str">
        <f t="shared" ref="F3:F29" si="0">IFERROR(VLOOKUP($B3,regra,9,0),"?")</f>
        <v>?</v>
      </c>
      <c r="G3" s="58" t="str">
        <f t="shared" ref="G3:G29" si="1">IFERROR(VLOOKUP($B3,regra,6,0),"?")</f>
        <v>?</v>
      </c>
      <c r="H3" s="58" t="str">
        <f t="shared" ref="H3:H29" si="2">IFERROR(VLOOKUP($B3,regra,7,0),"?")</f>
        <v>?</v>
      </c>
      <c r="I3" s="58" t="str">
        <f t="shared" ref="I3:I29" si="3">IFERROR(VLOOKUP($B3,regra,8,0),"?")</f>
        <v>?</v>
      </c>
      <c r="J3" s="85" t="str">
        <f t="shared" ref="J3:J29" si="4">IFERROR(VLOOKUP($B3,regra,5,0),"?")</f>
        <v>?</v>
      </c>
      <c r="K3" s="88"/>
      <c r="L3" s="88"/>
      <c r="M3" s="88">
        <f>L3+K3</f>
        <v>0</v>
      </c>
      <c r="N3" s="88" t="str">
        <f t="shared" ref="N3:N29" si="5">F3</f>
        <v>?</v>
      </c>
      <c r="O3" s="89" t="e">
        <f t="shared" ref="O3:O17" si="6">IF(M3&gt;J3,M3*H3,M3*G3)</f>
        <v>#VALUE!</v>
      </c>
      <c r="P3" s="89" t="e">
        <f t="shared" ref="P3:P29" si="7">L3*I3</f>
        <v>#VALUE!</v>
      </c>
      <c r="Q3" s="88" t="e">
        <f>SUM(N3:P3)</f>
        <v>#VALUE!</v>
      </c>
      <c r="R3" s="17">
        <v>0</v>
      </c>
      <c r="S3" s="146" t="e">
        <f t="shared" ref="S3:S8" si="8">Q3-R3</f>
        <v>#VALUE!</v>
      </c>
      <c r="T3" s="58" t="e">
        <f>Q3/M3</f>
        <v>#VALUE!</v>
      </c>
      <c r="V3" s="21"/>
      <c r="W3" s="22"/>
    </row>
    <row r="4" spans="2:23" ht="15" customHeight="1">
      <c r="B4" s="16" t="s">
        <v>30</v>
      </c>
      <c r="C4" s="83" t="s">
        <v>17</v>
      </c>
      <c r="D4" s="83" t="s">
        <v>52</v>
      </c>
      <c r="E4" s="83" t="s">
        <v>31</v>
      </c>
      <c r="F4" s="144" t="str">
        <f t="shared" si="0"/>
        <v>?</v>
      </c>
      <c r="G4" s="58" t="str">
        <f t="shared" si="1"/>
        <v>?</v>
      </c>
      <c r="H4" s="58" t="str">
        <f t="shared" si="2"/>
        <v>?</v>
      </c>
      <c r="I4" s="58" t="str">
        <f t="shared" si="3"/>
        <v>?</v>
      </c>
      <c r="J4" s="85" t="str">
        <f t="shared" si="4"/>
        <v>?</v>
      </c>
      <c r="K4" s="88"/>
      <c r="L4" s="88"/>
      <c r="M4" s="88">
        <f t="shared" ref="M4:M29" si="9">L4+K4</f>
        <v>0</v>
      </c>
      <c r="N4" s="88" t="str">
        <f t="shared" si="5"/>
        <v>?</v>
      </c>
      <c r="O4" s="89" t="e">
        <f t="shared" si="6"/>
        <v>#VALUE!</v>
      </c>
      <c r="P4" s="89" t="e">
        <f t="shared" si="7"/>
        <v>#VALUE!</v>
      </c>
      <c r="Q4" s="88" t="e">
        <f t="shared" ref="Q4:Q22" si="10">SUM(N4:P4)</f>
        <v>#VALUE!</v>
      </c>
      <c r="R4" s="17">
        <v>0</v>
      </c>
      <c r="S4" s="146" t="e">
        <f t="shared" si="8"/>
        <v>#VALUE!</v>
      </c>
      <c r="T4" s="58" t="e">
        <f t="shared" ref="T4:T29" si="11">Q4/M4</f>
        <v>#VALUE!</v>
      </c>
    </row>
    <row r="5" spans="2:23" ht="15" customHeight="1">
      <c r="B5" s="16" t="s">
        <v>32</v>
      </c>
      <c r="C5" s="83" t="s">
        <v>17</v>
      </c>
      <c r="D5" s="83" t="s">
        <v>52</v>
      </c>
      <c r="E5" s="83" t="s">
        <v>31</v>
      </c>
      <c r="F5" s="144" t="str">
        <f t="shared" si="0"/>
        <v>?</v>
      </c>
      <c r="G5" s="58" t="str">
        <f t="shared" si="1"/>
        <v>?</v>
      </c>
      <c r="H5" s="58" t="str">
        <f t="shared" si="2"/>
        <v>?</v>
      </c>
      <c r="I5" s="58" t="str">
        <f t="shared" si="3"/>
        <v>?</v>
      </c>
      <c r="J5" s="85" t="str">
        <f t="shared" si="4"/>
        <v>?</v>
      </c>
      <c r="K5" s="88"/>
      <c r="L5" s="88"/>
      <c r="M5" s="88">
        <f t="shared" si="9"/>
        <v>0</v>
      </c>
      <c r="N5" s="88" t="str">
        <f t="shared" si="5"/>
        <v>?</v>
      </c>
      <c r="O5" s="89" t="e">
        <f t="shared" si="6"/>
        <v>#VALUE!</v>
      </c>
      <c r="P5" s="89" t="e">
        <f t="shared" si="7"/>
        <v>#VALUE!</v>
      </c>
      <c r="Q5" s="88" t="e">
        <f t="shared" si="10"/>
        <v>#VALUE!</v>
      </c>
      <c r="R5" s="17">
        <v>0</v>
      </c>
      <c r="S5" s="146" t="e">
        <f t="shared" si="8"/>
        <v>#VALUE!</v>
      </c>
      <c r="T5" s="58" t="e">
        <f t="shared" si="11"/>
        <v>#VALUE!</v>
      </c>
    </row>
    <row r="6" spans="2:23" ht="15" customHeight="1">
      <c r="B6" s="16" t="s">
        <v>23</v>
      </c>
      <c r="C6" s="83" t="s">
        <v>17</v>
      </c>
      <c r="D6" s="83" t="s">
        <v>14</v>
      </c>
      <c r="E6" s="83" t="s">
        <v>17</v>
      </c>
      <c r="F6" s="144" t="str">
        <f t="shared" si="0"/>
        <v>?</v>
      </c>
      <c r="G6" s="58" t="str">
        <f t="shared" si="1"/>
        <v>?</v>
      </c>
      <c r="H6" s="58" t="str">
        <f t="shared" si="2"/>
        <v>?</v>
      </c>
      <c r="I6" s="58" t="str">
        <f t="shared" si="3"/>
        <v>?</v>
      </c>
      <c r="J6" s="85" t="str">
        <f t="shared" si="4"/>
        <v>?</v>
      </c>
      <c r="K6" s="88"/>
      <c r="L6" s="88"/>
      <c r="M6" s="88">
        <f t="shared" si="9"/>
        <v>0</v>
      </c>
      <c r="N6" s="88" t="str">
        <f t="shared" si="5"/>
        <v>?</v>
      </c>
      <c r="O6" s="89" t="e">
        <f t="shared" si="6"/>
        <v>#VALUE!</v>
      </c>
      <c r="P6" s="89" t="e">
        <f t="shared" si="7"/>
        <v>#VALUE!</v>
      </c>
      <c r="Q6" s="88" t="e">
        <f t="shared" si="10"/>
        <v>#VALUE!</v>
      </c>
      <c r="R6" s="17">
        <v>0</v>
      </c>
      <c r="S6" s="146" t="e">
        <f t="shared" si="8"/>
        <v>#VALUE!</v>
      </c>
      <c r="T6" s="58" t="e">
        <f t="shared" si="11"/>
        <v>#VALUE!</v>
      </c>
    </row>
    <row r="7" spans="2:23" ht="15" customHeight="1">
      <c r="B7" s="16" t="s">
        <v>16</v>
      </c>
      <c r="C7" s="83" t="s">
        <v>17</v>
      </c>
      <c r="D7" s="83" t="s">
        <v>11</v>
      </c>
      <c r="E7" s="83" t="s">
        <v>17</v>
      </c>
      <c r="F7" s="144">
        <f t="shared" si="0"/>
        <v>600</v>
      </c>
      <c r="G7" s="58">
        <f t="shared" si="1"/>
        <v>0.12</v>
      </c>
      <c r="H7" s="58">
        <f t="shared" si="2"/>
        <v>0.14000000000000001</v>
      </c>
      <c r="I7" s="58">
        <f t="shared" si="3"/>
        <v>0.22</v>
      </c>
      <c r="J7" s="85">
        <f t="shared" si="4"/>
        <v>13000</v>
      </c>
      <c r="K7" s="88"/>
      <c r="L7" s="88"/>
      <c r="M7" s="88">
        <f t="shared" si="9"/>
        <v>0</v>
      </c>
      <c r="N7" s="88">
        <f t="shared" si="5"/>
        <v>600</v>
      </c>
      <c r="O7" s="89">
        <f t="shared" si="6"/>
        <v>0</v>
      </c>
      <c r="P7" s="89">
        <f t="shared" si="7"/>
        <v>0</v>
      </c>
      <c r="Q7" s="88">
        <f t="shared" si="10"/>
        <v>600</v>
      </c>
      <c r="R7" s="17">
        <v>0</v>
      </c>
      <c r="S7" s="146">
        <f t="shared" si="8"/>
        <v>600</v>
      </c>
      <c r="T7" s="58" t="e">
        <f t="shared" si="11"/>
        <v>#DIV/0!</v>
      </c>
    </row>
    <row r="8" spans="2:23" ht="15" customHeight="1">
      <c r="B8" s="16" t="s">
        <v>18</v>
      </c>
      <c r="C8" s="83" t="s">
        <v>17</v>
      </c>
      <c r="D8" s="83" t="s">
        <v>11</v>
      </c>
      <c r="E8" s="83" t="s">
        <v>17</v>
      </c>
      <c r="F8" s="144" t="str">
        <f t="shared" si="0"/>
        <v>?</v>
      </c>
      <c r="G8" s="58" t="str">
        <f t="shared" si="1"/>
        <v>?</v>
      </c>
      <c r="H8" s="58" t="str">
        <f t="shared" si="2"/>
        <v>?</v>
      </c>
      <c r="I8" s="58" t="str">
        <f t="shared" si="3"/>
        <v>?</v>
      </c>
      <c r="J8" s="85" t="str">
        <f t="shared" si="4"/>
        <v>?</v>
      </c>
      <c r="K8" s="88"/>
      <c r="L8" s="88"/>
      <c r="M8" s="88">
        <f t="shared" si="9"/>
        <v>0</v>
      </c>
      <c r="N8" s="88" t="str">
        <f t="shared" si="5"/>
        <v>?</v>
      </c>
      <c r="O8" s="89" t="e">
        <f t="shared" si="6"/>
        <v>#VALUE!</v>
      </c>
      <c r="P8" s="89" t="e">
        <f t="shared" si="7"/>
        <v>#VALUE!</v>
      </c>
      <c r="Q8" s="88" t="e">
        <f t="shared" si="10"/>
        <v>#VALUE!</v>
      </c>
      <c r="R8" s="17">
        <v>0</v>
      </c>
      <c r="S8" s="146" t="e">
        <f t="shared" si="8"/>
        <v>#VALUE!</v>
      </c>
      <c r="T8" s="58" t="e">
        <f t="shared" si="11"/>
        <v>#VALUE!</v>
      </c>
    </row>
    <row r="9" spans="2:23" ht="15" customHeight="1">
      <c r="B9" s="16" t="s">
        <v>60</v>
      </c>
      <c r="C9" s="83" t="s">
        <v>17</v>
      </c>
      <c r="D9" s="86" t="s">
        <v>61</v>
      </c>
      <c r="E9" s="86" t="s">
        <v>61</v>
      </c>
      <c r="F9" s="144">
        <f t="shared" si="0"/>
        <v>0</v>
      </c>
      <c r="G9" s="58">
        <f t="shared" si="1"/>
        <v>0</v>
      </c>
      <c r="H9" s="58">
        <f t="shared" si="2"/>
        <v>0</v>
      </c>
      <c r="I9" s="58">
        <f t="shared" si="3"/>
        <v>0</v>
      </c>
      <c r="J9" s="85">
        <f t="shared" si="4"/>
        <v>0</v>
      </c>
      <c r="K9" s="88"/>
      <c r="L9" s="88"/>
      <c r="M9" s="88">
        <f t="shared" si="9"/>
        <v>0</v>
      </c>
      <c r="N9" s="88">
        <f t="shared" si="5"/>
        <v>0</v>
      </c>
      <c r="O9" s="89">
        <f t="shared" si="6"/>
        <v>0</v>
      </c>
      <c r="P9" s="89">
        <f t="shared" si="7"/>
        <v>0</v>
      </c>
      <c r="Q9" s="88">
        <f t="shared" si="10"/>
        <v>0</v>
      </c>
      <c r="R9" s="17">
        <v>0</v>
      </c>
      <c r="S9" s="151"/>
      <c r="T9" s="58" t="e">
        <f t="shared" si="11"/>
        <v>#DIV/0!</v>
      </c>
    </row>
    <row r="10" spans="2:23" ht="15" customHeight="1">
      <c r="B10" s="16" t="s">
        <v>35</v>
      </c>
      <c r="C10" s="83" t="s">
        <v>17</v>
      </c>
      <c r="D10" s="83" t="s">
        <v>52</v>
      </c>
      <c r="E10" s="83" t="s">
        <v>34</v>
      </c>
      <c r="F10" s="144" t="str">
        <f t="shared" si="0"/>
        <v>?</v>
      </c>
      <c r="G10" s="58" t="str">
        <f t="shared" si="1"/>
        <v>?</v>
      </c>
      <c r="H10" s="58" t="str">
        <f t="shared" si="2"/>
        <v>?</v>
      </c>
      <c r="I10" s="58" t="str">
        <f t="shared" si="3"/>
        <v>?</v>
      </c>
      <c r="J10" s="85" t="str">
        <f t="shared" si="4"/>
        <v>?</v>
      </c>
      <c r="K10" s="88"/>
      <c r="L10" s="88"/>
      <c r="M10" s="88">
        <f t="shared" si="9"/>
        <v>0</v>
      </c>
      <c r="N10" s="88" t="str">
        <f t="shared" si="5"/>
        <v>?</v>
      </c>
      <c r="O10" s="89" t="e">
        <f t="shared" si="6"/>
        <v>#VALUE!</v>
      </c>
      <c r="P10" s="89" t="e">
        <f t="shared" si="7"/>
        <v>#VALUE!</v>
      </c>
      <c r="Q10" s="88" t="e">
        <f t="shared" si="10"/>
        <v>#VALUE!</v>
      </c>
      <c r="R10" s="17">
        <v>0</v>
      </c>
      <c r="S10" s="146" t="e">
        <f t="shared" ref="S10:S16" si="12">Q10-R10</f>
        <v>#VALUE!</v>
      </c>
      <c r="T10" s="58" t="e">
        <f t="shared" si="11"/>
        <v>#VALUE!</v>
      </c>
    </row>
    <row r="11" spans="2:23" ht="15" customHeight="1">
      <c r="B11" s="25" t="s">
        <v>72</v>
      </c>
      <c r="C11" s="83" t="s">
        <v>17</v>
      </c>
      <c r="D11" s="83" t="s">
        <v>52</v>
      </c>
      <c r="E11" s="83" t="s">
        <v>34</v>
      </c>
      <c r="F11" s="144">
        <f t="shared" si="0"/>
        <v>600</v>
      </c>
      <c r="G11" s="58">
        <f t="shared" si="1"/>
        <v>0.2</v>
      </c>
      <c r="H11" s="58">
        <f t="shared" si="2"/>
        <v>0.22</v>
      </c>
      <c r="I11" s="58">
        <f t="shared" si="3"/>
        <v>0.25</v>
      </c>
      <c r="J11" s="85">
        <f t="shared" si="4"/>
        <v>13000</v>
      </c>
      <c r="K11" s="88"/>
      <c r="L11" s="88"/>
      <c r="M11" s="88">
        <f t="shared" si="9"/>
        <v>0</v>
      </c>
      <c r="N11" s="88">
        <f t="shared" si="5"/>
        <v>600</v>
      </c>
      <c r="O11" s="89">
        <f t="shared" si="6"/>
        <v>0</v>
      </c>
      <c r="P11" s="89">
        <f t="shared" si="7"/>
        <v>0</v>
      </c>
      <c r="Q11" s="88">
        <f t="shared" si="10"/>
        <v>600</v>
      </c>
      <c r="R11" s="17">
        <v>0</v>
      </c>
      <c r="S11" s="146">
        <f t="shared" si="12"/>
        <v>600</v>
      </c>
      <c r="T11" s="58" t="e">
        <f t="shared" si="11"/>
        <v>#DIV/0!</v>
      </c>
    </row>
    <row r="12" spans="2:23" ht="15" customHeight="1">
      <c r="B12" s="16" t="s">
        <v>24</v>
      </c>
      <c r="C12" s="83" t="s">
        <v>17</v>
      </c>
      <c r="D12" s="83" t="s">
        <v>14</v>
      </c>
      <c r="E12" s="83" t="s">
        <v>17</v>
      </c>
      <c r="F12" s="144" t="str">
        <f t="shared" si="0"/>
        <v>?</v>
      </c>
      <c r="G12" s="58" t="str">
        <f t="shared" si="1"/>
        <v>?</v>
      </c>
      <c r="H12" s="58" t="str">
        <f t="shared" si="2"/>
        <v>?</v>
      </c>
      <c r="I12" s="58" t="str">
        <f t="shared" si="3"/>
        <v>?</v>
      </c>
      <c r="J12" s="85" t="str">
        <f t="shared" si="4"/>
        <v>?</v>
      </c>
      <c r="K12" s="88"/>
      <c r="L12" s="88"/>
      <c r="M12" s="88">
        <f t="shared" si="9"/>
        <v>0</v>
      </c>
      <c r="N12" s="88" t="str">
        <f t="shared" si="5"/>
        <v>?</v>
      </c>
      <c r="O12" s="89" t="e">
        <f t="shared" si="6"/>
        <v>#VALUE!</v>
      </c>
      <c r="P12" s="89" t="e">
        <f t="shared" si="7"/>
        <v>#VALUE!</v>
      </c>
      <c r="Q12" s="145" t="e">
        <f t="shared" si="10"/>
        <v>#VALUE!</v>
      </c>
      <c r="R12" s="17">
        <v>0</v>
      </c>
      <c r="S12" s="98" t="e">
        <f t="shared" si="12"/>
        <v>#VALUE!</v>
      </c>
      <c r="T12" s="58" t="e">
        <f t="shared" si="11"/>
        <v>#VALUE!</v>
      </c>
    </row>
    <row r="13" spans="2:23" ht="15" customHeight="1">
      <c r="B13" s="16" t="s">
        <v>20</v>
      </c>
      <c r="C13" s="83" t="s">
        <v>17</v>
      </c>
      <c r="D13" s="83" t="s">
        <v>11</v>
      </c>
      <c r="E13" s="83" t="s">
        <v>17</v>
      </c>
      <c r="F13" s="144" t="str">
        <f t="shared" si="0"/>
        <v>?</v>
      </c>
      <c r="G13" s="58" t="str">
        <f t="shared" si="1"/>
        <v>?</v>
      </c>
      <c r="H13" s="58" t="str">
        <f t="shared" si="2"/>
        <v>?</v>
      </c>
      <c r="I13" s="58" t="str">
        <f t="shared" si="3"/>
        <v>?</v>
      </c>
      <c r="J13" s="85" t="str">
        <f t="shared" si="4"/>
        <v>?</v>
      </c>
      <c r="K13" s="88"/>
      <c r="L13" s="88"/>
      <c r="M13" s="88">
        <f t="shared" si="9"/>
        <v>0</v>
      </c>
      <c r="N13" s="88" t="str">
        <f t="shared" si="5"/>
        <v>?</v>
      </c>
      <c r="O13" s="89" t="e">
        <f t="shared" si="6"/>
        <v>#VALUE!</v>
      </c>
      <c r="P13" s="89" t="e">
        <f t="shared" si="7"/>
        <v>#VALUE!</v>
      </c>
      <c r="Q13" s="88" t="e">
        <f t="shared" si="10"/>
        <v>#VALUE!</v>
      </c>
      <c r="R13" s="17">
        <v>0</v>
      </c>
      <c r="S13" s="146" t="e">
        <f t="shared" si="12"/>
        <v>#VALUE!</v>
      </c>
      <c r="T13" s="58" t="e">
        <f t="shared" si="11"/>
        <v>#VALUE!</v>
      </c>
    </row>
    <row r="14" spans="2:23" ht="15" customHeight="1">
      <c r="B14" s="16" t="s">
        <v>25</v>
      </c>
      <c r="C14" s="83" t="s">
        <v>17</v>
      </c>
      <c r="D14" s="83" t="s">
        <v>14</v>
      </c>
      <c r="E14" s="83" t="s">
        <v>17</v>
      </c>
      <c r="F14" s="144">
        <f t="shared" si="0"/>
        <v>600</v>
      </c>
      <c r="G14" s="58">
        <f t="shared" si="1"/>
        <v>0.16</v>
      </c>
      <c r="H14" s="58">
        <f t="shared" si="2"/>
        <v>0.18</v>
      </c>
      <c r="I14" s="58">
        <f t="shared" si="3"/>
        <v>0.25</v>
      </c>
      <c r="J14" s="85">
        <f t="shared" si="4"/>
        <v>8000</v>
      </c>
      <c r="K14" s="88"/>
      <c r="L14" s="88"/>
      <c r="M14" s="88">
        <f t="shared" si="9"/>
        <v>0</v>
      </c>
      <c r="N14" s="88">
        <f t="shared" si="5"/>
        <v>600</v>
      </c>
      <c r="O14" s="89">
        <f t="shared" si="6"/>
        <v>0</v>
      </c>
      <c r="P14" s="89">
        <f t="shared" si="7"/>
        <v>0</v>
      </c>
      <c r="Q14" s="88">
        <f t="shared" si="10"/>
        <v>600</v>
      </c>
      <c r="R14" s="17">
        <v>0</v>
      </c>
      <c r="S14" s="146">
        <f t="shared" si="12"/>
        <v>600</v>
      </c>
      <c r="T14" s="58" t="e">
        <f t="shared" si="11"/>
        <v>#DIV/0!</v>
      </c>
    </row>
    <row r="15" spans="2:23" ht="15" customHeight="1">
      <c r="B15" s="16" t="s">
        <v>36</v>
      </c>
      <c r="C15" s="83" t="s">
        <v>17</v>
      </c>
      <c r="D15" s="83" t="s">
        <v>52</v>
      </c>
      <c r="E15" s="83" t="s">
        <v>34</v>
      </c>
      <c r="F15" s="144" t="str">
        <f t="shared" si="0"/>
        <v>?</v>
      </c>
      <c r="G15" s="58" t="str">
        <f t="shared" si="1"/>
        <v>?</v>
      </c>
      <c r="H15" s="58" t="str">
        <f t="shared" si="2"/>
        <v>?</v>
      </c>
      <c r="I15" s="58" t="str">
        <f t="shared" si="3"/>
        <v>?</v>
      </c>
      <c r="J15" s="85" t="str">
        <f t="shared" si="4"/>
        <v>?</v>
      </c>
      <c r="K15" s="88"/>
      <c r="L15" s="88"/>
      <c r="M15" s="88">
        <f t="shared" si="9"/>
        <v>0</v>
      </c>
      <c r="N15" s="88" t="str">
        <f t="shared" si="5"/>
        <v>?</v>
      </c>
      <c r="O15" s="89" t="e">
        <f t="shared" si="6"/>
        <v>#VALUE!</v>
      </c>
      <c r="P15" s="89" t="e">
        <f t="shared" si="7"/>
        <v>#VALUE!</v>
      </c>
      <c r="Q15" s="88" t="e">
        <f t="shared" si="10"/>
        <v>#VALUE!</v>
      </c>
      <c r="R15" s="17">
        <v>0</v>
      </c>
      <c r="S15" s="146" t="e">
        <f t="shared" si="12"/>
        <v>#VALUE!</v>
      </c>
      <c r="T15" s="58" t="e">
        <f t="shared" si="11"/>
        <v>#VALUE!</v>
      </c>
    </row>
    <row r="16" spans="2:23" ht="15" customHeight="1">
      <c r="B16" s="16" t="s">
        <v>28</v>
      </c>
      <c r="C16" s="83" t="s">
        <v>17</v>
      </c>
      <c r="D16" s="83" t="s">
        <v>52</v>
      </c>
      <c r="E16" s="83" t="s">
        <v>17</v>
      </c>
      <c r="F16" s="144" t="str">
        <f t="shared" si="0"/>
        <v>?</v>
      </c>
      <c r="G16" s="58" t="str">
        <f t="shared" si="1"/>
        <v>?</v>
      </c>
      <c r="H16" s="58" t="str">
        <f t="shared" si="2"/>
        <v>?</v>
      </c>
      <c r="I16" s="58" t="str">
        <f t="shared" si="3"/>
        <v>?</v>
      </c>
      <c r="J16" s="85" t="str">
        <f t="shared" si="4"/>
        <v>?</v>
      </c>
      <c r="K16" s="88"/>
      <c r="L16" s="88"/>
      <c r="M16" s="88">
        <f t="shared" si="9"/>
        <v>0</v>
      </c>
      <c r="N16" s="88" t="str">
        <f t="shared" si="5"/>
        <v>?</v>
      </c>
      <c r="O16" s="89" t="e">
        <f t="shared" si="6"/>
        <v>#VALUE!</v>
      </c>
      <c r="P16" s="89" t="e">
        <f t="shared" si="7"/>
        <v>#VALUE!</v>
      </c>
      <c r="Q16" s="88" t="e">
        <f t="shared" si="10"/>
        <v>#VALUE!</v>
      </c>
      <c r="R16" s="17">
        <v>0</v>
      </c>
      <c r="S16" s="146" t="e">
        <f t="shared" si="12"/>
        <v>#VALUE!</v>
      </c>
      <c r="T16" s="58" t="e">
        <f t="shared" si="11"/>
        <v>#VALUE!</v>
      </c>
    </row>
    <row r="17" spans="2:20" ht="18.75" customHeight="1">
      <c r="B17" s="16" t="s">
        <v>62</v>
      </c>
      <c r="C17" s="83" t="s">
        <v>10</v>
      </c>
      <c r="D17" s="86" t="s">
        <v>61</v>
      </c>
      <c r="E17" s="86" t="s">
        <v>61</v>
      </c>
      <c r="F17" s="144">
        <f t="shared" si="0"/>
        <v>0</v>
      </c>
      <c r="G17" s="58">
        <f t="shared" si="1"/>
        <v>0</v>
      </c>
      <c r="H17" s="58">
        <f t="shared" si="2"/>
        <v>0</v>
      </c>
      <c r="I17" s="58">
        <f t="shared" si="3"/>
        <v>0</v>
      </c>
      <c r="J17" s="85">
        <f t="shared" si="4"/>
        <v>0</v>
      </c>
      <c r="K17" s="88"/>
      <c r="L17" s="88"/>
      <c r="M17" s="88"/>
      <c r="N17" s="88">
        <f t="shared" si="5"/>
        <v>0</v>
      </c>
      <c r="O17" s="89">
        <f t="shared" si="6"/>
        <v>0</v>
      </c>
      <c r="P17" s="89">
        <f t="shared" si="7"/>
        <v>0</v>
      </c>
      <c r="Q17" s="88">
        <f t="shared" si="10"/>
        <v>0</v>
      </c>
      <c r="R17" s="17">
        <v>0</v>
      </c>
      <c r="S17" s="151"/>
      <c r="T17" s="58" t="e">
        <f t="shared" si="11"/>
        <v>#DIV/0!</v>
      </c>
    </row>
    <row r="18" spans="2:20" ht="15" customHeight="1">
      <c r="B18" s="11" t="s">
        <v>9</v>
      </c>
      <c r="C18" s="83" t="s">
        <v>10</v>
      </c>
      <c r="D18" s="83" t="s">
        <v>11</v>
      </c>
      <c r="E18" s="7" t="s">
        <v>10</v>
      </c>
      <c r="F18" s="144" t="str">
        <f t="shared" si="0"/>
        <v>?</v>
      </c>
      <c r="G18" s="58" t="str">
        <f t="shared" si="1"/>
        <v>?</v>
      </c>
      <c r="H18" s="58" t="str">
        <f t="shared" si="2"/>
        <v>?</v>
      </c>
      <c r="I18" s="58" t="str">
        <f t="shared" si="3"/>
        <v>?</v>
      </c>
      <c r="J18" s="110" t="str">
        <f t="shared" si="4"/>
        <v>?</v>
      </c>
      <c r="K18" s="88">
        <v>15445</v>
      </c>
      <c r="L18" s="88">
        <v>720</v>
      </c>
      <c r="M18" s="109">
        <f t="shared" si="9"/>
        <v>16165</v>
      </c>
      <c r="N18" s="88" t="str">
        <f t="shared" si="5"/>
        <v>?</v>
      </c>
      <c r="O18" s="89" t="e">
        <f>IF(M18&gt;J18,K18*H18,K18*G18)</f>
        <v>#VALUE!</v>
      </c>
      <c r="P18" s="89" t="e">
        <f t="shared" si="7"/>
        <v>#VALUE!</v>
      </c>
      <c r="Q18" s="109" t="e">
        <f t="shared" si="10"/>
        <v>#VALUE!</v>
      </c>
      <c r="R18" s="17" t="e">
        <f>#REF!</f>
        <v>#REF!</v>
      </c>
      <c r="S18" s="146" t="e">
        <f>Q18-R18</f>
        <v>#VALUE!</v>
      </c>
      <c r="T18" s="58" t="e">
        <f t="shared" si="11"/>
        <v>#VALUE!</v>
      </c>
    </row>
    <row r="19" spans="2:20" ht="15" customHeight="1">
      <c r="B19" s="11" t="s">
        <v>13</v>
      </c>
      <c r="C19" s="83" t="s">
        <v>10</v>
      </c>
      <c r="D19" s="83" t="s">
        <v>14</v>
      </c>
      <c r="E19" s="7" t="s">
        <v>10</v>
      </c>
      <c r="F19" s="144" t="str">
        <f t="shared" si="0"/>
        <v>?</v>
      </c>
      <c r="G19" s="58" t="str">
        <f t="shared" si="1"/>
        <v>?</v>
      </c>
      <c r="H19" s="58" t="str">
        <f t="shared" si="2"/>
        <v>?</v>
      </c>
      <c r="I19" s="58" t="str">
        <f t="shared" si="3"/>
        <v>?</v>
      </c>
      <c r="J19" s="110" t="str">
        <f t="shared" si="4"/>
        <v>?</v>
      </c>
      <c r="K19" s="88">
        <v>13652</v>
      </c>
      <c r="L19" s="88">
        <v>570</v>
      </c>
      <c r="M19" s="109">
        <f t="shared" si="9"/>
        <v>14222</v>
      </c>
      <c r="N19" s="88" t="str">
        <f t="shared" si="5"/>
        <v>?</v>
      </c>
      <c r="O19" s="89" t="e">
        <f>IF(M19&gt;J19,K19*H19,K19*G19)</f>
        <v>#VALUE!</v>
      </c>
      <c r="P19" s="89" t="e">
        <f t="shared" si="7"/>
        <v>#VALUE!</v>
      </c>
      <c r="Q19" s="109" t="e">
        <f t="shared" si="10"/>
        <v>#VALUE!</v>
      </c>
      <c r="R19" s="17" t="e">
        <f>#REF!</f>
        <v>#REF!</v>
      </c>
      <c r="S19" s="146" t="e">
        <f t="shared" ref="S19:S27" si="13">Q19-R19</f>
        <v>#VALUE!</v>
      </c>
      <c r="T19" s="58" t="e">
        <f t="shared" si="11"/>
        <v>#VALUE!</v>
      </c>
    </row>
    <row r="20" spans="2:20" ht="15" customHeight="1">
      <c r="B20" s="16" t="s">
        <v>15</v>
      </c>
      <c r="C20" s="83" t="s">
        <v>10</v>
      </c>
      <c r="D20" s="83" t="s">
        <v>14</v>
      </c>
      <c r="E20" s="83" t="s">
        <v>10</v>
      </c>
      <c r="F20" s="144" t="str">
        <f t="shared" si="0"/>
        <v>?</v>
      </c>
      <c r="G20" s="58" t="str">
        <f t="shared" si="1"/>
        <v>?</v>
      </c>
      <c r="H20" s="58" t="str">
        <f t="shared" si="2"/>
        <v>?</v>
      </c>
      <c r="I20" s="58" t="str">
        <f t="shared" si="3"/>
        <v>?</v>
      </c>
      <c r="J20" s="85" t="str">
        <f t="shared" si="4"/>
        <v>?</v>
      </c>
      <c r="K20" s="88"/>
      <c r="L20" s="88"/>
      <c r="M20" s="88">
        <f t="shared" si="9"/>
        <v>0</v>
      </c>
      <c r="N20" s="88" t="str">
        <f t="shared" si="5"/>
        <v>?</v>
      </c>
      <c r="O20" s="89" t="e">
        <f t="shared" ref="O20:O29" si="14">IF(M20&gt;J20,M20*H20,M20*G20)</f>
        <v>#VALUE!</v>
      </c>
      <c r="P20" s="89" t="e">
        <f t="shared" si="7"/>
        <v>#VALUE!</v>
      </c>
      <c r="Q20" s="88" t="e">
        <f t="shared" si="10"/>
        <v>#VALUE!</v>
      </c>
      <c r="R20" s="17" t="e">
        <f>#REF!</f>
        <v>#REF!</v>
      </c>
      <c r="S20" s="146" t="e">
        <f t="shared" si="13"/>
        <v>#VALUE!</v>
      </c>
      <c r="T20" s="58" t="e">
        <f t="shared" si="11"/>
        <v>#VALUE!</v>
      </c>
    </row>
    <row r="21" spans="2:20" ht="15" customHeight="1">
      <c r="B21" s="16" t="s">
        <v>63</v>
      </c>
      <c r="C21" s="83" t="s">
        <v>10</v>
      </c>
      <c r="D21" s="86" t="s">
        <v>61</v>
      </c>
      <c r="E21" s="86" t="s">
        <v>61</v>
      </c>
      <c r="F21" s="144">
        <f t="shared" si="0"/>
        <v>0</v>
      </c>
      <c r="G21" s="58">
        <f t="shared" si="1"/>
        <v>0</v>
      </c>
      <c r="H21" s="58">
        <f t="shared" si="2"/>
        <v>0</v>
      </c>
      <c r="I21" s="58">
        <f t="shared" si="3"/>
        <v>0</v>
      </c>
      <c r="J21" s="85">
        <f t="shared" si="4"/>
        <v>0</v>
      </c>
      <c r="K21" s="88"/>
      <c r="L21" s="88"/>
      <c r="M21" s="88"/>
      <c r="N21" s="88">
        <f t="shared" si="5"/>
        <v>0</v>
      </c>
      <c r="O21" s="89">
        <f t="shared" si="14"/>
        <v>0</v>
      </c>
      <c r="P21" s="89">
        <f t="shared" si="7"/>
        <v>0</v>
      </c>
      <c r="Q21" s="88">
        <f t="shared" si="10"/>
        <v>0</v>
      </c>
      <c r="R21" s="17" t="e">
        <f>#REF!</f>
        <v>#REF!</v>
      </c>
      <c r="S21" s="146" t="e">
        <f t="shared" si="13"/>
        <v>#REF!</v>
      </c>
      <c r="T21" s="58" t="e">
        <f t="shared" si="11"/>
        <v>#DIV/0!</v>
      </c>
    </row>
    <row r="22" spans="2:20" ht="15" customHeight="1">
      <c r="B22" s="16" t="s">
        <v>33</v>
      </c>
      <c r="C22" s="83" t="s">
        <v>17</v>
      </c>
      <c r="D22" s="86" t="s">
        <v>11</v>
      </c>
      <c r="E22" s="86" t="s">
        <v>34</v>
      </c>
      <c r="F22" s="144" t="str">
        <f t="shared" si="0"/>
        <v>?</v>
      </c>
      <c r="G22" s="58" t="str">
        <f t="shared" si="1"/>
        <v>?</v>
      </c>
      <c r="H22" s="58" t="str">
        <f t="shared" si="2"/>
        <v>?</v>
      </c>
      <c r="I22" s="58" t="str">
        <f t="shared" si="3"/>
        <v>?</v>
      </c>
      <c r="J22" s="85" t="str">
        <f t="shared" si="4"/>
        <v>?</v>
      </c>
      <c r="K22" s="88"/>
      <c r="L22" s="88"/>
      <c r="M22" s="88">
        <f t="shared" si="9"/>
        <v>0</v>
      </c>
      <c r="N22" s="88" t="str">
        <f t="shared" si="5"/>
        <v>?</v>
      </c>
      <c r="O22" s="89" t="e">
        <f t="shared" si="14"/>
        <v>#VALUE!</v>
      </c>
      <c r="P22" s="89" t="e">
        <f t="shared" si="7"/>
        <v>#VALUE!</v>
      </c>
      <c r="Q22" s="145" t="e">
        <f t="shared" si="10"/>
        <v>#VALUE!</v>
      </c>
      <c r="R22" s="17" t="e">
        <f>#REF!</f>
        <v>#REF!</v>
      </c>
      <c r="S22" s="98" t="e">
        <f t="shared" si="13"/>
        <v>#VALUE!</v>
      </c>
      <c r="T22" s="58" t="e">
        <f t="shared" si="11"/>
        <v>#VALUE!</v>
      </c>
    </row>
    <row r="23" spans="2:20">
      <c r="B23" s="16" t="s">
        <v>65</v>
      </c>
      <c r="C23" s="83" t="s">
        <v>17</v>
      </c>
      <c r="D23" s="86" t="s">
        <v>61</v>
      </c>
      <c r="E23" s="86" t="s">
        <v>61</v>
      </c>
      <c r="F23" s="144">
        <f t="shared" si="0"/>
        <v>0</v>
      </c>
      <c r="G23" s="58">
        <f t="shared" si="1"/>
        <v>0</v>
      </c>
      <c r="H23" s="58">
        <f t="shared" si="2"/>
        <v>0</v>
      </c>
      <c r="I23" s="58">
        <f t="shared" si="3"/>
        <v>0</v>
      </c>
      <c r="J23" s="85">
        <f t="shared" si="4"/>
        <v>0</v>
      </c>
      <c r="K23" s="88"/>
      <c r="L23" s="88"/>
      <c r="M23" s="88"/>
      <c r="N23" s="88">
        <f t="shared" si="5"/>
        <v>0</v>
      </c>
      <c r="O23" s="89">
        <f t="shared" si="14"/>
        <v>0</v>
      </c>
      <c r="P23" s="89">
        <f t="shared" si="7"/>
        <v>0</v>
      </c>
      <c r="Q23" s="88">
        <f t="shared" ref="Q23:Q27" si="15">SUM(N23:P23)</f>
        <v>0</v>
      </c>
      <c r="R23" s="17" t="e">
        <f>#REF!</f>
        <v>#REF!</v>
      </c>
      <c r="S23" s="146" t="e">
        <f t="shared" si="13"/>
        <v>#REF!</v>
      </c>
      <c r="T23" s="58" t="e">
        <f t="shared" si="11"/>
        <v>#DIV/0!</v>
      </c>
    </row>
    <row r="24" spans="2:20">
      <c r="B24" s="84" t="s">
        <v>26</v>
      </c>
      <c r="C24" s="84" t="s">
        <v>17</v>
      </c>
      <c r="D24" s="94" t="s">
        <v>14</v>
      </c>
      <c r="E24" s="84" t="s">
        <v>17</v>
      </c>
      <c r="F24" s="144" t="str">
        <f t="shared" si="0"/>
        <v>?</v>
      </c>
      <c r="G24" s="58" t="str">
        <f t="shared" si="1"/>
        <v>?</v>
      </c>
      <c r="H24" s="58" t="str">
        <f t="shared" si="2"/>
        <v>?</v>
      </c>
      <c r="I24" s="58" t="str">
        <f t="shared" si="3"/>
        <v>?</v>
      </c>
      <c r="J24" s="85" t="str">
        <f t="shared" si="4"/>
        <v>?</v>
      </c>
      <c r="K24" s="88"/>
      <c r="L24" s="88"/>
      <c r="M24" s="88">
        <f t="shared" si="9"/>
        <v>0</v>
      </c>
      <c r="N24" s="88" t="str">
        <f t="shared" si="5"/>
        <v>?</v>
      </c>
      <c r="O24" s="89" t="e">
        <f t="shared" si="14"/>
        <v>#VALUE!</v>
      </c>
      <c r="P24" s="89" t="e">
        <f t="shared" si="7"/>
        <v>#VALUE!</v>
      </c>
      <c r="Q24" s="88" t="e">
        <f t="shared" si="15"/>
        <v>#VALUE!</v>
      </c>
      <c r="R24" s="17" t="e">
        <f>#REF!</f>
        <v>#REF!</v>
      </c>
      <c r="S24" s="146" t="e">
        <f t="shared" si="13"/>
        <v>#VALUE!</v>
      </c>
      <c r="T24" s="58" t="e">
        <f t="shared" si="11"/>
        <v>#VALUE!</v>
      </c>
    </row>
    <row r="25" spans="2:20">
      <c r="B25" s="84" t="s">
        <v>21</v>
      </c>
      <c r="C25" s="84" t="s">
        <v>17</v>
      </c>
      <c r="D25" s="94" t="s">
        <v>11</v>
      </c>
      <c r="E25" s="84" t="s">
        <v>17</v>
      </c>
      <c r="F25" s="144" t="str">
        <f t="shared" si="0"/>
        <v>?</v>
      </c>
      <c r="G25" s="58" t="str">
        <f t="shared" si="1"/>
        <v>?</v>
      </c>
      <c r="H25" s="58" t="str">
        <f t="shared" si="2"/>
        <v>?</v>
      </c>
      <c r="I25" s="58" t="str">
        <f t="shared" si="3"/>
        <v>?</v>
      </c>
      <c r="J25" s="85" t="str">
        <f t="shared" si="4"/>
        <v>?</v>
      </c>
      <c r="K25" s="88"/>
      <c r="L25" s="88"/>
      <c r="M25" s="88">
        <f t="shared" si="9"/>
        <v>0</v>
      </c>
      <c r="N25" s="88" t="str">
        <f t="shared" si="5"/>
        <v>?</v>
      </c>
      <c r="O25" s="89" t="e">
        <f t="shared" si="14"/>
        <v>#VALUE!</v>
      </c>
      <c r="P25" s="89" t="e">
        <f t="shared" si="7"/>
        <v>#VALUE!</v>
      </c>
      <c r="Q25" s="88" t="e">
        <f t="shared" si="15"/>
        <v>#VALUE!</v>
      </c>
      <c r="R25" s="17" t="e">
        <f>#REF!</f>
        <v>#REF!</v>
      </c>
      <c r="S25" s="146" t="e">
        <f t="shared" si="13"/>
        <v>#VALUE!</v>
      </c>
      <c r="T25" s="58" t="e">
        <f t="shared" si="11"/>
        <v>#VALUE!</v>
      </c>
    </row>
    <row r="26" spans="2:20">
      <c r="B26" s="84" t="s">
        <v>95</v>
      </c>
      <c r="C26" s="94" t="s">
        <v>17</v>
      </c>
      <c r="D26" s="94" t="s">
        <v>11</v>
      </c>
      <c r="E26" s="94" t="s">
        <v>17</v>
      </c>
      <c r="F26" s="144" t="str">
        <f t="shared" si="0"/>
        <v>?</v>
      </c>
      <c r="G26" s="58" t="str">
        <f t="shared" si="1"/>
        <v>?</v>
      </c>
      <c r="H26" s="58" t="str">
        <f t="shared" si="2"/>
        <v>?</v>
      </c>
      <c r="I26" s="58" t="str">
        <f t="shared" si="3"/>
        <v>?</v>
      </c>
      <c r="J26" s="85" t="str">
        <f t="shared" si="4"/>
        <v>?</v>
      </c>
      <c r="K26" s="88"/>
      <c r="L26" s="88"/>
      <c r="M26" s="88">
        <f t="shared" si="9"/>
        <v>0</v>
      </c>
      <c r="N26" s="88" t="str">
        <f t="shared" si="5"/>
        <v>?</v>
      </c>
      <c r="O26" s="89" t="e">
        <f t="shared" si="14"/>
        <v>#VALUE!</v>
      </c>
      <c r="P26" s="89" t="e">
        <f t="shared" si="7"/>
        <v>#VALUE!</v>
      </c>
      <c r="Q26" s="145" t="e">
        <f t="shared" si="15"/>
        <v>#VALUE!</v>
      </c>
      <c r="R26" s="17" t="e">
        <f>#REF!</f>
        <v>#REF!</v>
      </c>
      <c r="S26" s="98" t="e">
        <f t="shared" si="13"/>
        <v>#VALUE!</v>
      </c>
      <c r="T26" s="58" t="e">
        <f t="shared" si="11"/>
        <v>#VALUE!</v>
      </c>
    </row>
    <row r="27" spans="2:20">
      <c r="B27" s="84" t="s">
        <v>96</v>
      </c>
      <c r="C27" s="84" t="s">
        <v>10</v>
      </c>
      <c r="D27" s="94" t="s">
        <v>11</v>
      </c>
      <c r="E27" s="84" t="s">
        <v>10</v>
      </c>
      <c r="F27" s="144" t="str">
        <f t="shared" si="0"/>
        <v>?</v>
      </c>
      <c r="G27" s="58" t="str">
        <f t="shared" si="1"/>
        <v>?</v>
      </c>
      <c r="H27" s="58" t="str">
        <f t="shared" si="2"/>
        <v>?</v>
      </c>
      <c r="I27" s="58" t="str">
        <f t="shared" si="3"/>
        <v>?</v>
      </c>
      <c r="J27" s="110" t="str">
        <f t="shared" si="4"/>
        <v>?</v>
      </c>
      <c r="K27" s="88">
        <v>15040.459999999995</v>
      </c>
      <c r="L27" s="88">
        <v>0</v>
      </c>
      <c r="M27" s="109">
        <f t="shared" si="9"/>
        <v>15040.459999999995</v>
      </c>
      <c r="N27" s="88" t="str">
        <f t="shared" si="5"/>
        <v>?</v>
      </c>
      <c r="O27" s="89" t="e">
        <f t="shared" si="14"/>
        <v>#VALUE!</v>
      </c>
      <c r="P27" s="89" t="e">
        <f t="shared" si="7"/>
        <v>#VALUE!</v>
      </c>
      <c r="Q27" s="109" t="e">
        <f t="shared" si="15"/>
        <v>#VALUE!</v>
      </c>
      <c r="R27" s="17" t="e">
        <f>#REF!</f>
        <v>#REF!</v>
      </c>
      <c r="S27" s="146" t="e">
        <f t="shared" si="13"/>
        <v>#VALUE!</v>
      </c>
      <c r="T27" s="58" t="e">
        <f t="shared" si="11"/>
        <v>#VALUE!</v>
      </c>
    </row>
    <row r="28" spans="2:20">
      <c r="B28" s="84" t="s">
        <v>22</v>
      </c>
      <c r="C28" s="84" t="s">
        <v>17</v>
      </c>
      <c r="D28" s="94" t="s">
        <v>11</v>
      </c>
      <c r="E28" s="84" t="s">
        <v>17</v>
      </c>
      <c r="F28" s="144" t="str">
        <f t="shared" si="0"/>
        <v>?</v>
      </c>
      <c r="G28" s="58" t="str">
        <f t="shared" si="1"/>
        <v>?</v>
      </c>
      <c r="H28" s="58" t="str">
        <f t="shared" si="2"/>
        <v>?</v>
      </c>
      <c r="I28" s="58" t="str">
        <f t="shared" si="3"/>
        <v>?</v>
      </c>
      <c r="J28" s="85" t="str">
        <f t="shared" si="4"/>
        <v>?</v>
      </c>
      <c r="K28" s="88"/>
      <c r="L28" s="88"/>
      <c r="M28" s="88">
        <f t="shared" si="9"/>
        <v>0</v>
      </c>
      <c r="N28" s="88" t="str">
        <f t="shared" si="5"/>
        <v>?</v>
      </c>
      <c r="O28" s="89" t="e">
        <f t="shared" si="14"/>
        <v>#VALUE!</v>
      </c>
      <c r="P28" s="89" t="e">
        <f t="shared" si="7"/>
        <v>#VALUE!</v>
      </c>
      <c r="Q28" s="88" t="e">
        <f>SUM(N28:P28)</f>
        <v>#VALUE!</v>
      </c>
      <c r="R28" s="17" t="e">
        <f>#REF!</f>
        <v>#REF!</v>
      </c>
      <c r="S28" s="146" t="e">
        <f>Q28-R28</f>
        <v>#VALUE!</v>
      </c>
      <c r="T28" s="58" t="e">
        <f t="shared" si="11"/>
        <v>#VALUE!</v>
      </c>
    </row>
    <row r="29" spans="2:20">
      <c r="B29" s="16" t="s">
        <v>29</v>
      </c>
      <c r="C29" s="94" t="s">
        <v>17</v>
      </c>
      <c r="D29" s="83" t="s">
        <v>52</v>
      </c>
      <c r="E29" s="96" t="s">
        <v>17</v>
      </c>
      <c r="F29" s="144" t="str">
        <f t="shared" si="0"/>
        <v>?</v>
      </c>
      <c r="G29" s="58" t="str">
        <f t="shared" si="1"/>
        <v>?</v>
      </c>
      <c r="H29" s="58" t="str">
        <f t="shared" si="2"/>
        <v>?</v>
      </c>
      <c r="I29" s="58" t="str">
        <f t="shared" si="3"/>
        <v>?</v>
      </c>
      <c r="J29" s="85" t="str">
        <f t="shared" si="4"/>
        <v>?</v>
      </c>
      <c r="K29" s="88"/>
      <c r="L29" s="88"/>
      <c r="M29" s="88">
        <f t="shared" si="9"/>
        <v>0</v>
      </c>
      <c r="N29" s="88" t="str">
        <f t="shared" si="5"/>
        <v>?</v>
      </c>
      <c r="O29" s="89" t="e">
        <f t="shared" si="14"/>
        <v>#VALUE!</v>
      </c>
      <c r="P29" s="89" t="e">
        <f t="shared" si="7"/>
        <v>#VALUE!</v>
      </c>
      <c r="Q29" s="145" t="e">
        <f>SUM(N29:P29)</f>
        <v>#VALUE!</v>
      </c>
      <c r="R29" s="17" t="e">
        <f>#REF!</f>
        <v>#REF!</v>
      </c>
      <c r="S29" s="146" t="e">
        <f>Q29-R29</f>
        <v>#VALUE!</v>
      </c>
      <c r="T29" s="58" t="e">
        <f t="shared" si="11"/>
        <v>#VALUE!</v>
      </c>
    </row>
    <row r="30" spans="2:20" s="87" customFormat="1">
      <c r="B30" s="14"/>
      <c r="C30" s="10"/>
      <c r="D30" s="10"/>
      <c r="E30" s="6"/>
      <c r="F30" s="39"/>
      <c r="G30" s="10"/>
      <c r="H30" s="13"/>
      <c r="I30" s="44"/>
      <c r="K30" s="90"/>
      <c r="L30" s="90"/>
      <c r="M30" s="90"/>
      <c r="N30" s="91"/>
      <c r="O30" s="92"/>
      <c r="P30" s="93"/>
      <c r="Q30" s="93"/>
      <c r="S30" s="19"/>
    </row>
    <row r="31" spans="2:20" s="87" customFormat="1">
      <c r="B31" s="14"/>
      <c r="C31" s="10"/>
      <c r="D31" s="10"/>
      <c r="E31" s="6"/>
      <c r="F31" s="39"/>
      <c r="G31" s="10"/>
      <c r="H31" s="13"/>
      <c r="I31" s="44"/>
      <c r="K31" s="90"/>
      <c r="L31" s="90"/>
      <c r="M31" s="90"/>
      <c r="N31" s="91"/>
      <c r="O31" s="92"/>
      <c r="P31" s="93"/>
      <c r="Q31" s="93"/>
      <c r="S31" s="19"/>
    </row>
    <row r="34" spans="2:19" s="87" customFormat="1">
      <c r="B34" s="14"/>
      <c r="C34" s="10"/>
      <c r="D34" s="10"/>
      <c r="E34" s="6"/>
      <c r="F34" s="39"/>
      <c r="G34" s="10"/>
      <c r="H34" s="13"/>
      <c r="I34" s="44"/>
      <c r="K34" s="90"/>
      <c r="L34" s="90"/>
      <c r="M34" s="90"/>
      <c r="N34" s="91"/>
      <c r="O34" s="92"/>
      <c r="P34" s="93"/>
      <c r="Q34" s="93">
        <f>5000/12</f>
        <v>416.66666666666669</v>
      </c>
      <c r="S34" s="19"/>
    </row>
    <row r="40" spans="2:19" s="87" customFormat="1">
      <c r="B40" s="14"/>
      <c r="C40" s="10"/>
      <c r="D40" s="10" t="s">
        <v>37</v>
      </c>
      <c r="E40" s="6"/>
      <c r="F40" s="39"/>
      <c r="G40" s="10"/>
      <c r="H40" s="13"/>
      <c r="I40" s="44"/>
      <c r="K40" s="90"/>
      <c r="L40" s="90"/>
      <c r="M40" s="90"/>
      <c r="N40" s="91"/>
      <c r="O40" s="92"/>
      <c r="P40" s="93"/>
      <c r="Q40" s="93"/>
      <c r="S40" s="19"/>
    </row>
    <row r="43" spans="2:19" s="87" customFormat="1">
      <c r="B43" s="156" t="s">
        <v>38</v>
      </c>
      <c r="C43" s="156"/>
      <c r="D43" s="156"/>
      <c r="E43" s="165"/>
      <c r="F43" s="39"/>
      <c r="G43" s="10"/>
      <c r="H43" s="13"/>
      <c r="I43" s="44"/>
      <c r="K43" s="90"/>
      <c r="L43" s="90"/>
      <c r="M43" s="90"/>
      <c r="N43" s="91"/>
      <c r="O43" s="92"/>
      <c r="P43" s="93"/>
      <c r="Q43" s="93"/>
      <c r="S43" s="19"/>
    </row>
    <row r="44" spans="2:19" s="87" customFormat="1" ht="25.5">
      <c r="B44" s="147" t="s">
        <v>39</v>
      </c>
      <c r="C44" s="147"/>
      <c r="D44" s="157" t="s">
        <v>40</v>
      </c>
      <c r="E44" s="166"/>
      <c r="F44" s="39"/>
      <c r="G44" s="10"/>
      <c r="H44" s="13"/>
      <c r="I44" s="44"/>
      <c r="K44" s="90"/>
      <c r="L44" s="90"/>
      <c r="M44" s="90"/>
      <c r="N44" s="91"/>
      <c r="O44" s="92"/>
      <c r="P44" s="93"/>
      <c r="Q44" s="93"/>
      <c r="S44" s="19"/>
    </row>
    <row r="45" spans="2:19" s="87" customFormat="1">
      <c r="B45" s="146" t="s">
        <v>41</v>
      </c>
      <c r="C45" s="146"/>
      <c r="D45" s="153" t="s">
        <v>42</v>
      </c>
      <c r="E45" s="164"/>
      <c r="F45" s="39"/>
      <c r="G45" s="10"/>
      <c r="H45" s="13"/>
      <c r="I45" s="44"/>
      <c r="K45" s="90"/>
      <c r="L45" s="90"/>
      <c r="M45" s="90"/>
      <c r="N45" s="91"/>
      <c r="O45" s="92"/>
      <c r="P45" s="93"/>
      <c r="Q45" s="93"/>
      <c r="S45" s="19"/>
    </row>
  </sheetData>
  <autoFilter ref="B2:E29" xr:uid="{00000000-0009-0000-0000-000004000000}"/>
  <mergeCells count="6">
    <mergeCell ref="D45:E45"/>
    <mergeCell ref="F1:J1"/>
    <mergeCell ref="K1:M1"/>
    <mergeCell ref="N1:Q1"/>
    <mergeCell ref="B43:E43"/>
    <mergeCell ref="D44:E44"/>
  </mergeCells>
  <conditionalFormatting sqref="B18:B19">
    <cfRule type="duplicateValues" dxfId="83" priority="9"/>
  </conditionalFormatting>
  <conditionalFormatting sqref="R1:S1048576">
    <cfRule type="cellIs" dxfId="82" priority="8" operator="equal">
      <formula>0</formula>
    </cfRule>
  </conditionalFormatting>
  <conditionalFormatting sqref="B20:B23 B12:B17 B2:B10">
    <cfRule type="duplicateValues" dxfId="81" priority="10"/>
  </conditionalFormatting>
  <conditionalFormatting sqref="B20:B23 B12:B17 B3:B10">
    <cfRule type="duplicateValues" dxfId="80" priority="11"/>
  </conditionalFormatting>
  <conditionalFormatting sqref="C24:C26 C28">
    <cfRule type="containsText" dxfId="79" priority="7" operator="containsText" text="nã">
      <formula>NOT(ISERROR(SEARCH("nã",C24)))</formula>
    </cfRule>
  </conditionalFormatting>
  <conditionalFormatting sqref="C27">
    <cfRule type="containsText" dxfId="78" priority="6" operator="containsText" text="nã">
      <formula>NOT(ISERROR(SEARCH("nã",C27)))</formula>
    </cfRule>
  </conditionalFormatting>
  <conditionalFormatting sqref="D24:D26 D28">
    <cfRule type="containsText" dxfId="77" priority="5" operator="containsText" text="nã">
      <formula>NOT(ISERROR(SEARCH("nã",D24)))</formula>
    </cfRule>
  </conditionalFormatting>
  <conditionalFormatting sqref="D27">
    <cfRule type="containsText" dxfId="76" priority="4" operator="containsText" text="nã">
      <formula>NOT(ISERROR(SEARCH("nã",D27)))</formula>
    </cfRule>
  </conditionalFormatting>
  <conditionalFormatting sqref="E24:E26 E28">
    <cfRule type="containsText" dxfId="75" priority="3" operator="containsText" text="nã">
      <formula>NOT(ISERROR(SEARCH("nã",E24)))</formula>
    </cfRule>
  </conditionalFormatting>
  <conditionalFormatting sqref="E27">
    <cfRule type="containsText" dxfId="74" priority="2" operator="containsText" text="nã">
      <formula>NOT(ISERROR(SEARCH("nã",E27)))</formula>
    </cfRule>
  </conditionalFormatting>
  <conditionalFormatting sqref="C29">
    <cfRule type="containsText" dxfId="73" priority="1" operator="containsText" text="nã">
      <formula>NOT(ISERROR(SEARCH("nã",C29)))</formula>
    </cfRule>
  </conditionalFormatting>
  <pageMargins left="0.511811024" right="0.511811024" top="0.78740157499999996" bottom="0.78740157499999996" header="0.31496062000000002" footer="0.31496062000000002"/>
  <pageSetup paperSize="9" scale="61" orientation="landscape" r:id="rId1"/>
  <ignoredErrors>
    <ignoredError sqref="O1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F220-B4C0-4B90-886F-AEF09BEF8E8A}">
  <sheetPr filterMode="1">
    <pageSetUpPr fitToPage="1"/>
  </sheetPr>
  <dimension ref="B1:X45"/>
  <sheetViews>
    <sheetView showGridLines="0" zoomScale="80" zoomScaleNormal="80" workbookViewId="0">
      <pane xSplit="1" ySplit="2" topLeftCell="B3" activePane="bottomRight" state="frozen"/>
      <selection pane="bottomRight" activeCell="R34" sqref="R34:R46"/>
      <selection pane="bottomLeft" activeCell="A4" sqref="A4"/>
      <selection pane="topRight" activeCell="B1" sqref="B1"/>
    </sheetView>
  </sheetViews>
  <sheetFormatPr defaultRowHeight="12.75"/>
  <cols>
    <col min="1" max="1" width="2.85546875" style="5" customWidth="1"/>
    <col min="2" max="2" width="15.28515625" style="14" customWidth="1"/>
    <col min="3" max="3" width="13.5703125" style="10" hidden="1" customWidth="1"/>
    <col min="4" max="4" width="13.85546875" style="10" customWidth="1"/>
    <col min="5" max="5" width="12.140625" style="6" hidden="1" customWidth="1"/>
    <col min="6" max="6" width="6.42578125" style="39" customWidth="1"/>
    <col min="7" max="7" width="7.85546875" style="10" bestFit="1" customWidth="1"/>
    <col min="8" max="8" width="7.85546875" style="13" bestFit="1" customWidth="1"/>
    <col min="9" max="9" width="9.5703125" style="44" bestFit="1" customWidth="1"/>
    <col min="10" max="10" width="7.140625" style="87" bestFit="1" customWidth="1"/>
    <col min="11" max="11" width="12.28515625" style="90" hidden="1" customWidth="1"/>
    <col min="12" max="12" width="9.85546875" style="90" bestFit="1" customWidth="1"/>
    <col min="13" max="13" width="9.5703125" style="90" bestFit="1" customWidth="1"/>
    <col min="14" max="14" width="9.85546875" style="90" bestFit="1" customWidth="1"/>
    <col min="15" max="15" width="7.140625" style="91" bestFit="1" customWidth="1"/>
    <col min="16" max="16" width="9.5703125" style="92" customWidth="1"/>
    <col min="17" max="17" width="9.42578125" style="93" customWidth="1"/>
    <col min="18" max="18" width="22.140625" style="93" bestFit="1" customWidth="1"/>
    <col min="19" max="19" width="12.28515625" style="87" hidden="1" customWidth="1"/>
    <col min="20" max="20" width="9.5703125" style="19" hidden="1" customWidth="1"/>
    <col min="21" max="21" width="12.28515625" style="5" bestFit="1" customWidth="1"/>
    <col min="22" max="22" width="9.140625" style="5"/>
    <col min="23" max="23" width="13.42578125" style="5" bestFit="1" customWidth="1"/>
    <col min="24" max="16384" width="9.140625" style="5"/>
  </cols>
  <sheetData>
    <row r="1" spans="2:24" ht="38.25" customHeight="1">
      <c r="E1" s="5"/>
      <c r="F1" s="154" t="s">
        <v>86</v>
      </c>
      <c r="G1" s="154"/>
      <c r="H1" s="154"/>
      <c r="I1" s="154"/>
      <c r="J1" s="154"/>
      <c r="K1" s="145" t="s">
        <v>97</v>
      </c>
      <c r="L1" s="155" t="s">
        <v>108</v>
      </c>
      <c r="M1" s="155"/>
      <c r="N1" s="155"/>
      <c r="O1" s="155" t="s">
        <v>88</v>
      </c>
      <c r="P1" s="155"/>
      <c r="Q1" s="155"/>
      <c r="R1" s="155"/>
      <c r="S1" s="42"/>
      <c r="T1" s="44"/>
    </row>
    <row r="2" spans="2:24" ht="26.1" customHeight="1">
      <c r="B2" s="15" t="s">
        <v>0</v>
      </c>
      <c r="C2" s="8" t="s">
        <v>1</v>
      </c>
      <c r="D2" s="8" t="s">
        <v>2</v>
      </c>
      <c r="E2" s="107" t="s">
        <v>3</v>
      </c>
      <c r="F2" s="48" t="s">
        <v>4</v>
      </c>
      <c r="G2" s="61" t="s">
        <v>5</v>
      </c>
      <c r="H2" s="61" t="s">
        <v>6</v>
      </c>
      <c r="I2" s="57" t="s">
        <v>7</v>
      </c>
      <c r="J2" s="150" t="s">
        <v>8</v>
      </c>
      <c r="K2" s="145" t="s">
        <v>99</v>
      </c>
      <c r="L2" s="152" t="s">
        <v>89</v>
      </c>
      <c r="M2" s="152" t="s">
        <v>7</v>
      </c>
      <c r="N2" s="108" t="s">
        <v>90</v>
      </c>
      <c r="O2" s="99" t="s">
        <v>4</v>
      </c>
      <c r="P2" s="99" t="s">
        <v>107</v>
      </c>
      <c r="Q2" s="99" t="s">
        <v>7</v>
      </c>
      <c r="R2" s="108" t="s">
        <v>91</v>
      </c>
      <c r="S2" s="144" t="s">
        <v>92</v>
      </c>
      <c r="T2" s="146" t="s">
        <v>93</v>
      </c>
      <c r="U2" s="57" t="s">
        <v>94</v>
      </c>
      <c r="V2" s="5" t="s">
        <v>109</v>
      </c>
    </row>
    <row r="3" spans="2:24" ht="15" hidden="1" customHeight="1">
      <c r="B3" s="16" t="s">
        <v>27</v>
      </c>
      <c r="C3" s="83" t="s">
        <v>17</v>
      </c>
      <c r="D3" s="83" t="s">
        <v>52</v>
      </c>
      <c r="E3" s="83" t="s">
        <v>17</v>
      </c>
      <c r="F3" s="144" t="str">
        <f t="shared" ref="F3:F29" si="0">IFERROR(VLOOKUP($B3,regra,9,0),"?")</f>
        <v>?</v>
      </c>
      <c r="G3" s="58" t="str">
        <f t="shared" ref="G3:G29" si="1">IFERROR(VLOOKUP($B3,regra,6,0),"?")</f>
        <v>?</v>
      </c>
      <c r="H3" s="58" t="str">
        <f t="shared" ref="H3:H29" si="2">IFERROR(VLOOKUP($B3,regra,7,0),"?")</f>
        <v>?</v>
      </c>
      <c r="I3" s="58" t="str">
        <f t="shared" ref="I3:I29" si="3">IFERROR(VLOOKUP($B3,regra,8,0),"?")</f>
        <v>?</v>
      </c>
      <c r="J3" s="85" t="str">
        <f t="shared" ref="J3:J29" si="4">IFERROR(VLOOKUP($B3,regra,5,0),"?")</f>
        <v>?</v>
      </c>
      <c r="K3" s="152" t="str">
        <f t="shared" ref="K3:K29" si="5">IFERROR(VLOOKUP(B3,CAP,9,0),"?")</f>
        <v>?</v>
      </c>
      <c r="L3" s="88">
        <v>11528.510000000046</v>
      </c>
      <c r="M3" s="88">
        <v>640</v>
      </c>
      <c r="N3" s="88">
        <f>M3+L3</f>
        <v>12168.510000000046</v>
      </c>
      <c r="O3" s="88" t="str">
        <f>F3</f>
        <v>?</v>
      </c>
      <c r="P3" s="89" t="e">
        <f t="shared" ref="P3:P26" si="6">IF(N3&gt;J3,L3*H3,L3*G3)</f>
        <v>#VALUE!</v>
      </c>
      <c r="Q3" s="89" t="e">
        <f t="shared" ref="Q3" si="7">M3*I3</f>
        <v>#VALUE!</v>
      </c>
      <c r="R3" s="88" t="e">
        <f>SUM(O3:Q3)</f>
        <v>#VALUE!</v>
      </c>
      <c r="S3" s="17">
        <v>0</v>
      </c>
      <c r="T3" s="146" t="e">
        <f t="shared" ref="T3:T8" si="8">R3-S3</f>
        <v>#VALUE!</v>
      </c>
      <c r="U3" s="58" t="str">
        <f>IFERROR(R3/N3,"")</f>
        <v/>
      </c>
      <c r="V3" s="5" t="str">
        <f>IF(N3&gt;J3,"meta","fora")</f>
        <v>fora</v>
      </c>
      <c r="W3" s="21"/>
      <c r="X3" s="22"/>
    </row>
    <row r="4" spans="2:24" ht="15" customHeight="1">
      <c r="B4" s="16" t="s">
        <v>30</v>
      </c>
      <c r="C4" s="83" t="s">
        <v>17</v>
      </c>
      <c r="D4" s="83" t="s">
        <v>52</v>
      </c>
      <c r="E4" s="83" t="s">
        <v>31</v>
      </c>
      <c r="F4" s="144" t="str">
        <f t="shared" si="0"/>
        <v>?</v>
      </c>
      <c r="G4" s="58" t="str">
        <f t="shared" si="1"/>
        <v>?</v>
      </c>
      <c r="H4" s="58" t="str">
        <f t="shared" si="2"/>
        <v>?</v>
      </c>
      <c r="I4" s="58" t="str">
        <f t="shared" si="3"/>
        <v>?</v>
      </c>
      <c r="J4" s="85" t="str">
        <f t="shared" si="4"/>
        <v>?</v>
      </c>
      <c r="K4" s="152" t="str">
        <f t="shared" si="5"/>
        <v>?</v>
      </c>
      <c r="L4" s="88">
        <v>3345.5699999999997</v>
      </c>
      <c r="M4" s="88">
        <v>290</v>
      </c>
      <c r="N4" s="88">
        <f t="shared" ref="N4:N29" si="9">M4+L4</f>
        <v>3635.5699999999997</v>
      </c>
      <c r="O4" s="88" t="str">
        <f t="shared" ref="O4:O29" si="10">F4</f>
        <v>?</v>
      </c>
      <c r="P4" s="89" t="e">
        <f t="shared" si="6"/>
        <v>#VALUE!</v>
      </c>
      <c r="Q4" s="89" t="e">
        <f t="shared" ref="Q4:Q28" si="11">M4*I4</f>
        <v>#VALUE!</v>
      </c>
      <c r="R4" s="88" t="e">
        <f t="shared" ref="R4:R29" si="12">SUM(O4:Q4)</f>
        <v>#VALUE!</v>
      </c>
      <c r="S4" s="17">
        <v>0</v>
      </c>
      <c r="T4" s="146" t="e">
        <f t="shared" si="8"/>
        <v>#VALUE!</v>
      </c>
      <c r="U4" s="58" t="str">
        <f t="shared" ref="U4:U32" si="13">IFERROR(R4/N4,"")</f>
        <v/>
      </c>
      <c r="V4" s="5" t="str">
        <f t="shared" ref="V4:V29" si="14">IF(N4&gt;J4,"meta","fora")</f>
        <v>fora</v>
      </c>
    </row>
    <row r="5" spans="2:24" ht="15" hidden="1" customHeight="1">
      <c r="B5" s="16" t="s">
        <v>32</v>
      </c>
      <c r="C5" s="83" t="s">
        <v>17</v>
      </c>
      <c r="D5" s="83" t="s">
        <v>52</v>
      </c>
      <c r="E5" s="83" t="s">
        <v>31</v>
      </c>
      <c r="F5" s="144" t="str">
        <f t="shared" si="0"/>
        <v>?</v>
      </c>
      <c r="G5" s="58" t="str">
        <f t="shared" si="1"/>
        <v>?</v>
      </c>
      <c r="H5" s="58" t="str">
        <f t="shared" si="2"/>
        <v>?</v>
      </c>
      <c r="I5" s="58" t="str">
        <f t="shared" si="3"/>
        <v>?</v>
      </c>
      <c r="J5" s="85" t="str">
        <f t="shared" si="4"/>
        <v>?</v>
      </c>
      <c r="K5" s="152" t="str">
        <f t="shared" si="5"/>
        <v>?</v>
      </c>
      <c r="L5" s="88">
        <v>5169.9500000000035</v>
      </c>
      <c r="M5" s="88">
        <v>490</v>
      </c>
      <c r="N5" s="88">
        <f t="shared" si="9"/>
        <v>5659.9500000000035</v>
      </c>
      <c r="O5" s="88" t="str">
        <f t="shared" si="10"/>
        <v>?</v>
      </c>
      <c r="P5" s="89" t="e">
        <f t="shared" si="6"/>
        <v>#VALUE!</v>
      </c>
      <c r="Q5" s="89" t="e">
        <f t="shared" si="11"/>
        <v>#VALUE!</v>
      </c>
      <c r="R5" s="88" t="e">
        <f t="shared" si="12"/>
        <v>#VALUE!</v>
      </c>
      <c r="S5" s="17">
        <v>0</v>
      </c>
      <c r="T5" s="146" t="e">
        <f t="shared" si="8"/>
        <v>#VALUE!</v>
      </c>
      <c r="U5" s="58" t="str">
        <f t="shared" si="13"/>
        <v/>
      </c>
      <c r="V5" s="5" t="str">
        <f t="shared" si="14"/>
        <v>fora</v>
      </c>
    </row>
    <row r="6" spans="2:24" ht="15" hidden="1" customHeight="1">
      <c r="B6" s="16" t="s">
        <v>23</v>
      </c>
      <c r="C6" s="83" t="s">
        <v>17</v>
      </c>
      <c r="D6" s="83" t="s">
        <v>14</v>
      </c>
      <c r="E6" s="83" t="s">
        <v>17</v>
      </c>
      <c r="F6" s="144" t="str">
        <f t="shared" si="0"/>
        <v>?</v>
      </c>
      <c r="G6" s="58" t="str">
        <f t="shared" si="1"/>
        <v>?</v>
      </c>
      <c r="H6" s="58" t="str">
        <f t="shared" si="2"/>
        <v>?</v>
      </c>
      <c r="I6" s="58" t="str">
        <f t="shared" si="3"/>
        <v>?</v>
      </c>
      <c r="J6" s="85" t="str">
        <f t="shared" si="4"/>
        <v>?</v>
      </c>
      <c r="K6" s="152" t="str">
        <f t="shared" si="5"/>
        <v>?</v>
      </c>
      <c r="L6" s="88">
        <v>3679.2700000000036</v>
      </c>
      <c r="M6" s="88">
        <v>2060</v>
      </c>
      <c r="N6" s="88">
        <f t="shared" si="9"/>
        <v>5739.2700000000041</v>
      </c>
      <c r="O6" s="88" t="str">
        <f t="shared" si="10"/>
        <v>?</v>
      </c>
      <c r="P6" s="89" t="e">
        <f t="shared" si="6"/>
        <v>#VALUE!</v>
      </c>
      <c r="Q6" s="89" t="e">
        <f t="shared" si="11"/>
        <v>#VALUE!</v>
      </c>
      <c r="R6" s="88" t="e">
        <f t="shared" si="12"/>
        <v>#VALUE!</v>
      </c>
      <c r="S6" s="17">
        <v>0</v>
      </c>
      <c r="T6" s="146" t="e">
        <f t="shared" si="8"/>
        <v>#VALUE!</v>
      </c>
      <c r="U6" s="58" t="str">
        <f t="shared" si="13"/>
        <v/>
      </c>
      <c r="V6" s="5" t="str">
        <f t="shared" si="14"/>
        <v>fora</v>
      </c>
    </row>
    <row r="7" spans="2:24" ht="15" hidden="1" customHeight="1">
      <c r="B7" s="16" t="s">
        <v>16</v>
      </c>
      <c r="C7" s="83" t="s">
        <v>17</v>
      </c>
      <c r="D7" s="83" t="s">
        <v>11</v>
      </c>
      <c r="E7" s="83" t="s">
        <v>17</v>
      </c>
      <c r="F7" s="144">
        <f t="shared" si="0"/>
        <v>600</v>
      </c>
      <c r="G7" s="58">
        <f t="shared" si="1"/>
        <v>0.12</v>
      </c>
      <c r="H7" s="58">
        <f t="shared" si="2"/>
        <v>0.14000000000000001</v>
      </c>
      <c r="I7" s="58">
        <f t="shared" si="3"/>
        <v>0.22</v>
      </c>
      <c r="J7" s="85">
        <f t="shared" si="4"/>
        <v>13000</v>
      </c>
      <c r="K7" s="152" t="str">
        <f t="shared" si="5"/>
        <v>?</v>
      </c>
      <c r="L7" s="88">
        <v>6162.5599999999959</v>
      </c>
      <c r="M7" s="88">
        <v>360</v>
      </c>
      <c r="N7" s="88">
        <f t="shared" si="9"/>
        <v>6522.5599999999959</v>
      </c>
      <c r="O7" s="88">
        <f t="shared" si="10"/>
        <v>600</v>
      </c>
      <c r="P7" s="89">
        <f t="shared" si="6"/>
        <v>739.50719999999944</v>
      </c>
      <c r="Q7" s="89">
        <f t="shared" si="11"/>
        <v>79.2</v>
      </c>
      <c r="R7" s="88">
        <f t="shared" si="12"/>
        <v>1418.7071999999996</v>
      </c>
      <c r="S7" s="17">
        <v>0</v>
      </c>
      <c r="T7" s="146">
        <f t="shared" si="8"/>
        <v>1418.7071999999996</v>
      </c>
      <c r="U7" s="58">
        <f t="shared" si="13"/>
        <v>0.21750772702742488</v>
      </c>
      <c r="V7" s="5" t="str">
        <f t="shared" si="14"/>
        <v>fora</v>
      </c>
    </row>
    <row r="8" spans="2:24" ht="15" hidden="1" customHeight="1">
      <c r="B8" s="16"/>
      <c r="C8" s="83" t="s">
        <v>17</v>
      </c>
      <c r="D8" s="83"/>
      <c r="E8" s="83" t="s">
        <v>17</v>
      </c>
      <c r="F8" s="144"/>
      <c r="G8" s="58"/>
      <c r="H8" s="58"/>
      <c r="I8" s="58"/>
      <c r="J8" s="85"/>
      <c r="K8" s="152" t="str">
        <f t="shared" si="5"/>
        <v>?</v>
      </c>
      <c r="L8" s="88"/>
      <c r="M8" s="88"/>
      <c r="N8" s="88"/>
      <c r="O8" s="88"/>
      <c r="P8" s="89"/>
      <c r="Q8" s="89"/>
      <c r="R8" s="88"/>
      <c r="S8" s="17">
        <v>0</v>
      </c>
      <c r="T8" s="146">
        <f t="shared" si="8"/>
        <v>0</v>
      </c>
      <c r="U8" s="58"/>
      <c r="V8" s="5" t="str">
        <f t="shared" si="14"/>
        <v>fora</v>
      </c>
    </row>
    <row r="9" spans="2:24" ht="15" hidden="1" customHeight="1">
      <c r="B9" s="16" t="s">
        <v>60</v>
      </c>
      <c r="C9" s="83" t="s">
        <v>17</v>
      </c>
      <c r="D9" s="86" t="s">
        <v>61</v>
      </c>
      <c r="E9" s="86" t="s">
        <v>61</v>
      </c>
      <c r="F9" s="144">
        <f t="shared" si="0"/>
        <v>0</v>
      </c>
      <c r="G9" s="58">
        <f t="shared" si="1"/>
        <v>0</v>
      </c>
      <c r="H9" s="58">
        <f t="shared" si="2"/>
        <v>0</v>
      </c>
      <c r="I9" s="58">
        <f t="shared" si="3"/>
        <v>0</v>
      </c>
      <c r="J9" s="85">
        <f t="shared" si="4"/>
        <v>0</v>
      </c>
      <c r="K9" s="152" t="str">
        <f t="shared" si="5"/>
        <v>?</v>
      </c>
      <c r="L9" s="88"/>
      <c r="M9" s="88"/>
      <c r="N9" s="88">
        <f t="shared" si="9"/>
        <v>0</v>
      </c>
      <c r="O9" s="88">
        <f t="shared" si="10"/>
        <v>0</v>
      </c>
      <c r="P9" s="89">
        <f t="shared" si="6"/>
        <v>0</v>
      </c>
      <c r="Q9" s="89">
        <f t="shared" si="11"/>
        <v>0</v>
      </c>
      <c r="R9" s="88">
        <f t="shared" si="12"/>
        <v>0</v>
      </c>
      <c r="S9" s="17">
        <v>0</v>
      </c>
      <c r="T9" s="151"/>
      <c r="U9" s="58" t="str">
        <f t="shared" si="13"/>
        <v/>
      </c>
      <c r="V9" s="5" t="str">
        <f t="shared" si="14"/>
        <v>fora</v>
      </c>
    </row>
    <row r="10" spans="2:24" ht="15" hidden="1" customHeight="1">
      <c r="B10" s="16" t="s">
        <v>35</v>
      </c>
      <c r="C10" s="83" t="s">
        <v>17</v>
      </c>
      <c r="D10" s="83" t="s">
        <v>52</v>
      </c>
      <c r="E10" s="83" t="s">
        <v>34</v>
      </c>
      <c r="F10" s="144" t="str">
        <f t="shared" si="0"/>
        <v>?</v>
      </c>
      <c r="G10" s="58" t="str">
        <f t="shared" si="1"/>
        <v>?</v>
      </c>
      <c r="H10" s="58" t="str">
        <f t="shared" si="2"/>
        <v>?</v>
      </c>
      <c r="I10" s="58" t="str">
        <f t="shared" si="3"/>
        <v>?</v>
      </c>
      <c r="J10" s="85">
        <v>13000</v>
      </c>
      <c r="K10" s="152" t="str">
        <f t="shared" si="5"/>
        <v>?</v>
      </c>
      <c r="L10" s="88">
        <v>7961.5600000000195</v>
      </c>
      <c r="M10" s="88">
        <v>650</v>
      </c>
      <c r="N10" s="88">
        <f t="shared" si="9"/>
        <v>8611.5600000000195</v>
      </c>
      <c r="O10" s="88" t="str">
        <f t="shared" si="10"/>
        <v>?</v>
      </c>
      <c r="P10" s="89" t="e">
        <f t="shared" si="6"/>
        <v>#VALUE!</v>
      </c>
      <c r="Q10" s="89" t="e">
        <f t="shared" si="11"/>
        <v>#VALUE!</v>
      </c>
      <c r="R10" s="88" t="e">
        <f t="shared" si="12"/>
        <v>#VALUE!</v>
      </c>
      <c r="S10" s="17">
        <v>0</v>
      </c>
      <c r="T10" s="146" t="e">
        <f t="shared" ref="T10:T16" si="15">R10-S10</f>
        <v>#VALUE!</v>
      </c>
      <c r="U10" s="58" t="str">
        <f t="shared" si="13"/>
        <v/>
      </c>
      <c r="V10" s="5" t="str">
        <f t="shared" si="14"/>
        <v>fora</v>
      </c>
    </row>
    <row r="11" spans="2:24" ht="15" hidden="1" customHeight="1">
      <c r="B11" s="25" t="s">
        <v>72</v>
      </c>
      <c r="C11" s="83" t="s">
        <v>17</v>
      </c>
      <c r="D11" s="83" t="s">
        <v>52</v>
      </c>
      <c r="E11" s="83" t="s">
        <v>34</v>
      </c>
      <c r="F11" s="144">
        <f t="shared" si="0"/>
        <v>600</v>
      </c>
      <c r="G11" s="58">
        <f t="shared" si="1"/>
        <v>0.2</v>
      </c>
      <c r="H11" s="58">
        <f t="shared" si="2"/>
        <v>0.22</v>
      </c>
      <c r="I11" s="58">
        <f t="shared" si="3"/>
        <v>0.25</v>
      </c>
      <c r="J11" s="85">
        <f t="shared" si="4"/>
        <v>13000</v>
      </c>
      <c r="K11" s="152" t="str">
        <f t="shared" si="5"/>
        <v>?</v>
      </c>
      <c r="L11" s="88">
        <v>10088.130000000005</v>
      </c>
      <c r="M11" s="88">
        <v>507.78</v>
      </c>
      <c r="N11" s="88">
        <f t="shared" si="9"/>
        <v>10595.910000000005</v>
      </c>
      <c r="O11" s="88">
        <f t="shared" si="10"/>
        <v>600</v>
      </c>
      <c r="P11" s="89">
        <f t="shared" si="6"/>
        <v>2017.6260000000011</v>
      </c>
      <c r="Q11" s="89">
        <f t="shared" si="11"/>
        <v>126.94499999999999</v>
      </c>
      <c r="R11" s="88">
        <f t="shared" si="12"/>
        <v>2744.5710000000013</v>
      </c>
      <c r="S11" s="17">
        <v>0</v>
      </c>
      <c r="T11" s="146">
        <f t="shared" si="15"/>
        <v>2744.5710000000013</v>
      </c>
      <c r="U11" s="58">
        <f t="shared" si="13"/>
        <v>0.25902173574520732</v>
      </c>
      <c r="V11" s="5" t="str">
        <f t="shared" si="14"/>
        <v>fora</v>
      </c>
    </row>
    <row r="12" spans="2:24" ht="15" hidden="1" customHeight="1">
      <c r="B12" s="16" t="s">
        <v>24</v>
      </c>
      <c r="C12" s="83" t="s">
        <v>17</v>
      </c>
      <c r="D12" s="83" t="s">
        <v>14</v>
      </c>
      <c r="E12" s="83" t="s">
        <v>17</v>
      </c>
      <c r="F12" s="144" t="str">
        <f t="shared" si="0"/>
        <v>?</v>
      </c>
      <c r="G12" s="58" t="str">
        <f t="shared" si="1"/>
        <v>?</v>
      </c>
      <c r="H12" s="58" t="str">
        <f t="shared" si="2"/>
        <v>?</v>
      </c>
      <c r="I12" s="58" t="str">
        <f t="shared" si="3"/>
        <v>?</v>
      </c>
      <c r="J12" s="85" t="str">
        <f t="shared" si="4"/>
        <v>?</v>
      </c>
      <c r="K12" s="152" t="str">
        <f t="shared" si="5"/>
        <v>?</v>
      </c>
      <c r="L12" s="88">
        <v>5910.5800000000036</v>
      </c>
      <c r="M12" s="88">
        <v>915</v>
      </c>
      <c r="N12" s="88">
        <f t="shared" si="9"/>
        <v>6825.5800000000036</v>
      </c>
      <c r="O12" s="88" t="str">
        <f t="shared" si="10"/>
        <v>?</v>
      </c>
      <c r="P12" s="89" t="e">
        <f t="shared" si="6"/>
        <v>#VALUE!</v>
      </c>
      <c r="Q12" s="89" t="e">
        <f t="shared" si="11"/>
        <v>#VALUE!</v>
      </c>
      <c r="R12" s="88" t="e">
        <f t="shared" si="12"/>
        <v>#VALUE!</v>
      </c>
      <c r="S12" s="17">
        <v>0</v>
      </c>
      <c r="T12" s="98" t="e">
        <f t="shared" si="15"/>
        <v>#VALUE!</v>
      </c>
      <c r="U12" s="58" t="str">
        <f t="shared" si="13"/>
        <v/>
      </c>
      <c r="V12" s="5" t="str">
        <f t="shared" si="14"/>
        <v>fora</v>
      </c>
    </row>
    <row r="13" spans="2:24" ht="15" hidden="1" customHeight="1">
      <c r="B13" s="16" t="s">
        <v>20</v>
      </c>
      <c r="C13" s="83" t="s">
        <v>17</v>
      </c>
      <c r="D13" s="83" t="s">
        <v>11</v>
      </c>
      <c r="E13" s="83" t="s">
        <v>17</v>
      </c>
      <c r="F13" s="144" t="str">
        <f t="shared" si="0"/>
        <v>?</v>
      </c>
      <c r="G13" s="58" t="str">
        <f t="shared" si="1"/>
        <v>?</v>
      </c>
      <c r="H13" s="58" t="str">
        <f t="shared" si="2"/>
        <v>?</v>
      </c>
      <c r="I13" s="58" t="str">
        <f t="shared" si="3"/>
        <v>?</v>
      </c>
      <c r="J13" s="85" t="str">
        <f t="shared" si="4"/>
        <v>?</v>
      </c>
      <c r="K13" s="152" t="str">
        <f t="shared" si="5"/>
        <v>?</v>
      </c>
      <c r="L13" s="88">
        <v>7916.0700000000033</v>
      </c>
      <c r="M13" s="88">
        <v>2634.45</v>
      </c>
      <c r="N13" s="88">
        <f t="shared" si="9"/>
        <v>10550.520000000004</v>
      </c>
      <c r="O13" s="88" t="str">
        <f t="shared" si="10"/>
        <v>?</v>
      </c>
      <c r="P13" s="89" t="e">
        <f t="shared" si="6"/>
        <v>#VALUE!</v>
      </c>
      <c r="Q13" s="89" t="e">
        <f t="shared" si="11"/>
        <v>#VALUE!</v>
      </c>
      <c r="R13" s="88" t="e">
        <f t="shared" si="12"/>
        <v>#VALUE!</v>
      </c>
      <c r="S13" s="17">
        <v>0</v>
      </c>
      <c r="T13" s="146" t="e">
        <f t="shared" si="15"/>
        <v>#VALUE!</v>
      </c>
      <c r="U13" s="58" t="str">
        <f t="shared" si="13"/>
        <v/>
      </c>
      <c r="V13" s="5" t="str">
        <f t="shared" si="14"/>
        <v>fora</v>
      </c>
    </row>
    <row r="14" spans="2:24" ht="15" hidden="1" customHeight="1">
      <c r="B14" s="16" t="s">
        <v>25</v>
      </c>
      <c r="C14" s="83" t="s">
        <v>17</v>
      </c>
      <c r="D14" s="83" t="s">
        <v>14</v>
      </c>
      <c r="E14" s="83" t="s">
        <v>17</v>
      </c>
      <c r="F14" s="144">
        <f t="shared" si="0"/>
        <v>600</v>
      </c>
      <c r="G14" s="58">
        <f t="shared" si="1"/>
        <v>0.16</v>
      </c>
      <c r="H14" s="58">
        <f t="shared" si="2"/>
        <v>0.18</v>
      </c>
      <c r="I14" s="58">
        <f t="shared" si="3"/>
        <v>0.25</v>
      </c>
      <c r="J14" s="85">
        <f t="shared" si="4"/>
        <v>8000</v>
      </c>
      <c r="K14" s="152" t="str">
        <f t="shared" si="5"/>
        <v>?</v>
      </c>
      <c r="L14" s="88">
        <v>4675.71</v>
      </c>
      <c r="M14" s="88">
        <v>2000</v>
      </c>
      <c r="N14" s="88">
        <f t="shared" si="9"/>
        <v>6675.71</v>
      </c>
      <c r="O14" s="88">
        <f t="shared" si="10"/>
        <v>600</v>
      </c>
      <c r="P14" s="89">
        <f t="shared" si="6"/>
        <v>748.11360000000002</v>
      </c>
      <c r="Q14" s="89">
        <f t="shared" si="11"/>
        <v>500</v>
      </c>
      <c r="R14" s="88">
        <f t="shared" si="12"/>
        <v>1848.1136000000001</v>
      </c>
      <c r="S14" s="17">
        <v>0</v>
      </c>
      <c r="T14" s="146">
        <f t="shared" si="15"/>
        <v>1848.1136000000001</v>
      </c>
      <c r="U14" s="58">
        <f t="shared" si="13"/>
        <v>0.27684150449914691</v>
      </c>
      <c r="V14" s="5" t="str">
        <f t="shared" si="14"/>
        <v>fora</v>
      </c>
    </row>
    <row r="15" spans="2:24" ht="15" hidden="1" customHeight="1">
      <c r="B15" s="16" t="s">
        <v>36</v>
      </c>
      <c r="C15" s="83" t="s">
        <v>17</v>
      </c>
      <c r="D15" s="83" t="s">
        <v>52</v>
      </c>
      <c r="E15" s="83" t="s">
        <v>34</v>
      </c>
      <c r="F15" s="144" t="str">
        <f t="shared" si="0"/>
        <v>?</v>
      </c>
      <c r="G15" s="58" t="str">
        <f t="shared" si="1"/>
        <v>?</v>
      </c>
      <c r="H15" s="58" t="str">
        <f t="shared" si="2"/>
        <v>?</v>
      </c>
      <c r="I15" s="58" t="str">
        <f t="shared" si="3"/>
        <v>?</v>
      </c>
      <c r="J15" s="85" t="str">
        <f t="shared" si="4"/>
        <v>?</v>
      </c>
      <c r="K15" s="152" t="str">
        <f t="shared" si="5"/>
        <v>?</v>
      </c>
      <c r="L15" s="88">
        <v>7825.860000000017</v>
      </c>
      <c r="M15" s="88">
        <v>750</v>
      </c>
      <c r="N15" s="88">
        <f t="shared" si="9"/>
        <v>8575.860000000017</v>
      </c>
      <c r="O15" s="88" t="str">
        <f t="shared" si="10"/>
        <v>?</v>
      </c>
      <c r="P15" s="89" t="e">
        <f t="shared" si="6"/>
        <v>#VALUE!</v>
      </c>
      <c r="Q15" s="89" t="e">
        <f t="shared" si="11"/>
        <v>#VALUE!</v>
      </c>
      <c r="R15" s="88" t="e">
        <f t="shared" si="12"/>
        <v>#VALUE!</v>
      </c>
      <c r="S15" s="17">
        <v>0</v>
      </c>
      <c r="T15" s="146" t="e">
        <f t="shared" si="15"/>
        <v>#VALUE!</v>
      </c>
      <c r="U15" s="58" t="str">
        <f t="shared" si="13"/>
        <v/>
      </c>
      <c r="V15" s="5" t="str">
        <f t="shared" si="14"/>
        <v>fora</v>
      </c>
    </row>
    <row r="16" spans="2:24" ht="15" hidden="1" customHeight="1">
      <c r="B16" s="16" t="s">
        <v>28</v>
      </c>
      <c r="C16" s="83" t="s">
        <v>17</v>
      </c>
      <c r="D16" s="83" t="s">
        <v>52</v>
      </c>
      <c r="E16" s="83" t="s">
        <v>17</v>
      </c>
      <c r="F16" s="144" t="str">
        <f t="shared" si="0"/>
        <v>?</v>
      </c>
      <c r="G16" s="58" t="str">
        <f t="shared" si="1"/>
        <v>?</v>
      </c>
      <c r="H16" s="58" t="str">
        <f t="shared" si="2"/>
        <v>?</v>
      </c>
      <c r="I16" s="58" t="str">
        <f t="shared" si="3"/>
        <v>?</v>
      </c>
      <c r="J16" s="85" t="str">
        <f t="shared" si="4"/>
        <v>?</v>
      </c>
      <c r="K16" s="152" t="str">
        <f t="shared" si="5"/>
        <v>?</v>
      </c>
      <c r="L16" s="88">
        <v>10835.490000000029</v>
      </c>
      <c r="M16" s="88">
        <v>130</v>
      </c>
      <c r="N16" s="88">
        <f t="shared" si="9"/>
        <v>10965.490000000029</v>
      </c>
      <c r="O16" s="88" t="str">
        <f t="shared" si="10"/>
        <v>?</v>
      </c>
      <c r="P16" s="89" t="e">
        <f t="shared" si="6"/>
        <v>#VALUE!</v>
      </c>
      <c r="Q16" s="89" t="e">
        <f t="shared" si="11"/>
        <v>#VALUE!</v>
      </c>
      <c r="R16" s="88" t="e">
        <f t="shared" si="12"/>
        <v>#VALUE!</v>
      </c>
      <c r="S16" s="17">
        <v>0</v>
      </c>
      <c r="T16" s="146" t="e">
        <f t="shared" si="15"/>
        <v>#VALUE!</v>
      </c>
      <c r="U16" s="58" t="str">
        <f t="shared" si="13"/>
        <v/>
      </c>
      <c r="V16" s="5" t="str">
        <f t="shared" si="14"/>
        <v>fora</v>
      </c>
    </row>
    <row r="17" spans="2:22" ht="18.75" hidden="1" customHeight="1">
      <c r="B17" s="16" t="s">
        <v>62</v>
      </c>
      <c r="C17" s="83" t="s">
        <v>10</v>
      </c>
      <c r="D17" s="86" t="s">
        <v>61</v>
      </c>
      <c r="E17" s="86" t="s">
        <v>61</v>
      </c>
      <c r="F17" s="144">
        <f t="shared" si="0"/>
        <v>0</v>
      </c>
      <c r="G17" s="58">
        <f t="shared" si="1"/>
        <v>0</v>
      </c>
      <c r="H17" s="58">
        <f t="shared" si="2"/>
        <v>0</v>
      </c>
      <c r="I17" s="58">
        <f t="shared" si="3"/>
        <v>0</v>
      </c>
      <c r="J17" s="85">
        <f t="shared" si="4"/>
        <v>0</v>
      </c>
      <c r="K17" s="152" t="str">
        <f t="shared" si="5"/>
        <v>?</v>
      </c>
      <c r="L17" s="88"/>
      <c r="M17" s="88"/>
      <c r="N17" s="88"/>
      <c r="O17" s="88">
        <f t="shared" si="10"/>
        <v>0</v>
      </c>
      <c r="P17" s="89">
        <f t="shared" si="6"/>
        <v>0</v>
      </c>
      <c r="Q17" s="89">
        <f t="shared" si="11"/>
        <v>0</v>
      </c>
      <c r="R17" s="88">
        <f t="shared" si="12"/>
        <v>0</v>
      </c>
      <c r="S17" s="17">
        <v>0</v>
      </c>
      <c r="T17" s="151"/>
      <c r="U17" s="58" t="str">
        <f t="shared" si="13"/>
        <v/>
      </c>
      <c r="V17" s="5" t="str">
        <f t="shared" si="14"/>
        <v>fora</v>
      </c>
    </row>
    <row r="18" spans="2:22" ht="15" hidden="1" customHeight="1">
      <c r="B18" s="11" t="s">
        <v>9</v>
      </c>
      <c r="C18" s="83" t="s">
        <v>10</v>
      </c>
      <c r="D18" s="83" t="s">
        <v>11</v>
      </c>
      <c r="E18" s="7" t="s">
        <v>10</v>
      </c>
      <c r="F18" s="144" t="str">
        <f t="shared" si="0"/>
        <v>?</v>
      </c>
      <c r="G18" s="58" t="str">
        <f t="shared" si="1"/>
        <v>?</v>
      </c>
      <c r="H18" s="58" t="str">
        <f t="shared" si="2"/>
        <v>?</v>
      </c>
      <c r="I18" s="58" t="str">
        <f t="shared" si="3"/>
        <v>?</v>
      </c>
      <c r="J18" s="85" t="str">
        <f t="shared" si="4"/>
        <v>?</v>
      </c>
      <c r="K18" s="152" t="str">
        <f t="shared" si="5"/>
        <v>?</v>
      </c>
      <c r="L18" s="88">
        <v>16474.249999999978</v>
      </c>
      <c r="M18" s="88">
        <v>0</v>
      </c>
      <c r="N18" s="88">
        <f t="shared" si="9"/>
        <v>16474.249999999978</v>
      </c>
      <c r="O18" s="88" t="str">
        <f t="shared" si="10"/>
        <v>?</v>
      </c>
      <c r="P18" s="89" t="e">
        <f t="shared" si="6"/>
        <v>#VALUE!</v>
      </c>
      <c r="Q18" s="89" t="e">
        <f t="shared" si="11"/>
        <v>#VALUE!</v>
      </c>
      <c r="R18" s="88" t="e">
        <f t="shared" si="12"/>
        <v>#VALUE!</v>
      </c>
      <c r="S18" s="17" t="e">
        <f>#REF!</f>
        <v>#REF!</v>
      </c>
      <c r="T18" s="146" t="e">
        <f>R18-S18</f>
        <v>#VALUE!</v>
      </c>
      <c r="U18" s="58" t="str">
        <f t="shared" si="13"/>
        <v/>
      </c>
      <c r="V18" s="5" t="str">
        <f t="shared" si="14"/>
        <v>fora</v>
      </c>
    </row>
    <row r="19" spans="2:22" ht="15" hidden="1" customHeight="1">
      <c r="B19" s="11" t="s">
        <v>13</v>
      </c>
      <c r="C19" s="83" t="s">
        <v>10</v>
      </c>
      <c r="D19" s="83" t="s">
        <v>14</v>
      </c>
      <c r="E19" s="7" t="s">
        <v>10</v>
      </c>
      <c r="F19" s="144" t="str">
        <f t="shared" si="0"/>
        <v>?</v>
      </c>
      <c r="G19" s="58" t="str">
        <f t="shared" si="1"/>
        <v>?</v>
      </c>
      <c r="H19" s="58" t="str">
        <f t="shared" si="2"/>
        <v>?</v>
      </c>
      <c r="I19" s="58" t="str">
        <f t="shared" si="3"/>
        <v>?</v>
      </c>
      <c r="J19" s="85" t="str">
        <f t="shared" si="4"/>
        <v>?</v>
      </c>
      <c r="K19" s="152" t="str">
        <f t="shared" si="5"/>
        <v>?</v>
      </c>
      <c r="L19" s="88">
        <v>13348.049999999987</v>
      </c>
      <c r="M19" s="88">
        <v>675</v>
      </c>
      <c r="N19" s="88">
        <f t="shared" si="9"/>
        <v>14023.049999999987</v>
      </c>
      <c r="O19" s="88" t="str">
        <f t="shared" si="10"/>
        <v>?</v>
      </c>
      <c r="P19" s="89" t="e">
        <f t="shared" si="6"/>
        <v>#VALUE!</v>
      </c>
      <c r="Q19" s="89" t="e">
        <f t="shared" si="11"/>
        <v>#VALUE!</v>
      </c>
      <c r="R19" s="88" t="e">
        <f t="shared" si="12"/>
        <v>#VALUE!</v>
      </c>
      <c r="S19" s="17" t="e">
        <f>#REF!</f>
        <v>#REF!</v>
      </c>
      <c r="T19" s="146" t="e">
        <f t="shared" ref="T19:T27" si="16">R19-S19</f>
        <v>#VALUE!</v>
      </c>
      <c r="U19" s="58" t="str">
        <f t="shared" si="13"/>
        <v/>
      </c>
      <c r="V19" s="5" t="str">
        <f t="shared" si="14"/>
        <v>fora</v>
      </c>
    </row>
    <row r="20" spans="2:22" ht="15" hidden="1" customHeight="1">
      <c r="B20" s="16" t="s">
        <v>15</v>
      </c>
      <c r="C20" s="83" t="s">
        <v>10</v>
      </c>
      <c r="D20" s="83" t="s">
        <v>14</v>
      </c>
      <c r="E20" s="83" t="s">
        <v>10</v>
      </c>
      <c r="F20" s="144" t="str">
        <f t="shared" si="0"/>
        <v>?</v>
      </c>
      <c r="G20" s="58" t="str">
        <f t="shared" si="1"/>
        <v>?</v>
      </c>
      <c r="H20" s="58" t="str">
        <f t="shared" si="2"/>
        <v>?</v>
      </c>
      <c r="I20" s="58" t="str">
        <f t="shared" si="3"/>
        <v>?</v>
      </c>
      <c r="J20" s="85" t="str">
        <f t="shared" si="4"/>
        <v>?</v>
      </c>
      <c r="K20" s="152" t="str">
        <f t="shared" si="5"/>
        <v>?</v>
      </c>
      <c r="L20" s="88">
        <v>10584.720000000003</v>
      </c>
      <c r="M20" s="88">
        <v>1365</v>
      </c>
      <c r="N20" s="88">
        <f t="shared" si="9"/>
        <v>11949.720000000003</v>
      </c>
      <c r="O20" s="88" t="str">
        <f t="shared" si="10"/>
        <v>?</v>
      </c>
      <c r="P20" s="89" t="e">
        <f t="shared" si="6"/>
        <v>#VALUE!</v>
      </c>
      <c r="Q20" s="89" t="e">
        <f t="shared" si="11"/>
        <v>#VALUE!</v>
      </c>
      <c r="R20" s="88" t="e">
        <f t="shared" si="12"/>
        <v>#VALUE!</v>
      </c>
      <c r="S20" s="17" t="e">
        <f>#REF!</f>
        <v>#REF!</v>
      </c>
      <c r="T20" s="146" t="e">
        <f t="shared" si="16"/>
        <v>#VALUE!</v>
      </c>
      <c r="U20" s="58" t="str">
        <f t="shared" si="13"/>
        <v/>
      </c>
      <c r="V20" s="5" t="str">
        <f t="shared" si="14"/>
        <v>fora</v>
      </c>
    </row>
    <row r="21" spans="2:22" ht="15" hidden="1" customHeight="1">
      <c r="B21" s="16" t="s">
        <v>63</v>
      </c>
      <c r="C21" s="83" t="s">
        <v>10</v>
      </c>
      <c r="D21" s="86" t="s">
        <v>61</v>
      </c>
      <c r="E21" s="86" t="s">
        <v>61</v>
      </c>
      <c r="F21" s="144">
        <f t="shared" si="0"/>
        <v>0</v>
      </c>
      <c r="G21" s="58">
        <f t="shared" si="1"/>
        <v>0</v>
      </c>
      <c r="H21" s="58">
        <f t="shared" si="2"/>
        <v>0</v>
      </c>
      <c r="I21" s="58">
        <f t="shared" si="3"/>
        <v>0</v>
      </c>
      <c r="J21" s="85">
        <f t="shared" si="4"/>
        <v>0</v>
      </c>
      <c r="K21" s="152" t="str">
        <f t="shared" si="5"/>
        <v>?</v>
      </c>
      <c r="L21" s="88"/>
      <c r="M21" s="88"/>
      <c r="N21" s="88"/>
      <c r="O21" s="88">
        <f t="shared" si="10"/>
        <v>0</v>
      </c>
      <c r="P21" s="89">
        <f t="shared" si="6"/>
        <v>0</v>
      </c>
      <c r="Q21" s="89">
        <f t="shared" si="11"/>
        <v>0</v>
      </c>
      <c r="R21" s="88">
        <f t="shared" si="12"/>
        <v>0</v>
      </c>
      <c r="S21" s="17" t="e">
        <f>#REF!</f>
        <v>#REF!</v>
      </c>
      <c r="T21" s="146" t="e">
        <f t="shared" si="16"/>
        <v>#REF!</v>
      </c>
      <c r="U21" s="58" t="str">
        <f t="shared" si="13"/>
        <v/>
      </c>
      <c r="V21" s="5" t="str">
        <f t="shared" si="14"/>
        <v>fora</v>
      </c>
    </row>
    <row r="22" spans="2:22" ht="15" hidden="1" customHeight="1">
      <c r="B22" s="16" t="s">
        <v>33</v>
      </c>
      <c r="C22" s="83" t="s">
        <v>17</v>
      </c>
      <c r="D22" s="26" t="s">
        <v>11</v>
      </c>
      <c r="E22" s="86" t="s">
        <v>34</v>
      </c>
      <c r="F22" s="144" t="str">
        <f t="shared" si="0"/>
        <v>?</v>
      </c>
      <c r="G22" s="58" t="str">
        <f t="shared" si="1"/>
        <v>?</v>
      </c>
      <c r="H22" s="58" t="str">
        <f t="shared" si="2"/>
        <v>?</v>
      </c>
      <c r="I22" s="58" t="str">
        <f t="shared" si="3"/>
        <v>?</v>
      </c>
      <c r="J22" s="85" t="str">
        <f t="shared" si="4"/>
        <v>?</v>
      </c>
      <c r="K22" s="152" t="str">
        <f t="shared" si="5"/>
        <v>?</v>
      </c>
      <c r="L22" s="88">
        <v>6035.4300000000067</v>
      </c>
      <c r="M22" s="88"/>
      <c r="N22" s="88">
        <f t="shared" si="9"/>
        <v>6035.4300000000067</v>
      </c>
      <c r="O22" s="88" t="str">
        <f t="shared" si="10"/>
        <v>?</v>
      </c>
      <c r="P22" s="89" t="e">
        <f t="shared" si="6"/>
        <v>#VALUE!</v>
      </c>
      <c r="Q22" s="89" t="e">
        <f t="shared" si="11"/>
        <v>#VALUE!</v>
      </c>
      <c r="R22" s="88" t="e">
        <f t="shared" si="12"/>
        <v>#VALUE!</v>
      </c>
      <c r="S22" s="17" t="e">
        <f>#REF!</f>
        <v>#REF!</v>
      </c>
      <c r="T22" s="98" t="e">
        <f t="shared" si="16"/>
        <v>#VALUE!</v>
      </c>
      <c r="U22" s="58" t="str">
        <f t="shared" si="13"/>
        <v/>
      </c>
      <c r="V22" s="5" t="str">
        <f t="shared" si="14"/>
        <v>fora</v>
      </c>
    </row>
    <row r="23" spans="2:22" hidden="1">
      <c r="B23" s="16" t="s">
        <v>65</v>
      </c>
      <c r="C23" s="83" t="s">
        <v>17</v>
      </c>
      <c r="D23" s="86" t="s">
        <v>61</v>
      </c>
      <c r="E23" s="86" t="s">
        <v>61</v>
      </c>
      <c r="F23" s="144">
        <f t="shared" si="0"/>
        <v>0</v>
      </c>
      <c r="G23" s="58">
        <f t="shared" si="1"/>
        <v>0</v>
      </c>
      <c r="H23" s="58">
        <f t="shared" si="2"/>
        <v>0</v>
      </c>
      <c r="I23" s="58">
        <f t="shared" si="3"/>
        <v>0</v>
      </c>
      <c r="J23" s="85">
        <f t="shared" si="4"/>
        <v>0</v>
      </c>
      <c r="K23" s="152" t="str">
        <f t="shared" si="5"/>
        <v>?</v>
      </c>
      <c r="L23" s="88"/>
      <c r="M23" s="88"/>
      <c r="N23" s="88"/>
      <c r="O23" s="88">
        <f t="shared" si="10"/>
        <v>0</v>
      </c>
      <c r="P23" s="89">
        <f t="shared" si="6"/>
        <v>0</v>
      </c>
      <c r="Q23" s="89">
        <f t="shared" si="11"/>
        <v>0</v>
      </c>
      <c r="R23" s="88">
        <f t="shared" si="12"/>
        <v>0</v>
      </c>
      <c r="S23" s="17" t="e">
        <f>#REF!</f>
        <v>#REF!</v>
      </c>
      <c r="T23" s="146" t="e">
        <f t="shared" si="16"/>
        <v>#REF!</v>
      </c>
      <c r="U23" s="58" t="str">
        <f t="shared" si="13"/>
        <v/>
      </c>
      <c r="V23" s="5" t="str">
        <f t="shared" si="14"/>
        <v>fora</v>
      </c>
    </row>
    <row r="24" spans="2:22" hidden="1">
      <c r="B24" s="84" t="s">
        <v>26</v>
      </c>
      <c r="C24" s="84" t="s">
        <v>17</v>
      </c>
      <c r="D24" s="94" t="s">
        <v>14</v>
      </c>
      <c r="E24" s="84" t="s">
        <v>17</v>
      </c>
      <c r="F24" s="144" t="str">
        <f t="shared" si="0"/>
        <v>?</v>
      </c>
      <c r="G24" s="58" t="str">
        <f t="shared" si="1"/>
        <v>?</v>
      </c>
      <c r="H24" s="58" t="str">
        <f t="shared" si="2"/>
        <v>?</v>
      </c>
      <c r="I24" s="58" t="str">
        <f t="shared" si="3"/>
        <v>?</v>
      </c>
      <c r="J24" s="85" t="str">
        <f t="shared" si="4"/>
        <v>?</v>
      </c>
      <c r="K24" s="152" t="str">
        <f t="shared" si="5"/>
        <v>?</v>
      </c>
      <c r="L24" s="88">
        <v>4813.7900000000018</v>
      </c>
      <c r="M24" s="88">
        <v>2030</v>
      </c>
      <c r="N24" s="88">
        <f t="shared" si="9"/>
        <v>6843.7900000000018</v>
      </c>
      <c r="O24" s="88" t="str">
        <f t="shared" si="10"/>
        <v>?</v>
      </c>
      <c r="P24" s="89" t="e">
        <f t="shared" si="6"/>
        <v>#VALUE!</v>
      </c>
      <c r="Q24" s="89" t="e">
        <f t="shared" si="11"/>
        <v>#VALUE!</v>
      </c>
      <c r="R24" s="88" t="e">
        <f t="shared" si="12"/>
        <v>#VALUE!</v>
      </c>
      <c r="S24" s="17" t="e">
        <f>#REF!</f>
        <v>#REF!</v>
      </c>
      <c r="T24" s="146" t="e">
        <f t="shared" si="16"/>
        <v>#VALUE!</v>
      </c>
      <c r="U24" s="58" t="str">
        <f t="shared" si="13"/>
        <v/>
      </c>
      <c r="V24" s="5" t="str">
        <f t="shared" si="14"/>
        <v>fora</v>
      </c>
    </row>
    <row r="25" spans="2:22" hidden="1">
      <c r="B25" s="84" t="s">
        <v>21</v>
      </c>
      <c r="C25" s="84" t="s">
        <v>17</v>
      </c>
      <c r="D25" s="94" t="s">
        <v>11</v>
      </c>
      <c r="E25" s="84" t="s">
        <v>17</v>
      </c>
      <c r="F25" s="144" t="str">
        <f t="shared" si="0"/>
        <v>?</v>
      </c>
      <c r="G25" s="58" t="str">
        <f t="shared" si="1"/>
        <v>?</v>
      </c>
      <c r="H25" s="58" t="str">
        <f t="shared" si="2"/>
        <v>?</v>
      </c>
      <c r="I25" s="58" t="str">
        <f t="shared" si="3"/>
        <v>?</v>
      </c>
      <c r="J25" s="85" t="str">
        <f t="shared" si="4"/>
        <v>?</v>
      </c>
      <c r="K25" s="152" t="str">
        <f t="shared" si="5"/>
        <v>?</v>
      </c>
      <c r="L25" s="88">
        <v>5134.1600000000053</v>
      </c>
      <c r="M25" s="88">
        <v>120</v>
      </c>
      <c r="N25" s="88">
        <f t="shared" si="9"/>
        <v>5254.1600000000053</v>
      </c>
      <c r="O25" s="88" t="str">
        <f t="shared" si="10"/>
        <v>?</v>
      </c>
      <c r="P25" s="89" t="e">
        <f t="shared" si="6"/>
        <v>#VALUE!</v>
      </c>
      <c r="Q25" s="89" t="e">
        <f t="shared" si="11"/>
        <v>#VALUE!</v>
      </c>
      <c r="R25" s="88" t="e">
        <f t="shared" si="12"/>
        <v>#VALUE!</v>
      </c>
      <c r="S25" s="17" t="e">
        <f>#REF!</f>
        <v>#REF!</v>
      </c>
      <c r="T25" s="146" t="e">
        <f t="shared" si="16"/>
        <v>#VALUE!</v>
      </c>
      <c r="U25" s="58" t="str">
        <f t="shared" si="13"/>
        <v/>
      </c>
      <c r="V25" s="5" t="str">
        <f t="shared" si="14"/>
        <v>fora</v>
      </c>
    </row>
    <row r="26" spans="2:22" hidden="1">
      <c r="B26" s="84"/>
      <c r="C26" s="94" t="s">
        <v>17</v>
      </c>
      <c r="D26" s="94"/>
      <c r="E26" s="94" t="s">
        <v>17</v>
      </c>
      <c r="F26" s="144"/>
      <c r="G26" s="58"/>
      <c r="H26" s="58"/>
      <c r="I26" s="58"/>
      <c r="J26" s="85"/>
      <c r="K26" s="152" t="str">
        <f t="shared" si="5"/>
        <v>?</v>
      </c>
      <c r="L26" s="88"/>
      <c r="M26" s="88"/>
      <c r="N26" s="88"/>
      <c r="O26" s="88"/>
      <c r="P26" s="89">
        <f t="shared" si="6"/>
        <v>0</v>
      </c>
      <c r="Q26" s="89"/>
      <c r="R26" s="88"/>
      <c r="S26" s="17" t="e">
        <f>#REF!</f>
        <v>#REF!</v>
      </c>
      <c r="T26" s="98" t="e">
        <f t="shared" si="16"/>
        <v>#REF!</v>
      </c>
      <c r="U26" s="58" t="str">
        <f t="shared" si="13"/>
        <v/>
      </c>
      <c r="V26" s="5" t="str">
        <f t="shared" si="14"/>
        <v>fora</v>
      </c>
    </row>
    <row r="27" spans="2:22" hidden="1">
      <c r="B27" s="84" t="s">
        <v>96</v>
      </c>
      <c r="C27" s="84" t="s">
        <v>10</v>
      </c>
      <c r="D27" s="94" t="s">
        <v>11</v>
      </c>
      <c r="E27" s="84" t="s">
        <v>10</v>
      </c>
      <c r="F27" s="144" t="str">
        <f t="shared" si="0"/>
        <v>?</v>
      </c>
      <c r="G27" s="58" t="str">
        <f t="shared" si="1"/>
        <v>?</v>
      </c>
      <c r="H27" s="58" t="str">
        <f t="shared" si="2"/>
        <v>?</v>
      </c>
      <c r="I27" s="58" t="str">
        <f t="shared" si="3"/>
        <v>?</v>
      </c>
      <c r="J27" s="85" t="str">
        <f t="shared" si="4"/>
        <v>?</v>
      </c>
      <c r="K27" s="152" t="str">
        <f t="shared" si="5"/>
        <v>?</v>
      </c>
      <c r="L27" s="88">
        <v>14364.049999999988</v>
      </c>
      <c r="M27" s="88">
        <v>150</v>
      </c>
      <c r="N27" s="88">
        <f t="shared" si="9"/>
        <v>14514.049999999988</v>
      </c>
      <c r="O27" s="88" t="str">
        <f t="shared" si="10"/>
        <v>?</v>
      </c>
      <c r="P27" s="89" t="e">
        <f>IF(N27&gt;J27,L27*H27,L27*G27)</f>
        <v>#VALUE!</v>
      </c>
      <c r="Q27" s="89" t="e">
        <f t="shared" si="11"/>
        <v>#VALUE!</v>
      </c>
      <c r="R27" s="88" t="e">
        <f t="shared" si="12"/>
        <v>#VALUE!</v>
      </c>
      <c r="S27" s="17" t="e">
        <f>#REF!</f>
        <v>#REF!</v>
      </c>
      <c r="T27" s="146" t="e">
        <f t="shared" si="16"/>
        <v>#VALUE!</v>
      </c>
      <c r="U27" s="58" t="str">
        <f t="shared" si="13"/>
        <v/>
      </c>
      <c r="V27" s="5" t="str">
        <f t="shared" si="14"/>
        <v>fora</v>
      </c>
    </row>
    <row r="28" spans="2:22" hidden="1">
      <c r="B28" s="84" t="s">
        <v>22</v>
      </c>
      <c r="C28" s="84" t="s">
        <v>17</v>
      </c>
      <c r="D28" s="94" t="s">
        <v>11</v>
      </c>
      <c r="E28" s="84" t="s">
        <v>17</v>
      </c>
      <c r="F28" s="144" t="str">
        <f t="shared" si="0"/>
        <v>?</v>
      </c>
      <c r="G28" s="58" t="str">
        <f t="shared" si="1"/>
        <v>?</v>
      </c>
      <c r="H28" s="58" t="str">
        <f t="shared" si="2"/>
        <v>?</v>
      </c>
      <c r="I28" s="58" t="str">
        <f t="shared" si="3"/>
        <v>?</v>
      </c>
      <c r="J28" s="85" t="str">
        <f t="shared" si="4"/>
        <v>?</v>
      </c>
      <c r="K28" s="152" t="str">
        <f t="shared" si="5"/>
        <v>?</v>
      </c>
      <c r="L28" s="88">
        <v>6802.9499999999944</v>
      </c>
      <c r="M28" s="88">
        <v>120</v>
      </c>
      <c r="N28" s="88">
        <f t="shared" si="9"/>
        <v>6922.9499999999944</v>
      </c>
      <c r="O28" s="88" t="str">
        <f t="shared" si="10"/>
        <v>?</v>
      </c>
      <c r="P28" s="89" t="e">
        <f t="shared" ref="P28:P29" si="17">IF(N28&gt;J28,L28*H28,L28*G28)</f>
        <v>#VALUE!</v>
      </c>
      <c r="Q28" s="89" t="e">
        <f t="shared" si="11"/>
        <v>#VALUE!</v>
      </c>
      <c r="R28" s="88" t="e">
        <f t="shared" si="12"/>
        <v>#VALUE!</v>
      </c>
      <c r="S28" s="17" t="e">
        <f>#REF!</f>
        <v>#REF!</v>
      </c>
      <c r="T28" s="146" t="e">
        <f>R28-S28</f>
        <v>#VALUE!</v>
      </c>
      <c r="U28" s="58" t="str">
        <f t="shared" si="13"/>
        <v/>
      </c>
      <c r="V28" s="5" t="str">
        <f t="shared" si="14"/>
        <v>fora</v>
      </c>
    </row>
    <row r="29" spans="2:22" hidden="1">
      <c r="B29" s="16" t="s">
        <v>29</v>
      </c>
      <c r="C29" s="94" t="s">
        <v>17</v>
      </c>
      <c r="D29" s="83" t="s">
        <v>52</v>
      </c>
      <c r="E29" s="96" t="s">
        <v>17</v>
      </c>
      <c r="F29" s="144" t="str">
        <f t="shared" si="0"/>
        <v>?</v>
      </c>
      <c r="G29" s="58" t="str">
        <f t="shared" si="1"/>
        <v>?</v>
      </c>
      <c r="H29" s="58" t="str">
        <f t="shared" si="2"/>
        <v>?</v>
      </c>
      <c r="I29" s="58" t="str">
        <f t="shared" si="3"/>
        <v>?</v>
      </c>
      <c r="J29" s="85" t="str">
        <f t="shared" si="4"/>
        <v>?</v>
      </c>
      <c r="K29" s="152" t="str">
        <f t="shared" si="5"/>
        <v>?</v>
      </c>
      <c r="L29" s="88">
        <v>6624.7299999999977</v>
      </c>
      <c r="M29" s="88">
        <v>360</v>
      </c>
      <c r="N29" s="88">
        <f t="shared" si="9"/>
        <v>6984.7299999999977</v>
      </c>
      <c r="O29" s="88" t="str">
        <f t="shared" si="10"/>
        <v>?</v>
      </c>
      <c r="P29" s="89" t="e">
        <f t="shared" si="17"/>
        <v>#VALUE!</v>
      </c>
      <c r="Q29" s="89" t="e">
        <f t="shared" ref="Q29" si="18">M29*I29</f>
        <v>#VALUE!</v>
      </c>
      <c r="R29" s="88" t="e">
        <f t="shared" si="12"/>
        <v>#VALUE!</v>
      </c>
      <c r="S29" s="17" t="e">
        <f>#REF!</f>
        <v>#REF!</v>
      </c>
      <c r="T29" s="146" t="e">
        <f>R29-S29</f>
        <v>#VALUE!</v>
      </c>
      <c r="U29" s="58" t="str">
        <f t="shared" si="13"/>
        <v/>
      </c>
      <c r="V29" s="5" t="str">
        <f t="shared" si="14"/>
        <v>fora</v>
      </c>
    </row>
    <row r="30" spans="2:22" s="87" customFormat="1" hidden="1">
      <c r="B30" s="16" t="s">
        <v>110</v>
      </c>
      <c r="C30" s="83"/>
      <c r="D30" s="94" t="s">
        <v>11</v>
      </c>
      <c r="E30" s="112"/>
      <c r="F30" s="144">
        <v>60</v>
      </c>
      <c r="G30" s="58">
        <v>0.12</v>
      </c>
      <c r="H30" s="58">
        <v>0.14000000000000001</v>
      </c>
      <c r="I30" s="58">
        <v>0.22</v>
      </c>
      <c r="J30" s="85">
        <v>13000</v>
      </c>
      <c r="K30" s="111"/>
      <c r="L30" s="111">
        <v>816.87999999999988</v>
      </c>
      <c r="M30" s="111">
        <v>60</v>
      </c>
      <c r="N30" s="88">
        <f t="shared" ref="N30" si="19">M30+L30</f>
        <v>876.87999999999988</v>
      </c>
      <c r="O30" s="88">
        <f t="shared" ref="O30" si="20">F30</f>
        <v>60</v>
      </c>
      <c r="P30" s="89">
        <f t="shared" ref="P30" si="21">IF(N30&gt;J30,L30*H30,L30*G30)</f>
        <v>98.025599999999983</v>
      </c>
      <c r="Q30" s="89">
        <f t="shared" ref="Q30" si="22">M30*I30</f>
        <v>13.2</v>
      </c>
      <c r="R30" s="88">
        <f t="shared" ref="R30" si="23">SUM(O30:Q30)</f>
        <v>171.22559999999999</v>
      </c>
      <c r="S30" s="17" t="e">
        <f>#REF!</f>
        <v>#REF!</v>
      </c>
      <c r="T30" s="146" t="e">
        <f>R30-S30</f>
        <v>#REF!</v>
      </c>
      <c r="U30" s="58">
        <f t="shared" si="13"/>
        <v>0.19526685521394035</v>
      </c>
      <c r="V30" s="5" t="str">
        <f t="shared" ref="V30" si="24">IF(N30&gt;J30,"meta","fora")</f>
        <v>fora</v>
      </c>
    </row>
    <row r="31" spans="2:22" s="87" customFormat="1" hidden="1">
      <c r="B31" s="16" t="s">
        <v>111</v>
      </c>
      <c r="C31" s="83"/>
      <c r="D31" s="83" t="s">
        <v>14</v>
      </c>
      <c r="E31" s="112"/>
      <c r="F31" s="144">
        <f>600/30*1</f>
        <v>20</v>
      </c>
      <c r="G31" s="58">
        <v>0.16</v>
      </c>
      <c r="H31" s="58">
        <v>0.18</v>
      </c>
      <c r="I31" s="58">
        <v>0.25</v>
      </c>
      <c r="J31" s="85">
        <v>8000</v>
      </c>
      <c r="K31" s="111"/>
      <c r="L31" s="111">
        <v>235.62</v>
      </c>
      <c r="M31" s="111">
        <v>120</v>
      </c>
      <c r="N31" s="88">
        <f t="shared" ref="N31:N32" si="25">M31+L31</f>
        <v>355.62</v>
      </c>
      <c r="O31" s="88">
        <f t="shared" ref="O31" si="26">F31</f>
        <v>20</v>
      </c>
      <c r="P31" s="89">
        <f t="shared" ref="P31:P32" si="27">IF(N31&gt;J31,L31*H31,L31*G31)</f>
        <v>37.699200000000005</v>
      </c>
      <c r="Q31" s="89">
        <f t="shared" ref="Q31:Q32" si="28">M31*I31</f>
        <v>30</v>
      </c>
      <c r="R31" s="88">
        <f t="shared" ref="R31:R32" si="29">SUM(O31:Q31)</f>
        <v>87.699200000000005</v>
      </c>
      <c r="S31" s="17" t="e">
        <f>#REF!</f>
        <v>#REF!</v>
      </c>
      <c r="T31" s="146" t="e">
        <f t="shared" ref="T31" si="30">R31-S31</f>
        <v>#REF!</v>
      </c>
      <c r="U31" s="58">
        <f t="shared" ref="U31" si="31">IFERROR(R31/N31,"")</f>
        <v>0.24660930206400092</v>
      </c>
      <c r="V31" s="5" t="str">
        <f t="shared" ref="V31:V32" si="32">IF(N31&gt;J31,"meta","fora")</f>
        <v>fora</v>
      </c>
    </row>
    <row r="32" spans="2:22" hidden="1">
      <c r="B32" s="16" t="s">
        <v>112</v>
      </c>
      <c r="D32" s="83" t="s">
        <v>52</v>
      </c>
      <c r="F32" s="146">
        <v>600</v>
      </c>
      <c r="G32" s="58">
        <v>0.12</v>
      </c>
      <c r="H32" s="58">
        <v>0.14000000000000001</v>
      </c>
      <c r="I32" s="58">
        <v>0.22</v>
      </c>
      <c r="J32" s="85">
        <v>13000</v>
      </c>
      <c r="L32" s="111">
        <v>6998.699999999988</v>
      </c>
      <c r="M32" s="111"/>
      <c r="N32" s="88">
        <f t="shared" si="25"/>
        <v>6998.699999999988</v>
      </c>
      <c r="O32" s="88">
        <v>600</v>
      </c>
      <c r="P32" s="89">
        <f t="shared" si="27"/>
        <v>839.84399999999857</v>
      </c>
      <c r="Q32" s="89">
        <f t="shared" si="28"/>
        <v>0</v>
      </c>
      <c r="R32" s="88">
        <f t="shared" si="29"/>
        <v>1439.8439999999987</v>
      </c>
      <c r="S32" s="58" t="s">
        <v>113</v>
      </c>
      <c r="T32" s="5" t="s">
        <v>114</v>
      </c>
      <c r="U32" s="58">
        <f t="shared" si="13"/>
        <v>0.20573020703845016</v>
      </c>
      <c r="V32" s="5" t="str">
        <f t="shared" si="32"/>
        <v>fora</v>
      </c>
    </row>
    <row r="34" spans="2:20" s="87" customFormat="1">
      <c r="B34" s="14"/>
      <c r="C34" s="10"/>
      <c r="D34" s="10"/>
      <c r="E34" s="6"/>
      <c r="F34" s="39"/>
      <c r="G34" s="10"/>
      <c r="H34" s="13"/>
      <c r="I34" s="44"/>
      <c r="K34" s="90"/>
      <c r="L34" s="90"/>
      <c r="M34" s="90"/>
      <c r="N34" s="90"/>
      <c r="O34" s="91"/>
      <c r="P34" s="92"/>
      <c r="Q34" s="93"/>
      <c r="R34" s="93"/>
      <c r="T34" s="19"/>
    </row>
    <row r="40" spans="2:20" s="87" customFormat="1">
      <c r="B40" s="14"/>
      <c r="C40" s="10"/>
      <c r="D40" s="10" t="s">
        <v>37</v>
      </c>
      <c r="E40" s="6"/>
      <c r="F40" s="39"/>
      <c r="G40" s="10"/>
      <c r="H40" s="13"/>
      <c r="I40" s="44"/>
      <c r="K40" s="90"/>
      <c r="L40" s="90"/>
      <c r="M40" s="90"/>
      <c r="N40" s="90"/>
      <c r="O40" s="91"/>
      <c r="P40" s="92"/>
      <c r="Q40" s="93"/>
      <c r="R40" s="93"/>
      <c r="T40" s="19"/>
    </row>
    <row r="43" spans="2:20" s="87" customFormat="1">
      <c r="B43" s="156" t="s">
        <v>38</v>
      </c>
      <c r="C43" s="156"/>
      <c r="D43" s="156"/>
      <c r="E43" s="165"/>
      <c r="F43" s="39"/>
      <c r="G43" s="10"/>
      <c r="H43" s="13"/>
      <c r="I43" s="44"/>
      <c r="K43" s="90"/>
      <c r="L43" s="90"/>
      <c r="M43" s="90"/>
      <c r="N43" s="90"/>
      <c r="O43" s="91"/>
      <c r="P43" s="92"/>
      <c r="Q43" s="93"/>
      <c r="R43" s="93"/>
      <c r="T43" s="19"/>
    </row>
    <row r="44" spans="2:20" s="87" customFormat="1" ht="25.5">
      <c r="B44" s="147" t="s">
        <v>39</v>
      </c>
      <c r="C44" s="147"/>
      <c r="D44" s="157" t="s">
        <v>40</v>
      </c>
      <c r="E44" s="166"/>
      <c r="F44" s="39"/>
      <c r="G44" s="10"/>
      <c r="H44" s="13"/>
      <c r="I44" s="44"/>
      <c r="K44" s="90"/>
      <c r="L44" s="90"/>
      <c r="M44" s="90"/>
      <c r="N44" s="90"/>
      <c r="O44" s="91"/>
      <c r="P44" s="92"/>
      <c r="Q44" s="93"/>
      <c r="R44" s="93"/>
      <c r="T44" s="19"/>
    </row>
    <row r="45" spans="2:20" s="87" customFormat="1">
      <c r="B45" s="146" t="s">
        <v>41</v>
      </c>
      <c r="C45" s="146"/>
      <c r="D45" s="153" t="s">
        <v>42</v>
      </c>
      <c r="E45" s="164"/>
      <c r="F45" s="39"/>
      <c r="G45" s="10"/>
      <c r="H45" s="13"/>
      <c r="I45" s="44"/>
      <c r="K45" s="90"/>
      <c r="L45" s="90"/>
      <c r="M45" s="90"/>
      <c r="N45" s="90"/>
      <c r="O45" s="91"/>
      <c r="P45" s="92"/>
      <c r="Q45" s="93"/>
      <c r="R45" s="93"/>
      <c r="T45" s="19"/>
    </row>
  </sheetData>
  <autoFilter ref="B2:V32" xr:uid="{96E5F220-B4C0-4B90-886F-AEF09BEF8E8A}">
    <filterColumn colId="0">
      <filters>
        <filter val="Ediane"/>
      </filters>
    </filterColumn>
  </autoFilter>
  <mergeCells count="6">
    <mergeCell ref="D45:E45"/>
    <mergeCell ref="F1:J1"/>
    <mergeCell ref="L1:N1"/>
    <mergeCell ref="O1:R1"/>
    <mergeCell ref="B43:E43"/>
    <mergeCell ref="D44:E44"/>
  </mergeCells>
  <conditionalFormatting sqref="B18:B19">
    <cfRule type="duplicateValues" dxfId="72" priority="15"/>
  </conditionalFormatting>
  <conditionalFormatting sqref="S1:T29 S31:T31 S33:T1048576">
    <cfRule type="cellIs" dxfId="71" priority="14" operator="equal">
      <formula>0</formula>
    </cfRule>
  </conditionalFormatting>
  <conditionalFormatting sqref="B20:B23 B12:B17 B2:B10">
    <cfRule type="duplicateValues" dxfId="70" priority="16"/>
  </conditionalFormatting>
  <conditionalFormatting sqref="B20:B23 B12:B17 B3:B10">
    <cfRule type="duplicateValues" dxfId="69" priority="17"/>
  </conditionalFormatting>
  <conditionalFormatting sqref="C24:C26 C28">
    <cfRule type="containsText" dxfId="68" priority="13" operator="containsText" text="nã">
      <formula>NOT(ISERROR(SEARCH("nã",C24)))</formula>
    </cfRule>
  </conditionalFormatting>
  <conditionalFormatting sqref="C27">
    <cfRule type="containsText" dxfId="67" priority="12" operator="containsText" text="nã">
      <formula>NOT(ISERROR(SEARCH("nã",C27)))</formula>
    </cfRule>
  </conditionalFormatting>
  <conditionalFormatting sqref="D24:D26 D28">
    <cfRule type="containsText" dxfId="66" priority="11" operator="containsText" text="nã">
      <formula>NOT(ISERROR(SEARCH("nã",D24)))</formula>
    </cfRule>
  </conditionalFormatting>
  <conditionalFormatting sqref="D27">
    <cfRule type="containsText" dxfId="65" priority="10" operator="containsText" text="nã">
      <formula>NOT(ISERROR(SEARCH("nã",D27)))</formula>
    </cfRule>
  </conditionalFormatting>
  <conditionalFormatting sqref="E24:E26 E28">
    <cfRule type="containsText" dxfId="64" priority="9" operator="containsText" text="nã">
      <formula>NOT(ISERROR(SEARCH("nã",E24)))</formula>
    </cfRule>
  </conditionalFormatting>
  <conditionalFormatting sqref="E27">
    <cfRule type="containsText" dxfId="63" priority="8" operator="containsText" text="nã">
      <formula>NOT(ISERROR(SEARCH("nã",E27)))</formula>
    </cfRule>
  </conditionalFormatting>
  <conditionalFormatting sqref="C29">
    <cfRule type="containsText" dxfId="62" priority="7" operator="containsText" text="nã">
      <formula>NOT(ISERROR(SEARCH("nã",C29)))</formula>
    </cfRule>
  </conditionalFormatting>
  <conditionalFormatting sqref="V3:V29">
    <cfRule type="containsText" dxfId="61" priority="6" operator="containsText" text="meta">
      <formula>NOT(ISERROR(SEARCH("meta",V3)))</formula>
    </cfRule>
  </conditionalFormatting>
  <conditionalFormatting sqref="D30">
    <cfRule type="containsText" dxfId="60" priority="5" operator="containsText" text="nã">
      <formula>NOT(ISERROR(SEARCH("nã",D30)))</formula>
    </cfRule>
  </conditionalFormatting>
  <conditionalFormatting sqref="S30:T31">
    <cfRule type="cellIs" dxfId="59" priority="4" operator="equal">
      <formula>0</formula>
    </cfRule>
  </conditionalFormatting>
  <conditionalFormatting sqref="V30:V31">
    <cfRule type="containsText" dxfId="58" priority="3" operator="containsText" text="meta">
      <formula>NOT(ISERROR(SEARCH("meta",V30)))</formula>
    </cfRule>
  </conditionalFormatting>
  <conditionalFormatting sqref="T32">
    <cfRule type="containsText" dxfId="57" priority="2" operator="containsText" text="meta">
      <formula>NOT(ISERROR(SEARCH("meta",T32)))</formula>
    </cfRule>
  </conditionalFormatting>
  <conditionalFormatting sqref="V32">
    <cfRule type="containsText" dxfId="56" priority="1" operator="containsText" text="meta">
      <formula>NOT(ISERROR(SEARCH("meta",V32)))</formula>
    </cfRule>
  </conditionalFormatting>
  <pageMargins left="0.511811024" right="0.511811024" top="0.78740157499999996" bottom="0.78740157499999996" header="0.31496062000000002" footer="0.31496062000000002"/>
  <pageSetup paperSize="9" scale="61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8E4E-3563-4F3C-93AD-3AB638DD479A}">
  <sheetPr>
    <pageSetUpPr fitToPage="1"/>
  </sheetPr>
  <dimension ref="B1:S47"/>
  <sheetViews>
    <sheetView showGridLines="0" zoomScale="80" zoomScaleNormal="80" workbookViewId="0">
      <pane xSplit="1" ySplit="2" topLeftCell="B6" activePane="bottomRight" state="frozen"/>
      <selection pane="bottomRight" activeCell="P15" sqref="P15"/>
      <selection pane="bottomLeft" activeCell="A4" sqref="A4"/>
      <selection pane="topRight" activeCell="B1" sqref="B1"/>
    </sheetView>
  </sheetViews>
  <sheetFormatPr defaultRowHeight="12.75"/>
  <cols>
    <col min="1" max="1" width="2.85546875" style="5" customWidth="1"/>
    <col min="2" max="2" width="33" style="14" bestFit="1" customWidth="1"/>
    <col min="3" max="3" width="11.42578125" style="10" bestFit="1" customWidth="1"/>
    <col min="4" max="4" width="8.140625" style="10" bestFit="1" customWidth="1"/>
    <col min="5" max="5" width="11.42578125" style="97" bestFit="1" customWidth="1"/>
    <col min="6" max="6" width="12.42578125" style="39" customWidth="1"/>
    <col min="7" max="7" width="12.42578125" style="10" customWidth="1"/>
    <col min="8" max="8" width="12.42578125" style="13" customWidth="1"/>
    <col min="9" max="9" width="12.42578125" style="44" customWidth="1"/>
    <col min="10" max="10" width="12.42578125" style="87" customWidth="1"/>
    <col min="11" max="11" width="9.85546875" style="90" customWidth="1"/>
    <col min="12" max="12" width="9.28515625" style="90" customWidth="1"/>
    <col min="13" max="13" width="12.42578125" style="90" customWidth="1"/>
    <col min="14" max="14" width="12.42578125" style="91" customWidth="1"/>
    <col min="15" max="15" width="12.42578125" style="92" customWidth="1"/>
    <col min="16" max="16" width="12.42578125" style="93" customWidth="1"/>
    <col min="17" max="17" width="17.28515625" style="93" bestFit="1" customWidth="1"/>
    <col min="18" max="18" width="9.140625" style="10"/>
    <col min="19" max="19" width="3.7109375" style="10" customWidth="1"/>
    <col min="20" max="16384" width="9.140625" style="5"/>
  </cols>
  <sheetData>
    <row r="1" spans="2:18" ht="38.25" customHeight="1">
      <c r="E1" s="10"/>
      <c r="F1" s="154" t="s">
        <v>86</v>
      </c>
      <c r="G1" s="154"/>
      <c r="H1" s="154"/>
      <c r="I1" s="154"/>
      <c r="J1" s="154"/>
      <c r="K1" s="167" t="s">
        <v>115</v>
      </c>
      <c r="L1" s="167"/>
      <c r="M1" s="167"/>
      <c r="N1" s="167" t="s">
        <v>88</v>
      </c>
      <c r="O1" s="167"/>
      <c r="P1" s="167"/>
      <c r="Q1" s="167"/>
    </row>
    <row r="2" spans="2:18" ht="26.1" customHeight="1">
      <c r="B2" s="118" t="s">
        <v>0</v>
      </c>
      <c r="C2" s="119" t="s">
        <v>1</v>
      </c>
      <c r="D2" s="119" t="s">
        <v>2</v>
      </c>
      <c r="E2" s="119" t="s">
        <v>3</v>
      </c>
      <c r="F2" s="120" t="s">
        <v>4</v>
      </c>
      <c r="G2" s="121" t="s">
        <v>5</v>
      </c>
      <c r="H2" s="121" t="s">
        <v>6</v>
      </c>
      <c r="I2" s="122" t="s">
        <v>7</v>
      </c>
      <c r="J2" s="121" t="s">
        <v>8</v>
      </c>
      <c r="K2" s="123" t="s">
        <v>89</v>
      </c>
      <c r="L2" s="123" t="s">
        <v>7</v>
      </c>
      <c r="M2" s="123" t="s">
        <v>90</v>
      </c>
      <c r="N2" s="124" t="s">
        <v>4</v>
      </c>
      <c r="O2" s="124" t="s">
        <v>107</v>
      </c>
      <c r="P2" s="124" t="s">
        <v>7</v>
      </c>
      <c r="Q2" s="123" t="s">
        <v>91</v>
      </c>
      <c r="R2" s="83" t="s">
        <v>109</v>
      </c>
    </row>
    <row r="3" spans="2:18" ht="15" customHeight="1">
      <c r="B3" s="16" t="s">
        <v>60</v>
      </c>
      <c r="C3" s="83" t="s">
        <v>17</v>
      </c>
      <c r="D3" s="26" t="s">
        <v>19</v>
      </c>
      <c r="E3" s="26" t="s">
        <v>116</v>
      </c>
      <c r="F3" s="86" t="s">
        <v>61</v>
      </c>
      <c r="G3" s="86" t="s">
        <v>61</v>
      </c>
      <c r="H3" s="86" t="s">
        <v>61</v>
      </c>
      <c r="I3" s="86" t="s">
        <v>61</v>
      </c>
      <c r="J3" s="86" t="s">
        <v>61</v>
      </c>
      <c r="K3" s="86"/>
      <c r="L3" s="86"/>
      <c r="M3" s="86" t="s">
        <v>61</v>
      </c>
      <c r="N3" s="86" t="s">
        <v>61</v>
      </c>
      <c r="O3" s="86" t="s">
        <v>61</v>
      </c>
      <c r="P3" s="86" t="s">
        <v>61</v>
      </c>
      <c r="Q3" s="86" t="s">
        <v>61</v>
      </c>
      <c r="R3" s="83" t="str">
        <f t="shared" ref="R3:R19" si="0">IF(M3&gt;J3,"meta","fora")</f>
        <v>fora</v>
      </c>
    </row>
    <row r="4" spans="2:18" ht="15" customHeight="1">
      <c r="B4" s="16" t="s">
        <v>62</v>
      </c>
      <c r="C4" s="83" t="s">
        <v>10</v>
      </c>
      <c r="D4" s="26" t="s">
        <v>19</v>
      </c>
      <c r="E4" s="26" t="s">
        <v>10</v>
      </c>
      <c r="F4" s="86" t="s">
        <v>61</v>
      </c>
      <c r="G4" s="86" t="s">
        <v>61</v>
      </c>
      <c r="H4" s="86" t="s">
        <v>61</v>
      </c>
      <c r="I4" s="86" t="s">
        <v>61</v>
      </c>
      <c r="J4" s="86" t="s">
        <v>61</v>
      </c>
      <c r="K4" s="86"/>
      <c r="L4" s="86"/>
      <c r="M4" s="86" t="s">
        <v>61</v>
      </c>
      <c r="N4" s="86" t="s">
        <v>61</v>
      </c>
      <c r="O4" s="86" t="s">
        <v>61</v>
      </c>
      <c r="P4" s="86" t="s">
        <v>61</v>
      </c>
      <c r="Q4" s="86" t="s">
        <v>61</v>
      </c>
      <c r="R4" s="83" t="str">
        <f t="shared" si="0"/>
        <v>fora</v>
      </c>
    </row>
    <row r="5" spans="2:18" ht="15" customHeight="1">
      <c r="B5" s="16" t="s">
        <v>63</v>
      </c>
      <c r="C5" s="83" t="s">
        <v>10</v>
      </c>
      <c r="D5" s="26" t="s">
        <v>19</v>
      </c>
      <c r="E5" s="26" t="s">
        <v>10</v>
      </c>
      <c r="F5" s="86" t="s">
        <v>61</v>
      </c>
      <c r="G5" s="86" t="s">
        <v>61</v>
      </c>
      <c r="H5" s="86" t="s">
        <v>61</v>
      </c>
      <c r="I5" s="86" t="s">
        <v>61</v>
      </c>
      <c r="J5" s="86" t="s">
        <v>61</v>
      </c>
      <c r="K5" s="86"/>
      <c r="L5" s="86"/>
      <c r="M5" s="86" t="s">
        <v>61</v>
      </c>
      <c r="N5" s="86" t="s">
        <v>61</v>
      </c>
      <c r="O5" s="86" t="s">
        <v>61</v>
      </c>
      <c r="P5" s="86" t="s">
        <v>61</v>
      </c>
      <c r="Q5" s="86" t="s">
        <v>61</v>
      </c>
      <c r="R5" s="83" t="str">
        <f t="shared" si="0"/>
        <v>fora</v>
      </c>
    </row>
    <row r="6" spans="2:18" ht="15" customHeight="1">
      <c r="B6" s="16" t="s">
        <v>65</v>
      </c>
      <c r="C6" s="83" t="s">
        <v>17</v>
      </c>
      <c r="D6" s="26" t="s">
        <v>11</v>
      </c>
      <c r="E6" s="26" t="s">
        <v>116</v>
      </c>
      <c r="F6" s="86" t="s">
        <v>61</v>
      </c>
      <c r="G6" s="86" t="s">
        <v>61</v>
      </c>
      <c r="H6" s="86" t="s">
        <v>61</v>
      </c>
      <c r="I6" s="86" t="s">
        <v>61</v>
      </c>
      <c r="J6" s="86" t="s">
        <v>61</v>
      </c>
      <c r="K6" s="86"/>
      <c r="L6" s="86"/>
      <c r="M6" s="86" t="s">
        <v>61</v>
      </c>
      <c r="N6" s="86" t="s">
        <v>61</v>
      </c>
      <c r="O6" s="86" t="s">
        <v>61</v>
      </c>
      <c r="P6" s="86" t="s">
        <v>61</v>
      </c>
      <c r="Q6" s="86" t="s">
        <v>61</v>
      </c>
      <c r="R6" s="83" t="str">
        <f t="shared" si="0"/>
        <v>fora</v>
      </c>
    </row>
    <row r="7" spans="2:18" ht="15" customHeight="1">
      <c r="B7" s="116" t="s">
        <v>72</v>
      </c>
      <c r="C7" s="83" t="s">
        <v>17</v>
      </c>
      <c r="D7" s="26" t="s">
        <v>19</v>
      </c>
      <c r="E7" s="83" t="s">
        <v>34</v>
      </c>
      <c r="F7" s="86" t="s">
        <v>61</v>
      </c>
      <c r="G7" s="86" t="s">
        <v>61</v>
      </c>
      <c r="H7" s="86" t="s">
        <v>61</v>
      </c>
      <c r="I7" s="86" t="s">
        <v>61</v>
      </c>
      <c r="J7" s="86" t="s">
        <v>61</v>
      </c>
      <c r="K7" s="86"/>
      <c r="L7" s="86"/>
      <c r="M7" s="86" t="s">
        <v>61</v>
      </c>
      <c r="N7" s="86" t="s">
        <v>61</v>
      </c>
      <c r="O7" s="86" t="s">
        <v>61</v>
      </c>
      <c r="P7" s="86" t="s">
        <v>61</v>
      </c>
      <c r="Q7" s="86" t="s">
        <v>61</v>
      </c>
      <c r="R7" s="83" t="str">
        <f t="shared" si="0"/>
        <v>fora</v>
      </c>
    </row>
    <row r="8" spans="2:18" ht="15" customHeight="1">
      <c r="B8" s="7" t="s">
        <v>117</v>
      </c>
      <c r="C8" s="83" t="s">
        <v>118</v>
      </c>
      <c r="D8" s="26" t="s">
        <v>19</v>
      </c>
      <c r="E8" s="83" t="s">
        <v>118</v>
      </c>
      <c r="F8" s="86" t="s">
        <v>61</v>
      </c>
      <c r="G8" s="86" t="s">
        <v>61</v>
      </c>
      <c r="H8" s="86" t="s">
        <v>61</v>
      </c>
      <c r="I8" s="86" t="s">
        <v>61</v>
      </c>
      <c r="J8" s="86" t="s">
        <v>61</v>
      </c>
      <c r="K8" s="86"/>
      <c r="L8" s="86"/>
      <c r="M8" s="86" t="s">
        <v>61</v>
      </c>
      <c r="N8" s="86" t="s">
        <v>61</v>
      </c>
      <c r="O8" s="86" t="s">
        <v>61</v>
      </c>
      <c r="P8" s="86" t="s">
        <v>61</v>
      </c>
      <c r="Q8" s="86" t="s">
        <v>61</v>
      </c>
      <c r="R8" s="83" t="str">
        <f t="shared" si="0"/>
        <v>fora</v>
      </c>
    </row>
    <row r="9" spans="2:18" ht="15" customHeight="1">
      <c r="B9" s="7" t="s">
        <v>119</v>
      </c>
      <c r="C9" s="83" t="s">
        <v>10</v>
      </c>
      <c r="D9" s="26" t="s">
        <v>19</v>
      </c>
      <c r="E9" s="26" t="s">
        <v>10</v>
      </c>
      <c r="F9" s="86" t="s">
        <v>61</v>
      </c>
      <c r="G9" s="86" t="s">
        <v>61</v>
      </c>
      <c r="H9" s="86" t="s">
        <v>61</v>
      </c>
      <c r="I9" s="86" t="s">
        <v>61</v>
      </c>
      <c r="J9" s="86" t="s">
        <v>61</v>
      </c>
      <c r="K9" s="86"/>
      <c r="L9" s="86"/>
      <c r="M9" s="86" t="s">
        <v>61</v>
      </c>
      <c r="N9" s="86" t="s">
        <v>61</v>
      </c>
      <c r="O9" s="86" t="s">
        <v>61</v>
      </c>
      <c r="P9" s="86" t="s">
        <v>61</v>
      </c>
      <c r="Q9" s="86" t="s">
        <v>61</v>
      </c>
      <c r="R9" s="83" t="str">
        <f t="shared" si="0"/>
        <v>fora</v>
      </c>
    </row>
    <row r="10" spans="2:18" ht="15" customHeight="1">
      <c r="B10" s="7" t="s">
        <v>120</v>
      </c>
      <c r="C10" s="83" t="s">
        <v>121</v>
      </c>
      <c r="D10" s="26" t="s">
        <v>19</v>
      </c>
      <c r="E10" s="96" t="s">
        <v>121</v>
      </c>
      <c r="F10" s="86" t="s">
        <v>61</v>
      </c>
      <c r="G10" s="86" t="s">
        <v>61</v>
      </c>
      <c r="H10" s="86" t="s">
        <v>61</v>
      </c>
      <c r="I10" s="86" t="s">
        <v>61</v>
      </c>
      <c r="J10" s="86" t="s">
        <v>61</v>
      </c>
      <c r="K10" s="86"/>
      <c r="L10" s="86"/>
      <c r="M10" s="86" t="s">
        <v>61</v>
      </c>
      <c r="N10" s="86" t="s">
        <v>61</v>
      </c>
      <c r="O10" s="86" t="s">
        <v>61</v>
      </c>
      <c r="P10" s="86" t="s">
        <v>61</v>
      </c>
      <c r="Q10" s="86" t="s">
        <v>61</v>
      </c>
      <c r="R10" s="83" t="str">
        <f t="shared" si="0"/>
        <v>fora</v>
      </c>
    </row>
    <row r="11" spans="2:18" ht="15" customHeight="1">
      <c r="B11" s="7" t="s">
        <v>46</v>
      </c>
      <c r="C11" s="83" t="s">
        <v>10</v>
      </c>
      <c r="D11" s="83" t="s">
        <v>11</v>
      </c>
      <c r="E11" s="83" t="s">
        <v>10</v>
      </c>
      <c r="F11" s="144">
        <v>600</v>
      </c>
      <c r="G11" s="58">
        <f t="shared" ref="G11:G19" si="1">IFERROR(VLOOKUP($B11,regra,6,0),"?")</f>
        <v>0.16</v>
      </c>
      <c r="H11" s="58">
        <f t="shared" ref="H11:H19" si="2">IFERROR(VLOOKUP($B11,regra,7,0),"?")</f>
        <v>0.18</v>
      </c>
      <c r="I11" s="58">
        <f t="shared" ref="I11:I19" si="3">IFERROR(VLOOKUP($B11,regra,8,0),"?")</f>
        <v>0.22</v>
      </c>
      <c r="J11" s="85">
        <f t="shared" ref="J11:J19" si="4">IFERROR(VLOOKUP($B11,regra,5,0),"?")</f>
        <v>14000</v>
      </c>
      <c r="K11" s="88">
        <v>24407.339999999927</v>
      </c>
      <c r="L11" s="88">
        <v>960</v>
      </c>
      <c r="M11" s="88">
        <f t="shared" ref="M11:M34" si="5">L11+K11</f>
        <v>25367.339999999927</v>
      </c>
      <c r="N11" s="88">
        <f t="shared" ref="N11:N34" si="6">F11</f>
        <v>600</v>
      </c>
      <c r="O11" s="89">
        <f t="shared" ref="O11:O19" si="7">IF(M11&gt;J11,K11*H11,K11*G11)</f>
        <v>4393.3211999999867</v>
      </c>
      <c r="P11" s="89">
        <f t="shared" ref="P11:P19" si="8">L11*I11</f>
        <v>211.2</v>
      </c>
      <c r="Q11" s="88">
        <f t="shared" ref="Q11:Q27" si="9">SUM(N11:P11)</f>
        <v>5204.5211999999865</v>
      </c>
      <c r="R11" s="83" t="str">
        <f t="shared" si="0"/>
        <v>meta</v>
      </c>
    </row>
    <row r="12" spans="2:18" ht="15" customHeight="1">
      <c r="B12" s="7" t="s">
        <v>12</v>
      </c>
      <c r="C12" s="26" t="s">
        <v>10</v>
      </c>
      <c r="D12" s="26" t="s">
        <v>11</v>
      </c>
      <c r="E12" s="26" t="s">
        <v>10</v>
      </c>
      <c r="F12" s="144">
        <v>600</v>
      </c>
      <c r="G12" s="58">
        <f t="shared" si="1"/>
        <v>0.16</v>
      </c>
      <c r="H12" s="58">
        <f t="shared" si="2"/>
        <v>0.18</v>
      </c>
      <c r="I12" s="58">
        <f t="shared" si="3"/>
        <v>0.22</v>
      </c>
      <c r="J12" s="85">
        <f t="shared" si="4"/>
        <v>14000</v>
      </c>
      <c r="K12" s="88">
        <v>18228.579999999973</v>
      </c>
      <c r="L12" s="88">
        <v>678.75</v>
      </c>
      <c r="M12" s="88">
        <f t="shared" si="5"/>
        <v>18907.329999999973</v>
      </c>
      <c r="N12" s="88">
        <f t="shared" si="6"/>
        <v>600</v>
      </c>
      <c r="O12" s="89">
        <f t="shared" si="7"/>
        <v>3281.1443999999951</v>
      </c>
      <c r="P12" s="89">
        <f t="shared" si="8"/>
        <v>149.32499999999999</v>
      </c>
      <c r="Q12" s="88">
        <f t="shared" si="9"/>
        <v>4030.4693999999949</v>
      </c>
      <c r="R12" s="83" t="str">
        <f t="shared" si="0"/>
        <v>meta</v>
      </c>
    </row>
    <row r="13" spans="2:18" ht="15" customHeight="1">
      <c r="B13" s="7" t="s">
        <v>48</v>
      </c>
      <c r="C13" s="83" t="s">
        <v>10</v>
      </c>
      <c r="D13" s="83" t="s">
        <v>14</v>
      </c>
      <c r="E13" s="83" t="s">
        <v>10</v>
      </c>
      <c r="F13" s="144">
        <v>600</v>
      </c>
      <c r="G13" s="58">
        <f t="shared" si="1"/>
        <v>0.16</v>
      </c>
      <c r="H13" s="58">
        <f t="shared" si="2"/>
        <v>0.18</v>
      </c>
      <c r="I13" s="58">
        <f t="shared" si="3"/>
        <v>0.25</v>
      </c>
      <c r="J13" s="85">
        <f t="shared" si="4"/>
        <v>13000</v>
      </c>
      <c r="K13" s="88">
        <v>14440.579999999989</v>
      </c>
      <c r="L13" s="88">
        <v>1045</v>
      </c>
      <c r="M13" s="88">
        <f t="shared" si="5"/>
        <v>15485.579999999989</v>
      </c>
      <c r="N13" s="88">
        <f t="shared" si="6"/>
        <v>600</v>
      </c>
      <c r="O13" s="89">
        <f t="shared" si="7"/>
        <v>2599.3043999999977</v>
      </c>
      <c r="P13" s="89">
        <f t="shared" si="8"/>
        <v>261.25</v>
      </c>
      <c r="Q13" s="88">
        <f t="shared" si="9"/>
        <v>3460.5543999999977</v>
      </c>
      <c r="R13" s="83" t="str">
        <f t="shared" si="0"/>
        <v>meta</v>
      </c>
    </row>
    <row r="14" spans="2:18" ht="15" customHeight="1">
      <c r="B14" s="7" t="s">
        <v>50</v>
      </c>
      <c r="C14" s="83" t="s">
        <v>10</v>
      </c>
      <c r="D14" s="83" t="s">
        <v>14</v>
      </c>
      <c r="E14" s="83" t="s">
        <v>10</v>
      </c>
      <c r="F14" s="144">
        <v>600</v>
      </c>
      <c r="G14" s="58">
        <f t="shared" si="1"/>
        <v>0.16</v>
      </c>
      <c r="H14" s="58">
        <f t="shared" si="2"/>
        <v>0.18</v>
      </c>
      <c r="I14" s="58">
        <f t="shared" si="3"/>
        <v>0.25</v>
      </c>
      <c r="J14" s="85">
        <f t="shared" si="4"/>
        <v>13000</v>
      </c>
      <c r="K14" s="88">
        <v>12549.439999999999</v>
      </c>
      <c r="L14" s="88">
        <v>2345</v>
      </c>
      <c r="M14" s="88">
        <f t="shared" si="5"/>
        <v>14894.439999999999</v>
      </c>
      <c r="N14" s="88">
        <f t="shared" si="6"/>
        <v>600</v>
      </c>
      <c r="O14" s="89">
        <f t="shared" si="7"/>
        <v>2258.8991999999998</v>
      </c>
      <c r="P14" s="89">
        <f t="shared" si="8"/>
        <v>586.25</v>
      </c>
      <c r="Q14" s="88">
        <f t="shared" si="9"/>
        <v>3445.1491999999998</v>
      </c>
      <c r="R14" s="83" t="str">
        <f t="shared" si="0"/>
        <v>meta</v>
      </c>
    </row>
    <row r="15" spans="2:18" ht="15" customHeight="1">
      <c r="B15" s="7" t="s">
        <v>75</v>
      </c>
      <c r="C15" s="83" t="s">
        <v>17</v>
      </c>
      <c r="D15" s="26" t="s">
        <v>19</v>
      </c>
      <c r="E15" s="83" t="s">
        <v>34</v>
      </c>
      <c r="F15" s="144">
        <v>600</v>
      </c>
      <c r="G15" s="58">
        <f t="shared" si="1"/>
        <v>0.2</v>
      </c>
      <c r="H15" s="58">
        <f t="shared" si="2"/>
        <v>0.22</v>
      </c>
      <c r="I15" s="58">
        <f t="shared" si="3"/>
        <v>0.25</v>
      </c>
      <c r="J15" s="85">
        <f t="shared" si="4"/>
        <v>13000</v>
      </c>
      <c r="K15" s="88">
        <v>10317.779999999995</v>
      </c>
      <c r="L15" s="88">
        <v>410</v>
      </c>
      <c r="M15" s="88">
        <f t="shared" si="5"/>
        <v>10727.779999999995</v>
      </c>
      <c r="N15" s="88">
        <f t="shared" si="6"/>
        <v>600</v>
      </c>
      <c r="O15" s="89">
        <f t="shared" si="7"/>
        <v>2063.5559999999991</v>
      </c>
      <c r="P15" s="89">
        <f t="shared" si="8"/>
        <v>102.5</v>
      </c>
      <c r="Q15" s="88">
        <f t="shared" si="9"/>
        <v>2766.0559999999991</v>
      </c>
      <c r="R15" s="83" t="str">
        <f t="shared" si="0"/>
        <v>fora</v>
      </c>
    </row>
    <row r="16" spans="2:18" ht="15" customHeight="1">
      <c r="B16" s="7" t="s">
        <v>70</v>
      </c>
      <c r="C16" s="83" t="s">
        <v>17</v>
      </c>
      <c r="D16" s="26" t="s">
        <v>19</v>
      </c>
      <c r="E16" s="83" t="s">
        <v>34</v>
      </c>
      <c r="F16" s="144">
        <v>600</v>
      </c>
      <c r="G16" s="58">
        <f t="shared" si="1"/>
        <v>0.2</v>
      </c>
      <c r="H16" s="58">
        <f t="shared" si="2"/>
        <v>0.22</v>
      </c>
      <c r="I16" s="58">
        <f t="shared" si="3"/>
        <v>0.25</v>
      </c>
      <c r="J16" s="85">
        <f t="shared" si="4"/>
        <v>13000</v>
      </c>
      <c r="K16" s="88">
        <v>8696.1</v>
      </c>
      <c r="L16" s="88">
        <v>180</v>
      </c>
      <c r="M16" s="88">
        <f t="shared" si="5"/>
        <v>8876.1</v>
      </c>
      <c r="N16" s="88">
        <f t="shared" si="6"/>
        <v>600</v>
      </c>
      <c r="O16" s="89">
        <f t="shared" si="7"/>
        <v>1739.2200000000003</v>
      </c>
      <c r="P16" s="89">
        <f t="shared" si="8"/>
        <v>45</v>
      </c>
      <c r="Q16" s="88">
        <f t="shared" si="9"/>
        <v>2384.2200000000003</v>
      </c>
      <c r="R16" s="83" t="str">
        <f t="shared" si="0"/>
        <v>fora</v>
      </c>
    </row>
    <row r="17" spans="2:19" ht="15" customHeight="1">
      <c r="B17" s="7" t="s">
        <v>68</v>
      </c>
      <c r="C17" s="83" t="s">
        <v>17</v>
      </c>
      <c r="D17" s="26" t="s">
        <v>19</v>
      </c>
      <c r="E17" s="26" t="s">
        <v>34</v>
      </c>
      <c r="F17" s="144">
        <v>600</v>
      </c>
      <c r="G17" s="58">
        <f t="shared" si="1"/>
        <v>0.2</v>
      </c>
      <c r="H17" s="58">
        <f t="shared" si="2"/>
        <v>0.22</v>
      </c>
      <c r="I17" s="58">
        <f t="shared" si="3"/>
        <v>0.25</v>
      </c>
      <c r="J17" s="85">
        <f t="shared" si="4"/>
        <v>13000</v>
      </c>
      <c r="K17" s="88">
        <v>8563.2500000000164</v>
      </c>
      <c r="L17" s="88">
        <v>180</v>
      </c>
      <c r="M17" s="88">
        <f t="shared" si="5"/>
        <v>8743.2500000000164</v>
      </c>
      <c r="N17" s="88">
        <f t="shared" si="6"/>
        <v>600</v>
      </c>
      <c r="O17" s="89">
        <f t="shared" si="7"/>
        <v>1712.6500000000033</v>
      </c>
      <c r="P17" s="89">
        <f t="shared" si="8"/>
        <v>45</v>
      </c>
      <c r="Q17" s="88">
        <f t="shared" si="9"/>
        <v>2357.6500000000033</v>
      </c>
      <c r="R17" s="83" t="str">
        <f t="shared" si="0"/>
        <v>fora</v>
      </c>
    </row>
    <row r="18" spans="2:19" ht="15" customHeight="1">
      <c r="B18" s="7" t="s">
        <v>77</v>
      </c>
      <c r="C18" s="26" t="s">
        <v>17</v>
      </c>
      <c r="D18" s="26" t="s">
        <v>14</v>
      </c>
      <c r="E18" s="26" t="s">
        <v>17</v>
      </c>
      <c r="F18" s="144">
        <v>600</v>
      </c>
      <c r="G18" s="58">
        <f t="shared" si="1"/>
        <v>0.16</v>
      </c>
      <c r="H18" s="58">
        <f t="shared" si="2"/>
        <v>0.18</v>
      </c>
      <c r="I18" s="58">
        <f t="shared" si="3"/>
        <v>0.25</v>
      </c>
      <c r="J18" s="85">
        <f t="shared" si="4"/>
        <v>8000</v>
      </c>
      <c r="K18" s="88">
        <v>4166.640000000004</v>
      </c>
      <c r="L18" s="88">
        <v>3455</v>
      </c>
      <c r="M18" s="88">
        <f t="shared" si="5"/>
        <v>7621.640000000004</v>
      </c>
      <c r="N18" s="88">
        <f t="shared" si="6"/>
        <v>600</v>
      </c>
      <c r="O18" s="89">
        <f t="shared" si="7"/>
        <v>666.66240000000062</v>
      </c>
      <c r="P18" s="89">
        <f t="shared" si="8"/>
        <v>863.75</v>
      </c>
      <c r="Q18" s="88">
        <f t="shared" si="9"/>
        <v>2130.4124000000006</v>
      </c>
      <c r="R18" s="83" t="str">
        <f t="shared" si="0"/>
        <v>fora</v>
      </c>
    </row>
    <row r="19" spans="2:19" ht="15" customHeight="1">
      <c r="B19" s="7" t="s">
        <v>58</v>
      </c>
      <c r="C19" s="83" t="s">
        <v>17</v>
      </c>
      <c r="D19" s="26" t="s">
        <v>19</v>
      </c>
      <c r="E19" s="83" t="s">
        <v>17</v>
      </c>
      <c r="F19" s="144">
        <v>600</v>
      </c>
      <c r="G19" s="58">
        <f t="shared" si="1"/>
        <v>0.12</v>
      </c>
      <c r="H19" s="58">
        <f t="shared" si="2"/>
        <v>0.14000000000000001</v>
      </c>
      <c r="I19" s="58">
        <f t="shared" si="3"/>
        <v>0.22</v>
      </c>
      <c r="J19" s="85">
        <f t="shared" si="4"/>
        <v>13000</v>
      </c>
      <c r="K19" s="88">
        <v>11984.270000000028</v>
      </c>
      <c r="L19" s="88"/>
      <c r="M19" s="88">
        <f t="shared" si="5"/>
        <v>11984.270000000028</v>
      </c>
      <c r="N19" s="88">
        <f t="shared" si="6"/>
        <v>600</v>
      </c>
      <c r="O19" s="89">
        <f t="shared" si="7"/>
        <v>1438.1124000000032</v>
      </c>
      <c r="P19" s="89">
        <f t="shared" si="8"/>
        <v>0</v>
      </c>
      <c r="Q19" s="88">
        <f t="shared" si="9"/>
        <v>2038.1124000000032</v>
      </c>
      <c r="R19" s="83" t="str">
        <f t="shared" si="0"/>
        <v>fora</v>
      </c>
    </row>
    <row r="20" spans="2:19">
      <c r="B20" s="114" t="s">
        <v>85</v>
      </c>
      <c r="C20" s="26" t="s">
        <v>17</v>
      </c>
      <c r="D20" s="26" t="s">
        <v>19</v>
      </c>
      <c r="E20" s="130" t="s">
        <v>116</v>
      </c>
      <c r="F20" s="26">
        <v>0</v>
      </c>
      <c r="G20" s="131">
        <v>0.4</v>
      </c>
      <c r="H20" s="26">
        <v>0</v>
      </c>
      <c r="I20" s="26">
        <v>0</v>
      </c>
      <c r="J20" s="133">
        <v>0</v>
      </c>
      <c r="K20" s="133">
        <v>2501.9699999999998</v>
      </c>
      <c r="L20" s="133">
        <v>0</v>
      </c>
      <c r="M20" s="132">
        <f t="shared" si="5"/>
        <v>2501.9699999999998</v>
      </c>
      <c r="N20" s="133">
        <f t="shared" si="6"/>
        <v>0</v>
      </c>
      <c r="O20" s="133">
        <f>K20*G20</f>
        <v>1000.788</v>
      </c>
      <c r="P20" s="133">
        <f>M20*G20</f>
        <v>1000.788</v>
      </c>
      <c r="Q20" s="132">
        <f t="shared" si="9"/>
        <v>2001.576</v>
      </c>
      <c r="R20" s="26" t="s">
        <v>122</v>
      </c>
    </row>
    <row r="21" spans="2:19">
      <c r="B21" s="7" t="s">
        <v>54</v>
      </c>
      <c r="C21" s="83" t="s">
        <v>17</v>
      </c>
      <c r="D21" s="26" t="s">
        <v>14</v>
      </c>
      <c r="E21" s="26" t="s">
        <v>17</v>
      </c>
      <c r="F21" s="144">
        <v>600</v>
      </c>
      <c r="G21" s="58">
        <f>IFERROR(VLOOKUP($B21,regra,6,0),"?")</f>
        <v>0.16</v>
      </c>
      <c r="H21" s="58">
        <f>IFERROR(VLOOKUP($B21,regra,7,0),"?")</f>
        <v>0.18</v>
      </c>
      <c r="I21" s="58">
        <f>IFERROR(VLOOKUP($B21,regra,8,0),"?")</f>
        <v>0.25</v>
      </c>
      <c r="J21" s="85">
        <f>IFERROR(VLOOKUP($B21,regra,5,0),"?")</f>
        <v>8000</v>
      </c>
      <c r="K21" s="88">
        <v>4199.37</v>
      </c>
      <c r="L21" s="88">
        <v>2790</v>
      </c>
      <c r="M21" s="88">
        <f t="shared" si="5"/>
        <v>6989.37</v>
      </c>
      <c r="N21" s="88">
        <f t="shared" si="6"/>
        <v>600</v>
      </c>
      <c r="O21" s="89">
        <f t="shared" ref="O21:O34" si="10">IF(M21&gt;J21,K21*H21,K21*G21)</f>
        <v>671.89919999999995</v>
      </c>
      <c r="P21" s="89">
        <f t="shared" ref="P21:P34" si="11">L21*I21</f>
        <v>697.5</v>
      </c>
      <c r="Q21" s="88">
        <f t="shared" si="9"/>
        <v>1969.3991999999998</v>
      </c>
      <c r="R21" s="83" t="str">
        <f t="shared" ref="R21:R34" si="12">IF(M21&gt;J21,"meta","fora")</f>
        <v>fora</v>
      </c>
    </row>
    <row r="22" spans="2:19">
      <c r="B22" s="7" t="s">
        <v>82</v>
      </c>
      <c r="C22" s="26" t="s">
        <v>17</v>
      </c>
      <c r="D22" s="26" t="s">
        <v>14</v>
      </c>
      <c r="E22" s="26" t="s">
        <v>17</v>
      </c>
      <c r="F22" s="144">
        <v>600</v>
      </c>
      <c r="G22" s="58">
        <v>0.16</v>
      </c>
      <c r="H22" s="58">
        <v>0.18</v>
      </c>
      <c r="I22" s="58">
        <v>0.25</v>
      </c>
      <c r="J22" s="85">
        <v>8000</v>
      </c>
      <c r="K22" s="111">
        <v>5083.7900000000018</v>
      </c>
      <c r="L22" s="111">
        <v>1835</v>
      </c>
      <c r="M22" s="88">
        <f t="shared" si="5"/>
        <v>6918.7900000000018</v>
      </c>
      <c r="N22" s="88">
        <f t="shared" si="6"/>
        <v>600</v>
      </c>
      <c r="O22" s="89">
        <f t="shared" si="10"/>
        <v>813.4064000000003</v>
      </c>
      <c r="P22" s="89">
        <f t="shared" si="11"/>
        <v>458.75</v>
      </c>
      <c r="Q22" s="88">
        <f t="shared" si="9"/>
        <v>1872.1564000000003</v>
      </c>
      <c r="R22" s="83" t="str">
        <f t="shared" si="12"/>
        <v>fora</v>
      </c>
    </row>
    <row r="23" spans="2:19">
      <c r="B23" s="7" t="s">
        <v>56</v>
      </c>
      <c r="C23" s="83" t="s">
        <v>17</v>
      </c>
      <c r="D23" s="83" t="s">
        <v>14</v>
      </c>
      <c r="E23" s="83" t="s">
        <v>17</v>
      </c>
      <c r="F23" s="144">
        <v>600</v>
      </c>
      <c r="G23" s="58">
        <f>IFERROR(VLOOKUP($B23,regra,6,0),"?")</f>
        <v>0.16</v>
      </c>
      <c r="H23" s="58">
        <f>IFERROR(VLOOKUP($B23,regra,7,0),"?")</f>
        <v>0.18</v>
      </c>
      <c r="I23" s="58">
        <f>IFERROR(VLOOKUP($B23,regra,8,0),"?")</f>
        <v>0.25</v>
      </c>
      <c r="J23" s="85">
        <f>IFERROR(VLOOKUP($B23,regra,5,0),"?")</f>
        <v>8000</v>
      </c>
      <c r="K23" s="88">
        <v>5728.6800000000021</v>
      </c>
      <c r="L23" s="88">
        <v>1115</v>
      </c>
      <c r="M23" s="88">
        <f t="shared" si="5"/>
        <v>6843.6800000000021</v>
      </c>
      <c r="N23" s="88">
        <f t="shared" si="6"/>
        <v>600</v>
      </c>
      <c r="O23" s="89">
        <f t="shared" si="10"/>
        <v>916.58880000000033</v>
      </c>
      <c r="P23" s="89">
        <f t="shared" si="11"/>
        <v>278.75</v>
      </c>
      <c r="Q23" s="88">
        <f t="shared" si="9"/>
        <v>1795.3388000000004</v>
      </c>
      <c r="R23" s="83" t="str">
        <f t="shared" si="12"/>
        <v>fora</v>
      </c>
    </row>
    <row r="24" spans="2:19">
      <c r="B24" s="7" t="s">
        <v>55</v>
      </c>
      <c r="C24" s="26" t="s">
        <v>17</v>
      </c>
      <c r="D24" s="26" t="s">
        <v>19</v>
      </c>
      <c r="E24" s="96" t="s">
        <v>17</v>
      </c>
      <c r="F24" s="146">
        <v>600</v>
      </c>
      <c r="G24" s="58">
        <v>0.12</v>
      </c>
      <c r="H24" s="58">
        <v>0.14000000000000001</v>
      </c>
      <c r="I24" s="58">
        <v>0.22</v>
      </c>
      <c r="J24" s="85">
        <v>13000</v>
      </c>
      <c r="K24" s="111">
        <v>9646.33</v>
      </c>
      <c r="L24" s="111">
        <v>120</v>
      </c>
      <c r="M24" s="88">
        <f t="shared" si="5"/>
        <v>9766.33</v>
      </c>
      <c r="N24" s="88">
        <f t="shared" si="6"/>
        <v>600</v>
      </c>
      <c r="O24" s="89">
        <f t="shared" si="10"/>
        <v>1157.5596</v>
      </c>
      <c r="P24" s="89">
        <f t="shared" si="11"/>
        <v>26.4</v>
      </c>
      <c r="Q24" s="88">
        <f t="shared" si="9"/>
        <v>1783.9596000000001</v>
      </c>
      <c r="R24" s="83" t="str">
        <f t="shared" si="12"/>
        <v>fora</v>
      </c>
    </row>
    <row r="25" spans="2:19">
      <c r="B25" s="7" t="s">
        <v>67</v>
      </c>
      <c r="C25" s="83" t="s">
        <v>17</v>
      </c>
      <c r="D25" s="26" t="s">
        <v>19</v>
      </c>
      <c r="E25" s="83" t="s">
        <v>31</v>
      </c>
      <c r="F25" s="144">
        <v>600</v>
      </c>
      <c r="G25" s="58">
        <f>IFERROR(VLOOKUP($B25,regra,6,0),"?")</f>
        <v>0.2</v>
      </c>
      <c r="H25" s="58">
        <f>IFERROR(VLOOKUP($B25,regra,7,0),"?")</f>
        <v>0.22</v>
      </c>
      <c r="I25" s="58">
        <f>IFERROR(VLOOKUP($B25,regra,8,0),"?")</f>
        <v>0.25</v>
      </c>
      <c r="J25" s="85">
        <f>IFERROR(VLOOKUP($B25,regra,5,0),"?")</f>
        <v>8000</v>
      </c>
      <c r="K25" s="88">
        <v>5789.6199999999981</v>
      </c>
      <c r="L25" s="88"/>
      <c r="M25" s="88">
        <f t="shared" si="5"/>
        <v>5789.6199999999981</v>
      </c>
      <c r="N25" s="88">
        <f t="shared" si="6"/>
        <v>600</v>
      </c>
      <c r="O25" s="89">
        <f t="shared" si="10"/>
        <v>1157.9239999999998</v>
      </c>
      <c r="P25" s="89">
        <f t="shared" si="11"/>
        <v>0</v>
      </c>
      <c r="Q25" s="88">
        <f t="shared" si="9"/>
        <v>1757.9239999999998</v>
      </c>
      <c r="R25" s="83" t="str">
        <f t="shared" si="12"/>
        <v>fora</v>
      </c>
    </row>
    <row r="26" spans="2:19">
      <c r="B26" s="7" t="s">
        <v>51</v>
      </c>
      <c r="C26" s="83" t="s">
        <v>17</v>
      </c>
      <c r="D26" s="26" t="s">
        <v>19</v>
      </c>
      <c r="E26" s="83" t="s">
        <v>17</v>
      </c>
      <c r="F26" s="134">
        <f>600-120</f>
        <v>480</v>
      </c>
      <c r="G26" s="58">
        <f>IFERROR(VLOOKUP($B26,regra,6,0),"?")</f>
        <v>0.12</v>
      </c>
      <c r="H26" s="58">
        <f>IFERROR(VLOOKUP($B26,regra,7,0),"?")</f>
        <v>0.14000000000000001</v>
      </c>
      <c r="I26" s="58">
        <f>IFERROR(VLOOKUP($B26,regra,8,0),"?")</f>
        <v>0.22</v>
      </c>
      <c r="J26" s="85">
        <f>IFERROR(VLOOKUP($B26,regra,5,0),"?")</f>
        <v>13000</v>
      </c>
      <c r="K26" s="88">
        <v>10014.620000000001</v>
      </c>
      <c r="L26" s="88">
        <v>120</v>
      </c>
      <c r="M26" s="88">
        <f t="shared" si="5"/>
        <v>10134.620000000001</v>
      </c>
      <c r="N26" s="88">
        <f t="shared" si="6"/>
        <v>480</v>
      </c>
      <c r="O26" s="89">
        <f t="shared" si="10"/>
        <v>1201.7544</v>
      </c>
      <c r="P26" s="89">
        <f t="shared" si="11"/>
        <v>26.4</v>
      </c>
      <c r="Q26" s="88">
        <f t="shared" si="9"/>
        <v>1708.1544000000001</v>
      </c>
      <c r="R26" s="83" t="str">
        <f t="shared" si="12"/>
        <v>fora</v>
      </c>
    </row>
    <row r="27" spans="2:19" s="87" customFormat="1">
      <c r="B27" s="7" t="s">
        <v>59</v>
      </c>
      <c r="C27" s="26" t="s">
        <v>17</v>
      </c>
      <c r="D27" s="26" t="s">
        <v>19</v>
      </c>
      <c r="E27" s="96" t="s">
        <v>17</v>
      </c>
      <c r="F27" s="144">
        <v>600</v>
      </c>
      <c r="G27" s="58">
        <f>IFERROR(VLOOKUP($B27,regra,6,0),"?")</f>
        <v>0.12</v>
      </c>
      <c r="H27" s="58">
        <f>IFERROR(VLOOKUP($B27,regra,7,0),"?")</f>
        <v>0.14000000000000001</v>
      </c>
      <c r="I27" s="58">
        <f>IFERROR(VLOOKUP($B27,regra,8,0),"?")</f>
        <v>0.22</v>
      </c>
      <c r="J27" s="85">
        <f>IFERROR(VLOOKUP($B27,regra,5,0),"?")</f>
        <v>13000</v>
      </c>
      <c r="K27" s="88">
        <v>7464.6899999999796</v>
      </c>
      <c r="L27" s="88">
        <v>732.23</v>
      </c>
      <c r="M27" s="88">
        <f t="shared" si="5"/>
        <v>8196.9199999999801</v>
      </c>
      <c r="N27" s="88">
        <f t="shared" si="6"/>
        <v>600</v>
      </c>
      <c r="O27" s="89">
        <f t="shared" si="10"/>
        <v>895.76279999999747</v>
      </c>
      <c r="P27" s="89">
        <f t="shared" si="11"/>
        <v>161.09059999999999</v>
      </c>
      <c r="Q27" s="88">
        <f t="shared" si="9"/>
        <v>1656.8533999999975</v>
      </c>
      <c r="R27" s="83" t="str">
        <f t="shared" si="12"/>
        <v>fora</v>
      </c>
      <c r="S27" s="10"/>
    </row>
    <row r="28" spans="2:19">
      <c r="B28" s="7" t="s">
        <v>66</v>
      </c>
      <c r="C28" s="83" t="s">
        <v>17</v>
      </c>
      <c r="D28" s="26" t="s">
        <v>19</v>
      </c>
      <c r="E28" s="83" t="s">
        <v>31</v>
      </c>
      <c r="F28" s="134">
        <f>600-40</f>
        <v>560</v>
      </c>
      <c r="G28" s="58">
        <f>IFERROR(VLOOKUP($B28,regra,6,0),"?")</f>
        <v>0.2</v>
      </c>
      <c r="H28" s="58">
        <f>IFERROR(VLOOKUP($B28,regra,7,0),"?")</f>
        <v>0.22</v>
      </c>
      <c r="I28" s="58">
        <f>IFERROR(VLOOKUP($B28,regra,8,0),"?")</f>
        <v>0.25</v>
      </c>
      <c r="J28" s="85">
        <f>IFERROR(VLOOKUP($B28,regra,5,0),"?")</f>
        <v>8000</v>
      </c>
      <c r="K28" s="88">
        <v>3491.03</v>
      </c>
      <c r="L28" s="88">
        <v>1400</v>
      </c>
      <c r="M28" s="88">
        <f t="shared" si="5"/>
        <v>4891.0300000000007</v>
      </c>
      <c r="N28" s="88">
        <f t="shared" si="6"/>
        <v>560</v>
      </c>
      <c r="O28" s="89">
        <f t="shared" si="10"/>
        <v>698.20600000000013</v>
      </c>
      <c r="P28" s="89">
        <f t="shared" si="11"/>
        <v>350</v>
      </c>
      <c r="Q28" s="109">
        <f>SUM(N28:P28)-49.19</f>
        <v>1559.0160000000001</v>
      </c>
      <c r="R28" s="83" t="str">
        <f t="shared" si="12"/>
        <v>fora</v>
      </c>
    </row>
    <row r="29" spans="2:19" s="87" customFormat="1">
      <c r="B29" s="7" t="s">
        <v>83</v>
      </c>
      <c r="C29" s="26" t="s">
        <v>17</v>
      </c>
      <c r="D29" s="26" t="s">
        <v>19</v>
      </c>
      <c r="E29" s="96" t="s">
        <v>17</v>
      </c>
      <c r="F29" s="146">
        <f>600/31*27</f>
        <v>522.58064516129036</v>
      </c>
      <c r="G29" s="58">
        <v>0.12</v>
      </c>
      <c r="H29" s="58">
        <v>0.14000000000000001</v>
      </c>
      <c r="I29" s="58">
        <v>0.22</v>
      </c>
      <c r="J29" s="85">
        <v>13000</v>
      </c>
      <c r="K29" s="111">
        <v>8343.1700000000164</v>
      </c>
      <c r="L29" s="111">
        <v>60</v>
      </c>
      <c r="M29" s="88">
        <f t="shared" si="5"/>
        <v>8403.1700000000164</v>
      </c>
      <c r="N29" s="88">
        <f t="shared" si="6"/>
        <v>522.58064516129036</v>
      </c>
      <c r="O29" s="89">
        <f t="shared" si="10"/>
        <v>1001.1804000000019</v>
      </c>
      <c r="P29" s="89">
        <f t="shared" si="11"/>
        <v>13.2</v>
      </c>
      <c r="Q29" s="88">
        <f t="shared" ref="Q29:Q34" si="13">SUM(N29:P29)</f>
        <v>1536.9610451612923</v>
      </c>
      <c r="R29" s="83" t="str">
        <f t="shared" si="12"/>
        <v>fora</v>
      </c>
      <c r="S29" s="10"/>
    </row>
    <row r="30" spans="2:19">
      <c r="B30" s="7" t="s">
        <v>74</v>
      </c>
      <c r="C30" s="83" t="s">
        <v>17</v>
      </c>
      <c r="D30" s="83" t="s">
        <v>11</v>
      </c>
      <c r="E30" s="83" t="s">
        <v>17</v>
      </c>
      <c r="F30" s="144">
        <v>600</v>
      </c>
      <c r="G30" s="58">
        <f>IFERROR(VLOOKUP($B30,regra,6,0),"?")</f>
        <v>0.12</v>
      </c>
      <c r="H30" s="58">
        <f>IFERROR(VLOOKUP($B30,regra,7,0),"?")</f>
        <v>0.14000000000000001</v>
      </c>
      <c r="I30" s="58">
        <f>IFERROR(VLOOKUP($B30,regra,8,0),"?")</f>
        <v>0.22</v>
      </c>
      <c r="J30" s="85">
        <f>IFERROR(VLOOKUP($B30,regra,5,0),"?")</f>
        <v>13000</v>
      </c>
      <c r="K30" s="88">
        <v>4845.6000000000004</v>
      </c>
      <c r="L30" s="88">
        <v>1105.56</v>
      </c>
      <c r="M30" s="88">
        <f t="shared" si="5"/>
        <v>5951.16</v>
      </c>
      <c r="N30" s="88">
        <f t="shared" si="6"/>
        <v>600</v>
      </c>
      <c r="O30" s="89">
        <f t="shared" si="10"/>
        <v>581.47199999999998</v>
      </c>
      <c r="P30" s="89">
        <f t="shared" si="11"/>
        <v>243.22319999999999</v>
      </c>
      <c r="Q30" s="88">
        <f t="shared" si="13"/>
        <v>1424.6951999999999</v>
      </c>
      <c r="R30" s="83" t="str">
        <f t="shared" si="12"/>
        <v>fora</v>
      </c>
    </row>
    <row r="31" spans="2:19">
      <c r="B31" s="7" t="s">
        <v>79</v>
      </c>
      <c r="C31" s="26" t="s">
        <v>17</v>
      </c>
      <c r="D31" s="26" t="s">
        <v>11</v>
      </c>
      <c r="E31" s="26" t="s">
        <v>17</v>
      </c>
      <c r="F31" s="144">
        <v>600</v>
      </c>
      <c r="G31" s="58">
        <f>IFERROR(VLOOKUP($B31,regra,6,0),"?")</f>
        <v>0.12</v>
      </c>
      <c r="H31" s="58">
        <f>IFERROR(VLOOKUP($B31,regra,7,0),"?")</f>
        <v>0.14000000000000001</v>
      </c>
      <c r="I31" s="58">
        <f>IFERROR(VLOOKUP($B31,regra,8,0),"?")</f>
        <v>0.22</v>
      </c>
      <c r="J31" s="85">
        <f>IFERROR(VLOOKUP($B31,regra,5,0),"?")</f>
        <v>13000</v>
      </c>
      <c r="K31" s="88">
        <v>4988.7000000000016</v>
      </c>
      <c r="L31" s="88">
        <v>1000</v>
      </c>
      <c r="M31" s="88">
        <f t="shared" si="5"/>
        <v>5988.7000000000016</v>
      </c>
      <c r="N31" s="88">
        <f t="shared" si="6"/>
        <v>600</v>
      </c>
      <c r="O31" s="89">
        <f t="shared" si="10"/>
        <v>598.64400000000012</v>
      </c>
      <c r="P31" s="89">
        <f t="shared" si="11"/>
        <v>220</v>
      </c>
      <c r="Q31" s="88">
        <f t="shared" si="13"/>
        <v>1418.6440000000002</v>
      </c>
      <c r="R31" s="83" t="str">
        <f t="shared" si="12"/>
        <v>fora</v>
      </c>
    </row>
    <row r="32" spans="2:19">
      <c r="B32" s="7" t="s">
        <v>81</v>
      </c>
      <c r="C32" s="26" t="s">
        <v>17</v>
      </c>
      <c r="D32" s="26" t="s">
        <v>11</v>
      </c>
      <c r="E32" s="26" t="s">
        <v>17</v>
      </c>
      <c r="F32" s="144">
        <v>600</v>
      </c>
      <c r="G32" s="58">
        <f>IFERROR(VLOOKUP($B32,regra,6,0),"?")</f>
        <v>0.12</v>
      </c>
      <c r="H32" s="58">
        <f>IFERROR(VLOOKUP($B32,regra,7,0),"?")</f>
        <v>0.14000000000000001</v>
      </c>
      <c r="I32" s="58">
        <f>IFERROR(VLOOKUP($B32,regra,8,0),"?")</f>
        <v>0.22</v>
      </c>
      <c r="J32" s="85">
        <f>IFERROR(VLOOKUP($B32,regra,5,0),"?")</f>
        <v>13000</v>
      </c>
      <c r="K32" s="111">
        <v>6113.5899999999956</v>
      </c>
      <c r="L32" s="111">
        <v>240</v>
      </c>
      <c r="M32" s="88">
        <f t="shared" si="5"/>
        <v>6353.5899999999956</v>
      </c>
      <c r="N32" s="88">
        <f t="shared" si="6"/>
        <v>600</v>
      </c>
      <c r="O32" s="89">
        <f t="shared" si="10"/>
        <v>733.63079999999945</v>
      </c>
      <c r="P32" s="89">
        <f t="shared" si="11"/>
        <v>52.8</v>
      </c>
      <c r="Q32" s="88">
        <f t="shared" si="13"/>
        <v>1386.4307999999994</v>
      </c>
      <c r="R32" s="83" t="str">
        <f t="shared" si="12"/>
        <v>fora</v>
      </c>
    </row>
    <row r="33" spans="2:18">
      <c r="B33" s="7" t="s">
        <v>84</v>
      </c>
      <c r="C33" s="26" t="s">
        <v>17</v>
      </c>
      <c r="D33" s="26" t="s">
        <v>19</v>
      </c>
      <c r="E33" s="96" t="s">
        <v>17</v>
      </c>
      <c r="F33" s="146">
        <f>600/31*27</f>
        <v>522.58064516129036</v>
      </c>
      <c r="G33" s="58">
        <v>0.12</v>
      </c>
      <c r="H33" s="58">
        <v>0.14000000000000001</v>
      </c>
      <c r="I33" s="58">
        <v>0.22</v>
      </c>
      <c r="J33" s="85">
        <v>13000</v>
      </c>
      <c r="K33" s="111">
        <v>3603.8700000000049</v>
      </c>
      <c r="L33" s="111">
        <v>1170</v>
      </c>
      <c r="M33" s="88">
        <f t="shared" si="5"/>
        <v>4773.8700000000044</v>
      </c>
      <c r="N33" s="88">
        <f t="shared" si="6"/>
        <v>522.58064516129036</v>
      </c>
      <c r="O33" s="89">
        <f t="shared" si="10"/>
        <v>432.46440000000058</v>
      </c>
      <c r="P33" s="89">
        <f t="shared" si="11"/>
        <v>257.39999999999998</v>
      </c>
      <c r="Q33" s="88">
        <f t="shared" si="13"/>
        <v>1212.4450451612911</v>
      </c>
      <c r="R33" s="83" t="str">
        <f t="shared" si="12"/>
        <v>fora</v>
      </c>
    </row>
    <row r="34" spans="2:18">
      <c r="B34" s="7" t="s">
        <v>80</v>
      </c>
      <c r="C34" s="26" t="s">
        <v>17</v>
      </c>
      <c r="D34" s="26" t="s">
        <v>11</v>
      </c>
      <c r="E34" s="26" t="s">
        <v>17</v>
      </c>
      <c r="F34" s="146">
        <f>600/31*20</f>
        <v>387.09677419354841</v>
      </c>
      <c r="G34" s="58">
        <f>IFERROR(VLOOKUP($B34,regra,6,0),"?")</f>
        <v>0.12</v>
      </c>
      <c r="H34" s="58">
        <f>IFERROR(VLOOKUP($B34,regra,7,0),"?")</f>
        <v>0.14000000000000001</v>
      </c>
      <c r="I34" s="58">
        <f>IFERROR(VLOOKUP($B34,regra,8,0),"?")</f>
        <v>0.22</v>
      </c>
      <c r="J34" s="85">
        <f>IFERROR(VLOOKUP($B34,regra,5,0),"?")</f>
        <v>13000</v>
      </c>
      <c r="K34" s="111">
        <v>3533.6000000000067</v>
      </c>
      <c r="L34" s="111"/>
      <c r="M34" s="88">
        <f t="shared" si="5"/>
        <v>3533.6000000000067</v>
      </c>
      <c r="N34" s="88">
        <f t="shared" si="6"/>
        <v>387.09677419354841</v>
      </c>
      <c r="O34" s="89">
        <f t="shared" si="10"/>
        <v>424.03200000000078</v>
      </c>
      <c r="P34" s="89">
        <f t="shared" si="11"/>
        <v>0</v>
      </c>
      <c r="Q34" s="88">
        <f t="shared" si="13"/>
        <v>811.12877419354913</v>
      </c>
      <c r="R34" s="83" t="str">
        <f t="shared" si="12"/>
        <v>fora</v>
      </c>
    </row>
    <row r="36" spans="2:18">
      <c r="O36" s="92" t="s">
        <v>123</v>
      </c>
    </row>
    <row r="37" spans="2:18">
      <c r="O37" s="136" t="s">
        <v>124</v>
      </c>
      <c r="P37" s="135"/>
    </row>
    <row r="44" spans="2:18">
      <c r="O44" s="92">
        <f>82.56+60.51</f>
        <v>143.07</v>
      </c>
    </row>
    <row r="47" spans="2:18">
      <c r="H47" s="13">
        <v>1549.02</v>
      </c>
    </row>
  </sheetData>
  <autoFilter ref="B2:R34" xr:uid="{50348E4E-3563-4F3C-93AD-3AB638DD479A}"/>
  <mergeCells count="3">
    <mergeCell ref="F1:J1"/>
    <mergeCell ref="K1:M1"/>
    <mergeCell ref="N1:Q1"/>
  </mergeCells>
  <conditionalFormatting sqref="B15:B16">
    <cfRule type="duplicateValues" dxfId="55" priority="24"/>
  </conditionalFormatting>
  <conditionalFormatting sqref="B17:B20 B10:B14 B2:B8">
    <cfRule type="duplicateValues" dxfId="54" priority="25"/>
  </conditionalFormatting>
  <conditionalFormatting sqref="B17:B20 B10:B14 B3:B8">
    <cfRule type="duplicateValues" dxfId="53" priority="26"/>
  </conditionalFormatting>
  <conditionalFormatting sqref="C21:C23 C25">
    <cfRule type="containsText" dxfId="52" priority="22" operator="containsText" text="nã">
      <formula>NOT(ISERROR(SEARCH("nã",C21)))</formula>
    </cfRule>
  </conditionalFormatting>
  <conditionalFormatting sqref="C24">
    <cfRule type="containsText" dxfId="51" priority="21" operator="containsText" text="nã">
      <formula>NOT(ISERROR(SEARCH("nã",C24)))</formula>
    </cfRule>
  </conditionalFormatting>
  <conditionalFormatting sqref="C26">
    <cfRule type="containsText" dxfId="50" priority="16" operator="containsText" text="nã">
      <formula>NOT(ISERROR(SEARCH("nã",C26)))</formula>
    </cfRule>
  </conditionalFormatting>
  <conditionalFormatting sqref="E21:E23 E25">
    <cfRule type="containsText" dxfId="49" priority="18" operator="containsText" text="nã">
      <formula>NOT(ISERROR(SEARCH("nã",E21)))</formula>
    </cfRule>
  </conditionalFormatting>
  <conditionalFormatting sqref="E24">
    <cfRule type="containsText" dxfId="48" priority="17" operator="containsText" text="nã">
      <formula>NOT(ISERROR(SEARCH("nã",E24)))</formula>
    </cfRule>
  </conditionalFormatting>
  <conditionalFormatting sqref="R3:S26">
    <cfRule type="containsText" dxfId="47" priority="15" operator="containsText" text="meta">
      <formula>NOT(ISERROR(SEARCH("meta",R3)))</formula>
    </cfRule>
  </conditionalFormatting>
  <conditionalFormatting sqref="C27">
    <cfRule type="containsText" dxfId="46" priority="7" operator="containsText" text="nã">
      <formula>NOT(ISERROR(SEARCH("nã",C27)))</formula>
    </cfRule>
  </conditionalFormatting>
  <conditionalFormatting sqref="R27:S27">
    <cfRule type="containsText" dxfId="45" priority="12" operator="containsText" text="meta">
      <formula>NOT(ISERROR(SEARCH("meta",R27)))</formula>
    </cfRule>
  </conditionalFormatting>
  <conditionalFormatting sqref="R28:S28">
    <cfRule type="containsText" dxfId="44" priority="8" operator="containsText" text="meta">
      <formula>NOT(ISERROR(SEARCH("meta",R28)))</formula>
    </cfRule>
  </conditionalFormatting>
  <conditionalFormatting sqref="C29">
    <cfRule type="containsText" dxfId="43" priority="6" operator="containsText" text="nã">
      <formula>NOT(ISERROR(SEARCH("nã",C29)))</formula>
    </cfRule>
  </conditionalFormatting>
  <conditionalFormatting sqref="R29:S30">
    <cfRule type="containsText" dxfId="42" priority="5" operator="containsText" text="meta">
      <formula>NOT(ISERROR(SEARCH("meta",R29)))</formula>
    </cfRule>
  </conditionalFormatting>
  <conditionalFormatting sqref="R34:S34">
    <cfRule type="containsText" dxfId="41" priority="1" operator="containsText" text="meta">
      <formula>NOT(ISERROR(SEARCH("meta",R34)))</formula>
    </cfRule>
  </conditionalFormatting>
  <conditionalFormatting sqref="C30">
    <cfRule type="containsText" dxfId="40" priority="4" operator="containsText" text="nã">
      <formula>NOT(ISERROR(SEARCH("nã",C30)))</formula>
    </cfRule>
  </conditionalFormatting>
  <conditionalFormatting sqref="C31">
    <cfRule type="containsText" dxfId="39" priority="3" operator="containsText" text="nã">
      <formula>NOT(ISERROR(SEARCH("nã",C31)))</formula>
    </cfRule>
  </conditionalFormatting>
  <conditionalFormatting sqref="R31:S33">
    <cfRule type="containsText" dxfId="38" priority="2" operator="containsText" text="meta">
      <formula>NOT(ISERROR(SEARCH("meta",R31)))</formula>
    </cfRule>
  </conditionalFormatting>
  <pageMargins left="0.511811024" right="0.511811024" top="0.78740157499999996" bottom="0.78740157499999996" header="0.31496062000000002" footer="0.31496062000000002"/>
  <pageSetup paperSize="9" scale="61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8B53-AD33-452A-A601-92DA907272B0}">
  <sheetPr filterMode="1">
    <pageSetUpPr fitToPage="1"/>
  </sheetPr>
  <dimension ref="B1:V52"/>
  <sheetViews>
    <sheetView showGridLines="0" tabSelected="1" zoomScale="80" zoomScaleNormal="80" workbookViewId="0">
      <pane xSplit="1" ySplit="2" topLeftCell="B11" activePane="bottomRight" state="frozen"/>
      <selection pane="bottomRight" activeCell="C1" sqref="C1"/>
      <selection pane="bottomLeft" activeCell="A4" sqref="A4"/>
      <selection pane="topRight" activeCell="B1" sqref="B1"/>
    </sheetView>
  </sheetViews>
  <sheetFormatPr defaultRowHeight="12.75"/>
  <cols>
    <col min="1" max="1" width="2.85546875" style="5" customWidth="1"/>
    <col min="2" max="2" width="33" style="14" bestFit="1" customWidth="1"/>
    <col min="3" max="3" width="11.42578125" style="10" customWidth="1"/>
    <col min="4" max="4" width="8.140625" style="10" customWidth="1"/>
    <col min="5" max="5" width="11.42578125" style="97" customWidth="1"/>
    <col min="6" max="6" width="12.42578125" style="39" customWidth="1"/>
    <col min="7" max="7" width="12.42578125" style="10" customWidth="1"/>
    <col min="8" max="8" width="12.42578125" style="13" customWidth="1"/>
    <col min="9" max="9" width="12.42578125" style="44" customWidth="1"/>
    <col min="10" max="10" width="12.42578125" style="87" customWidth="1"/>
    <col min="11" max="11" width="9.85546875" style="90" customWidth="1"/>
    <col min="12" max="12" width="9.28515625" style="90" customWidth="1"/>
    <col min="13" max="13" width="12.42578125" style="90" customWidth="1"/>
    <col min="14" max="14" width="12.42578125" style="91" customWidth="1"/>
    <col min="15" max="15" width="12.42578125" style="92" customWidth="1"/>
    <col min="16" max="16" width="12.42578125" style="93" customWidth="1"/>
    <col min="17" max="17" width="17.28515625" style="93" bestFit="1" customWidth="1"/>
    <col min="18" max="18" width="9.140625" style="10"/>
    <col min="19" max="19" width="9.28515625" style="10" customWidth="1"/>
    <col min="20" max="20" width="10.85546875" style="10" bestFit="1" customWidth="1"/>
    <col min="21" max="21" width="10.7109375" style="10" bestFit="1" customWidth="1"/>
    <col min="22" max="22" width="18.28515625" style="5" customWidth="1"/>
    <col min="23" max="16384" width="9.140625" style="5"/>
  </cols>
  <sheetData>
    <row r="1" spans="2:22" ht="38.25" customHeight="1">
      <c r="E1" s="10"/>
      <c r="F1" s="154" t="s">
        <v>86</v>
      </c>
      <c r="G1" s="154"/>
      <c r="H1" s="154"/>
      <c r="I1" s="154"/>
      <c r="J1" s="154"/>
      <c r="K1" s="167" t="s">
        <v>125</v>
      </c>
      <c r="L1" s="167"/>
      <c r="M1" s="167"/>
      <c r="N1" s="167" t="s">
        <v>88</v>
      </c>
      <c r="O1" s="167"/>
      <c r="P1" s="167"/>
      <c r="Q1" s="167"/>
    </row>
    <row r="2" spans="2:22" ht="26.1" customHeight="1">
      <c r="B2" s="118" t="s">
        <v>0</v>
      </c>
      <c r="C2" s="119" t="s">
        <v>1</v>
      </c>
      <c r="D2" s="119" t="s">
        <v>2</v>
      </c>
      <c r="E2" s="119" t="s">
        <v>3</v>
      </c>
      <c r="F2" s="120" t="s">
        <v>4</v>
      </c>
      <c r="G2" s="121" t="s">
        <v>5</v>
      </c>
      <c r="H2" s="121" t="s">
        <v>6</v>
      </c>
      <c r="I2" s="122" t="s">
        <v>7</v>
      </c>
      <c r="J2" s="121" t="s">
        <v>8</v>
      </c>
      <c r="K2" s="123" t="s">
        <v>89</v>
      </c>
      <c r="L2" s="123" t="s">
        <v>7</v>
      </c>
      <c r="M2" s="123" t="s">
        <v>90</v>
      </c>
      <c r="N2" s="124" t="s">
        <v>4</v>
      </c>
      <c r="O2" s="124" t="s">
        <v>107</v>
      </c>
      <c r="P2" s="124" t="s">
        <v>7</v>
      </c>
      <c r="Q2" s="123" t="s">
        <v>91</v>
      </c>
      <c r="R2" s="83" t="s">
        <v>109</v>
      </c>
      <c r="T2" s="141" t="s">
        <v>126</v>
      </c>
      <c r="U2" s="141" t="s">
        <v>127</v>
      </c>
      <c r="V2" s="8" t="s">
        <v>128</v>
      </c>
    </row>
    <row r="3" spans="2:22" ht="15" hidden="1" customHeight="1">
      <c r="B3" s="16" t="s">
        <v>65</v>
      </c>
      <c r="C3" s="83" t="s">
        <v>17</v>
      </c>
      <c r="D3" s="26" t="s">
        <v>11</v>
      </c>
      <c r="E3" s="26" t="s">
        <v>116</v>
      </c>
      <c r="F3" s="86" t="s">
        <v>61</v>
      </c>
      <c r="G3" s="86" t="s">
        <v>61</v>
      </c>
      <c r="H3" s="86" t="s">
        <v>61</v>
      </c>
      <c r="I3" s="86" t="s">
        <v>61</v>
      </c>
      <c r="J3" s="86" t="s">
        <v>61</v>
      </c>
      <c r="K3" s="86"/>
      <c r="L3" s="86"/>
      <c r="M3" s="86" t="s">
        <v>61</v>
      </c>
      <c r="N3" s="86" t="s">
        <v>61</v>
      </c>
      <c r="O3" s="86" t="s">
        <v>61</v>
      </c>
      <c r="P3" s="86" t="s">
        <v>61</v>
      </c>
      <c r="Q3" s="86" t="s">
        <v>61</v>
      </c>
      <c r="R3" s="83" t="str">
        <f t="shared" ref="R3:R10" si="0">IF(M3&gt;J3,"meta","fora")</f>
        <v>fora</v>
      </c>
      <c r="S3" s="140" t="e">
        <f t="shared" ref="S3:S10" si="1">Q3/M3</f>
        <v>#VALUE!</v>
      </c>
      <c r="T3" s="7"/>
      <c r="U3" s="7"/>
      <c r="V3" s="7"/>
    </row>
    <row r="4" spans="2:22" ht="15" hidden="1" customHeight="1">
      <c r="B4" s="16" t="s">
        <v>63</v>
      </c>
      <c r="C4" s="83" t="s">
        <v>10</v>
      </c>
      <c r="D4" s="26" t="s">
        <v>19</v>
      </c>
      <c r="E4" s="26" t="s">
        <v>10</v>
      </c>
      <c r="F4" s="86" t="s">
        <v>61</v>
      </c>
      <c r="G4" s="86" t="s">
        <v>61</v>
      </c>
      <c r="H4" s="86" t="s">
        <v>61</v>
      </c>
      <c r="I4" s="86" t="s">
        <v>61</v>
      </c>
      <c r="J4" s="86" t="s">
        <v>61</v>
      </c>
      <c r="K4" s="86"/>
      <c r="L4" s="86"/>
      <c r="M4" s="86" t="s">
        <v>61</v>
      </c>
      <c r="N4" s="86" t="s">
        <v>61</v>
      </c>
      <c r="O4" s="86" t="s">
        <v>61</v>
      </c>
      <c r="P4" s="86" t="s">
        <v>61</v>
      </c>
      <c r="Q4" s="86" t="s">
        <v>61</v>
      </c>
      <c r="R4" s="83" t="str">
        <f t="shared" si="0"/>
        <v>fora</v>
      </c>
      <c r="S4" s="140" t="e">
        <f t="shared" si="1"/>
        <v>#VALUE!</v>
      </c>
      <c r="T4" s="7"/>
      <c r="U4" s="7"/>
      <c r="V4" s="7"/>
    </row>
    <row r="5" spans="2:22" ht="15" hidden="1" customHeight="1">
      <c r="B5" s="7" t="s">
        <v>117</v>
      </c>
      <c r="C5" s="83" t="s">
        <v>118</v>
      </c>
      <c r="D5" s="26" t="s">
        <v>19</v>
      </c>
      <c r="E5" s="83" t="s">
        <v>118</v>
      </c>
      <c r="F5" s="86" t="s">
        <v>61</v>
      </c>
      <c r="G5" s="86" t="s">
        <v>61</v>
      </c>
      <c r="H5" s="86" t="s">
        <v>61</v>
      </c>
      <c r="I5" s="86" t="s">
        <v>61</v>
      </c>
      <c r="J5" s="86" t="s">
        <v>61</v>
      </c>
      <c r="K5" s="86"/>
      <c r="L5" s="86"/>
      <c r="M5" s="86" t="s">
        <v>61</v>
      </c>
      <c r="N5" s="86" t="s">
        <v>61</v>
      </c>
      <c r="O5" s="86" t="s">
        <v>61</v>
      </c>
      <c r="P5" s="86" t="s">
        <v>61</v>
      </c>
      <c r="Q5" s="86" t="s">
        <v>61</v>
      </c>
      <c r="R5" s="83" t="str">
        <f t="shared" si="0"/>
        <v>fora</v>
      </c>
      <c r="S5" s="140" t="e">
        <f t="shared" si="1"/>
        <v>#VALUE!</v>
      </c>
      <c r="T5" s="7"/>
      <c r="U5" s="7"/>
      <c r="V5" s="7"/>
    </row>
    <row r="6" spans="2:22" ht="15" hidden="1" customHeight="1">
      <c r="B6" s="7" t="s">
        <v>119</v>
      </c>
      <c r="C6" s="83" t="s">
        <v>10</v>
      </c>
      <c r="D6" s="26" t="s">
        <v>19</v>
      </c>
      <c r="E6" s="26" t="s">
        <v>10</v>
      </c>
      <c r="F6" s="86" t="s">
        <v>61</v>
      </c>
      <c r="G6" s="86" t="s">
        <v>61</v>
      </c>
      <c r="H6" s="86" t="s">
        <v>61</v>
      </c>
      <c r="I6" s="86" t="s">
        <v>61</v>
      </c>
      <c r="J6" s="86" t="s">
        <v>61</v>
      </c>
      <c r="K6" s="86"/>
      <c r="L6" s="86"/>
      <c r="M6" s="86" t="s">
        <v>61</v>
      </c>
      <c r="N6" s="86" t="s">
        <v>61</v>
      </c>
      <c r="O6" s="86" t="s">
        <v>61</v>
      </c>
      <c r="P6" s="86" t="s">
        <v>61</v>
      </c>
      <c r="Q6" s="86" t="s">
        <v>61</v>
      </c>
      <c r="R6" s="83" t="str">
        <f t="shared" si="0"/>
        <v>fora</v>
      </c>
      <c r="S6" s="140" t="e">
        <f t="shared" si="1"/>
        <v>#VALUE!</v>
      </c>
      <c r="T6" s="7"/>
      <c r="U6" s="7"/>
      <c r="V6" s="7"/>
    </row>
    <row r="7" spans="2:22" ht="15" hidden="1" customHeight="1">
      <c r="B7" s="7" t="s">
        <v>120</v>
      </c>
      <c r="C7" s="83" t="s">
        <v>121</v>
      </c>
      <c r="D7" s="26" t="s">
        <v>19</v>
      </c>
      <c r="E7" s="96" t="s">
        <v>121</v>
      </c>
      <c r="F7" s="86" t="s">
        <v>61</v>
      </c>
      <c r="G7" s="86" t="s">
        <v>61</v>
      </c>
      <c r="H7" s="86" t="s">
        <v>61</v>
      </c>
      <c r="I7" s="86" t="s">
        <v>61</v>
      </c>
      <c r="J7" s="86" t="s">
        <v>61</v>
      </c>
      <c r="K7" s="86"/>
      <c r="L7" s="86"/>
      <c r="M7" s="86" t="s">
        <v>61</v>
      </c>
      <c r="N7" s="86" t="s">
        <v>61</v>
      </c>
      <c r="O7" s="86" t="s">
        <v>61</v>
      </c>
      <c r="P7" s="86" t="s">
        <v>61</v>
      </c>
      <c r="Q7" s="86" t="s">
        <v>61</v>
      </c>
      <c r="R7" s="83" t="str">
        <f t="shared" si="0"/>
        <v>fora</v>
      </c>
      <c r="S7" s="140" t="e">
        <f t="shared" si="1"/>
        <v>#VALUE!</v>
      </c>
      <c r="T7" s="7"/>
      <c r="U7" s="7"/>
      <c r="V7" s="7"/>
    </row>
    <row r="8" spans="2:22" ht="15" hidden="1" customHeight="1">
      <c r="B8" s="16" t="s">
        <v>62</v>
      </c>
      <c r="C8" s="83" t="s">
        <v>10</v>
      </c>
      <c r="D8" s="26" t="s">
        <v>19</v>
      </c>
      <c r="E8" s="26" t="s">
        <v>10</v>
      </c>
      <c r="F8" s="86" t="s">
        <v>61</v>
      </c>
      <c r="G8" s="86" t="s">
        <v>61</v>
      </c>
      <c r="H8" s="86" t="s">
        <v>61</v>
      </c>
      <c r="I8" s="86" t="s">
        <v>61</v>
      </c>
      <c r="J8" s="86" t="s">
        <v>61</v>
      </c>
      <c r="K8" s="86"/>
      <c r="L8" s="86"/>
      <c r="M8" s="86" t="s">
        <v>61</v>
      </c>
      <c r="N8" s="86" t="s">
        <v>61</v>
      </c>
      <c r="O8" s="86" t="s">
        <v>61</v>
      </c>
      <c r="P8" s="86" t="s">
        <v>61</v>
      </c>
      <c r="Q8" s="86" t="s">
        <v>61</v>
      </c>
      <c r="R8" s="83" t="str">
        <f t="shared" si="0"/>
        <v>fora</v>
      </c>
      <c r="S8" s="140" t="e">
        <f t="shared" si="1"/>
        <v>#VALUE!</v>
      </c>
      <c r="T8" s="7"/>
      <c r="U8" s="7"/>
      <c r="V8" s="7"/>
    </row>
    <row r="9" spans="2:22" ht="15" hidden="1" customHeight="1">
      <c r="B9" s="16" t="s">
        <v>60</v>
      </c>
      <c r="C9" s="83" t="s">
        <v>17</v>
      </c>
      <c r="D9" s="26" t="s">
        <v>19</v>
      </c>
      <c r="E9" s="26" t="s">
        <v>116</v>
      </c>
      <c r="F9" s="86" t="s">
        <v>61</v>
      </c>
      <c r="G9" s="86" t="s">
        <v>61</v>
      </c>
      <c r="H9" s="86" t="s">
        <v>61</v>
      </c>
      <c r="I9" s="86" t="s">
        <v>61</v>
      </c>
      <c r="J9" s="86" t="s">
        <v>61</v>
      </c>
      <c r="K9" s="86"/>
      <c r="L9" s="86"/>
      <c r="M9" s="86" t="s">
        <v>61</v>
      </c>
      <c r="N9" s="86" t="s">
        <v>61</v>
      </c>
      <c r="O9" s="86" t="s">
        <v>61</v>
      </c>
      <c r="P9" s="86" t="s">
        <v>61</v>
      </c>
      <c r="Q9" s="86" t="s">
        <v>61</v>
      </c>
      <c r="R9" s="83" t="str">
        <f t="shared" si="0"/>
        <v>fora</v>
      </c>
      <c r="S9" s="140" t="e">
        <f t="shared" si="1"/>
        <v>#VALUE!</v>
      </c>
      <c r="T9" s="7"/>
      <c r="U9" s="7"/>
      <c r="V9" s="7"/>
    </row>
    <row r="10" spans="2:22" ht="15" customHeight="1">
      <c r="B10" s="25" t="s">
        <v>72</v>
      </c>
      <c r="C10" s="83" t="s">
        <v>17</v>
      </c>
      <c r="D10" s="26" t="s">
        <v>19</v>
      </c>
      <c r="E10" s="83" t="s">
        <v>34</v>
      </c>
      <c r="F10" s="86" t="s">
        <v>61</v>
      </c>
      <c r="G10" s="86" t="s">
        <v>61</v>
      </c>
      <c r="H10" s="86" t="s">
        <v>61</v>
      </c>
      <c r="I10" s="86" t="s">
        <v>61</v>
      </c>
      <c r="J10" s="86" t="s">
        <v>61</v>
      </c>
      <c r="K10" s="86"/>
      <c r="L10" s="86"/>
      <c r="M10" s="86" t="s">
        <v>61</v>
      </c>
      <c r="N10" s="86" t="s">
        <v>61</v>
      </c>
      <c r="O10" s="86" t="s">
        <v>61</v>
      </c>
      <c r="P10" s="86" t="s">
        <v>61</v>
      </c>
      <c r="Q10" s="86" t="s">
        <v>61</v>
      </c>
      <c r="R10" s="83" t="str">
        <f t="shared" si="0"/>
        <v>fora</v>
      </c>
      <c r="S10" s="140" t="e">
        <f t="shared" si="1"/>
        <v>#VALUE!</v>
      </c>
      <c r="T10" s="7"/>
      <c r="U10" s="7"/>
      <c r="V10" s="7"/>
    </row>
    <row r="11" spans="2:22" ht="15" hidden="1" customHeight="1">
      <c r="B11" s="7" t="s">
        <v>51</v>
      </c>
      <c r="C11" s="83" t="s">
        <v>17</v>
      </c>
      <c r="D11" s="26" t="s">
        <v>19</v>
      </c>
      <c r="E11" s="83" t="s">
        <v>17</v>
      </c>
      <c r="F11" s="144">
        <f>600-20-20</f>
        <v>560</v>
      </c>
      <c r="G11" s="58">
        <f>IFERROR(VLOOKUP($B11,regra,6,0),"?")</f>
        <v>0.12</v>
      </c>
      <c r="H11" s="58">
        <f>IFERROR(VLOOKUP($B11,regra,7,0),"?")</f>
        <v>0.14000000000000001</v>
      </c>
      <c r="I11" s="58">
        <f>IFERROR(VLOOKUP($B11,regra,8,0),"?")</f>
        <v>0.22</v>
      </c>
      <c r="J11" s="85">
        <f>IFERROR(VLOOKUP($B11,regra,5,0),"?")</f>
        <v>13000</v>
      </c>
      <c r="K11" s="88">
        <v>8910.8200000000015</v>
      </c>
      <c r="L11" s="88">
        <v>574.45000000000005</v>
      </c>
      <c r="M11" s="88">
        <f t="shared" ref="M11:M35" si="2">L11+K11</f>
        <v>9485.2700000000023</v>
      </c>
      <c r="N11" s="88">
        <f t="shared" ref="N11:N26" si="3">F11</f>
        <v>560</v>
      </c>
      <c r="O11" s="89">
        <f t="shared" ref="O11:O26" si="4">IF(M11&gt;J11,K11*H11,K11*G11)</f>
        <v>1069.2984000000001</v>
      </c>
      <c r="P11" s="89">
        <f t="shared" ref="P11:P26" si="5">L11*I11</f>
        <v>126.379</v>
      </c>
      <c r="Q11" s="88">
        <f t="shared" ref="Q11:Q26" si="6">SUM(N11:P11)</f>
        <v>1755.6774</v>
      </c>
      <c r="R11" s="83" t="str">
        <f t="shared" ref="R11:R35" si="7">IF(M11&gt;J11,"meta","fora")</f>
        <v>fora</v>
      </c>
      <c r="S11" s="140"/>
      <c r="T11" s="83"/>
      <c r="U11" s="83"/>
      <c r="V11" s="143">
        <f>Q11-T11-U11</f>
        <v>1755.6774</v>
      </c>
    </row>
    <row r="12" spans="2:22" ht="15" hidden="1" customHeight="1">
      <c r="B12" s="7" t="s">
        <v>66</v>
      </c>
      <c r="C12" s="83" t="s">
        <v>17</v>
      </c>
      <c r="D12" s="26" t="s">
        <v>19</v>
      </c>
      <c r="E12" s="83" t="s">
        <v>31</v>
      </c>
      <c r="F12" s="144">
        <v>600</v>
      </c>
      <c r="G12" s="58">
        <f>IFERROR(VLOOKUP($B12,regra,6,0),"?")</f>
        <v>0.2</v>
      </c>
      <c r="H12" s="58">
        <f>IFERROR(VLOOKUP($B12,regra,7,0),"?")</f>
        <v>0.22</v>
      </c>
      <c r="I12" s="58">
        <f>IFERROR(VLOOKUP($B12,regra,8,0),"?")</f>
        <v>0.25</v>
      </c>
      <c r="J12" s="85">
        <f>IFERROR(VLOOKUP($B12,regra,5,0),"?")</f>
        <v>8000</v>
      </c>
      <c r="K12" s="88">
        <v>3627.6699999999996</v>
      </c>
      <c r="L12" s="88">
        <v>400</v>
      </c>
      <c r="M12" s="88">
        <f t="shared" si="2"/>
        <v>4027.6699999999996</v>
      </c>
      <c r="N12" s="88">
        <f t="shared" si="3"/>
        <v>600</v>
      </c>
      <c r="O12" s="89">
        <f t="shared" si="4"/>
        <v>725.53399999999999</v>
      </c>
      <c r="P12" s="89">
        <f t="shared" si="5"/>
        <v>100</v>
      </c>
      <c r="Q12" s="88">
        <f t="shared" si="6"/>
        <v>1425.5340000000001</v>
      </c>
      <c r="R12" s="83" t="str">
        <f t="shared" si="7"/>
        <v>fora</v>
      </c>
      <c r="S12" s="140"/>
      <c r="T12" s="83"/>
      <c r="U12" s="83"/>
      <c r="V12" s="143">
        <f t="shared" ref="V12:V35" si="8">Q12-T12-U12</f>
        <v>1425.5340000000001</v>
      </c>
    </row>
    <row r="13" spans="2:22" ht="15" hidden="1" customHeight="1">
      <c r="B13" s="7" t="s">
        <v>56</v>
      </c>
      <c r="C13" s="83" t="s">
        <v>17</v>
      </c>
      <c r="D13" s="83" t="s">
        <v>14</v>
      </c>
      <c r="E13" s="83" t="s">
        <v>17</v>
      </c>
      <c r="F13" s="144">
        <v>600</v>
      </c>
      <c r="G13" s="58">
        <f>IFERROR(VLOOKUP($B13,regra,6,0),"?")</f>
        <v>0.16</v>
      </c>
      <c r="H13" s="58">
        <f>IFERROR(VLOOKUP($B13,regra,7,0),"?")</f>
        <v>0.18</v>
      </c>
      <c r="I13" s="58">
        <f>IFERROR(VLOOKUP($B13,regra,8,0),"?")</f>
        <v>0.25</v>
      </c>
      <c r="J13" s="85">
        <f>IFERROR(VLOOKUP($B13,regra,5,0),"?")</f>
        <v>8000</v>
      </c>
      <c r="K13" s="88">
        <v>5213.5000000000027</v>
      </c>
      <c r="L13" s="88">
        <v>375</v>
      </c>
      <c r="M13" s="88">
        <f t="shared" si="2"/>
        <v>5588.5000000000027</v>
      </c>
      <c r="N13" s="88">
        <f t="shared" si="3"/>
        <v>600</v>
      </c>
      <c r="O13" s="89">
        <f t="shared" si="4"/>
        <v>834.16000000000042</v>
      </c>
      <c r="P13" s="89">
        <f t="shared" si="5"/>
        <v>93.75</v>
      </c>
      <c r="Q13" s="88">
        <f t="shared" si="6"/>
        <v>1527.9100000000003</v>
      </c>
      <c r="R13" s="83" t="str">
        <f t="shared" si="7"/>
        <v>fora</v>
      </c>
      <c r="S13" s="140"/>
      <c r="T13" s="83"/>
      <c r="U13" s="83"/>
      <c r="V13" s="143">
        <f t="shared" si="8"/>
        <v>1527.9100000000003</v>
      </c>
    </row>
    <row r="14" spans="2:22" ht="15" hidden="1" customHeight="1">
      <c r="B14" s="7" t="s">
        <v>67</v>
      </c>
      <c r="C14" s="83" t="s">
        <v>17</v>
      </c>
      <c r="D14" s="26" t="s">
        <v>19</v>
      </c>
      <c r="E14" s="83" t="s">
        <v>31</v>
      </c>
      <c r="F14" s="144">
        <v>600</v>
      </c>
      <c r="G14" s="58">
        <f>IFERROR(VLOOKUP($B14,regra,6,0),"?")</f>
        <v>0.2</v>
      </c>
      <c r="H14" s="58">
        <f>IFERROR(VLOOKUP($B14,regra,7,0),"?")</f>
        <v>0.22</v>
      </c>
      <c r="I14" s="58">
        <f>IFERROR(VLOOKUP($B14,regra,8,0),"?")</f>
        <v>0.25</v>
      </c>
      <c r="J14" s="85">
        <f>IFERROR(VLOOKUP($B14,regra,5,0),"?")</f>
        <v>8000</v>
      </c>
      <c r="K14" s="88">
        <v>6512.0199999999977</v>
      </c>
      <c r="L14" s="88">
        <v>70</v>
      </c>
      <c r="M14" s="88">
        <f t="shared" si="2"/>
        <v>6582.0199999999977</v>
      </c>
      <c r="N14" s="88">
        <f t="shared" si="3"/>
        <v>600</v>
      </c>
      <c r="O14" s="89">
        <f t="shared" si="4"/>
        <v>1302.4039999999995</v>
      </c>
      <c r="P14" s="89">
        <f t="shared" si="5"/>
        <v>17.5</v>
      </c>
      <c r="Q14" s="88">
        <f t="shared" si="6"/>
        <v>1919.9039999999995</v>
      </c>
      <c r="R14" s="83" t="str">
        <f t="shared" si="7"/>
        <v>fora</v>
      </c>
      <c r="S14" s="140"/>
      <c r="T14" s="83"/>
      <c r="U14" s="83"/>
      <c r="V14" s="143">
        <f t="shared" si="8"/>
        <v>1919.9039999999995</v>
      </c>
    </row>
    <row r="15" spans="2:22" ht="15" hidden="1" customHeight="1">
      <c r="B15" s="7" t="s">
        <v>54</v>
      </c>
      <c r="C15" s="83" t="s">
        <v>17</v>
      </c>
      <c r="D15" s="26" t="s">
        <v>14</v>
      </c>
      <c r="E15" s="26" t="s">
        <v>17</v>
      </c>
      <c r="F15" s="144">
        <v>600</v>
      </c>
      <c r="G15" s="58">
        <f>IFERROR(VLOOKUP($B15,regra,6,0),"?")</f>
        <v>0.16</v>
      </c>
      <c r="H15" s="58">
        <f>IFERROR(VLOOKUP($B15,regra,7,0),"?")</f>
        <v>0.18</v>
      </c>
      <c r="I15" s="58">
        <f>IFERROR(VLOOKUP($B15,regra,8,0),"?")</f>
        <v>0.25</v>
      </c>
      <c r="J15" s="85">
        <f>IFERROR(VLOOKUP($B15,regra,5,0),"?")</f>
        <v>8000</v>
      </c>
      <c r="K15" s="88">
        <v>4298.5800000000008</v>
      </c>
      <c r="L15" s="88">
        <v>2570</v>
      </c>
      <c r="M15" s="88">
        <f t="shared" si="2"/>
        <v>6868.5800000000008</v>
      </c>
      <c r="N15" s="88">
        <f t="shared" si="3"/>
        <v>600</v>
      </c>
      <c r="O15" s="89">
        <f t="shared" si="4"/>
        <v>687.77280000000019</v>
      </c>
      <c r="P15" s="89">
        <f t="shared" si="5"/>
        <v>642.5</v>
      </c>
      <c r="Q15" s="88">
        <f t="shared" si="6"/>
        <v>1930.2728000000002</v>
      </c>
      <c r="R15" s="83" t="str">
        <f t="shared" si="7"/>
        <v>fora</v>
      </c>
      <c r="S15" s="140"/>
      <c r="T15" s="83"/>
      <c r="U15" s="83"/>
      <c r="V15" s="143">
        <f t="shared" si="8"/>
        <v>1930.2728000000002</v>
      </c>
    </row>
    <row r="16" spans="2:22" ht="15" hidden="1" customHeight="1">
      <c r="B16" s="7" t="s">
        <v>83</v>
      </c>
      <c r="C16" s="26" t="s">
        <v>17</v>
      </c>
      <c r="D16" s="26" t="s">
        <v>19</v>
      </c>
      <c r="E16" s="96" t="s">
        <v>17</v>
      </c>
      <c r="F16" s="144">
        <f>600-20</f>
        <v>580</v>
      </c>
      <c r="G16" s="58">
        <v>0.12</v>
      </c>
      <c r="H16" s="58">
        <v>0.14000000000000001</v>
      </c>
      <c r="I16" s="58">
        <v>0.22</v>
      </c>
      <c r="J16" s="85">
        <v>13000</v>
      </c>
      <c r="K16" s="111">
        <v>6795.9499999999916</v>
      </c>
      <c r="L16" s="111"/>
      <c r="M16" s="88">
        <f t="shared" si="2"/>
        <v>6795.9499999999916</v>
      </c>
      <c r="N16" s="88">
        <f t="shared" si="3"/>
        <v>580</v>
      </c>
      <c r="O16" s="89">
        <f t="shared" si="4"/>
        <v>815.51399999999899</v>
      </c>
      <c r="P16" s="89">
        <f t="shared" si="5"/>
        <v>0</v>
      </c>
      <c r="Q16" s="88">
        <f t="shared" si="6"/>
        <v>1395.513999999999</v>
      </c>
      <c r="R16" s="83" t="str">
        <f t="shared" si="7"/>
        <v>fora</v>
      </c>
      <c r="S16" s="140"/>
      <c r="T16" s="142">
        <v>153.50653999999989</v>
      </c>
      <c r="U16" s="142">
        <v>0</v>
      </c>
      <c r="V16" s="143">
        <f t="shared" si="8"/>
        <v>1242.0074599999991</v>
      </c>
    </row>
    <row r="17" spans="2:22" ht="15" hidden="1" customHeight="1">
      <c r="B17" s="7" t="s">
        <v>84</v>
      </c>
      <c r="C17" s="26" t="s">
        <v>17</v>
      </c>
      <c r="D17" s="26" t="s">
        <v>19</v>
      </c>
      <c r="E17" s="96" t="s">
        <v>17</v>
      </c>
      <c r="F17" s="144">
        <v>600</v>
      </c>
      <c r="G17" s="58">
        <v>0.12</v>
      </c>
      <c r="H17" s="58">
        <v>0.14000000000000001</v>
      </c>
      <c r="I17" s="58">
        <v>0.22</v>
      </c>
      <c r="J17" s="85">
        <v>13000</v>
      </c>
      <c r="K17" s="111">
        <v>6039.3199999999952</v>
      </c>
      <c r="L17" s="111">
        <v>1070</v>
      </c>
      <c r="M17" s="88">
        <f t="shared" si="2"/>
        <v>7109.3199999999952</v>
      </c>
      <c r="N17" s="88">
        <f t="shared" si="3"/>
        <v>600</v>
      </c>
      <c r="O17" s="89">
        <f t="shared" si="4"/>
        <v>724.71839999999941</v>
      </c>
      <c r="P17" s="89">
        <f t="shared" si="5"/>
        <v>235.4</v>
      </c>
      <c r="Q17" s="88">
        <f t="shared" si="6"/>
        <v>1560.1183999999994</v>
      </c>
      <c r="R17" s="83" t="str">
        <f t="shared" si="7"/>
        <v>fora</v>
      </c>
      <c r="S17" s="140"/>
      <c r="T17" s="83"/>
      <c r="U17" s="83"/>
      <c r="V17" s="143">
        <f t="shared" si="8"/>
        <v>1560.1183999999994</v>
      </c>
    </row>
    <row r="18" spans="2:22" ht="15" hidden="1" customHeight="1">
      <c r="B18" s="7" t="s">
        <v>12</v>
      </c>
      <c r="C18" s="26" t="s">
        <v>10</v>
      </c>
      <c r="D18" s="26" t="s">
        <v>11</v>
      </c>
      <c r="E18" s="26" t="s">
        <v>10</v>
      </c>
      <c r="F18" s="144">
        <v>600</v>
      </c>
      <c r="G18" s="58">
        <f>IFERROR(VLOOKUP($B18,regra,6,0),"?")</f>
        <v>0.16</v>
      </c>
      <c r="H18" s="58">
        <f>IFERROR(VLOOKUP($B18,regra,7,0),"?")</f>
        <v>0.18</v>
      </c>
      <c r="I18" s="58">
        <f>IFERROR(VLOOKUP($B18,regra,8,0),"?")</f>
        <v>0.22</v>
      </c>
      <c r="J18" s="85">
        <f>IFERROR(VLOOKUP($B18,regra,5,0),"?")</f>
        <v>14000</v>
      </c>
      <c r="K18" s="88">
        <v>20588.099999999955</v>
      </c>
      <c r="L18" s="88"/>
      <c r="M18" s="88">
        <f t="shared" si="2"/>
        <v>20588.099999999955</v>
      </c>
      <c r="N18" s="88">
        <f t="shared" si="3"/>
        <v>600</v>
      </c>
      <c r="O18" s="89">
        <f t="shared" si="4"/>
        <v>3705.8579999999915</v>
      </c>
      <c r="P18" s="89">
        <f t="shared" si="5"/>
        <v>0</v>
      </c>
      <c r="Q18" s="88">
        <f t="shared" si="6"/>
        <v>4305.8579999999911</v>
      </c>
      <c r="R18" s="83" t="str">
        <f t="shared" si="7"/>
        <v>meta</v>
      </c>
      <c r="S18" s="140"/>
      <c r="T18" s="142">
        <v>473.64437999999905</v>
      </c>
      <c r="U18" s="142">
        <v>226.12806449999823</v>
      </c>
      <c r="V18" s="143">
        <f t="shared" si="8"/>
        <v>3606.0855554999939</v>
      </c>
    </row>
    <row r="19" spans="2:22" ht="15" hidden="1" customHeight="1">
      <c r="B19" s="7" t="s">
        <v>55</v>
      </c>
      <c r="C19" s="26" t="s">
        <v>17</v>
      </c>
      <c r="D19" s="26" t="s">
        <v>19</v>
      </c>
      <c r="E19" s="96" t="s">
        <v>17</v>
      </c>
      <c r="F19" s="146">
        <v>600</v>
      </c>
      <c r="G19" s="58">
        <v>0.12</v>
      </c>
      <c r="H19" s="58">
        <v>0.14000000000000001</v>
      </c>
      <c r="I19" s="58">
        <v>0.22</v>
      </c>
      <c r="J19" s="85">
        <v>13000</v>
      </c>
      <c r="K19" s="111">
        <v>8897.8200000000052</v>
      </c>
      <c r="L19" s="111">
        <v>540</v>
      </c>
      <c r="M19" s="88">
        <f t="shared" si="2"/>
        <v>9437.8200000000052</v>
      </c>
      <c r="N19" s="88">
        <f t="shared" si="3"/>
        <v>600</v>
      </c>
      <c r="O19" s="89">
        <f t="shared" si="4"/>
        <v>1067.7384000000006</v>
      </c>
      <c r="P19" s="89">
        <f t="shared" si="5"/>
        <v>118.8</v>
      </c>
      <c r="Q19" s="88">
        <f t="shared" si="6"/>
        <v>1786.5384000000006</v>
      </c>
      <c r="R19" s="83" t="str">
        <f t="shared" si="7"/>
        <v>fora</v>
      </c>
      <c r="S19" s="140"/>
      <c r="T19" s="83"/>
      <c r="U19" s="83"/>
      <c r="V19" s="143">
        <f t="shared" si="8"/>
        <v>1786.5384000000006</v>
      </c>
    </row>
    <row r="20" spans="2:22" hidden="1">
      <c r="B20" s="7" t="s">
        <v>80</v>
      </c>
      <c r="C20" s="26" t="s">
        <v>17</v>
      </c>
      <c r="D20" s="26" t="s">
        <v>11</v>
      </c>
      <c r="E20" s="26" t="s">
        <v>17</v>
      </c>
      <c r="F20" s="144">
        <v>600</v>
      </c>
      <c r="G20" s="58">
        <f t="shared" ref="G20:G26" si="9">IFERROR(VLOOKUP($B20,regra,6,0),"?")</f>
        <v>0.12</v>
      </c>
      <c r="H20" s="58">
        <f t="shared" ref="H20:H26" si="10">IFERROR(VLOOKUP($B20,regra,7,0),"?")</f>
        <v>0.14000000000000001</v>
      </c>
      <c r="I20" s="58">
        <f t="shared" ref="I20:I26" si="11">IFERROR(VLOOKUP($B20,regra,8,0),"?")</f>
        <v>0.22</v>
      </c>
      <c r="J20" s="85">
        <f t="shared" ref="J20:J26" si="12">IFERROR(VLOOKUP($B20,regra,5,0),"?")</f>
        <v>13000</v>
      </c>
      <c r="K20" s="111">
        <v>5058.9100000000071</v>
      </c>
      <c r="L20" s="111">
        <v>670</v>
      </c>
      <c r="M20" s="88">
        <f t="shared" si="2"/>
        <v>5728.9100000000071</v>
      </c>
      <c r="N20" s="88">
        <f t="shared" si="3"/>
        <v>600</v>
      </c>
      <c r="O20" s="89">
        <f t="shared" si="4"/>
        <v>607.06920000000082</v>
      </c>
      <c r="P20" s="89">
        <f t="shared" si="5"/>
        <v>147.4</v>
      </c>
      <c r="Q20" s="88">
        <f t="shared" si="6"/>
        <v>1354.4692000000009</v>
      </c>
      <c r="R20" s="83" t="str">
        <f t="shared" si="7"/>
        <v>fora</v>
      </c>
      <c r="S20" s="140"/>
      <c r="T20" s="83"/>
      <c r="U20" s="83"/>
      <c r="V20" s="143">
        <f t="shared" si="8"/>
        <v>1354.4692000000009</v>
      </c>
    </row>
    <row r="21" spans="2:22" hidden="1">
      <c r="B21" s="7" t="s">
        <v>50</v>
      </c>
      <c r="C21" s="83" t="s">
        <v>10</v>
      </c>
      <c r="D21" s="83" t="s">
        <v>14</v>
      </c>
      <c r="E21" s="83" t="s">
        <v>10</v>
      </c>
      <c r="F21" s="144">
        <v>600</v>
      </c>
      <c r="G21" s="58">
        <f t="shared" si="9"/>
        <v>0.16</v>
      </c>
      <c r="H21" s="58">
        <f t="shared" si="10"/>
        <v>0.18</v>
      </c>
      <c r="I21" s="58">
        <f t="shared" si="11"/>
        <v>0.25</v>
      </c>
      <c r="J21" s="85">
        <f t="shared" si="12"/>
        <v>13000</v>
      </c>
      <c r="K21" s="88">
        <v>12369.929999999998</v>
      </c>
      <c r="L21" s="88">
        <v>1155</v>
      </c>
      <c r="M21" s="88">
        <f t="shared" si="2"/>
        <v>13524.929999999998</v>
      </c>
      <c r="N21" s="88">
        <f t="shared" si="3"/>
        <v>600</v>
      </c>
      <c r="O21" s="89">
        <f t="shared" si="4"/>
        <v>2226.5873999999994</v>
      </c>
      <c r="P21" s="89">
        <f t="shared" si="5"/>
        <v>288.75</v>
      </c>
      <c r="Q21" s="88">
        <f t="shared" si="6"/>
        <v>3115.3373999999994</v>
      </c>
      <c r="R21" s="83" t="str">
        <f t="shared" si="7"/>
        <v>meta</v>
      </c>
      <c r="S21" s="140"/>
      <c r="T21" s="83"/>
      <c r="U21" s="83"/>
      <c r="V21" s="143">
        <f t="shared" si="8"/>
        <v>3115.3373999999994</v>
      </c>
    </row>
    <row r="22" spans="2:22">
      <c r="B22" s="7" t="s">
        <v>70</v>
      </c>
      <c r="C22" s="83" t="s">
        <v>17</v>
      </c>
      <c r="D22" s="26" t="s">
        <v>19</v>
      </c>
      <c r="E22" s="83" t="s">
        <v>34</v>
      </c>
      <c r="F22" s="144">
        <v>600</v>
      </c>
      <c r="G22" s="58">
        <f t="shared" si="9"/>
        <v>0.2</v>
      </c>
      <c r="H22" s="58">
        <f t="shared" si="10"/>
        <v>0.22</v>
      </c>
      <c r="I22" s="58">
        <f t="shared" si="11"/>
        <v>0.25</v>
      </c>
      <c r="J22" s="85">
        <f t="shared" si="12"/>
        <v>13000</v>
      </c>
      <c r="K22" s="88">
        <v>7441.3800000000219</v>
      </c>
      <c r="L22" s="88">
        <v>710.01</v>
      </c>
      <c r="M22" s="88">
        <f t="shared" si="2"/>
        <v>8151.3900000000222</v>
      </c>
      <c r="N22" s="88">
        <f t="shared" si="3"/>
        <v>600</v>
      </c>
      <c r="O22" s="89">
        <f t="shared" si="4"/>
        <v>1488.2760000000044</v>
      </c>
      <c r="P22" s="89">
        <f t="shared" si="5"/>
        <v>177.5025</v>
      </c>
      <c r="Q22" s="88">
        <f t="shared" si="6"/>
        <v>2265.7785000000044</v>
      </c>
      <c r="R22" s="83" t="str">
        <f t="shared" si="7"/>
        <v>fora</v>
      </c>
      <c r="S22" s="140"/>
      <c r="T22" s="83"/>
      <c r="U22" s="83"/>
      <c r="V22" s="143">
        <f t="shared" si="8"/>
        <v>2265.7785000000044</v>
      </c>
    </row>
    <row r="23" spans="2:22" hidden="1">
      <c r="B23" s="7" t="s">
        <v>59</v>
      </c>
      <c r="C23" s="26" t="s">
        <v>17</v>
      </c>
      <c r="D23" s="26" t="s">
        <v>19</v>
      </c>
      <c r="E23" s="96" t="s">
        <v>17</v>
      </c>
      <c r="F23" s="144">
        <v>600</v>
      </c>
      <c r="G23" s="58">
        <f t="shared" si="9"/>
        <v>0.12</v>
      </c>
      <c r="H23" s="58">
        <f t="shared" si="10"/>
        <v>0.14000000000000001</v>
      </c>
      <c r="I23" s="58">
        <f t="shared" si="11"/>
        <v>0.22</v>
      </c>
      <c r="J23" s="85">
        <f t="shared" si="12"/>
        <v>13000</v>
      </c>
      <c r="K23" s="88">
        <v>6681.0199999999923</v>
      </c>
      <c r="L23" s="88">
        <v>70</v>
      </c>
      <c r="M23" s="88">
        <f t="shared" si="2"/>
        <v>6751.0199999999923</v>
      </c>
      <c r="N23" s="88">
        <f t="shared" si="3"/>
        <v>600</v>
      </c>
      <c r="O23" s="89">
        <f t="shared" si="4"/>
        <v>801.72239999999908</v>
      </c>
      <c r="P23" s="89">
        <f t="shared" si="5"/>
        <v>15.4</v>
      </c>
      <c r="Q23" s="88">
        <f t="shared" si="6"/>
        <v>1417.1223999999993</v>
      </c>
      <c r="R23" s="83" t="str">
        <f t="shared" si="7"/>
        <v>fora</v>
      </c>
      <c r="S23" s="140"/>
      <c r="T23" s="142">
        <v>155.88346399999992</v>
      </c>
      <c r="U23" s="142">
        <v>0</v>
      </c>
      <c r="V23" s="143">
        <f t="shared" si="8"/>
        <v>1261.2389359999993</v>
      </c>
    </row>
    <row r="24" spans="2:22">
      <c r="B24" s="7" t="s">
        <v>68</v>
      </c>
      <c r="C24" s="83" t="s">
        <v>17</v>
      </c>
      <c r="D24" s="26" t="s">
        <v>19</v>
      </c>
      <c r="E24" s="26" t="s">
        <v>34</v>
      </c>
      <c r="F24" s="144">
        <v>600</v>
      </c>
      <c r="G24" s="58">
        <f t="shared" si="9"/>
        <v>0.2</v>
      </c>
      <c r="H24" s="58">
        <f t="shared" si="10"/>
        <v>0.22</v>
      </c>
      <c r="I24" s="58">
        <f t="shared" si="11"/>
        <v>0.25</v>
      </c>
      <c r="J24" s="85">
        <f t="shared" si="12"/>
        <v>13000</v>
      </c>
      <c r="K24" s="88">
        <v>12781.869999999977</v>
      </c>
      <c r="L24" s="88"/>
      <c r="M24" s="88">
        <f t="shared" si="2"/>
        <v>12781.869999999977</v>
      </c>
      <c r="N24" s="88">
        <f t="shared" si="3"/>
        <v>600</v>
      </c>
      <c r="O24" s="89">
        <f t="shared" si="4"/>
        <v>2556.3739999999957</v>
      </c>
      <c r="P24" s="89">
        <f t="shared" si="5"/>
        <v>0</v>
      </c>
      <c r="Q24" s="88">
        <f t="shared" si="6"/>
        <v>3156.3739999999957</v>
      </c>
      <c r="R24" s="83" t="str">
        <f t="shared" si="7"/>
        <v>fora</v>
      </c>
      <c r="S24" s="140"/>
      <c r="T24" s="142">
        <v>347.20113999999955</v>
      </c>
      <c r="U24" s="142">
        <v>67.887964499999697</v>
      </c>
      <c r="V24" s="143">
        <f t="shared" si="8"/>
        <v>2741.2848954999963</v>
      </c>
    </row>
    <row r="25" spans="2:22" hidden="1">
      <c r="B25" s="7" t="s">
        <v>81</v>
      </c>
      <c r="C25" s="26" t="s">
        <v>17</v>
      </c>
      <c r="D25" s="26" t="s">
        <v>11</v>
      </c>
      <c r="E25" s="26" t="s">
        <v>17</v>
      </c>
      <c r="F25" s="144">
        <f>600-40</f>
        <v>560</v>
      </c>
      <c r="G25" s="58">
        <f t="shared" si="9"/>
        <v>0.12</v>
      </c>
      <c r="H25" s="58">
        <f t="shared" si="10"/>
        <v>0.14000000000000001</v>
      </c>
      <c r="I25" s="58">
        <f t="shared" si="11"/>
        <v>0.22</v>
      </c>
      <c r="J25" s="85">
        <f t="shared" si="12"/>
        <v>13000</v>
      </c>
      <c r="K25" s="111">
        <v>5924.4999999999918</v>
      </c>
      <c r="L25" s="111"/>
      <c r="M25" s="88">
        <f t="shared" si="2"/>
        <v>5924.4999999999918</v>
      </c>
      <c r="N25" s="88">
        <f t="shared" si="3"/>
        <v>560</v>
      </c>
      <c r="O25" s="89">
        <f t="shared" si="4"/>
        <v>710.93999999999903</v>
      </c>
      <c r="P25" s="89">
        <f t="shared" si="5"/>
        <v>0</v>
      </c>
      <c r="Q25" s="88">
        <f t="shared" si="6"/>
        <v>1270.9399999999991</v>
      </c>
      <c r="R25" s="83" t="str">
        <f t="shared" si="7"/>
        <v>fora</v>
      </c>
      <c r="S25" s="140"/>
      <c r="T25" s="83"/>
      <c r="U25" s="83"/>
      <c r="V25" s="143">
        <f t="shared" si="8"/>
        <v>1270.9399999999991</v>
      </c>
    </row>
    <row r="26" spans="2:22" hidden="1">
      <c r="B26" s="7" t="s">
        <v>77</v>
      </c>
      <c r="C26" s="26" t="s">
        <v>17</v>
      </c>
      <c r="D26" s="26" t="s">
        <v>14</v>
      </c>
      <c r="E26" s="26" t="s">
        <v>17</v>
      </c>
      <c r="F26" s="144">
        <f>600-20</f>
        <v>580</v>
      </c>
      <c r="G26" s="58">
        <f t="shared" si="9"/>
        <v>0.16</v>
      </c>
      <c r="H26" s="58">
        <f t="shared" si="10"/>
        <v>0.18</v>
      </c>
      <c r="I26" s="58">
        <f t="shared" si="11"/>
        <v>0.25</v>
      </c>
      <c r="J26" s="85">
        <f t="shared" si="12"/>
        <v>8000</v>
      </c>
      <c r="K26" s="88">
        <v>4312.7500000000018</v>
      </c>
      <c r="L26" s="88">
        <v>2935</v>
      </c>
      <c r="M26" s="88">
        <f t="shared" si="2"/>
        <v>7247.7500000000018</v>
      </c>
      <c r="N26" s="88">
        <f t="shared" si="3"/>
        <v>580</v>
      </c>
      <c r="O26" s="89">
        <f t="shared" si="4"/>
        <v>690.0400000000003</v>
      </c>
      <c r="P26" s="89">
        <f t="shared" si="5"/>
        <v>733.75</v>
      </c>
      <c r="Q26" s="88">
        <f t="shared" si="6"/>
        <v>2003.7900000000004</v>
      </c>
      <c r="R26" s="83" t="str">
        <f t="shared" si="7"/>
        <v>fora</v>
      </c>
      <c r="S26" s="140"/>
      <c r="T26" s="142">
        <v>220.41690000000006</v>
      </c>
      <c r="U26" s="142">
        <v>0</v>
      </c>
      <c r="V26" s="143">
        <f t="shared" si="8"/>
        <v>1783.3731000000002</v>
      </c>
    </row>
    <row r="27" spans="2:22" s="87" customFormat="1" hidden="1">
      <c r="B27" s="114" t="s">
        <v>85</v>
      </c>
      <c r="C27" s="26" t="s">
        <v>17</v>
      </c>
      <c r="D27" s="26" t="s">
        <v>19</v>
      </c>
      <c r="E27" s="130" t="s">
        <v>116</v>
      </c>
      <c r="F27" s="26">
        <v>0</v>
      </c>
      <c r="G27" s="131">
        <v>0.4</v>
      </c>
      <c r="H27" s="58">
        <v>0</v>
      </c>
      <c r="I27" s="58">
        <v>0</v>
      </c>
      <c r="J27" s="133">
        <v>10000</v>
      </c>
      <c r="K27" s="133">
        <v>7866.4000000000042</v>
      </c>
      <c r="L27" s="133">
        <v>150</v>
      </c>
      <c r="M27" s="132">
        <f t="shared" si="2"/>
        <v>8016.4000000000042</v>
      </c>
      <c r="N27" s="133">
        <v>0</v>
      </c>
      <c r="O27" s="133">
        <v>0</v>
      </c>
      <c r="P27" s="133">
        <v>0</v>
      </c>
      <c r="Q27" s="132">
        <f>M27*G27</f>
        <v>3206.5600000000018</v>
      </c>
      <c r="R27" s="83" t="str">
        <f t="shared" si="7"/>
        <v>fora</v>
      </c>
      <c r="S27" s="140"/>
      <c r="T27" s="147"/>
      <c r="U27" s="147"/>
      <c r="V27" s="143">
        <f t="shared" si="8"/>
        <v>3206.5600000000018</v>
      </c>
    </row>
    <row r="28" spans="2:22" ht="15" hidden="1">
      <c r="B28" s="116" t="s">
        <v>129</v>
      </c>
      <c r="C28" s="83" t="s">
        <v>118</v>
      </c>
      <c r="D28" s="83" t="s">
        <v>19</v>
      </c>
      <c r="E28" s="96" t="s">
        <v>118</v>
      </c>
      <c r="F28" s="146">
        <v>0</v>
      </c>
      <c r="G28" s="138">
        <v>0.4</v>
      </c>
      <c r="H28" s="58">
        <v>0</v>
      </c>
      <c r="I28" s="58">
        <v>0</v>
      </c>
      <c r="J28" s="147">
        <v>10000</v>
      </c>
      <c r="K28" s="111"/>
      <c r="L28" s="139">
        <v>105</v>
      </c>
      <c r="M28" s="88">
        <f t="shared" si="2"/>
        <v>105</v>
      </c>
      <c r="N28" s="88">
        <f t="shared" ref="N28:N35" si="13">F28</f>
        <v>0</v>
      </c>
      <c r="O28" s="89">
        <f t="shared" ref="O28:O35" si="14">IF(M28&gt;J28,K28*H28,K28*G28)</f>
        <v>0</v>
      </c>
      <c r="P28" s="89">
        <f t="shared" ref="P28:P35" si="15">L28*I28</f>
        <v>0</v>
      </c>
      <c r="Q28" s="132">
        <f>M28*G28</f>
        <v>42</v>
      </c>
      <c r="R28" s="83" t="str">
        <f t="shared" si="7"/>
        <v>fora</v>
      </c>
      <c r="S28" s="140"/>
      <c r="T28" s="83"/>
      <c r="U28" s="83"/>
      <c r="V28" s="143">
        <f t="shared" si="8"/>
        <v>42</v>
      </c>
    </row>
    <row r="29" spans="2:22" s="87" customFormat="1" hidden="1">
      <c r="B29" s="7" t="s">
        <v>74</v>
      </c>
      <c r="C29" s="83" t="s">
        <v>17</v>
      </c>
      <c r="D29" s="83" t="s">
        <v>11</v>
      </c>
      <c r="E29" s="83" t="s">
        <v>17</v>
      </c>
      <c r="F29" s="144">
        <f>600-20</f>
        <v>580</v>
      </c>
      <c r="G29" s="58">
        <f>IFERROR(VLOOKUP($B29,regra,6,0),"?")</f>
        <v>0.12</v>
      </c>
      <c r="H29" s="58">
        <f>IFERROR(VLOOKUP($B29,regra,7,0),"?")</f>
        <v>0.14000000000000001</v>
      </c>
      <c r="I29" s="58">
        <f>IFERROR(VLOOKUP($B29,regra,8,0),"?")</f>
        <v>0.22</v>
      </c>
      <c r="J29" s="85">
        <f>IFERROR(VLOOKUP($B29,regra,5,0),"?")</f>
        <v>13000</v>
      </c>
      <c r="K29" s="88">
        <v>6395.8399999999992</v>
      </c>
      <c r="L29" s="88">
        <v>1690</v>
      </c>
      <c r="M29" s="88">
        <f t="shared" si="2"/>
        <v>8085.8399999999992</v>
      </c>
      <c r="N29" s="88">
        <f t="shared" si="13"/>
        <v>580</v>
      </c>
      <c r="O29" s="89">
        <f t="shared" si="14"/>
        <v>767.50079999999991</v>
      </c>
      <c r="P29" s="89">
        <f t="shared" si="15"/>
        <v>371.8</v>
      </c>
      <c r="Q29" s="88">
        <f t="shared" ref="Q29:Q35" si="16">SUM(N29:P29)</f>
        <v>1719.3007999999998</v>
      </c>
      <c r="R29" s="83" t="str">
        <f t="shared" si="7"/>
        <v>fora</v>
      </c>
      <c r="S29" s="140"/>
      <c r="T29" s="147"/>
      <c r="U29" s="147"/>
      <c r="V29" s="143">
        <f t="shared" si="8"/>
        <v>1719.3007999999998</v>
      </c>
    </row>
    <row r="30" spans="2:22" hidden="1">
      <c r="B30" s="7" t="s">
        <v>79</v>
      </c>
      <c r="C30" s="26" t="s">
        <v>17</v>
      </c>
      <c r="D30" s="26" t="s">
        <v>11</v>
      </c>
      <c r="E30" s="26" t="s">
        <v>17</v>
      </c>
      <c r="F30" s="144">
        <v>600</v>
      </c>
      <c r="G30" s="58">
        <f>IFERROR(VLOOKUP($B30,regra,6,0),"?")</f>
        <v>0.12</v>
      </c>
      <c r="H30" s="58">
        <f>IFERROR(VLOOKUP($B30,regra,7,0),"?")</f>
        <v>0.14000000000000001</v>
      </c>
      <c r="I30" s="58">
        <f>IFERROR(VLOOKUP($B30,regra,8,0),"?")</f>
        <v>0.22</v>
      </c>
      <c r="J30" s="85">
        <f>IFERROR(VLOOKUP($B30,regra,5,0),"?")</f>
        <v>13000</v>
      </c>
      <c r="K30" s="88">
        <v>7028.7199999999939</v>
      </c>
      <c r="L30" s="88">
        <v>1117.78</v>
      </c>
      <c r="M30" s="88">
        <f t="shared" si="2"/>
        <v>8146.4999999999936</v>
      </c>
      <c r="N30" s="88">
        <f t="shared" si="13"/>
        <v>600</v>
      </c>
      <c r="O30" s="89">
        <f t="shared" si="14"/>
        <v>843.44639999999924</v>
      </c>
      <c r="P30" s="89">
        <f t="shared" si="15"/>
        <v>245.91159999999999</v>
      </c>
      <c r="Q30" s="88">
        <f t="shared" si="16"/>
        <v>1689.3579999999993</v>
      </c>
      <c r="R30" s="83" t="str">
        <f t="shared" si="7"/>
        <v>fora</v>
      </c>
      <c r="S30" s="140"/>
      <c r="T30" s="142">
        <v>185.82937999999993</v>
      </c>
      <c r="U30" s="142">
        <v>0</v>
      </c>
      <c r="V30" s="143">
        <f t="shared" si="8"/>
        <v>1503.5286199999994</v>
      </c>
    </row>
    <row r="31" spans="2:22">
      <c r="B31" s="7" t="s">
        <v>75</v>
      </c>
      <c r="C31" s="83" t="s">
        <v>17</v>
      </c>
      <c r="D31" s="26" t="s">
        <v>19</v>
      </c>
      <c r="E31" s="83" t="s">
        <v>34</v>
      </c>
      <c r="F31" s="144">
        <v>600</v>
      </c>
      <c r="G31" s="58">
        <f>IFERROR(VLOOKUP($B31,regra,6,0),"?")</f>
        <v>0.2</v>
      </c>
      <c r="H31" s="58">
        <f>IFERROR(VLOOKUP($B31,regra,7,0),"?")</f>
        <v>0.22</v>
      </c>
      <c r="I31" s="58">
        <f>IFERROR(VLOOKUP($B31,regra,8,0),"?")</f>
        <v>0.25</v>
      </c>
      <c r="J31" s="85">
        <f>IFERROR(VLOOKUP($B31,regra,5,0),"?")</f>
        <v>13000</v>
      </c>
      <c r="K31" s="88">
        <v>10673.099999999995</v>
      </c>
      <c r="L31" s="88">
        <v>895.56</v>
      </c>
      <c r="M31" s="88">
        <f t="shared" si="2"/>
        <v>11568.659999999994</v>
      </c>
      <c r="N31" s="88">
        <f t="shared" si="13"/>
        <v>600</v>
      </c>
      <c r="O31" s="89">
        <f t="shared" si="14"/>
        <v>2134.619999999999</v>
      </c>
      <c r="P31" s="89">
        <f t="shared" si="15"/>
        <v>223.89</v>
      </c>
      <c r="Q31" s="88">
        <f t="shared" si="16"/>
        <v>2958.5099999999989</v>
      </c>
      <c r="R31" s="83" t="str">
        <f t="shared" si="7"/>
        <v>fora</v>
      </c>
      <c r="S31" s="140"/>
      <c r="T31" s="83"/>
      <c r="U31" s="83"/>
      <c r="V31" s="143">
        <f t="shared" si="8"/>
        <v>2958.5099999999989</v>
      </c>
    </row>
    <row r="32" spans="2:22" hidden="1">
      <c r="B32" s="7" t="s">
        <v>82</v>
      </c>
      <c r="C32" s="26" t="s">
        <v>17</v>
      </c>
      <c r="D32" s="26" t="s">
        <v>14</v>
      </c>
      <c r="E32" s="26" t="s">
        <v>17</v>
      </c>
      <c r="F32" s="144">
        <v>600</v>
      </c>
      <c r="G32" s="58">
        <v>0.16</v>
      </c>
      <c r="H32" s="58">
        <v>0.18</v>
      </c>
      <c r="I32" s="58">
        <v>0.25</v>
      </c>
      <c r="J32" s="85">
        <v>8000</v>
      </c>
      <c r="K32" s="111">
        <v>5491.6600000000035</v>
      </c>
      <c r="L32" s="111">
        <v>1550</v>
      </c>
      <c r="M32" s="88">
        <f t="shared" si="2"/>
        <v>7041.6600000000035</v>
      </c>
      <c r="N32" s="88">
        <f t="shared" si="13"/>
        <v>600</v>
      </c>
      <c r="O32" s="89">
        <f t="shared" si="14"/>
        <v>878.66560000000061</v>
      </c>
      <c r="P32" s="89">
        <f t="shared" si="15"/>
        <v>387.5</v>
      </c>
      <c r="Q32" s="88">
        <f t="shared" si="16"/>
        <v>1866.1656000000007</v>
      </c>
      <c r="R32" s="83" t="str">
        <f t="shared" si="7"/>
        <v>fora</v>
      </c>
      <c r="S32" s="140"/>
      <c r="T32" s="83"/>
      <c r="U32" s="83"/>
      <c r="V32" s="143">
        <f t="shared" si="8"/>
        <v>1866.1656000000007</v>
      </c>
    </row>
    <row r="33" spans="2:22" hidden="1">
      <c r="B33" s="7" t="s">
        <v>58</v>
      </c>
      <c r="C33" s="83" t="s">
        <v>17</v>
      </c>
      <c r="D33" s="26" t="s">
        <v>19</v>
      </c>
      <c r="E33" s="83" t="s">
        <v>17</v>
      </c>
      <c r="F33" s="144">
        <f>600-20</f>
        <v>580</v>
      </c>
      <c r="G33" s="58">
        <f>IFERROR(VLOOKUP($B33,regra,6,0),"?")</f>
        <v>0.12</v>
      </c>
      <c r="H33" s="58">
        <f>IFERROR(VLOOKUP($B33,regra,7,0),"?")</f>
        <v>0.14000000000000001</v>
      </c>
      <c r="I33" s="58">
        <f>IFERROR(VLOOKUP($B33,regra,8,0),"?")</f>
        <v>0.22</v>
      </c>
      <c r="J33" s="85">
        <f>IFERROR(VLOOKUP($B33,regra,5,0),"?")</f>
        <v>13000</v>
      </c>
      <c r="K33" s="88">
        <v>4643.7700000000023</v>
      </c>
      <c r="L33" s="88">
        <v>1050</v>
      </c>
      <c r="M33" s="88">
        <f t="shared" si="2"/>
        <v>5693.7700000000023</v>
      </c>
      <c r="N33" s="88">
        <f t="shared" si="13"/>
        <v>580</v>
      </c>
      <c r="O33" s="89">
        <f t="shared" si="14"/>
        <v>557.25240000000019</v>
      </c>
      <c r="P33" s="89">
        <f t="shared" si="15"/>
        <v>231</v>
      </c>
      <c r="Q33" s="88">
        <f t="shared" si="16"/>
        <v>1368.2524000000003</v>
      </c>
      <c r="R33" s="83" t="str">
        <f t="shared" si="7"/>
        <v>fora</v>
      </c>
      <c r="S33" s="140"/>
      <c r="T33" s="142">
        <v>150.50776400000004</v>
      </c>
      <c r="U33" s="142">
        <v>0</v>
      </c>
      <c r="V33" s="143">
        <f t="shared" si="8"/>
        <v>1217.7446360000004</v>
      </c>
    </row>
    <row r="34" spans="2:22" hidden="1">
      <c r="B34" s="7" t="s">
        <v>46</v>
      </c>
      <c r="C34" s="83" t="s">
        <v>10</v>
      </c>
      <c r="D34" s="83" t="s">
        <v>11</v>
      </c>
      <c r="E34" s="83" t="s">
        <v>10</v>
      </c>
      <c r="F34" s="144">
        <f>600-60</f>
        <v>540</v>
      </c>
      <c r="G34" s="58">
        <f>IFERROR(VLOOKUP($B34,regra,6,0),"?")</f>
        <v>0.16</v>
      </c>
      <c r="H34" s="58">
        <f>IFERROR(VLOOKUP($B34,regra,7,0),"?")</f>
        <v>0.18</v>
      </c>
      <c r="I34" s="58">
        <f>IFERROR(VLOOKUP($B34,regra,8,0),"?")</f>
        <v>0.22</v>
      </c>
      <c r="J34" s="85">
        <f>IFERROR(VLOOKUP($B34,regra,5,0),"?")</f>
        <v>14000</v>
      </c>
      <c r="K34" s="88">
        <v>17888.749999999978</v>
      </c>
      <c r="L34" s="88">
        <v>120</v>
      </c>
      <c r="M34" s="88">
        <f t="shared" si="2"/>
        <v>18008.749999999978</v>
      </c>
      <c r="N34" s="88">
        <f t="shared" si="13"/>
        <v>540</v>
      </c>
      <c r="O34" s="89">
        <f t="shared" si="14"/>
        <v>3219.9749999999958</v>
      </c>
      <c r="P34" s="89">
        <f t="shared" si="15"/>
        <v>26.4</v>
      </c>
      <c r="Q34" s="88">
        <f t="shared" si="16"/>
        <v>3786.3749999999959</v>
      </c>
      <c r="R34" s="83" t="str">
        <f t="shared" si="7"/>
        <v>meta</v>
      </c>
      <c r="S34" s="140"/>
      <c r="T34" s="83"/>
      <c r="U34" s="83"/>
      <c r="V34" s="143">
        <f t="shared" si="8"/>
        <v>3786.3749999999959</v>
      </c>
    </row>
    <row r="35" spans="2:22" hidden="1">
      <c r="B35" s="7" t="s">
        <v>48</v>
      </c>
      <c r="C35" s="83" t="s">
        <v>10</v>
      </c>
      <c r="D35" s="83" t="s">
        <v>14</v>
      </c>
      <c r="E35" s="83" t="s">
        <v>10</v>
      </c>
      <c r="F35" s="144">
        <f>600-60</f>
        <v>540</v>
      </c>
      <c r="G35" s="58">
        <f>IFERROR(VLOOKUP($B35,regra,6,0),"?")</f>
        <v>0.16</v>
      </c>
      <c r="H35" s="58">
        <f>IFERROR(VLOOKUP($B35,regra,7,0),"?")</f>
        <v>0.18</v>
      </c>
      <c r="I35" s="58">
        <f>IFERROR(VLOOKUP($B35,regra,8,0),"?")</f>
        <v>0.25</v>
      </c>
      <c r="J35" s="85">
        <f>IFERROR(VLOOKUP($B35,regra,5,0),"?")</f>
        <v>13000</v>
      </c>
      <c r="K35" s="88">
        <v>15145.309999999985</v>
      </c>
      <c r="L35" s="88">
        <v>1170</v>
      </c>
      <c r="M35" s="88">
        <f t="shared" si="2"/>
        <v>16315.309999999985</v>
      </c>
      <c r="N35" s="88">
        <f t="shared" si="13"/>
        <v>540</v>
      </c>
      <c r="O35" s="89">
        <f t="shared" si="14"/>
        <v>2726.1557999999973</v>
      </c>
      <c r="P35" s="89">
        <f t="shared" si="15"/>
        <v>292.5</v>
      </c>
      <c r="Q35" s="88">
        <f t="shared" si="16"/>
        <v>3558.6557999999973</v>
      </c>
      <c r="R35" s="83" t="str">
        <f t="shared" si="7"/>
        <v>meta</v>
      </c>
      <c r="S35" s="140"/>
      <c r="T35" s="83"/>
      <c r="U35" s="83"/>
      <c r="V35" s="143">
        <f t="shared" si="8"/>
        <v>3558.6557999999973</v>
      </c>
    </row>
    <row r="37" spans="2:22">
      <c r="O37" s="137"/>
    </row>
    <row r="49" spans="7:7">
      <c r="G49" s="10">
        <v>10</v>
      </c>
    </row>
    <row r="50" spans="7:7">
      <c r="G50" s="10">
        <v>10</v>
      </c>
    </row>
    <row r="52" spans="7:7">
      <c r="G52" s="10">
        <f>SUM(G49:G50)</f>
        <v>20</v>
      </c>
    </row>
  </sheetData>
  <autoFilter ref="B2:S35" xr:uid="{ED2A8B53-AD33-452A-A601-92DA907272B0}">
    <filterColumn colId="3">
      <filters>
        <filter val="RPG"/>
      </filters>
    </filterColumn>
  </autoFilter>
  <sortState xmlns:xlrd2="http://schemas.microsoft.com/office/spreadsheetml/2017/richdata2" ref="B3:S35">
    <sortCondition descending="1" ref="S3:S35"/>
  </sortState>
  <mergeCells count="3">
    <mergeCell ref="F1:J1"/>
    <mergeCell ref="K1:M1"/>
    <mergeCell ref="N1:Q1"/>
  </mergeCells>
  <conditionalFormatting sqref="B15:B16">
    <cfRule type="duplicateValues" dxfId="37" priority="18"/>
  </conditionalFormatting>
  <conditionalFormatting sqref="B17:B20 B10:B14 B2:B8">
    <cfRule type="duplicateValues" dxfId="36" priority="19"/>
  </conditionalFormatting>
  <conditionalFormatting sqref="B17:B20 B10:B14 B3:B8">
    <cfRule type="duplicateValues" dxfId="35" priority="20"/>
  </conditionalFormatting>
  <conditionalFormatting sqref="C21:C23 C25">
    <cfRule type="containsText" dxfId="34" priority="17" operator="containsText" text="nã">
      <formula>NOT(ISERROR(SEARCH("nã",C21)))</formula>
    </cfRule>
  </conditionalFormatting>
  <conditionalFormatting sqref="C24">
    <cfRule type="containsText" dxfId="33" priority="16" operator="containsText" text="nã">
      <formula>NOT(ISERROR(SEARCH("nã",C24)))</formula>
    </cfRule>
  </conditionalFormatting>
  <conditionalFormatting sqref="C26">
    <cfRule type="containsText" dxfId="32" priority="13" operator="containsText" text="nã">
      <formula>NOT(ISERROR(SEARCH("nã",C26)))</formula>
    </cfRule>
  </conditionalFormatting>
  <conditionalFormatting sqref="E21:E23 E25">
    <cfRule type="containsText" dxfId="31" priority="15" operator="containsText" text="nã">
      <formula>NOT(ISERROR(SEARCH("nã",E21)))</formula>
    </cfRule>
  </conditionalFormatting>
  <conditionalFormatting sqref="E24">
    <cfRule type="containsText" dxfId="30" priority="14" operator="containsText" text="nã">
      <formula>NOT(ISERROR(SEARCH("nã",E24)))</formula>
    </cfRule>
  </conditionalFormatting>
  <conditionalFormatting sqref="R3:S3 R4:R26 S4:S35">
    <cfRule type="containsText" dxfId="29" priority="12" operator="containsText" text="meta">
      <formula>NOT(ISERROR(SEARCH("meta",R3)))</formula>
    </cfRule>
  </conditionalFormatting>
  <conditionalFormatting sqref="C27">
    <cfRule type="containsText" dxfId="28" priority="9" operator="containsText" text="nã">
      <formula>NOT(ISERROR(SEARCH("nã",C27)))</formula>
    </cfRule>
  </conditionalFormatting>
  <conditionalFormatting sqref="R28">
    <cfRule type="containsText" dxfId="27" priority="10" operator="containsText" text="meta">
      <formula>NOT(ISERROR(SEARCH("meta",R28)))</formula>
    </cfRule>
  </conditionalFormatting>
  <conditionalFormatting sqref="C29">
    <cfRule type="containsText" dxfId="26" priority="8" operator="containsText" text="nã">
      <formula>NOT(ISERROR(SEARCH("nã",C29)))</formula>
    </cfRule>
  </conditionalFormatting>
  <conditionalFormatting sqref="R29:R30">
    <cfRule type="containsText" dxfId="25" priority="7" operator="containsText" text="meta">
      <formula>NOT(ISERROR(SEARCH("meta",R29)))</formula>
    </cfRule>
  </conditionalFormatting>
  <conditionalFormatting sqref="R34">
    <cfRule type="containsText" dxfId="24" priority="3" operator="containsText" text="meta">
      <formula>NOT(ISERROR(SEARCH("meta",R34)))</formula>
    </cfRule>
  </conditionalFormatting>
  <conditionalFormatting sqref="C30">
    <cfRule type="containsText" dxfId="23" priority="6" operator="containsText" text="nã">
      <formula>NOT(ISERROR(SEARCH("nã",C30)))</formula>
    </cfRule>
  </conditionalFormatting>
  <conditionalFormatting sqref="C31">
    <cfRule type="containsText" dxfId="22" priority="5" operator="containsText" text="nã">
      <formula>NOT(ISERROR(SEARCH("nã",C31)))</formula>
    </cfRule>
  </conditionalFormatting>
  <conditionalFormatting sqref="R31:R33">
    <cfRule type="containsText" dxfId="21" priority="4" operator="containsText" text="meta">
      <formula>NOT(ISERROR(SEARCH("meta",R31)))</formula>
    </cfRule>
  </conditionalFormatting>
  <conditionalFormatting sqref="R27">
    <cfRule type="containsText" dxfId="20" priority="2" operator="containsText" text="meta">
      <formula>NOT(ISERROR(SEARCH("meta",R27)))</formula>
    </cfRule>
  </conditionalFormatting>
  <conditionalFormatting sqref="R35">
    <cfRule type="containsText" dxfId="19" priority="1" operator="containsText" text="meta">
      <formula>NOT(ISERROR(SEARCH("meta",R35)))</formula>
    </cfRule>
  </conditionalFormatting>
  <pageMargins left="0.511811024" right="0.511811024" top="0.78740157499999996" bottom="0.78740157499999996" header="0.31496062000000002" footer="0.31496062000000002"/>
  <pageSetup paperSize="9" scale="50" fitToHeight="0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D0056-827D-4CB0-B90E-C3A18AEC052D}">
  <sheetPr filterMode="1">
    <pageSetUpPr fitToPage="1"/>
  </sheetPr>
  <dimension ref="B1:V52"/>
  <sheetViews>
    <sheetView showGridLines="0" zoomScale="80" zoomScaleNormal="80" workbookViewId="0">
      <pane xSplit="1" ySplit="2" topLeftCell="B13" activePane="bottomRight" state="frozen"/>
      <selection pane="bottomRight" activeCell="O11" sqref="O11"/>
      <selection pane="bottomLeft" activeCell="A4" sqref="A4"/>
      <selection pane="topRight" activeCell="B1" sqref="B1"/>
    </sheetView>
  </sheetViews>
  <sheetFormatPr defaultRowHeight="12.75"/>
  <cols>
    <col min="1" max="1" width="2.85546875" style="5" customWidth="1"/>
    <col min="2" max="2" width="33" style="14" bestFit="1" customWidth="1"/>
    <col min="3" max="3" width="11.42578125" style="10" customWidth="1"/>
    <col min="4" max="4" width="8.140625" style="10" customWidth="1"/>
    <col min="5" max="5" width="11.42578125" style="97" customWidth="1"/>
    <col min="6" max="6" width="12.42578125" style="39" customWidth="1"/>
    <col min="7" max="7" width="12.42578125" style="10" customWidth="1"/>
    <col min="8" max="8" width="12.42578125" style="13" customWidth="1"/>
    <col min="9" max="9" width="12.42578125" style="44" customWidth="1"/>
    <col min="10" max="10" width="12.42578125" style="87" customWidth="1"/>
    <col min="11" max="11" width="9.85546875" style="90" customWidth="1"/>
    <col min="12" max="12" width="9.28515625" style="90" customWidth="1"/>
    <col min="13" max="13" width="12.42578125" style="90" customWidth="1"/>
    <col min="14" max="14" width="12.42578125" style="91" customWidth="1"/>
    <col min="15" max="15" width="12.42578125" style="92" customWidth="1"/>
    <col min="16" max="16" width="12.42578125" style="93" customWidth="1"/>
    <col min="17" max="17" width="17.28515625" style="93" bestFit="1" customWidth="1"/>
    <col min="18" max="18" width="9.140625" style="10"/>
    <col min="19" max="19" width="9.28515625" style="10" customWidth="1"/>
    <col min="20" max="20" width="10.85546875" style="10" bestFit="1" customWidth="1"/>
    <col min="21" max="21" width="10.7109375" style="10" bestFit="1" customWidth="1"/>
    <col min="22" max="22" width="18.28515625" style="5" customWidth="1"/>
    <col min="23" max="16384" width="9.140625" style="5"/>
  </cols>
  <sheetData>
    <row r="1" spans="2:22" ht="38.25" customHeight="1">
      <c r="E1" s="10"/>
      <c r="F1" s="154" t="s">
        <v>86</v>
      </c>
      <c r="G1" s="154"/>
      <c r="H1" s="154"/>
      <c r="I1" s="154"/>
      <c r="J1" s="154"/>
      <c r="K1" s="167" t="s">
        <v>125</v>
      </c>
      <c r="L1" s="167"/>
      <c r="M1" s="167"/>
      <c r="N1" s="167" t="s">
        <v>88</v>
      </c>
      <c r="O1" s="167"/>
      <c r="P1" s="167"/>
      <c r="Q1" s="167"/>
    </row>
    <row r="2" spans="2:22" ht="26.1" customHeight="1">
      <c r="B2" s="118" t="s">
        <v>0</v>
      </c>
      <c r="C2" s="119" t="s">
        <v>1</v>
      </c>
      <c r="D2" s="119" t="s">
        <v>2</v>
      </c>
      <c r="E2" s="119" t="s">
        <v>3</v>
      </c>
      <c r="F2" s="120" t="s">
        <v>4</v>
      </c>
      <c r="G2" s="121" t="s">
        <v>5</v>
      </c>
      <c r="H2" s="121" t="s">
        <v>6</v>
      </c>
      <c r="I2" s="122" t="s">
        <v>7</v>
      </c>
      <c r="J2" s="121" t="s">
        <v>8</v>
      </c>
      <c r="K2" s="123" t="s">
        <v>89</v>
      </c>
      <c r="L2" s="123" t="s">
        <v>7</v>
      </c>
      <c r="M2" s="123" t="s">
        <v>90</v>
      </c>
      <c r="N2" s="124" t="s">
        <v>4</v>
      </c>
      <c r="O2" s="124" t="s">
        <v>107</v>
      </c>
      <c r="P2" s="124" t="s">
        <v>7</v>
      </c>
      <c r="Q2" s="123" t="s">
        <v>91</v>
      </c>
      <c r="R2" s="83" t="s">
        <v>109</v>
      </c>
      <c r="T2" s="141" t="s">
        <v>126</v>
      </c>
      <c r="U2" s="141" t="s">
        <v>127</v>
      </c>
      <c r="V2" s="8" t="s">
        <v>128</v>
      </c>
    </row>
    <row r="3" spans="2:22" ht="15" hidden="1" customHeight="1">
      <c r="B3" s="16" t="s">
        <v>65</v>
      </c>
      <c r="C3" s="83" t="s">
        <v>17</v>
      </c>
      <c r="D3" s="26" t="s">
        <v>11</v>
      </c>
      <c r="E3" s="26" t="s">
        <v>116</v>
      </c>
      <c r="F3" s="86" t="s">
        <v>61</v>
      </c>
      <c r="G3" s="86" t="s">
        <v>61</v>
      </c>
      <c r="H3" s="86" t="s">
        <v>61</v>
      </c>
      <c r="I3" s="86" t="s">
        <v>61</v>
      </c>
      <c r="J3" s="86" t="s">
        <v>61</v>
      </c>
      <c r="K3" s="86"/>
      <c r="L3" s="86"/>
      <c r="M3" s="86" t="s">
        <v>61</v>
      </c>
      <c r="N3" s="86" t="s">
        <v>61</v>
      </c>
      <c r="O3" s="86" t="s">
        <v>61</v>
      </c>
      <c r="P3" s="86" t="s">
        <v>61</v>
      </c>
      <c r="Q3" s="86" t="s">
        <v>61</v>
      </c>
      <c r="R3" s="83" t="str">
        <f t="shared" ref="R3:R35" si="0">IF(M3&gt;J3,"meta","fora")</f>
        <v>fora</v>
      </c>
      <c r="S3" s="140" t="e">
        <f t="shared" ref="S3:S10" si="1">Q3/M3</f>
        <v>#VALUE!</v>
      </c>
      <c r="T3" s="7"/>
      <c r="U3" s="7"/>
      <c r="V3" s="7"/>
    </row>
    <row r="4" spans="2:22" ht="15" hidden="1" customHeight="1">
      <c r="B4" s="16" t="s">
        <v>63</v>
      </c>
      <c r="C4" s="83" t="s">
        <v>10</v>
      </c>
      <c r="D4" s="26" t="s">
        <v>19</v>
      </c>
      <c r="E4" s="26" t="s">
        <v>10</v>
      </c>
      <c r="F4" s="86" t="s">
        <v>61</v>
      </c>
      <c r="G4" s="86" t="s">
        <v>61</v>
      </c>
      <c r="H4" s="86" t="s">
        <v>61</v>
      </c>
      <c r="I4" s="86" t="s">
        <v>61</v>
      </c>
      <c r="J4" s="86" t="s">
        <v>61</v>
      </c>
      <c r="K4" s="86"/>
      <c r="L4" s="86"/>
      <c r="M4" s="86" t="s">
        <v>61</v>
      </c>
      <c r="N4" s="86" t="s">
        <v>61</v>
      </c>
      <c r="O4" s="86" t="s">
        <v>61</v>
      </c>
      <c r="P4" s="86" t="s">
        <v>61</v>
      </c>
      <c r="Q4" s="86" t="s">
        <v>61</v>
      </c>
      <c r="R4" s="83" t="str">
        <f t="shared" si="0"/>
        <v>fora</v>
      </c>
      <c r="S4" s="140" t="e">
        <f t="shared" si="1"/>
        <v>#VALUE!</v>
      </c>
      <c r="T4" s="7"/>
      <c r="U4" s="7"/>
      <c r="V4" s="7"/>
    </row>
    <row r="5" spans="2:22" ht="15" hidden="1" customHeight="1">
      <c r="B5" s="7" t="s">
        <v>117</v>
      </c>
      <c r="C5" s="83" t="s">
        <v>118</v>
      </c>
      <c r="D5" s="26" t="s">
        <v>19</v>
      </c>
      <c r="E5" s="83" t="s">
        <v>118</v>
      </c>
      <c r="F5" s="86" t="s">
        <v>61</v>
      </c>
      <c r="G5" s="86" t="s">
        <v>61</v>
      </c>
      <c r="H5" s="86" t="s">
        <v>61</v>
      </c>
      <c r="I5" s="86" t="s">
        <v>61</v>
      </c>
      <c r="J5" s="86" t="s">
        <v>61</v>
      </c>
      <c r="K5" s="86"/>
      <c r="L5" s="86"/>
      <c r="M5" s="86" t="s">
        <v>61</v>
      </c>
      <c r="N5" s="86" t="s">
        <v>61</v>
      </c>
      <c r="O5" s="86" t="s">
        <v>61</v>
      </c>
      <c r="P5" s="86" t="s">
        <v>61</v>
      </c>
      <c r="Q5" s="86" t="s">
        <v>61</v>
      </c>
      <c r="R5" s="83" t="str">
        <f t="shared" si="0"/>
        <v>fora</v>
      </c>
      <c r="S5" s="140" t="e">
        <f t="shared" si="1"/>
        <v>#VALUE!</v>
      </c>
      <c r="T5" s="7"/>
      <c r="U5" s="7"/>
      <c r="V5" s="7"/>
    </row>
    <row r="6" spans="2:22" ht="15" hidden="1" customHeight="1">
      <c r="B6" s="7" t="s">
        <v>119</v>
      </c>
      <c r="C6" s="83" t="s">
        <v>10</v>
      </c>
      <c r="D6" s="26" t="s">
        <v>19</v>
      </c>
      <c r="E6" s="26" t="s">
        <v>10</v>
      </c>
      <c r="F6" s="86" t="s">
        <v>61</v>
      </c>
      <c r="G6" s="86" t="s">
        <v>61</v>
      </c>
      <c r="H6" s="86" t="s">
        <v>61</v>
      </c>
      <c r="I6" s="86" t="s">
        <v>61</v>
      </c>
      <c r="J6" s="86" t="s">
        <v>61</v>
      </c>
      <c r="K6" s="86"/>
      <c r="L6" s="86"/>
      <c r="M6" s="86" t="s">
        <v>61</v>
      </c>
      <c r="N6" s="86" t="s">
        <v>61</v>
      </c>
      <c r="O6" s="86" t="s">
        <v>61</v>
      </c>
      <c r="P6" s="86" t="s">
        <v>61</v>
      </c>
      <c r="Q6" s="86" t="s">
        <v>61</v>
      </c>
      <c r="R6" s="83" t="str">
        <f t="shared" si="0"/>
        <v>fora</v>
      </c>
      <c r="S6" s="140" t="e">
        <f t="shared" si="1"/>
        <v>#VALUE!</v>
      </c>
      <c r="T6" s="7"/>
      <c r="U6" s="7"/>
      <c r="V6" s="7"/>
    </row>
    <row r="7" spans="2:22" ht="15" hidden="1" customHeight="1">
      <c r="B7" s="7" t="s">
        <v>120</v>
      </c>
      <c r="C7" s="83" t="s">
        <v>121</v>
      </c>
      <c r="D7" s="26" t="s">
        <v>19</v>
      </c>
      <c r="E7" s="96" t="s">
        <v>121</v>
      </c>
      <c r="F7" s="86" t="s">
        <v>61</v>
      </c>
      <c r="G7" s="86" t="s">
        <v>61</v>
      </c>
      <c r="H7" s="86" t="s">
        <v>61</v>
      </c>
      <c r="I7" s="86" t="s">
        <v>61</v>
      </c>
      <c r="J7" s="86" t="s">
        <v>61</v>
      </c>
      <c r="K7" s="86"/>
      <c r="L7" s="86"/>
      <c r="M7" s="86" t="s">
        <v>61</v>
      </c>
      <c r="N7" s="86" t="s">
        <v>61</v>
      </c>
      <c r="O7" s="86" t="s">
        <v>61</v>
      </c>
      <c r="P7" s="86" t="s">
        <v>61</v>
      </c>
      <c r="Q7" s="86" t="s">
        <v>61</v>
      </c>
      <c r="R7" s="83" t="str">
        <f t="shared" si="0"/>
        <v>fora</v>
      </c>
      <c r="S7" s="140" t="e">
        <f t="shared" si="1"/>
        <v>#VALUE!</v>
      </c>
      <c r="T7" s="7"/>
      <c r="U7" s="7"/>
      <c r="V7" s="7"/>
    </row>
    <row r="8" spans="2:22" ht="15" hidden="1" customHeight="1">
      <c r="B8" s="16" t="s">
        <v>62</v>
      </c>
      <c r="C8" s="83" t="s">
        <v>10</v>
      </c>
      <c r="D8" s="26" t="s">
        <v>19</v>
      </c>
      <c r="E8" s="26" t="s">
        <v>10</v>
      </c>
      <c r="F8" s="86" t="s">
        <v>61</v>
      </c>
      <c r="G8" s="86" t="s">
        <v>61</v>
      </c>
      <c r="H8" s="86" t="s">
        <v>61</v>
      </c>
      <c r="I8" s="86" t="s">
        <v>61</v>
      </c>
      <c r="J8" s="86" t="s">
        <v>61</v>
      </c>
      <c r="K8" s="86"/>
      <c r="L8" s="86"/>
      <c r="M8" s="86" t="s">
        <v>61</v>
      </c>
      <c r="N8" s="86" t="s">
        <v>61</v>
      </c>
      <c r="O8" s="86" t="s">
        <v>61</v>
      </c>
      <c r="P8" s="86" t="s">
        <v>61</v>
      </c>
      <c r="Q8" s="86" t="s">
        <v>61</v>
      </c>
      <c r="R8" s="83" t="str">
        <f t="shared" si="0"/>
        <v>fora</v>
      </c>
      <c r="S8" s="140" t="e">
        <f t="shared" si="1"/>
        <v>#VALUE!</v>
      </c>
      <c r="T8" s="7"/>
      <c r="U8" s="7"/>
      <c r="V8" s="7"/>
    </row>
    <row r="9" spans="2:22" ht="15" hidden="1" customHeight="1">
      <c r="B9" s="16" t="s">
        <v>60</v>
      </c>
      <c r="C9" s="83" t="s">
        <v>17</v>
      </c>
      <c r="D9" s="26" t="s">
        <v>19</v>
      </c>
      <c r="E9" s="26" t="s">
        <v>116</v>
      </c>
      <c r="F9" s="86" t="s">
        <v>61</v>
      </c>
      <c r="G9" s="86" t="s">
        <v>61</v>
      </c>
      <c r="H9" s="86" t="s">
        <v>61</v>
      </c>
      <c r="I9" s="86" t="s">
        <v>61</v>
      </c>
      <c r="J9" s="86" t="s">
        <v>61</v>
      </c>
      <c r="K9" s="86"/>
      <c r="L9" s="86"/>
      <c r="M9" s="86" t="s">
        <v>61</v>
      </c>
      <c r="N9" s="86" t="s">
        <v>61</v>
      </c>
      <c r="O9" s="86" t="s">
        <v>61</v>
      </c>
      <c r="P9" s="86" t="s">
        <v>61</v>
      </c>
      <c r="Q9" s="86" t="s">
        <v>61</v>
      </c>
      <c r="R9" s="83" t="str">
        <f t="shared" si="0"/>
        <v>fora</v>
      </c>
      <c r="S9" s="140" t="e">
        <f t="shared" si="1"/>
        <v>#VALUE!</v>
      </c>
      <c r="T9" s="7"/>
      <c r="U9" s="7"/>
      <c r="V9" s="7"/>
    </row>
    <row r="10" spans="2:22" ht="15" hidden="1" customHeight="1">
      <c r="B10" s="25" t="s">
        <v>72</v>
      </c>
      <c r="C10" s="83" t="s">
        <v>17</v>
      </c>
      <c r="D10" s="26" t="s">
        <v>19</v>
      </c>
      <c r="E10" s="83" t="s">
        <v>34</v>
      </c>
      <c r="F10" s="86" t="s">
        <v>61</v>
      </c>
      <c r="G10" s="86" t="s">
        <v>61</v>
      </c>
      <c r="H10" s="86" t="s">
        <v>61</v>
      </c>
      <c r="I10" s="86" t="s">
        <v>61</v>
      </c>
      <c r="J10" s="86" t="s">
        <v>61</v>
      </c>
      <c r="K10" s="86"/>
      <c r="L10" s="86"/>
      <c r="M10" s="86" t="s">
        <v>61</v>
      </c>
      <c r="N10" s="86" t="s">
        <v>61</v>
      </c>
      <c r="O10" s="86" t="s">
        <v>61</v>
      </c>
      <c r="P10" s="86" t="s">
        <v>61</v>
      </c>
      <c r="Q10" s="86" t="s">
        <v>61</v>
      </c>
      <c r="R10" s="83" t="str">
        <f t="shared" si="0"/>
        <v>fora</v>
      </c>
      <c r="S10" s="140" t="e">
        <f t="shared" si="1"/>
        <v>#VALUE!</v>
      </c>
      <c r="T10" s="7"/>
      <c r="U10" s="7"/>
      <c r="V10" s="7"/>
    </row>
    <row r="11" spans="2:22" ht="15" customHeight="1">
      <c r="B11" s="7" t="s">
        <v>51</v>
      </c>
      <c r="C11" s="83" t="s">
        <v>17</v>
      </c>
      <c r="D11" s="26" t="s">
        <v>19</v>
      </c>
      <c r="E11" s="83" t="s">
        <v>17</v>
      </c>
      <c r="F11" s="144">
        <v>600</v>
      </c>
      <c r="G11" s="58">
        <f>IFERROR(VLOOKUP($B11,regra,6,0),"?")</f>
        <v>0.12</v>
      </c>
      <c r="H11" s="58">
        <f>IFERROR(VLOOKUP($B11,regra,7,0),"?")</f>
        <v>0.14000000000000001</v>
      </c>
      <c r="I11" s="58">
        <f>IFERROR(VLOOKUP($B11,regra,8,0),"?")</f>
        <v>0.22</v>
      </c>
      <c r="J11" s="85">
        <f>IFERROR(VLOOKUP($B11,regra,5,0),"?")</f>
        <v>13000</v>
      </c>
      <c r="K11" s="88">
        <v>12000</v>
      </c>
      <c r="L11" s="88">
        <v>3000</v>
      </c>
      <c r="M11" s="88">
        <f t="shared" ref="M11:M35" si="2">L11+K11</f>
        <v>15000</v>
      </c>
      <c r="N11" s="88">
        <f t="shared" ref="N11:N26" si="3">F11</f>
        <v>600</v>
      </c>
      <c r="O11" s="89">
        <f t="shared" ref="O11:O26" si="4">IF(M11&gt;J11,K11*H11,K11*G11)</f>
        <v>1680.0000000000002</v>
      </c>
      <c r="P11" s="89">
        <f t="shared" ref="P11:P26" si="5">L11*I11</f>
        <v>660</v>
      </c>
      <c r="Q11" s="88">
        <f t="shared" ref="Q11:Q26" si="6">SUM(N11:P11)</f>
        <v>2940</v>
      </c>
      <c r="R11" s="83" t="str">
        <f t="shared" si="0"/>
        <v>meta</v>
      </c>
      <c r="S11" s="140"/>
      <c r="T11" s="83"/>
      <c r="U11" s="83"/>
      <c r="V11" s="143">
        <f>Q11-T11-U11</f>
        <v>2940</v>
      </c>
    </row>
    <row r="12" spans="2:22" ht="15" customHeight="1">
      <c r="B12" s="7" t="s">
        <v>66</v>
      </c>
      <c r="C12" s="83" t="s">
        <v>17</v>
      </c>
      <c r="D12" s="26" t="s">
        <v>19</v>
      </c>
      <c r="E12" s="83" t="s">
        <v>31</v>
      </c>
      <c r="F12" s="144">
        <v>600</v>
      </c>
      <c r="G12" s="58">
        <f>IFERROR(VLOOKUP($B12,regra,6,0),"?")</f>
        <v>0.2</v>
      </c>
      <c r="H12" s="58">
        <f>IFERROR(VLOOKUP($B12,regra,7,0),"?")</f>
        <v>0.22</v>
      </c>
      <c r="I12" s="58">
        <f>IFERROR(VLOOKUP($B12,regra,8,0),"?")</f>
        <v>0.25</v>
      </c>
      <c r="J12" s="85">
        <f>IFERROR(VLOOKUP($B12,regra,5,0),"?")</f>
        <v>8000</v>
      </c>
      <c r="K12" s="88"/>
      <c r="L12" s="88"/>
      <c r="M12" s="88">
        <f t="shared" si="2"/>
        <v>0</v>
      </c>
      <c r="N12" s="88">
        <f t="shared" si="3"/>
        <v>600</v>
      </c>
      <c r="O12" s="89">
        <f t="shared" si="4"/>
        <v>0</v>
      </c>
      <c r="P12" s="89">
        <f t="shared" si="5"/>
        <v>0</v>
      </c>
      <c r="Q12" s="88">
        <f t="shared" si="6"/>
        <v>600</v>
      </c>
      <c r="R12" s="83" t="str">
        <f t="shared" si="0"/>
        <v>fora</v>
      </c>
      <c r="S12" s="140"/>
      <c r="T12" s="83"/>
      <c r="U12" s="83"/>
      <c r="V12" s="143">
        <f t="shared" ref="V12:V35" si="7">Q12-T12-U12</f>
        <v>600</v>
      </c>
    </row>
    <row r="13" spans="2:22" ht="15" hidden="1" customHeight="1">
      <c r="B13" s="7" t="s">
        <v>56</v>
      </c>
      <c r="C13" s="83" t="s">
        <v>17</v>
      </c>
      <c r="D13" s="83" t="s">
        <v>14</v>
      </c>
      <c r="E13" s="83" t="s">
        <v>17</v>
      </c>
      <c r="F13" s="144">
        <v>600</v>
      </c>
      <c r="G13" s="58">
        <f>IFERROR(VLOOKUP($B13,regra,6,0),"?")</f>
        <v>0.16</v>
      </c>
      <c r="H13" s="58">
        <f>IFERROR(VLOOKUP($B13,regra,7,0),"?")</f>
        <v>0.18</v>
      </c>
      <c r="I13" s="58">
        <f>IFERROR(VLOOKUP($B13,regra,8,0),"?")</f>
        <v>0.25</v>
      </c>
      <c r="J13" s="85">
        <f>IFERROR(VLOOKUP($B13,regra,5,0),"?")</f>
        <v>8000</v>
      </c>
      <c r="K13" s="88"/>
      <c r="L13" s="88"/>
      <c r="M13" s="88">
        <f t="shared" si="2"/>
        <v>0</v>
      </c>
      <c r="N13" s="88">
        <f t="shared" si="3"/>
        <v>600</v>
      </c>
      <c r="O13" s="89">
        <f t="shared" si="4"/>
        <v>0</v>
      </c>
      <c r="P13" s="89">
        <f t="shared" si="5"/>
        <v>0</v>
      </c>
      <c r="Q13" s="88">
        <f t="shared" si="6"/>
        <v>600</v>
      </c>
      <c r="R13" s="83" t="str">
        <f t="shared" si="0"/>
        <v>fora</v>
      </c>
      <c r="S13" s="140"/>
      <c r="T13" s="83"/>
      <c r="U13" s="83"/>
      <c r="V13" s="143">
        <f t="shared" si="7"/>
        <v>600</v>
      </c>
    </row>
    <row r="14" spans="2:22" ht="15" customHeight="1">
      <c r="B14" s="7" t="s">
        <v>67</v>
      </c>
      <c r="C14" s="83" t="s">
        <v>17</v>
      </c>
      <c r="D14" s="26" t="s">
        <v>19</v>
      </c>
      <c r="E14" s="83" t="s">
        <v>31</v>
      </c>
      <c r="F14" s="144">
        <v>600</v>
      </c>
      <c r="G14" s="58">
        <f>IFERROR(VLOOKUP($B14,regra,6,0),"?")</f>
        <v>0.2</v>
      </c>
      <c r="H14" s="58">
        <f>IFERROR(VLOOKUP($B14,regra,7,0),"?")</f>
        <v>0.22</v>
      </c>
      <c r="I14" s="58">
        <f>IFERROR(VLOOKUP($B14,regra,8,0),"?")</f>
        <v>0.25</v>
      </c>
      <c r="J14" s="85">
        <f>IFERROR(VLOOKUP($B14,regra,5,0),"?")</f>
        <v>8000</v>
      </c>
      <c r="K14" s="88"/>
      <c r="L14" s="88"/>
      <c r="M14" s="88">
        <f t="shared" si="2"/>
        <v>0</v>
      </c>
      <c r="N14" s="88">
        <f t="shared" si="3"/>
        <v>600</v>
      </c>
      <c r="O14" s="89">
        <f t="shared" si="4"/>
        <v>0</v>
      </c>
      <c r="P14" s="89">
        <f t="shared" si="5"/>
        <v>0</v>
      </c>
      <c r="Q14" s="88">
        <f t="shared" si="6"/>
        <v>600</v>
      </c>
      <c r="R14" s="83" t="str">
        <f t="shared" si="0"/>
        <v>fora</v>
      </c>
      <c r="S14" s="140"/>
      <c r="T14" s="83"/>
      <c r="U14" s="83"/>
      <c r="V14" s="143">
        <f t="shared" si="7"/>
        <v>600</v>
      </c>
    </row>
    <row r="15" spans="2:22" ht="15" hidden="1" customHeight="1">
      <c r="B15" s="7" t="s">
        <v>54</v>
      </c>
      <c r="C15" s="83" t="s">
        <v>17</v>
      </c>
      <c r="D15" s="26" t="s">
        <v>14</v>
      </c>
      <c r="E15" s="26" t="s">
        <v>17</v>
      </c>
      <c r="F15" s="144">
        <v>600</v>
      </c>
      <c r="G15" s="58">
        <f>IFERROR(VLOOKUP($B15,regra,6,0),"?")</f>
        <v>0.16</v>
      </c>
      <c r="H15" s="58">
        <f>IFERROR(VLOOKUP($B15,regra,7,0),"?")</f>
        <v>0.18</v>
      </c>
      <c r="I15" s="58">
        <f>IFERROR(VLOOKUP($B15,regra,8,0),"?")</f>
        <v>0.25</v>
      </c>
      <c r="J15" s="85">
        <f>IFERROR(VLOOKUP($B15,regra,5,0),"?")</f>
        <v>8000</v>
      </c>
      <c r="K15" s="88"/>
      <c r="L15" s="88"/>
      <c r="M15" s="88">
        <f t="shared" si="2"/>
        <v>0</v>
      </c>
      <c r="N15" s="88">
        <f t="shared" si="3"/>
        <v>600</v>
      </c>
      <c r="O15" s="89">
        <f t="shared" si="4"/>
        <v>0</v>
      </c>
      <c r="P15" s="89">
        <f t="shared" si="5"/>
        <v>0</v>
      </c>
      <c r="Q15" s="88">
        <f t="shared" si="6"/>
        <v>600</v>
      </c>
      <c r="R15" s="83" t="str">
        <f t="shared" si="0"/>
        <v>fora</v>
      </c>
      <c r="S15" s="140"/>
      <c r="T15" s="83"/>
      <c r="U15" s="83"/>
      <c r="V15" s="143">
        <f t="shared" si="7"/>
        <v>600</v>
      </c>
    </row>
    <row r="16" spans="2:22" ht="15" customHeight="1">
      <c r="B16" s="7" t="s">
        <v>83</v>
      </c>
      <c r="C16" s="26" t="s">
        <v>17</v>
      </c>
      <c r="D16" s="26" t="s">
        <v>19</v>
      </c>
      <c r="E16" s="96" t="s">
        <v>17</v>
      </c>
      <c r="F16" s="144">
        <v>600</v>
      </c>
      <c r="G16" s="58">
        <v>0.12</v>
      </c>
      <c r="H16" s="58">
        <v>0.14000000000000001</v>
      </c>
      <c r="I16" s="58">
        <v>0.22</v>
      </c>
      <c r="J16" s="85">
        <v>13000</v>
      </c>
      <c r="K16" s="111"/>
      <c r="L16" s="111"/>
      <c r="M16" s="88">
        <f t="shared" si="2"/>
        <v>0</v>
      </c>
      <c r="N16" s="88">
        <f t="shared" si="3"/>
        <v>600</v>
      </c>
      <c r="O16" s="89">
        <f t="shared" si="4"/>
        <v>0</v>
      </c>
      <c r="P16" s="89">
        <f t="shared" si="5"/>
        <v>0</v>
      </c>
      <c r="Q16" s="88">
        <f t="shared" si="6"/>
        <v>600</v>
      </c>
      <c r="R16" s="83" t="str">
        <f t="shared" si="0"/>
        <v>fora</v>
      </c>
      <c r="S16" s="140"/>
      <c r="T16" s="142"/>
      <c r="U16" s="142"/>
      <c r="V16" s="143">
        <f t="shared" si="7"/>
        <v>600</v>
      </c>
    </row>
    <row r="17" spans="2:22" ht="15" customHeight="1">
      <c r="B17" s="7" t="s">
        <v>84</v>
      </c>
      <c r="C17" s="26" t="s">
        <v>17</v>
      </c>
      <c r="D17" s="26" t="s">
        <v>19</v>
      </c>
      <c r="E17" s="96" t="s">
        <v>17</v>
      </c>
      <c r="F17" s="144">
        <v>600</v>
      </c>
      <c r="G17" s="58">
        <v>0.12</v>
      </c>
      <c r="H17" s="58">
        <v>0.14000000000000001</v>
      </c>
      <c r="I17" s="58">
        <v>0.22</v>
      </c>
      <c r="J17" s="85">
        <v>13000</v>
      </c>
      <c r="K17" s="111"/>
      <c r="L17" s="111"/>
      <c r="M17" s="88">
        <f t="shared" si="2"/>
        <v>0</v>
      </c>
      <c r="N17" s="88">
        <f t="shared" si="3"/>
        <v>600</v>
      </c>
      <c r="O17" s="89">
        <f t="shared" si="4"/>
        <v>0</v>
      </c>
      <c r="P17" s="89">
        <f t="shared" si="5"/>
        <v>0</v>
      </c>
      <c r="Q17" s="88">
        <f t="shared" si="6"/>
        <v>600</v>
      </c>
      <c r="R17" s="83" t="str">
        <f t="shared" si="0"/>
        <v>fora</v>
      </c>
      <c r="S17" s="140"/>
      <c r="T17" s="83"/>
      <c r="U17" s="83"/>
      <c r="V17" s="143">
        <f t="shared" si="7"/>
        <v>600</v>
      </c>
    </row>
    <row r="18" spans="2:22" ht="15" hidden="1" customHeight="1">
      <c r="B18" s="7" t="s">
        <v>12</v>
      </c>
      <c r="C18" s="26" t="s">
        <v>10</v>
      </c>
      <c r="D18" s="26" t="s">
        <v>11</v>
      </c>
      <c r="E18" s="26" t="s">
        <v>10</v>
      </c>
      <c r="F18" s="144">
        <v>600</v>
      </c>
      <c r="G18" s="58">
        <f>IFERROR(VLOOKUP($B18,regra,6,0),"?")</f>
        <v>0.16</v>
      </c>
      <c r="H18" s="58">
        <f>IFERROR(VLOOKUP($B18,regra,7,0),"?")</f>
        <v>0.18</v>
      </c>
      <c r="I18" s="58">
        <f>IFERROR(VLOOKUP($B18,regra,8,0),"?")</f>
        <v>0.22</v>
      </c>
      <c r="J18" s="85">
        <f>IFERROR(VLOOKUP($B18,regra,5,0),"?")</f>
        <v>14000</v>
      </c>
      <c r="K18" s="88"/>
      <c r="L18" s="88"/>
      <c r="M18" s="88">
        <f t="shared" si="2"/>
        <v>0</v>
      </c>
      <c r="N18" s="88">
        <f t="shared" si="3"/>
        <v>600</v>
      </c>
      <c r="O18" s="89">
        <f t="shared" si="4"/>
        <v>0</v>
      </c>
      <c r="P18" s="89">
        <f t="shared" si="5"/>
        <v>0</v>
      </c>
      <c r="Q18" s="88">
        <f t="shared" si="6"/>
        <v>600</v>
      </c>
      <c r="R18" s="83" t="str">
        <f t="shared" si="0"/>
        <v>fora</v>
      </c>
      <c r="S18" s="140"/>
      <c r="T18" s="142"/>
      <c r="U18" s="142"/>
      <c r="V18" s="143">
        <f t="shared" si="7"/>
        <v>600</v>
      </c>
    </row>
    <row r="19" spans="2:22" ht="15" customHeight="1">
      <c r="B19" s="7" t="s">
        <v>55</v>
      </c>
      <c r="C19" s="26" t="s">
        <v>17</v>
      </c>
      <c r="D19" s="26" t="s">
        <v>19</v>
      </c>
      <c r="E19" s="96" t="s">
        <v>17</v>
      </c>
      <c r="F19" s="144">
        <v>600</v>
      </c>
      <c r="G19" s="58">
        <v>0.12</v>
      </c>
      <c r="H19" s="58">
        <v>0.14000000000000001</v>
      </c>
      <c r="I19" s="58">
        <v>0.22</v>
      </c>
      <c r="J19" s="85">
        <v>13000</v>
      </c>
      <c r="K19" s="111"/>
      <c r="L19" s="111"/>
      <c r="M19" s="88">
        <f t="shared" si="2"/>
        <v>0</v>
      </c>
      <c r="N19" s="88">
        <f t="shared" si="3"/>
        <v>600</v>
      </c>
      <c r="O19" s="89">
        <f t="shared" si="4"/>
        <v>0</v>
      </c>
      <c r="P19" s="89">
        <f t="shared" si="5"/>
        <v>0</v>
      </c>
      <c r="Q19" s="88">
        <f t="shared" si="6"/>
        <v>600</v>
      </c>
      <c r="R19" s="83" t="str">
        <f t="shared" si="0"/>
        <v>fora</v>
      </c>
      <c r="S19" s="140"/>
      <c r="T19" s="83"/>
      <c r="U19" s="83"/>
      <c r="V19" s="143">
        <f t="shared" si="7"/>
        <v>600</v>
      </c>
    </row>
    <row r="20" spans="2:22" hidden="1">
      <c r="B20" s="7" t="s">
        <v>80</v>
      </c>
      <c r="C20" s="26" t="s">
        <v>17</v>
      </c>
      <c r="D20" s="26" t="s">
        <v>11</v>
      </c>
      <c r="E20" s="26" t="s">
        <v>17</v>
      </c>
      <c r="F20" s="144">
        <v>600</v>
      </c>
      <c r="G20" s="58">
        <f t="shared" ref="G20:G26" si="8">IFERROR(VLOOKUP($B20,regra,6,0),"?")</f>
        <v>0.12</v>
      </c>
      <c r="H20" s="58">
        <f t="shared" ref="H20:H26" si="9">IFERROR(VLOOKUP($B20,regra,7,0),"?")</f>
        <v>0.14000000000000001</v>
      </c>
      <c r="I20" s="58">
        <f t="shared" ref="I20:I26" si="10">IFERROR(VLOOKUP($B20,regra,8,0),"?")</f>
        <v>0.22</v>
      </c>
      <c r="J20" s="85">
        <f t="shared" ref="J20:J26" si="11">IFERROR(VLOOKUP($B20,regra,5,0),"?")</f>
        <v>13000</v>
      </c>
      <c r="K20" s="111"/>
      <c r="L20" s="111"/>
      <c r="M20" s="88">
        <f t="shared" si="2"/>
        <v>0</v>
      </c>
      <c r="N20" s="88">
        <f t="shared" si="3"/>
        <v>600</v>
      </c>
      <c r="O20" s="89">
        <f t="shared" si="4"/>
        <v>0</v>
      </c>
      <c r="P20" s="89">
        <f t="shared" si="5"/>
        <v>0</v>
      </c>
      <c r="Q20" s="88">
        <f t="shared" si="6"/>
        <v>600</v>
      </c>
      <c r="R20" s="83" t="str">
        <f t="shared" si="0"/>
        <v>fora</v>
      </c>
      <c r="S20" s="140"/>
      <c r="T20" s="83"/>
      <c r="U20" s="83"/>
      <c r="V20" s="143">
        <f t="shared" si="7"/>
        <v>600</v>
      </c>
    </row>
    <row r="21" spans="2:22" hidden="1">
      <c r="B21" s="7" t="s">
        <v>50</v>
      </c>
      <c r="C21" s="83" t="s">
        <v>10</v>
      </c>
      <c r="D21" s="83" t="s">
        <v>14</v>
      </c>
      <c r="E21" s="83" t="s">
        <v>10</v>
      </c>
      <c r="F21" s="144">
        <v>600</v>
      </c>
      <c r="G21" s="58">
        <f t="shared" si="8"/>
        <v>0.16</v>
      </c>
      <c r="H21" s="58">
        <f t="shared" si="9"/>
        <v>0.18</v>
      </c>
      <c r="I21" s="58">
        <f t="shared" si="10"/>
        <v>0.25</v>
      </c>
      <c r="J21" s="85">
        <f t="shared" si="11"/>
        <v>13000</v>
      </c>
      <c r="K21" s="88"/>
      <c r="L21" s="88"/>
      <c r="M21" s="88">
        <f t="shared" si="2"/>
        <v>0</v>
      </c>
      <c r="N21" s="88">
        <f t="shared" si="3"/>
        <v>600</v>
      </c>
      <c r="O21" s="89">
        <f t="shared" si="4"/>
        <v>0</v>
      </c>
      <c r="P21" s="89">
        <f t="shared" si="5"/>
        <v>0</v>
      </c>
      <c r="Q21" s="88">
        <f t="shared" si="6"/>
        <v>600</v>
      </c>
      <c r="R21" s="83" t="str">
        <f t="shared" si="0"/>
        <v>fora</v>
      </c>
      <c r="S21" s="140"/>
      <c r="T21" s="83"/>
      <c r="U21" s="83"/>
      <c r="V21" s="143">
        <f t="shared" si="7"/>
        <v>600</v>
      </c>
    </row>
    <row r="22" spans="2:22">
      <c r="B22" s="7" t="s">
        <v>70</v>
      </c>
      <c r="C22" s="83" t="s">
        <v>17</v>
      </c>
      <c r="D22" s="26" t="s">
        <v>19</v>
      </c>
      <c r="E22" s="83" t="s">
        <v>34</v>
      </c>
      <c r="F22" s="144">
        <v>600</v>
      </c>
      <c r="G22" s="58">
        <f t="shared" si="8"/>
        <v>0.2</v>
      </c>
      <c r="H22" s="58">
        <f t="shared" si="9"/>
        <v>0.22</v>
      </c>
      <c r="I22" s="58">
        <f t="shared" si="10"/>
        <v>0.25</v>
      </c>
      <c r="J22" s="85">
        <f t="shared" si="11"/>
        <v>13000</v>
      </c>
      <c r="K22" s="88"/>
      <c r="L22" s="88"/>
      <c r="M22" s="88">
        <f t="shared" si="2"/>
        <v>0</v>
      </c>
      <c r="N22" s="88">
        <f t="shared" si="3"/>
        <v>600</v>
      </c>
      <c r="O22" s="89">
        <f t="shared" si="4"/>
        <v>0</v>
      </c>
      <c r="P22" s="89">
        <f t="shared" si="5"/>
        <v>0</v>
      </c>
      <c r="Q22" s="88">
        <f t="shared" si="6"/>
        <v>600</v>
      </c>
      <c r="R22" s="83" t="str">
        <f t="shared" si="0"/>
        <v>fora</v>
      </c>
      <c r="S22" s="140"/>
      <c r="T22" s="83"/>
      <c r="U22" s="83"/>
      <c r="V22" s="143">
        <f t="shared" si="7"/>
        <v>600</v>
      </c>
    </row>
    <row r="23" spans="2:22">
      <c r="B23" s="7" t="s">
        <v>59</v>
      </c>
      <c r="C23" s="26" t="s">
        <v>17</v>
      </c>
      <c r="D23" s="26" t="s">
        <v>19</v>
      </c>
      <c r="E23" s="96" t="s">
        <v>17</v>
      </c>
      <c r="F23" s="144">
        <v>600</v>
      </c>
      <c r="G23" s="58">
        <f t="shared" si="8"/>
        <v>0.12</v>
      </c>
      <c r="H23" s="58">
        <f t="shared" si="9"/>
        <v>0.14000000000000001</v>
      </c>
      <c r="I23" s="58">
        <f t="shared" si="10"/>
        <v>0.22</v>
      </c>
      <c r="J23" s="85">
        <f t="shared" si="11"/>
        <v>13000</v>
      </c>
      <c r="K23" s="88"/>
      <c r="L23" s="88"/>
      <c r="M23" s="88">
        <f t="shared" si="2"/>
        <v>0</v>
      </c>
      <c r="N23" s="88">
        <f t="shared" si="3"/>
        <v>600</v>
      </c>
      <c r="O23" s="89">
        <f t="shared" si="4"/>
        <v>0</v>
      </c>
      <c r="P23" s="89">
        <f t="shared" si="5"/>
        <v>0</v>
      </c>
      <c r="Q23" s="88">
        <f t="shared" si="6"/>
        <v>600</v>
      </c>
      <c r="R23" s="83" t="str">
        <f t="shared" si="0"/>
        <v>fora</v>
      </c>
      <c r="S23" s="140"/>
      <c r="T23" s="142"/>
      <c r="U23" s="142"/>
      <c r="V23" s="143">
        <f t="shared" si="7"/>
        <v>600</v>
      </c>
    </row>
    <row r="24" spans="2:22">
      <c r="B24" s="7" t="s">
        <v>68</v>
      </c>
      <c r="C24" s="83" t="s">
        <v>17</v>
      </c>
      <c r="D24" s="26" t="s">
        <v>19</v>
      </c>
      <c r="E24" s="26" t="s">
        <v>34</v>
      </c>
      <c r="F24" s="144">
        <v>600</v>
      </c>
      <c r="G24" s="58">
        <f t="shared" si="8"/>
        <v>0.2</v>
      </c>
      <c r="H24" s="58">
        <f t="shared" si="9"/>
        <v>0.22</v>
      </c>
      <c r="I24" s="58">
        <f t="shared" si="10"/>
        <v>0.25</v>
      </c>
      <c r="J24" s="85">
        <f t="shared" si="11"/>
        <v>13000</v>
      </c>
      <c r="K24" s="88"/>
      <c r="L24" s="88"/>
      <c r="M24" s="88">
        <f t="shared" si="2"/>
        <v>0</v>
      </c>
      <c r="N24" s="88">
        <f t="shared" si="3"/>
        <v>600</v>
      </c>
      <c r="O24" s="89">
        <f t="shared" si="4"/>
        <v>0</v>
      </c>
      <c r="P24" s="89">
        <f t="shared" si="5"/>
        <v>0</v>
      </c>
      <c r="Q24" s="88">
        <f t="shared" si="6"/>
        <v>600</v>
      </c>
      <c r="R24" s="83" t="str">
        <f t="shared" si="0"/>
        <v>fora</v>
      </c>
      <c r="S24" s="140"/>
      <c r="T24" s="142"/>
      <c r="U24" s="142"/>
      <c r="V24" s="143">
        <f t="shared" si="7"/>
        <v>600</v>
      </c>
    </row>
    <row r="25" spans="2:22" hidden="1">
      <c r="B25" s="7" t="s">
        <v>81</v>
      </c>
      <c r="C25" s="26" t="s">
        <v>17</v>
      </c>
      <c r="D25" s="26" t="s">
        <v>11</v>
      </c>
      <c r="E25" s="26" t="s">
        <v>17</v>
      </c>
      <c r="F25" s="144">
        <v>600</v>
      </c>
      <c r="G25" s="58">
        <f t="shared" si="8"/>
        <v>0.12</v>
      </c>
      <c r="H25" s="58">
        <f t="shared" si="9"/>
        <v>0.14000000000000001</v>
      </c>
      <c r="I25" s="58">
        <f t="shared" si="10"/>
        <v>0.22</v>
      </c>
      <c r="J25" s="85">
        <f t="shared" si="11"/>
        <v>13000</v>
      </c>
      <c r="K25" s="111"/>
      <c r="L25" s="111"/>
      <c r="M25" s="88">
        <f t="shared" si="2"/>
        <v>0</v>
      </c>
      <c r="N25" s="88">
        <f t="shared" si="3"/>
        <v>600</v>
      </c>
      <c r="O25" s="89">
        <f t="shared" si="4"/>
        <v>0</v>
      </c>
      <c r="P25" s="89">
        <f t="shared" si="5"/>
        <v>0</v>
      </c>
      <c r="Q25" s="88">
        <f t="shared" si="6"/>
        <v>600</v>
      </c>
      <c r="R25" s="83" t="str">
        <f t="shared" si="0"/>
        <v>fora</v>
      </c>
      <c r="S25" s="140"/>
      <c r="T25" s="83"/>
      <c r="U25" s="83"/>
      <c r="V25" s="143">
        <f t="shared" si="7"/>
        <v>600</v>
      </c>
    </row>
    <row r="26" spans="2:22" hidden="1">
      <c r="B26" s="7" t="s">
        <v>77</v>
      </c>
      <c r="C26" s="26" t="s">
        <v>17</v>
      </c>
      <c r="D26" s="26" t="s">
        <v>14</v>
      </c>
      <c r="E26" s="26" t="s">
        <v>17</v>
      </c>
      <c r="F26" s="144">
        <v>600</v>
      </c>
      <c r="G26" s="58">
        <f t="shared" si="8"/>
        <v>0.16</v>
      </c>
      <c r="H26" s="58">
        <f t="shared" si="9"/>
        <v>0.18</v>
      </c>
      <c r="I26" s="58">
        <f t="shared" si="10"/>
        <v>0.25</v>
      </c>
      <c r="J26" s="85">
        <f t="shared" si="11"/>
        <v>8000</v>
      </c>
      <c r="K26" s="88"/>
      <c r="L26" s="88"/>
      <c r="M26" s="88">
        <f t="shared" si="2"/>
        <v>0</v>
      </c>
      <c r="N26" s="88">
        <f t="shared" si="3"/>
        <v>600</v>
      </c>
      <c r="O26" s="89">
        <f t="shared" si="4"/>
        <v>0</v>
      </c>
      <c r="P26" s="89">
        <f t="shared" si="5"/>
        <v>0</v>
      </c>
      <c r="Q26" s="88">
        <f t="shared" si="6"/>
        <v>600</v>
      </c>
      <c r="R26" s="83" t="str">
        <f t="shared" si="0"/>
        <v>fora</v>
      </c>
      <c r="S26" s="140"/>
      <c r="T26" s="142"/>
      <c r="U26" s="142"/>
      <c r="V26" s="143">
        <f t="shared" si="7"/>
        <v>600</v>
      </c>
    </row>
    <row r="27" spans="2:22" s="87" customFormat="1" hidden="1">
      <c r="B27" s="114" t="s">
        <v>85</v>
      </c>
      <c r="C27" s="26" t="s">
        <v>17</v>
      </c>
      <c r="D27" s="26" t="s">
        <v>19</v>
      </c>
      <c r="E27" s="130" t="s">
        <v>116</v>
      </c>
      <c r="F27" s="144"/>
      <c r="G27" s="131">
        <v>0.4</v>
      </c>
      <c r="H27" s="58">
        <v>0</v>
      </c>
      <c r="I27" s="58">
        <v>0</v>
      </c>
      <c r="J27" s="133">
        <v>10000</v>
      </c>
      <c r="K27" s="133"/>
      <c r="L27" s="133"/>
      <c r="M27" s="132">
        <f t="shared" si="2"/>
        <v>0</v>
      </c>
      <c r="N27" s="133">
        <v>0</v>
      </c>
      <c r="O27" s="133">
        <v>0</v>
      </c>
      <c r="P27" s="133">
        <v>0</v>
      </c>
      <c r="Q27" s="132">
        <f>M27*G27</f>
        <v>0</v>
      </c>
      <c r="R27" s="83" t="str">
        <f t="shared" si="0"/>
        <v>fora</v>
      </c>
      <c r="S27" s="140"/>
      <c r="T27" s="147"/>
      <c r="U27" s="147"/>
      <c r="V27" s="143">
        <f t="shared" si="7"/>
        <v>0</v>
      </c>
    </row>
    <row r="28" spans="2:22" ht="15" hidden="1">
      <c r="B28" s="116" t="s">
        <v>129</v>
      </c>
      <c r="C28" s="83" t="s">
        <v>118</v>
      </c>
      <c r="D28" s="83" t="s">
        <v>19</v>
      </c>
      <c r="E28" s="96" t="s">
        <v>118</v>
      </c>
      <c r="F28" s="144"/>
      <c r="G28" s="138">
        <v>0.4</v>
      </c>
      <c r="H28" s="58">
        <v>0</v>
      </c>
      <c r="I28" s="58">
        <v>0</v>
      </c>
      <c r="J28" s="147">
        <v>10000</v>
      </c>
      <c r="K28" s="111"/>
      <c r="L28" s="139"/>
      <c r="M28" s="88">
        <f t="shared" si="2"/>
        <v>0</v>
      </c>
      <c r="N28" s="88">
        <f t="shared" ref="N28:N35" si="12">F28</f>
        <v>0</v>
      </c>
      <c r="O28" s="89">
        <f t="shared" ref="O28:O35" si="13">IF(M28&gt;J28,K28*H28,K28*G28)</f>
        <v>0</v>
      </c>
      <c r="P28" s="89">
        <f t="shared" ref="P28:P35" si="14">L28*I28</f>
        <v>0</v>
      </c>
      <c r="Q28" s="132">
        <f>M28*G28</f>
        <v>0</v>
      </c>
      <c r="R28" s="83" t="str">
        <f t="shared" si="0"/>
        <v>fora</v>
      </c>
      <c r="S28" s="140"/>
      <c r="T28" s="83"/>
      <c r="U28" s="83"/>
      <c r="V28" s="143">
        <f t="shared" si="7"/>
        <v>0</v>
      </c>
    </row>
    <row r="29" spans="2:22" s="87" customFormat="1" hidden="1">
      <c r="B29" s="7" t="s">
        <v>74</v>
      </c>
      <c r="C29" s="83" t="s">
        <v>17</v>
      </c>
      <c r="D29" s="83" t="s">
        <v>11</v>
      </c>
      <c r="E29" s="83" t="s">
        <v>17</v>
      </c>
      <c r="F29" s="144">
        <v>600</v>
      </c>
      <c r="G29" s="58">
        <f>IFERROR(VLOOKUP($B29,regra,6,0),"?")</f>
        <v>0.12</v>
      </c>
      <c r="H29" s="58">
        <f>IFERROR(VLOOKUP($B29,regra,7,0),"?")</f>
        <v>0.14000000000000001</v>
      </c>
      <c r="I29" s="58">
        <f>IFERROR(VLOOKUP($B29,regra,8,0),"?")</f>
        <v>0.22</v>
      </c>
      <c r="J29" s="85">
        <f>IFERROR(VLOOKUP($B29,regra,5,0),"?")</f>
        <v>13000</v>
      </c>
      <c r="K29" s="88"/>
      <c r="L29" s="88"/>
      <c r="M29" s="88">
        <f t="shared" si="2"/>
        <v>0</v>
      </c>
      <c r="N29" s="88">
        <f t="shared" si="12"/>
        <v>600</v>
      </c>
      <c r="O29" s="89">
        <f t="shared" si="13"/>
        <v>0</v>
      </c>
      <c r="P29" s="89">
        <f t="shared" si="14"/>
        <v>0</v>
      </c>
      <c r="Q29" s="88">
        <f t="shared" ref="Q29:Q35" si="15">SUM(N29:P29)</f>
        <v>600</v>
      </c>
      <c r="R29" s="83" t="str">
        <f t="shared" si="0"/>
        <v>fora</v>
      </c>
      <c r="S29" s="140"/>
      <c r="T29" s="147"/>
      <c r="U29" s="147"/>
      <c r="V29" s="143">
        <f t="shared" si="7"/>
        <v>600</v>
      </c>
    </row>
    <row r="30" spans="2:22" hidden="1">
      <c r="B30" s="7" t="s">
        <v>79</v>
      </c>
      <c r="C30" s="26" t="s">
        <v>17</v>
      </c>
      <c r="D30" s="26" t="s">
        <v>11</v>
      </c>
      <c r="E30" s="26" t="s">
        <v>17</v>
      </c>
      <c r="F30" s="144">
        <v>600</v>
      </c>
      <c r="G30" s="58">
        <f>IFERROR(VLOOKUP($B30,regra,6,0),"?")</f>
        <v>0.12</v>
      </c>
      <c r="H30" s="58">
        <f>IFERROR(VLOOKUP($B30,regra,7,0),"?")</f>
        <v>0.14000000000000001</v>
      </c>
      <c r="I30" s="58">
        <f>IFERROR(VLOOKUP($B30,regra,8,0),"?")</f>
        <v>0.22</v>
      </c>
      <c r="J30" s="85">
        <f>IFERROR(VLOOKUP($B30,regra,5,0),"?")</f>
        <v>13000</v>
      </c>
      <c r="K30" s="88"/>
      <c r="L30" s="88"/>
      <c r="M30" s="88">
        <f t="shared" si="2"/>
        <v>0</v>
      </c>
      <c r="N30" s="88">
        <f t="shared" si="12"/>
        <v>600</v>
      </c>
      <c r="O30" s="89">
        <f t="shared" si="13"/>
        <v>0</v>
      </c>
      <c r="P30" s="89">
        <f t="shared" si="14"/>
        <v>0</v>
      </c>
      <c r="Q30" s="88">
        <f t="shared" si="15"/>
        <v>600</v>
      </c>
      <c r="R30" s="83" t="str">
        <f t="shared" si="0"/>
        <v>fora</v>
      </c>
      <c r="S30" s="140"/>
      <c r="T30" s="142"/>
      <c r="U30" s="142"/>
      <c r="V30" s="143">
        <f t="shared" si="7"/>
        <v>600</v>
      </c>
    </row>
    <row r="31" spans="2:22">
      <c r="B31" s="7" t="s">
        <v>75</v>
      </c>
      <c r="C31" s="83" t="s">
        <v>17</v>
      </c>
      <c r="D31" s="26" t="s">
        <v>19</v>
      </c>
      <c r="E31" s="83" t="s">
        <v>34</v>
      </c>
      <c r="F31" s="144">
        <v>600</v>
      </c>
      <c r="G31" s="58">
        <f>IFERROR(VLOOKUP($B31,regra,6,0),"?")</f>
        <v>0.2</v>
      </c>
      <c r="H31" s="58">
        <f>IFERROR(VLOOKUP($B31,regra,7,0),"?")</f>
        <v>0.22</v>
      </c>
      <c r="I31" s="58">
        <f>IFERROR(VLOOKUP($B31,regra,8,0),"?")</f>
        <v>0.25</v>
      </c>
      <c r="J31" s="85">
        <f>IFERROR(VLOOKUP($B31,regra,5,0),"?")</f>
        <v>13000</v>
      </c>
      <c r="K31" s="88"/>
      <c r="L31" s="88"/>
      <c r="M31" s="88">
        <f t="shared" si="2"/>
        <v>0</v>
      </c>
      <c r="N31" s="88">
        <f t="shared" si="12"/>
        <v>600</v>
      </c>
      <c r="O31" s="89">
        <f t="shared" si="13"/>
        <v>0</v>
      </c>
      <c r="P31" s="89">
        <f t="shared" si="14"/>
        <v>0</v>
      </c>
      <c r="Q31" s="88">
        <f t="shared" si="15"/>
        <v>600</v>
      </c>
      <c r="R31" s="83" t="str">
        <f t="shared" si="0"/>
        <v>fora</v>
      </c>
      <c r="S31" s="140"/>
      <c r="T31" s="83"/>
      <c r="U31" s="83"/>
      <c r="V31" s="143">
        <f t="shared" si="7"/>
        <v>600</v>
      </c>
    </row>
    <row r="32" spans="2:22" hidden="1">
      <c r="B32" s="7" t="s">
        <v>82</v>
      </c>
      <c r="C32" s="26" t="s">
        <v>17</v>
      </c>
      <c r="D32" s="26" t="s">
        <v>14</v>
      </c>
      <c r="E32" s="26" t="s">
        <v>17</v>
      </c>
      <c r="F32" s="144">
        <v>600</v>
      </c>
      <c r="G32" s="58">
        <v>0.16</v>
      </c>
      <c r="H32" s="58">
        <v>0.18</v>
      </c>
      <c r="I32" s="58">
        <v>0.25</v>
      </c>
      <c r="J32" s="85">
        <v>8000</v>
      </c>
      <c r="K32" s="111"/>
      <c r="L32" s="111"/>
      <c r="M32" s="88">
        <f t="shared" si="2"/>
        <v>0</v>
      </c>
      <c r="N32" s="88">
        <f t="shared" si="12"/>
        <v>600</v>
      </c>
      <c r="O32" s="89">
        <f t="shared" si="13"/>
        <v>0</v>
      </c>
      <c r="P32" s="89">
        <f t="shared" si="14"/>
        <v>0</v>
      </c>
      <c r="Q32" s="88">
        <f t="shared" si="15"/>
        <v>600</v>
      </c>
      <c r="R32" s="83" t="str">
        <f t="shared" si="0"/>
        <v>fora</v>
      </c>
      <c r="S32" s="140"/>
      <c r="T32" s="83"/>
      <c r="U32" s="83"/>
      <c r="V32" s="143">
        <f t="shared" si="7"/>
        <v>600</v>
      </c>
    </row>
    <row r="33" spans="2:22">
      <c r="B33" s="7" t="s">
        <v>58</v>
      </c>
      <c r="C33" s="83" t="s">
        <v>17</v>
      </c>
      <c r="D33" s="26" t="s">
        <v>19</v>
      </c>
      <c r="E33" s="83" t="s">
        <v>17</v>
      </c>
      <c r="F33" s="144">
        <v>600</v>
      </c>
      <c r="G33" s="58">
        <f>IFERROR(VLOOKUP($B33,regra,6,0),"?")</f>
        <v>0.12</v>
      </c>
      <c r="H33" s="58">
        <f>IFERROR(VLOOKUP($B33,regra,7,0),"?")</f>
        <v>0.14000000000000001</v>
      </c>
      <c r="I33" s="58">
        <f>IFERROR(VLOOKUP($B33,regra,8,0),"?")</f>
        <v>0.22</v>
      </c>
      <c r="J33" s="85">
        <f>IFERROR(VLOOKUP($B33,regra,5,0),"?")</f>
        <v>13000</v>
      </c>
      <c r="K33" s="88"/>
      <c r="L33" s="88"/>
      <c r="M33" s="88">
        <f t="shared" si="2"/>
        <v>0</v>
      </c>
      <c r="N33" s="88">
        <f t="shared" si="12"/>
        <v>600</v>
      </c>
      <c r="O33" s="89">
        <f t="shared" si="13"/>
        <v>0</v>
      </c>
      <c r="P33" s="89">
        <f t="shared" si="14"/>
        <v>0</v>
      </c>
      <c r="Q33" s="88">
        <f t="shared" si="15"/>
        <v>600</v>
      </c>
      <c r="R33" s="83" t="str">
        <f t="shared" si="0"/>
        <v>fora</v>
      </c>
      <c r="S33" s="140"/>
      <c r="T33" s="142"/>
      <c r="U33" s="142"/>
      <c r="V33" s="143">
        <f t="shared" si="7"/>
        <v>600</v>
      </c>
    </row>
    <row r="34" spans="2:22" hidden="1">
      <c r="B34" s="7" t="s">
        <v>46</v>
      </c>
      <c r="C34" s="83" t="s">
        <v>10</v>
      </c>
      <c r="D34" s="83" t="s">
        <v>11</v>
      </c>
      <c r="E34" s="83" t="s">
        <v>10</v>
      </c>
      <c r="F34" s="144">
        <v>600</v>
      </c>
      <c r="G34" s="58">
        <f>IFERROR(VLOOKUP($B34,regra,6,0),"?")</f>
        <v>0.16</v>
      </c>
      <c r="H34" s="58">
        <f>IFERROR(VLOOKUP($B34,regra,7,0),"?")</f>
        <v>0.18</v>
      </c>
      <c r="I34" s="58">
        <f>IFERROR(VLOOKUP($B34,regra,8,0),"?")</f>
        <v>0.22</v>
      </c>
      <c r="J34" s="85">
        <f>IFERROR(VLOOKUP($B34,regra,5,0),"?")</f>
        <v>14000</v>
      </c>
      <c r="K34" s="88"/>
      <c r="L34" s="88"/>
      <c r="M34" s="88">
        <f t="shared" si="2"/>
        <v>0</v>
      </c>
      <c r="N34" s="88">
        <f t="shared" si="12"/>
        <v>600</v>
      </c>
      <c r="O34" s="89">
        <f t="shared" si="13"/>
        <v>0</v>
      </c>
      <c r="P34" s="89">
        <f t="shared" si="14"/>
        <v>0</v>
      </c>
      <c r="Q34" s="88">
        <f t="shared" si="15"/>
        <v>600</v>
      </c>
      <c r="R34" s="83" t="str">
        <f t="shared" si="0"/>
        <v>fora</v>
      </c>
      <c r="S34" s="140"/>
      <c r="T34" s="83"/>
      <c r="U34" s="83"/>
      <c r="V34" s="143">
        <f t="shared" si="7"/>
        <v>600</v>
      </c>
    </row>
    <row r="35" spans="2:22" hidden="1">
      <c r="B35" s="7" t="s">
        <v>48</v>
      </c>
      <c r="C35" s="83" t="s">
        <v>10</v>
      </c>
      <c r="D35" s="83" t="s">
        <v>14</v>
      </c>
      <c r="E35" s="83" t="s">
        <v>10</v>
      </c>
      <c r="F35" s="144">
        <v>600</v>
      </c>
      <c r="G35" s="58">
        <f>IFERROR(VLOOKUP($B35,regra,6,0),"?")</f>
        <v>0.16</v>
      </c>
      <c r="H35" s="58">
        <f>IFERROR(VLOOKUP($B35,regra,7,0),"?")</f>
        <v>0.18</v>
      </c>
      <c r="I35" s="58">
        <f>IFERROR(VLOOKUP($B35,regra,8,0),"?")</f>
        <v>0.25</v>
      </c>
      <c r="J35" s="85">
        <f>IFERROR(VLOOKUP($B35,regra,5,0),"?")</f>
        <v>13000</v>
      </c>
      <c r="K35" s="88"/>
      <c r="L35" s="88"/>
      <c r="M35" s="88">
        <f t="shared" si="2"/>
        <v>0</v>
      </c>
      <c r="N35" s="88">
        <f t="shared" si="12"/>
        <v>600</v>
      </c>
      <c r="O35" s="89">
        <f t="shared" si="13"/>
        <v>0</v>
      </c>
      <c r="P35" s="89">
        <f t="shared" si="14"/>
        <v>0</v>
      </c>
      <c r="Q35" s="88">
        <f t="shared" si="15"/>
        <v>600</v>
      </c>
      <c r="R35" s="83" t="str">
        <f t="shared" si="0"/>
        <v>fora</v>
      </c>
      <c r="S35" s="140"/>
      <c r="T35" s="83"/>
      <c r="U35" s="83"/>
      <c r="V35" s="143">
        <f t="shared" si="7"/>
        <v>600</v>
      </c>
    </row>
    <row r="37" spans="2:22">
      <c r="O37" s="137"/>
    </row>
    <row r="49" spans="7:7">
      <c r="G49" s="10">
        <v>10</v>
      </c>
    </row>
    <row r="50" spans="7:7">
      <c r="G50" s="10">
        <v>10</v>
      </c>
    </row>
    <row r="52" spans="7:7">
      <c r="G52" s="10">
        <f>SUM(G49:G50)</f>
        <v>20</v>
      </c>
    </row>
  </sheetData>
  <autoFilter ref="B2:S35" xr:uid="{ED2A8B53-AD33-452A-A601-92DA907272B0}">
    <filterColumn colId="2">
      <filters>
        <filter val="Matriz"/>
      </filters>
    </filterColumn>
    <filterColumn colId="4">
      <filters>
        <filter val="0"/>
        <filter val="540"/>
        <filter val="560"/>
        <filter val="580"/>
        <filter val="600"/>
      </filters>
    </filterColumn>
  </autoFilter>
  <mergeCells count="3">
    <mergeCell ref="F1:J1"/>
    <mergeCell ref="K1:M1"/>
    <mergeCell ref="N1:Q1"/>
  </mergeCells>
  <conditionalFormatting sqref="B15:B16">
    <cfRule type="duplicateValues" dxfId="18" priority="17"/>
  </conditionalFormatting>
  <conditionalFormatting sqref="B17:B20 B10:B14 B2:B8">
    <cfRule type="duplicateValues" dxfId="17" priority="18"/>
  </conditionalFormatting>
  <conditionalFormatting sqref="B17:B20 B10:B14 B3:B8">
    <cfRule type="duplicateValues" dxfId="16" priority="19"/>
  </conditionalFormatting>
  <conditionalFormatting sqref="C21:C23 C25">
    <cfRule type="containsText" dxfId="15" priority="16" operator="containsText" text="nã">
      <formula>NOT(ISERROR(SEARCH("nã",C21)))</formula>
    </cfRule>
  </conditionalFormatting>
  <conditionalFormatting sqref="C24">
    <cfRule type="containsText" dxfId="14" priority="15" operator="containsText" text="nã">
      <formula>NOT(ISERROR(SEARCH("nã",C24)))</formula>
    </cfRule>
  </conditionalFormatting>
  <conditionalFormatting sqref="C26">
    <cfRule type="containsText" dxfId="13" priority="12" operator="containsText" text="nã">
      <formula>NOT(ISERROR(SEARCH("nã",C26)))</formula>
    </cfRule>
  </conditionalFormatting>
  <conditionalFormatting sqref="E21:E23 E25">
    <cfRule type="containsText" dxfId="12" priority="14" operator="containsText" text="nã">
      <formula>NOT(ISERROR(SEARCH("nã",E21)))</formula>
    </cfRule>
  </conditionalFormatting>
  <conditionalFormatting sqref="E24">
    <cfRule type="containsText" dxfId="11" priority="13" operator="containsText" text="nã">
      <formula>NOT(ISERROR(SEARCH("nã",E24)))</formula>
    </cfRule>
  </conditionalFormatting>
  <conditionalFormatting sqref="R3:S3 R4:R26 S4:S35">
    <cfRule type="containsText" dxfId="10" priority="11" operator="containsText" text="meta">
      <formula>NOT(ISERROR(SEARCH("meta",R3)))</formula>
    </cfRule>
  </conditionalFormatting>
  <conditionalFormatting sqref="C27">
    <cfRule type="containsText" dxfId="9" priority="9" operator="containsText" text="nã">
      <formula>NOT(ISERROR(SEARCH("nã",C27)))</formula>
    </cfRule>
  </conditionalFormatting>
  <conditionalFormatting sqref="R28">
    <cfRule type="containsText" dxfId="8" priority="10" operator="containsText" text="meta">
      <formula>NOT(ISERROR(SEARCH("meta",R28)))</formula>
    </cfRule>
  </conditionalFormatting>
  <conditionalFormatting sqref="C29">
    <cfRule type="containsText" dxfId="7" priority="8" operator="containsText" text="nã">
      <formula>NOT(ISERROR(SEARCH("nã",C29)))</formula>
    </cfRule>
  </conditionalFormatting>
  <conditionalFormatting sqref="R29:R30">
    <cfRule type="containsText" dxfId="6" priority="7" operator="containsText" text="meta">
      <formula>NOT(ISERROR(SEARCH("meta",R29)))</formula>
    </cfRule>
  </conditionalFormatting>
  <conditionalFormatting sqref="R34">
    <cfRule type="containsText" dxfId="5" priority="3" operator="containsText" text="meta">
      <formula>NOT(ISERROR(SEARCH("meta",R34)))</formula>
    </cfRule>
  </conditionalFormatting>
  <conditionalFormatting sqref="C30">
    <cfRule type="containsText" dxfId="4" priority="6" operator="containsText" text="nã">
      <formula>NOT(ISERROR(SEARCH("nã",C30)))</formula>
    </cfRule>
  </conditionalFormatting>
  <conditionalFormatting sqref="C31">
    <cfRule type="containsText" dxfId="3" priority="5" operator="containsText" text="nã">
      <formula>NOT(ISERROR(SEARCH("nã",C31)))</formula>
    </cfRule>
  </conditionalFormatting>
  <conditionalFormatting sqref="R31:R33">
    <cfRule type="containsText" dxfId="2" priority="4" operator="containsText" text="meta">
      <formula>NOT(ISERROR(SEARCH("meta",R31)))</formula>
    </cfRule>
  </conditionalFormatting>
  <conditionalFormatting sqref="R27">
    <cfRule type="containsText" dxfId="1" priority="2" operator="containsText" text="meta">
      <formula>NOT(ISERROR(SEARCH("meta",R27)))</formula>
    </cfRule>
  </conditionalFormatting>
  <conditionalFormatting sqref="R35">
    <cfRule type="containsText" dxfId="0" priority="1" operator="containsText" text="meta">
      <formula>NOT(ISERROR(SEARCH("meta",R35)))</formula>
    </cfRule>
  </conditionalFormatting>
  <pageMargins left="0.511811024" right="0.511811024" top="0.78740157499999996" bottom="0.78740157499999996" header="0.31496062000000002" footer="0.31496062000000002"/>
  <pageSetup paperSize="9" scale="50" fitToHeight="0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F8B3D-5F40-463A-AC3E-25BCC5E65127}">
  <dimension ref="A1:E13"/>
  <sheetViews>
    <sheetView workbookViewId="0">
      <selection activeCell="H6" sqref="H6"/>
    </sheetView>
  </sheetViews>
  <sheetFormatPr defaultRowHeight="15"/>
  <cols>
    <col min="1" max="2" width="11.42578125" bestFit="1" customWidth="1"/>
    <col min="3" max="3" width="5.85546875" bestFit="1" customWidth="1"/>
    <col min="4" max="4" width="7" bestFit="1" customWidth="1"/>
    <col min="5" max="5" width="5.140625" bestFit="1" customWidth="1"/>
  </cols>
  <sheetData>
    <row r="1" spans="1:5">
      <c r="A1" s="168"/>
      <c r="B1" s="168"/>
      <c r="C1" s="168"/>
      <c r="D1" s="3"/>
      <c r="E1" s="3"/>
    </row>
    <row r="2" spans="1:5">
      <c r="A2" s="4"/>
      <c r="B2" s="4"/>
      <c r="C2" s="125"/>
      <c r="D2" s="3"/>
      <c r="E2" s="126"/>
    </row>
    <row r="3" spans="1:5">
      <c r="A3" s="4"/>
      <c r="B3" s="4"/>
      <c r="C3" s="127"/>
      <c r="D3" s="3"/>
      <c r="E3" s="3"/>
    </row>
    <row r="4" spans="1:5">
      <c r="A4" s="4"/>
      <c r="B4" s="4"/>
      <c r="C4" s="127"/>
      <c r="D4" s="3"/>
      <c r="E4" s="3"/>
    </row>
    <row r="5" spans="1:5">
      <c r="A5" s="4"/>
      <c r="B5" s="4"/>
      <c r="C5" s="127"/>
      <c r="D5" s="3"/>
      <c r="E5" s="3"/>
    </row>
    <row r="6" spans="1:5">
      <c r="A6" s="3"/>
      <c r="B6" s="3"/>
      <c r="C6" s="3"/>
      <c r="D6" s="3"/>
      <c r="E6" s="3"/>
    </row>
    <row r="7" spans="1:5">
      <c r="A7" s="169"/>
      <c r="B7" s="169"/>
      <c r="C7" s="169"/>
      <c r="D7" s="169"/>
      <c r="E7" s="3"/>
    </row>
    <row r="8" spans="1:5">
      <c r="A8" s="3"/>
      <c r="B8" s="3"/>
      <c r="C8" s="3"/>
      <c r="D8" s="3"/>
      <c r="E8" s="3"/>
    </row>
    <row r="9" spans="1:5">
      <c r="A9" s="4"/>
      <c r="B9" s="4"/>
      <c r="C9" s="3"/>
      <c r="D9" s="3"/>
      <c r="E9" s="3"/>
    </row>
    <row r="10" spans="1:5">
      <c r="A10" s="4"/>
      <c r="B10" s="4"/>
      <c r="C10" s="3"/>
      <c r="D10" s="3"/>
      <c r="E10" s="3"/>
    </row>
    <row r="11" spans="1:5">
      <c r="A11" s="128"/>
      <c r="B11" s="128"/>
      <c r="C11" s="3"/>
      <c r="D11" s="129"/>
      <c r="E11" s="3"/>
    </row>
    <row r="12" spans="1:5">
      <c r="A12" s="128"/>
      <c r="B12" s="128"/>
      <c r="C12" s="3"/>
      <c r="D12" s="129"/>
      <c r="E12" s="3"/>
    </row>
    <row r="13" spans="1:5">
      <c r="A13" s="3"/>
      <c r="B13" s="3"/>
      <c r="C13" s="3"/>
      <c r="D13" s="3"/>
      <c r="E13" s="3"/>
    </row>
  </sheetData>
  <mergeCells count="2">
    <mergeCell ref="A1:C1"/>
    <mergeCell ref="A7:D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Iaam Marcos</dc:creator>
  <cp:keywords/>
  <dc:description/>
  <cp:lastModifiedBy>iaam controle</cp:lastModifiedBy>
  <cp:revision/>
  <dcterms:created xsi:type="dcterms:W3CDTF">2021-01-04T15:04:48Z</dcterms:created>
  <dcterms:modified xsi:type="dcterms:W3CDTF">2021-11-04T16:33:47Z</dcterms:modified>
  <cp:category/>
  <cp:contentStatus/>
</cp:coreProperties>
</file>