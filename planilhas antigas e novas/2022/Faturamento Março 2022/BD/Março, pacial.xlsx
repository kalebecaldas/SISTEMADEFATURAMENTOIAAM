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Iaam Marcos\Desktop\Fechamento Março\"/>
    </mc:Choice>
  </mc:AlternateContent>
  <xr:revisionPtr revIDLastSave="0" documentId="13_ncr:1_{3857BC20-C8A9-460D-8419-7AC4A4E03B8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Fechamento Fevereiro" sheetId="13" r:id="rId1"/>
    <sheet name="Relatório de Faltas" sheetId="14" r:id="rId2"/>
    <sheet name="Metas" sheetId="2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4" i="13" l="1"/>
  <c r="E34" i="13"/>
  <c r="AL8" i="13"/>
  <c r="AJ11" i="13"/>
  <c r="Y34" i="13"/>
  <c r="AA34" i="13" s="1"/>
  <c r="AB34" i="13" s="1"/>
  <c r="H25" i="13"/>
  <c r="X3" i="13"/>
  <c r="Y3" i="13" s="1"/>
  <c r="X4" i="13"/>
  <c r="Y4" i="13" s="1"/>
  <c r="X5" i="13"/>
  <c r="Y5" i="13" s="1"/>
  <c r="X6" i="13"/>
  <c r="Y6" i="13" s="1"/>
  <c r="AA6" i="13" s="1"/>
  <c r="X7" i="13"/>
  <c r="Y7" i="13" s="1"/>
  <c r="X8" i="13"/>
  <c r="Y8" i="13" s="1"/>
  <c r="X9" i="13"/>
  <c r="Y9" i="13" s="1"/>
  <c r="X10" i="13"/>
  <c r="Y10" i="13" s="1"/>
  <c r="X11" i="13"/>
  <c r="Y11" i="13" s="1"/>
  <c r="X12" i="13"/>
  <c r="Y12" i="13" s="1"/>
  <c r="X13" i="13"/>
  <c r="Y13" i="13" s="1"/>
  <c r="X14" i="13"/>
  <c r="Y14" i="13" s="1"/>
  <c r="X15" i="13"/>
  <c r="Y15" i="13" s="1"/>
  <c r="X16" i="13"/>
  <c r="Y16" i="13" s="1"/>
  <c r="X17" i="13"/>
  <c r="Y17" i="13" s="1"/>
  <c r="X18" i="13"/>
  <c r="Y18" i="13" s="1"/>
  <c r="X19" i="13"/>
  <c r="Y19" i="13" s="1"/>
  <c r="X20" i="13"/>
  <c r="Y20" i="13" s="1"/>
  <c r="X21" i="13"/>
  <c r="Y21" i="13" s="1"/>
  <c r="X22" i="13"/>
  <c r="Y22" i="13" s="1"/>
  <c r="X23" i="13"/>
  <c r="Y23" i="13" s="1"/>
  <c r="X24" i="13"/>
  <c r="Y24" i="13" s="1"/>
  <c r="X25" i="13"/>
  <c r="Y25" i="13" s="1"/>
  <c r="X26" i="13"/>
  <c r="Y26" i="13" s="1"/>
  <c r="X27" i="13"/>
  <c r="Y27" i="13" s="1"/>
  <c r="X28" i="13"/>
  <c r="Y28" i="13" s="1"/>
  <c r="X29" i="13"/>
  <c r="Y29" i="13" s="1"/>
  <c r="X30" i="13"/>
  <c r="Y30" i="13" s="1"/>
  <c r="X31" i="13"/>
  <c r="Y31" i="13" s="1"/>
  <c r="X32" i="13"/>
  <c r="Y32" i="13" s="1"/>
  <c r="X33" i="13"/>
  <c r="Y33" i="13" s="1"/>
  <c r="I16" i="13"/>
  <c r="F16" i="13"/>
  <c r="H16" i="13" s="1"/>
  <c r="F3" i="13"/>
  <c r="I3" i="13"/>
  <c r="F27" i="13"/>
  <c r="H27" i="13" s="1"/>
  <c r="F32" i="13"/>
  <c r="H32" i="13" s="1"/>
  <c r="I32" i="13"/>
  <c r="I4" i="13"/>
  <c r="I5" i="13"/>
  <c r="I6" i="13"/>
  <c r="I7" i="13"/>
  <c r="I8" i="13"/>
  <c r="I9" i="13"/>
  <c r="I10" i="13"/>
  <c r="I11" i="13"/>
  <c r="I12" i="13"/>
  <c r="I13" i="13"/>
  <c r="I14" i="13"/>
  <c r="I15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3" i="13"/>
  <c r="I2" i="13"/>
  <c r="F33" i="13"/>
  <c r="H33" i="13" s="1"/>
  <c r="F31" i="13"/>
  <c r="H31" i="13" s="1"/>
  <c r="F30" i="13"/>
  <c r="H30" i="13" s="1"/>
  <c r="F29" i="13"/>
  <c r="H29" i="13" s="1"/>
  <c r="F28" i="13"/>
  <c r="H28" i="13" s="1"/>
  <c r="F26" i="13"/>
  <c r="H26" i="13" s="1"/>
  <c r="F24" i="13"/>
  <c r="H24" i="13" s="1"/>
  <c r="F23" i="13"/>
  <c r="H23" i="13" s="1"/>
  <c r="F22" i="13"/>
  <c r="H22" i="13" s="1"/>
  <c r="F21" i="13"/>
  <c r="H21" i="13" s="1"/>
  <c r="F20" i="13"/>
  <c r="H19" i="13"/>
  <c r="F18" i="13"/>
  <c r="H18" i="13" s="1"/>
  <c r="F17" i="13"/>
  <c r="F15" i="13"/>
  <c r="H15" i="13" s="1"/>
  <c r="H14" i="13"/>
  <c r="F13" i="13"/>
  <c r="H13" i="13" s="1"/>
  <c r="H12" i="13"/>
  <c r="F11" i="13"/>
  <c r="H11" i="13" s="1"/>
  <c r="F10" i="13"/>
  <c r="H10" i="13" s="1"/>
  <c r="H9" i="13"/>
  <c r="H8" i="13"/>
  <c r="H7" i="13"/>
  <c r="F6" i="13"/>
  <c r="H5" i="13"/>
  <c r="S5" i="13" s="1"/>
  <c r="H4" i="13"/>
  <c r="X2" i="13"/>
  <c r="F2" i="13"/>
  <c r="H2" i="13" s="1"/>
  <c r="F34" i="13" l="1"/>
  <c r="AC34" i="13"/>
  <c r="AD34" i="13" s="1"/>
  <c r="AL11" i="13"/>
  <c r="H20" i="13"/>
  <c r="AA24" i="13"/>
  <c r="AB24" i="13" s="1"/>
  <c r="AA5" i="13"/>
  <c r="AB5" i="13" s="1"/>
  <c r="M5" i="13"/>
  <c r="P5" i="13" s="1"/>
  <c r="Q5" i="13" s="1"/>
  <c r="R5" i="13" s="1"/>
  <c r="AB6" i="13"/>
  <c r="AC6" i="13"/>
  <c r="AD6" i="13" s="1"/>
  <c r="M24" i="13"/>
  <c r="P24" i="13" s="1"/>
  <c r="Q24" i="13" s="1"/>
  <c r="R24" i="13" s="1"/>
  <c r="S27" i="13"/>
  <c r="AA25" i="13"/>
  <c r="AB25" i="13" s="1"/>
  <c r="AA32" i="13"/>
  <c r="AC32" i="13" s="1"/>
  <c r="AD32" i="13" s="1"/>
  <c r="AA33" i="13"/>
  <c r="AB33" i="13" s="1"/>
  <c r="AA10" i="13"/>
  <c r="AB10" i="13" s="1"/>
  <c r="AA16" i="13"/>
  <c r="AC16" i="13" s="1"/>
  <c r="AD16" i="13" s="1"/>
  <c r="AA8" i="13"/>
  <c r="AC8" i="13" s="1"/>
  <c r="AD8" i="13" s="1"/>
  <c r="AA22" i="13"/>
  <c r="AA14" i="13"/>
  <c r="AC14" i="13" s="1"/>
  <c r="AD14" i="13" s="1"/>
  <c r="AA29" i="13"/>
  <c r="AA21" i="13"/>
  <c r="AC21" i="13" s="1"/>
  <c r="AD21" i="13" s="1"/>
  <c r="AA13" i="13"/>
  <c r="AB13" i="13" s="1"/>
  <c r="AA28" i="13"/>
  <c r="AA20" i="13"/>
  <c r="AC20" i="13" s="1"/>
  <c r="AD20" i="13" s="1"/>
  <c r="AA12" i="13"/>
  <c r="AB12" i="13" s="1"/>
  <c r="AA4" i="13"/>
  <c r="AC4" i="13" s="1"/>
  <c r="AD4" i="13" s="1"/>
  <c r="AA11" i="13"/>
  <c r="AB11" i="13" s="1"/>
  <c r="AA3" i="13"/>
  <c r="AC3" i="13" s="1"/>
  <c r="AD3" i="13" s="1"/>
  <c r="H3" i="13" s="1"/>
  <c r="AA17" i="13"/>
  <c r="AB17" i="13" s="1"/>
  <c r="AA9" i="13"/>
  <c r="AB9" i="13" s="1"/>
  <c r="M22" i="13"/>
  <c r="AA31" i="13"/>
  <c r="AB31" i="13" s="1"/>
  <c r="AA30" i="13"/>
  <c r="AB30" i="13" s="1"/>
  <c r="AA27" i="13"/>
  <c r="AC27" i="13" s="1"/>
  <c r="AD27" i="13" s="1"/>
  <c r="AA26" i="13"/>
  <c r="AA23" i="13"/>
  <c r="AC23" i="13" s="1"/>
  <c r="AD23" i="13" s="1"/>
  <c r="AA19" i="13"/>
  <c r="AA18" i="13"/>
  <c r="AB18" i="13" s="1"/>
  <c r="AA15" i="13"/>
  <c r="AC15" i="13" s="1"/>
  <c r="AD15" i="13" s="1"/>
  <c r="AA7" i="13"/>
  <c r="AC7" i="13" s="1"/>
  <c r="AD7" i="13" s="1"/>
  <c r="H6" i="13"/>
  <c r="M27" i="13"/>
  <c r="P27" i="13" s="1"/>
  <c r="Q27" i="13" s="1"/>
  <c r="R27" i="13" s="1"/>
  <c r="M31" i="13"/>
  <c r="S4" i="13"/>
  <c r="Y2" i="13"/>
  <c r="AA2" i="13" s="1"/>
  <c r="M7" i="13"/>
  <c r="S9" i="13"/>
  <c r="M9" i="13"/>
  <c r="P9" i="13" s="1"/>
  <c r="M10" i="13"/>
  <c r="S11" i="13"/>
  <c r="M11" i="13"/>
  <c r="P11" i="13" s="1"/>
  <c r="M12" i="13"/>
  <c r="S13" i="13"/>
  <c r="M13" i="13"/>
  <c r="P13" i="13" s="1"/>
  <c r="S14" i="13"/>
  <c r="M14" i="13"/>
  <c r="P14" i="13" s="1"/>
  <c r="M15" i="13"/>
  <c r="P15" i="13" s="1"/>
  <c r="M19" i="13"/>
  <c r="M23" i="13"/>
  <c r="P23" i="13" s="1"/>
  <c r="M25" i="13"/>
  <c r="P25" i="13" s="1"/>
  <c r="M26" i="13"/>
  <c r="M28" i="13"/>
  <c r="P28" i="13" s="1"/>
  <c r="M29" i="13"/>
  <c r="P29" i="13" s="1"/>
  <c r="AC24" i="13" l="1"/>
  <c r="AD24" i="13" s="1"/>
  <c r="P10" i="13"/>
  <c r="Q10" i="13" s="1"/>
  <c r="R10" i="13" s="1"/>
  <c r="M3" i="13"/>
  <c r="P3" i="13" s="1"/>
  <c r="AC5" i="13"/>
  <c r="AD5" i="13" s="1"/>
  <c r="S8" i="13"/>
  <c r="S6" i="13"/>
  <c r="M6" i="13"/>
  <c r="P6" i="13" s="1"/>
  <c r="N5" i="13"/>
  <c r="N24" i="13"/>
  <c r="S24" i="13" s="1"/>
  <c r="M30" i="13"/>
  <c r="P30" i="13" s="1"/>
  <c r="Q30" i="13" s="1"/>
  <c r="R30" i="13" s="1"/>
  <c r="M20" i="13"/>
  <c r="P20" i="13" s="1"/>
  <c r="Q20" i="13" s="1"/>
  <c r="R20" i="13" s="1"/>
  <c r="AC29" i="13"/>
  <c r="AD29" i="13" s="1"/>
  <c r="AB29" i="13"/>
  <c r="AB3" i="13"/>
  <c r="AB28" i="13"/>
  <c r="AC28" i="13"/>
  <c r="AD28" i="13" s="1"/>
  <c r="AC22" i="13"/>
  <c r="AD22" i="13" s="1"/>
  <c r="AB22" i="13"/>
  <c r="AC9" i="13"/>
  <c r="AD9" i="13" s="1"/>
  <c r="M21" i="13"/>
  <c r="P21" i="13" s="1"/>
  <c r="Q21" i="13" s="1"/>
  <c r="R21" i="13" s="1"/>
  <c r="AB32" i="13"/>
  <c r="AB20" i="13"/>
  <c r="AB26" i="13"/>
  <c r="AC26" i="13"/>
  <c r="AD26" i="13" s="1"/>
  <c r="AC25" i="13"/>
  <c r="AD25" i="13" s="1"/>
  <c r="AC33" i="13"/>
  <c r="AD33" i="13" s="1"/>
  <c r="AB8" i="13"/>
  <c r="M8" i="13"/>
  <c r="P8" i="13" s="1"/>
  <c r="Q8" i="13" s="1"/>
  <c r="R8" i="13" s="1"/>
  <c r="AC10" i="13"/>
  <c r="AD10" i="13" s="1"/>
  <c r="AC30" i="13"/>
  <c r="AD30" i="13" s="1"/>
  <c r="AB23" i="13"/>
  <c r="AC31" i="13"/>
  <c r="AD31" i="13" s="1"/>
  <c r="AB19" i="13"/>
  <c r="AC19" i="13"/>
  <c r="AD19" i="13" s="1"/>
  <c r="AB27" i="13"/>
  <c r="AB16" i="13"/>
  <c r="AB15" i="13"/>
  <c r="M32" i="13"/>
  <c r="P32" i="13" s="1"/>
  <c r="Q32" i="13" s="1"/>
  <c r="R32" i="13" s="1"/>
  <c r="AC12" i="13"/>
  <c r="AD12" i="13" s="1"/>
  <c r="AB21" i="13"/>
  <c r="AB14" i="13"/>
  <c r="AC13" i="13"/>
  <c r="AD13" i="13" s="1"/>
  <c r="AC17" i="13"/>
  <c r="AD17" i="13" s="1"/>
  <c r="AC11" i="13"/>
  <c r="AD11" i="13" s="1"/>
  <c r="AB4" i="13"/>
  <c r="AB7" i="13"/>
  <c r="Q3" i="13"/>
  <c r="R3" i="13" s="1"/>
  <c r="M4" i="13"/>
  <c r="P4" i="13" s="1"/>
  <c r="Q4" i="13" s="1"/>
  <c r="R4" i="13" s="1"/>
  <c r="N4" i="13" s="1"/>
  <c r="AC18" i="13"/>
  <c r="AD18" i="13" s="1"/>
  <c r="H17" i="13" s="1"/>
  <c r="H34" i="13" s="1"/>
  <c r="N27" i="13"/>
  <c r="P31" i="13"/>
  <c r="Q29" i="13"/>
  <c r="R29" i="13" s="1"/>
  <c r="Q28" i="13"/>
  <c r="R28" i="13" s="1"/>
  <c r="P26" i="13"/>
  <c r="Q25" i="13"/>
  <c r="R25" i="13" s="1"/>
  <c r="Q23" i="13"/>
  <c r="R23" i="13" s="1"/>
  <c r="N23" i="13" s="1"/>
  <c r="S23" i="13" s="1"/>
  <c r="P22" i="13"/>
  <c r="P19" i="13"/>
  <c r="Q15" i="13"/>
  <c r="R15" i="13" s="1"/>
  <c r="Q14" i="13"/>
  <c r="R14" i="13" s="1"/>
  <c r="Q13" i="13"/>
  <c r="R13" i="13" s="1"/>
  <c r="P12" i="13"/>
  <c r="Q11" i="13"/>
  <c r="R11" i="13" s="1"/>
  <c r="Q9" i="13"/>
  <c r="R9" i="13" s="1"/>
  <c r="P7" i="13"/>
  <c r="AC2" i="13"/>
  <c r="AD2" i="13" s="1"/>
  <c r="AB2" i="13"/>
  <c r="S2" i="13"/>
  <c r="M2" i="13"/>
  <c r="P2" i="13" s="1"/>
  <c r="M16" i="13" l="1"/>
  <c r="P16" i="13" s="1"/>
  <c r="Q16" i="13" s="1"/>
  <c r="R16" i="13" s="1"/>
  <c r="N16" i="13" s="1"/>
  <c r="S16" i="13" s="1"/>
  <c r="Q6" i="13"/>
  <c r="R6" i="13" s="1"/>
  <c r="M33" i="13"/>
  <c r="P33" i="13" s="1"/>
  <c r="Q33" i="13" s="1"/>
  <c r="R33" i="13" s="1"/>
  <c r="N3" i="13"/>
  <c r="S3" i="13" s="1"/>
  <c r="M17" i="13"/>
  <c r="P17" i="13" s="1"/>
  <c r="Q17" i="13" s="1"/>
  <c r="R17" i="13" s="1"/>
  <c r="N28" i="13"/>
  <c r="S28" i="13" s="1"/>
  <c r="M18" i="13"/>
  <c r="P18" i="13" s="1"/>
  <c r="N14" i="13"/>
  <c r="N15" i="13"/>
  <c r="S15" i="13" s="1"/>
  <c r="N29" i="13"/>
  <c r="S29" i="13" s="1"/>
  <c r="N30" i="13"/>
  <c r="S30" i="13" s="1"/>
  <c r="N13" i="13"/>
  <c r="N9" i="13"/>
  <c r="N10" i="13"/>
  <c r="S10" i="13" s="1"/>
  <c r="N20" i="13"/>
  <c r="S20" i="13" s="1"/>
  <c r="N25" i="13"/>
  <c r="S25" i="13" s="1"/>
  <c r="N11" i="13"/>
  <c r="N21" i="13"/>
  <c r="S21" i="13" s="1"/>
  <c r="N32" i="13"/>
  <c r="S32" i="13" s="1"/>
  <c r="N8" i="13"/>
  <c r="Q2" i="13"/>
  <c r="R2" i="13" s="1"/>
  <c r="Q7" i="13"/>
  <c r="R7" i="13" s="1"/>
  <c r="Q12" i="13"/>
  <c r="R12" i="13" s="1"/>
  <c r="Q19" i="13"/>
  <c r="R19" i="13" s="1"/>
  <c r="Q22" i="13"/>
  <c r="R22" i="13" s="1"/>
  <c r="N22" i="13" s="1"/>
  <c r="S22" i="13" s="1"/>
  <c r="Q26" i="13"/>
  <c r="R26" i="13" s="1"/>
  <c r="Q31" i="13"/>
  <c r="R31" i="13" s="1"/>
  <c r="N6" i="13" l="1"/>
  <c r="N33" i="13"/>
  <c r="S33" i="13" s="1"/>
  <c r="N7" i="13"/>
  <c r="S7" i="13" s="1"/>
  <c r="N26" i="13"/>
  <c r="S26" i="13" s="1"/>
  <c r="N12" i="13"/>
  <c r="S12" i="13" s="1"/>
  <c r="N31" i="13"/>
  <c r="S31" i="13" s="1"/>
  <c r="N19" i="13"/>
  <c r="S19" i="13" s="1"/>
  <c r="N17" i="13"/>
  <c r="S17" i="13" s="1"/>
  <c r="N2" i="13"/>
  <c r="Q18" i="13"/>
  <c r="R18" i="13" s="1"/>
  <c r="N18" i="13" l="1"/>
  <c r="S18" i="13" s="1"/>
</calcChain>
</file>

<file path=xl/sharedStrings.xml><?xml version="1.0" encoding="utf-8"?>
<sst xmlns="http://schemas.openxmlformats.org/spreadsheetml/2006/main" count="304" uniqueCount="100">
  <si>
    <t>Especialidade</t>
  </si>
  <si>
    <t>Valor Profissional</t>
  </si>
  <si>
    <t>Jessica Lorena Gomes Queiroz</t>
  </si>
  <si>
    <t>Barbara Nunes Castilho</t>
  </si>
  <si>
    <t>Thiago Renan da Silva e Silva</t>
  </si>
  <si>
    <t>Ananda Martins de Souza</t>
  </si>
  <si>
    <t>Erika Santos Santoro</t>
  </si>
  <si>
    <t>Janete Vieira Alves</t>
  </si>
  <si>
    <t>Thalita Guedes de Carvalho Souza</t>
  </si>
  <si>
    <t>Rayane Lima da Silva Falcão</t>
  </si>
  <si>
    <t>Susana Brito de Albuquerque Moura</t>
  </si>
  <si>
    <t>Kariny Beserra Santiago</t>
  </si>
  <si>
    <t>Mariane do Amaral Felix</t>
  </si>
  <si>
    <t>Eduardo Aleixo da Silva</t>
  </si>
  <si>
    <t>Nathalia Iasmin Jacquiminouth Aires</t>
  </si>
  <si>
    <t>Vinicius Xavier Rodrigues Sena</t>
  </si>
  <si>
    <t>Beatriz Kikuda Rodrigues</t>
  </si>
  <si>
    <t>Romilton Santos</t>
  </si>
  <si>
    <t>Tereza Cristina Mendonça da Silva</t>
  </si>
  <si>
    <t>Katiuscia Rosas Guimarães</t>
  </si>
  <si>
    <t>Glaumir Sampaio Cavalcante Junior</t>
  </si>
  <si>
    <t>Franklin Andrade</t>
  </si>
  <si>
    <t>Sandra Fachinello</t>
  </si>
  <si>
    <t>Geraldo José Nossa Tuma</t>
  </si>
  <si>
    <t>Fatima Maria Tavares dos Santos</t>
  </si>
  <si>
    <t>Mislene Martins da Silva</t>
  </si>
  <si>
    <t>Kellyane Oneida</t>
  </si>
  <si>
    <t>Flávia Souza dos Santos</t>
  </si>
  <si>
    <t>Eliane Carneiro Farias</t>
  </si>
  <si>
    <t>Izabela da Silva  Moura</t>
  </si>
  <si>
    <t>Nutrição</t>
  </si>
  <si>
    <t>Suelen de Sá Guimarães</t>
  </si>
  <si>
    <t>Clemerson Rodrigues</t>
  </si>
  <si>
    <t>FUNCIONÁRIOS</t>
  </si>
  <si>
    <t>UNIDADE</t>
  </si>
  <si>
    <t>Valor Total Clínica</t>
  </si>
  <si>
    <t>FIXO</t>
  </si>
  <si>
    <t>META</t>
  </si>
  <si>
    <t>Valor Bruto</t>
  </si>
  <si>
    <t>Metas</t>
  </si>
  <si>
    <t>STATUS NOTA</t>
  </si>
  <si>
    <t>FALTAS</t>
  </si>
  <si>
    <t>INSS(11%)</t>
  </si>
  <si>
    <t>IRPF</t>
  </si>
  <si>
    <t>ISS(5%)</t>
  </si>
  <si>
    <t>BASE IR</t>
  </si>
  <si>
    <t>ALIQ IR</t>
  </si>
  <si>
    <t>DESC IR</t>
  </si>
  <si>
    <t>Valor Líquido</t>
  </si>
  <si>
    <t xml:space="preserve"> NOTA Status Recebido</t>
  </si>
  <si>
    <t>VALOR Status Envio</t>
  </si>
  <si>
    <t>FUNCIONÁRIOS QUE BATERAM META</t>
  </si>
  <si>
    <t>Funcionários</t>
  </si>
  <si>
    <t>VALOR PROFISSIONAL</t>
  </si>
  <si>
    <t>VALOR FUNC</t>
  </si>
  <si>
    <t>PART/OAB</t>
  </si>
  <si>
    <t>100% do valor</t>
  </si>
  <si>
    <t>SEM META</t>
  </si>
  <si>
    <t>COM META</t>
  </si>
  <si>
    <t>META+PART/OAB</t>
  </si>
  <si>
    <t>RPG</t>
  </si>
  <si>
    <t>MATRIZ</t>
  </si>
  <si>
    <t>MEI</t>
  </si>
  <si>
    <t>OK</t>
  </si>
  <si>
    <t>ok</t>
  </si>
  <si>
    <t>Neuro</t>
  </si>
  <si>
    <t>NFA</t>
  </si>
  <si>
    <t>pendente</t>
  </si>
  <si>
    <t>Fisio Pelv</t>
  </si>
  <si>
    <t>ANEXO</t>
  </si>
  <si>
    <t>N/P</t>
  </si>
  <si>
    <t>-</t>
  </si>
  <si>
    <t>Acup</t>
  </si>
  <si>
    <t>Fisio</t>
  </si>
  <si>
    <t>SJ</t>
  </si>
  <si>
    <t>VALOR COMISSÃO Ref. FEVEREIRO</t>
  </si>
  <si>
    <t>Ortopedista</t>
  </si>
  <si>
    <t>Unidades</t>
  </si>
  <si>
    <t>Valor</t>
  </si>
  <si>
    <t>Nomes</t>
  </si>
  <si>
    <t>Comissão</t>
  </si>
  <si>
    <t>Matriz</t>
  </si>
  <si>
    <t>Elciane</t>
  </si>
  <si>
    <t>Anexo</t>
  </si>
  <si>
    <t>Fisio Neuro</t>
  </si>
  <si>
    <t>NFA/JA RECOLHE</t>
  </si>
  <si>
    <t>TOTAL</t>
  </si>
  <si>
    <t>DANFe</t>
  </si>
  <si>
    <t>Leiliany Palmeira da Silva (SJ)</t>
  </si>
  <si>
    <t>MEI?</t>
  </si>
  <si>
    <t>Ramon Fernandes Barbosa</t>
  </si>
  <si>
    <t>FISIO</t>
  </si>
  <si>
    <t>VALOR TOTAL</t>
  </si>
  <si>
    <t>MENUS</t>
  </si>
  <si>
    <t>Relatório de Faltas Mês de Fevereiro de 2022</t>
  </si>
  <si>
    <t>Dias</t>
  </si>
  <si>
    <t>Qtd. Faltas</t>
  </si>
  <si>
    <t>Motivo</t>
  </si>
  <si>
    <t>Atestado</t>
  </si>
  <si>
    <t>Fernanda Tayanara de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</si>
</sst>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#,##0.0"/>
    <numFmt numFmtId="165" formatCode="0.0%"/>
    <numFmt numFmtId="166" formatCode="_-[$R$-416]\ * #,##0.00_-;\-[$R$-416]\ * #,##0.00_-;_-[$R$-416]\ * &quot;-&quot;??_-;_-@_-"/>
  </numFmts>
  <fonts count="3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6100"/>
      <name val="Calibri"/>
      <family val="2"/>
      <scheme val="minor"/>
    </font>
    <font>
      <sz val="11"/>
      <color rgb="FF000000"/>
      <name val="Arial Nova Light"/>
      <family val="2"/>
    </font>
    <font>
      <b/>
      <sz val="10"/>
      <color rgb="FF000000"/>
      <name val="Arial Nova Light"/>
      <family val="2"/>
    </font>
    <font>
      <b/>
      <sz val="11"/>
      <color rgb="FF000000"/>
      <name val="Arial Nova Light"/>
      <family val="2"/>
    </font>
    <font>
      <sz val="10"/>
      <color theme="1"/>
      <name val="Arial Nova Light"/>
      <family val="2"/>
    </font>
    <font>
      <sz val="9"/>
      <color rgb="FF000000"/>
      <name val="Arial Nova Light"/>
      <family val="2"/>
    </font>
    <font>
      <b/>
      <sz val="11"/>
      <name val="Arial Nova Light"/>
      <family val="2"/>
    </font>
    <font>
      <sz val="11"/>
      <color theme="1"/>
      <name val="Arial Nova Light"/>
      <family val="2"/>
    </font>
    <font>
      <u/>
      <sz val="11"/>
      <color theme="10"/>
      <name val="Calibri"/>
    </font>
    <font>
      <sz val="11"/>
      <color rgb="FFA9D08E"/>
      <name val="Arial Nova Light"/>
      <family val="2"/>
    </font>
    <font>
      <sz val="11"/>
      <color rgb="FFFF0000"/>
      <name val="Arial Nova Light"/>
      <family val="2"/>
    </font>
    <font>
      <b/>
      <sz val="18"/>
      <color rgb="FF000000"/>
      <name val="Arial Nova Light"/>
      <family val="2"/>
    </font>
    <font>
      <b/>
      <sz val="11"/>
      <color rgb="FFFFFFFF"/>
      <name val="Arial Nova Light"/>
      <family val="2"/>
    </font>
    <font>
      <b/>
      <sz val="11"/>
      <color theme="0"/>
      <name val="Arial Nova Light"/>
      <family val="2"/>
    </font>
    <font>
      <b/>
      <sz val="14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4"/>
      <color rgb="FF000000"/>
      <name val="Calibri"/>
    </font>
    <font>
      <b/>
      <sz val="12"/>
      <color rgb="FF000000"/>
      <name val="Arial"/>
    </font>
    <font>
      <b/>
      <sz val="14"/>
      <color theme="1"/>
      <name val="Calibri"/>
      <family val="2"/>
    </font>
    <font>
      <sz val="11"/>
      <color rgb="FFFF0000"/>
      <name val="Calibri"/>
    </font>
    <font>
      <b/>
      <sz val="2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Arial"/>
    </font>
    <font>
      <b/>
      <sz val="14"/>
      <color rgb="FF000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4BACC6"/>
        <bgColor rgb="FF4BACC6"/>
      </patternFill>
    </fill>
    <fill>
      <patternFill patternType="solid">
        <fgColor theme="8"/>
        <bgColor theme="8"/>
      </patternFill>
    </fill>
    <fill>
      <patternFill patternType="solid">
        <fgColor rgb="FF70AD47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7E6E6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999999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 style="medium">
        <color rgb="FF000000"/>
      </bottom>
      <diagonal/>
    </border>
    <border>
      <left/>
      <right/>
      <top style="thin">
        <color rgb="FF999999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7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12" fillId="0" borderId="0" applyNumberFormat="0" applyFill="0" applyBorder="0" applyAlignment="0" applyProtection="0"/>
    <xf numFmtId="0" fontId="2" fillId="0" borderId="0"/>
    <xf numFmtId="0" fontId="26" fillId="0" borderId="0" applyNumberFormat="0" applyFill="0" applyBorder="0" applyAlignment="0" applyProtection="0"/>
  </cellStyleXfs>
  <cellXfs count="180">
    <xf numFmtId="0" fontId="0" fillId="0" borderId="0" xfId="0"/>
    <xf numFmtId="0" fontId="0" fillId="3" borderId="0" xfId="0" applyFill="1"/>
    <xf numFmtId="44" fontId="5" fillId="0" borderId="2" xfId="0" applyNumberFormat="1" applyFont="1" applyBorder="1"/>
    <xf numFmtId="0" fontId="9" fillId="0" borderId="2" xfId="0" applyFont="1" applyBorder="1" applyAlignment="1">
      <alignment horizontal="center" vertical="center"/>
    </xf>
    <xf numFmtId="44" fontId="5" fillId="0" borderId="2" xfId="0" applyNumberFormat="1" applyFont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44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3" fontId="8" fillId="0" borderId="2" xfId="2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44" fontId="10" fillId="2" borderId="2" xfId="3" applyNumberFormat="1" applyFont="1" applyBorder="1" applyAlignment="1">
      <alignment horizontal="left" vertical="center"/>
    </xf>
    <xf numFmtId="165" fontId="5" fillId="0" borderId="2" xfId="2" applyNumberFormat="1" applyFont="1" applyBorder="1"/>
    <xf numFmtId="44" fontId="5" fillId="0" borderId="2" xfId="1" applyFont="1" applyBorder="1"/>
    <xf numFmtId="44" fontId="5" fillId="3" borderId="2" xfId="0" applyNumberFormat="1" applyFont="1" applyFill="1" applyBorder="1"/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/>
    <xf numFmtId="0" fontId="20" fillId="0" borderId="2" xfId="0" applyFont="1" applyBorder="1" applyAlignment="1">
      <alignment horizontal="left" vertical="center"/>
    </xf>
    <xf numFmtId="44" fontId="5" fillId="0" borderId="2" xfId="0" applyNumberFormat="1" applyFont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44" fontId="7" fillId="0" borderId="1" xfId="0" applyNumberFormat="1" applyFont="1" applyBorder="1" applyAlignment="1">
      <alignment horizontal="left" vertical="center"/>
    </xf>
    <xf numFmtId="44" fontId="5" fillId="0" borderId="5" xfId="1" applyFont="1" applyBorder="1"/>
    <xf numFmtId="44" fontId="5" fillId="3" borderId="6" xfId="0" applyNumberFormat="1" applyFont="1" applyFill="1" applyBorder="1" applyAlignment="1">
      <alignment horizontal="center" vertical="center"/>
    </xf>
    <xf numFmtId="44" fontId="7" fillId="0" borderId="8" xfId="0" applyNumberFormat="1" applyFont="1" applyBorder="1"/>
    <xf numFmtId="0" fontId="2" fillId="0" borderId="0" xfId="5"/>
    <xf numFmtId="0" fontId="2" fillId="0" borderId="0" xfId="5" applyAlignment="1">
      <alignment horizontal="center" vertical="center"/>
    </xf>
    <xf numFmtId="0" fontId="25" fillId="0" borderId="0" xfId="5" applyFont="1" applyAlignment="1">
      <alignment horizontal="center" vertical="center"/>
    </xf>
    <xf numFmtId="0" fontId="24" fillId="0" borderId="0" xfId="5" applyFont="1" applyAlignment="1">
      <alignment horizontal="center" vertical="center" wrapText="1"/>
    </xf>
    <xf numFmtId="0" fontId="24" fillId="0" borderId="0" xfId="5" applyFont="1" applyAlignment="1">
      <alignment horizontal="center" vertical="center"/>
    </xf>
    <xf numFmtId="0" fontId="20" fillId="0" borderId="0" xfId="5" applyFont="1" applyAlignment="1">
      <alignment horizontal="center" vertical="center"/>
    </xf>
    <xf numFmtId="44" fontId="7" fillId="0" borderId="7" xfId="0" applyNumberFormat="1" applyFont="1" applyBorder="1"/>
    <xf numFmtId="44" fontId="7" fillId="0" borderId="1" xfId="0" applyNumberFormat="1" applyFont="1" applyBorder="1"/>
    <xf numFmtId="44" fontId="7" fillId="0" borderId="3" xfId="0" applyNumberFormat="1" applyFont="1" applyBorder="1"/>
    <xf numFmtId="44" fontId="7" fillId="3" borderId="2" xfId="0" applyNumberFormat="1" applyFont="1" applyFill="1" applyBorder="1"/>
    <xf numFmtId="0" fontId="29" fillId="0" borderId="0" xfId="0" applyFont="1"/>
    <xf numFmtId="4" fontId="29" fillId="0" borderId="0" xfId="0" applyNumberFormat="1" applyFont="1"/>
    <xf numFmtId="0" fontId="31" fillId="0" borderId="0" xfId="0" applyFont="1"/>
    <xf numFmtId="44" fontId="0" fillId="0" borderId="13" xfId="0" applyNumberFormat="1" applyBorder="1"/>
    <xf numFmtId="166" fontId="29" fillId="0" borderId="0" xfId="0" applyNumberFormat="1" applyFont="1"/>
    <xf numFmtId="0" fontId="18" fillId="0" borderId="0" xfId="5" applyFont="1" applyAlignment="1">
      <alignment horizontal="left" vertical="center"/>
    </xf>
    <xf numFmtId="0" fontId="19" fillId="0" borderId="0" xfId="5" applyFont="1" applyAlignment="1">
      <alignment vertical="center"/>
    </xf>
    <xf numFmtId="0" fontId="18" fillId="0" borderId="0" xfId="0" applyFont="1" applyAlignment="1">
      <alignment horizontal="left" vertical="center"/>
    </xf>
    <xf numFmtId="166" fontId="0" fillId="0" borderId="14" xfId="0" applyNumberFormat="1" applyBorder="1"/>
    <xf numFmtId="166" fontId="0" fillId="0" borderId="0" xfId="0" applyNumberFormat="1"/>
    <xf numFmtId="0" fontId="5" fillId="0" borderId="0" xfId="0" applyFont="1" applyAlignment="1">
      <alignment horizontal="left" vertical="center"/>
    </xf>
    <xf numFmtId="44" fontId="5" fillId="0" borderId="0" xfId="0" applyNumberFormat="1" applyFont="1" applyAlignment="1">
      <alignment horizontal="left" vertical="center"/>
    </xf>
    <xf numFmtId="3" fontId="8" fillId="0" borderId="0" xfId="0" applyNumberFormat="1" applyFont="1" applyAlignment="1">
      <alignment horizontal="center" vertical="center" wrapText="1"/>
    </xf>
    <xf numFmtId="0" fontId="5" fillId="4" borderId="0" xfId="0" applyFont="1" applyFill="1"/>
    <xf numFmtId="0" fontId="5" fillId="0" borderId="0" xfId="0" applyFont="1"/>
    <xf numFmtId="44" fontId="5" fillId="0" borderId="0" xfId="0" applyNumberFormat="1" applyFont="1" applyAlignment="1">
      <alignment horizontal="center" vertical="center"/>
    </xf>
    <xf numFmtId="44" fontId="7" fillId="0" borderId="0" xfId="0" applyNumberFormat="1" applyFont="1" applyAlignment="1">
      <alignment horizontal="left" vertical="center"/>
    </xf>
    <xf numFmtId="44" fontId="5" fillId="0" borderId="0" xfId="0" applyNumberFormat="1" applyFont="1"/>
    <xf numFmtId="165" fontId="5" fillId="0" borderId="0" xfId="2" applyNumberFormat="1" applyFont="1" applyBorder="1"/>
    <xf numFmtId="44" fontId="5" fillId="0" borderId="0" xfId="1" applyFont="1" applyBorder="1"/>
    <xf numFmtId="44" fontId="7" fillId="0" borderId="0" xfId="0" applyNumberFormat="1" applyFont="1"/>
    <xf numFmtId="44" fontId="5" fillId="3" borderId="0" xfId="0" applyNumberFormat="1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4" fontId="0" fillId="0" borderId="0" xfId="0" applyNumberFormat="1"/>
    <xf numFmtId="3" fontId="8" fillId="0" borderId="0" xfId="2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4" fontId="8" fillId="0" borderId="0" xfId="2" applyNumberFormat="1" applyFont="1" applyBorder="1" applyAlignment="1">
      <alignment horizontal="center" vertical="center"/>
    </xf>
    <xf numFmtId="44" fontId="10" fillId="0" borderId="0" xfId="3" applyNumberFormat="1" applyFont="1" applyFill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44" fontId="0" fillId="0" borderId="21" xfId="0" applyNumberFormat="1" applyBorder="1"/>
    <xf numFmtId="166" fontId="0" fillId="0" borderId="15" xfId="0" applyNumberFormat="1" applyBorder="1"/>
    <xf numFmtId="44" fontId="5" fillId="0" borderId="20" xfId="0" applyNumberFormat="1" applyFont="1" applyBorder="1" applyAlignment="1">
      <alignment horizontal="left" vertical="center"/>
    </xf>
    <xf numFmtId="3" fontId="8" fillId="0" borderId="20" xfId="2" applyNumberFormat="1" applyFont="1" applyFill="1" applyBorder="1" applyAlignment="1">
      <alignment horizontal="center" vertical="center" wrapText="1"/>
    </xf>
    <xf numFmtId="44" fontId="10" fillId="2" borderId="20" xfId="3" applyNumberFormat="1" applyFont="1" applyBorder="1" applyAlignment="1">
      <alignment horizontal="left" vertical="center"/>
    </xf>
    <xf numFmtId="0" fontId="9" fillId="7" borderId="20" xfId="0" applyFont="1" applyFill="1" applyBorder="1" applyAlignment="1">
      <alignment horizontal="center" vertical="center"/>
    </xf>
    <xf numFmtId="0" fontId="0" fillId="3" borderId="19" xfId="0" applyFill="1" applyBorder="1"/>
    <xf numFmtId="0" fontId="18" fillId="0" borderId="7" xfId="0" applyFont="1" applyBorder="1" applyAlignment="1">
      <alignment horizontal="left" vertical="center"/>
    </xf>
    <xf numFmtId="44" fontId="11" fillId="0" borderId="4" xfId="0" applyNumberFormat="1" applyFont="1" applyBorder="1" applyAlignment="1">
      <alignment horizontal="left" vertical="center"/>
    </xf>
    <xf numFmtId="0" fontId="16" fillId="8" borderId="20" xfId="0" applyFont="1" applyFill="1" applyBorder="1" applyAlignment="1">
      <alignment horizontal="center" vertical="center"/>
    </xf>
    <xf numFmtId="0" fontId="16" fillId="10" borderId="23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/>
    </xf>
    <xf numFmtId="0" fontId="6" fillId="0" borderId="2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66" fontId="7" fillId="0" borderId="26" xfId="0" applyNumberFormat="1" applyFont="1" applyBorder="1" applyAlignment="1">
      <alignment horizontal="center" vertical="center"/>
    </xf>
    <xf numFmtId="44" fontId="5" fillId="0" borderId="22" xfId="0" applyNumberFormat="1" applyFont="1" applyBorder="1"/>
    <xf numFmtId="165" fontId="5" fillId="0" borderId="22" xfId="2" applyNumberFormat="1" applyFont="1" applyBorder="1"/>
    <xf numFmtId="44" fontId="5" fillId="0" borderId="28" xfId="1" applyFont="1" applyBorder="1"/>
    <xf numFmtId="44" fontId="7" fillId="0" borderId="29" xfId="0" applyNumberFormat="1" applyFont="1" applyBorder="1"/>
    <xf numFmtId="44" fontId="5" fillId="3" borderId="27" xfId="0" applyNumberFormat="1" applyFont="1" applyFill="1" applyBorder="1" applyAlignment="1">
      <alignment horizontal="center" vertical="center"/>
    </xf>
    <xf numFmtId="0" fontId="19" fillId="0" borderId="22" xfId="0" applyFont="1" applyBorder="1"/>
    <xf numFmtId="44" fontId="5" fillId="0" borderId="22" xfId="0" applyNumberFormat="1" applyFont="1" applyBorder="1" applyAlignment="1">
      <alignment horizontal="center" vertical="center"/>
    </xf>
    <xf numFmtId="166" fontId="5" fillId="0" borderId="17" xfId="0" applyNumberFormat="1" applyFont="1" applyBorder="1" applyAlignment="1">
      <alignment horizontal="center" vertical="center"/>
    </xf>
    <xf numFmtId="166" fontId="7" fillId="0" borderId="18" xfId="0" applyNumberFormat="1" applyFont="1" applyBorder="1" applyAlignment="1">
      <alignment horizontal="center" vertical="center"/>
    </xf>
    <xf numFmtId="44" fontId="5" fillId="0" borderId="6" xfId="0" applyNumberFormat="1" applyFont="1" applyBorder="1"/>
    <xf numFmtId="44" fontId="5" fillId="0" borderId="27" xfId="0" applyNumberFormat="1" applyFont="1" applyBorder="1"/>
    <xf numFmtId="0" fontId="28" fillId="0" borderId="0" xfId="0" applyFont="1"/>
    <xf numFmtId="0" fontId="28" fillId="0" borderId="0" xfId="0" applyFont="1" applyAlignment="1">
      <alignment horizontal="center" vertical="center"/>
    </xf>
    <xf numFmtId="166" fontId="28" fillId="0" borderId="0" xfId="0" applyNumberFormat="1" applyFont="1"/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6" fillId="8" borderId="32" xfId="0" applyFont="1" applyFill="1" applyBorder="1" applyAlignment="1">
      <alignment horizontal="center" vertical="center"/>
    </xf>
    <xf numFmtId="0" fontId="17" fillId="9" borderId="33" xfId="0" applyFont="1" applyFill="1" applyBorder="1" applyAlignment="1">
      <alignment horizontal="center" vertical="center"/>
    </xf>
    <xf numFmtId="0" fontId="18" fillId="0" borderId="34" xfId="0" applyFont="1" applyBorder="1" applyAlignment="1">
      <alignment horizontal="left" vertical="center"/>
    </xf>
    <xf numFmtId="164" fontId="8" fillId="0" borderId="35" xfId="2" applyNumberFormat="1" applyFont="1" applyBorder="1" applyAlignment="1">
      <alignment horizontal="center" vertical="center"/>
    </xf>
    <xf numFmtId="0" fontId="18" fillId="0" borderId="36" xfId="0" applyFont="1" applyBorder="1" applyAlignment="1">
      <alignment horizontal="left" vertical="center"/>
    </xf>
    <xf numFmtId="164" fontId="8" fillId="0" borderId="37" xfId="2" applyNumberFormat="1" applyFont="1" applyBorder="1" applyAlignment="1">
      <alignment horizontal="center" vertical="center"/>
    </xf>
    <xf numFmtId="0" fontId="19" fillId="0" borderId="36" xfId="0" applyFont="1" applyBorder="1"/>
    <xf numFmtId="0" fontId="20" fillId="0" borderId="36" xfId="0" applyFont="1" applyBorder="1" applyAlignment="1">
      <alignment horizontal="left" vertical="center"/>
    </xf>
    <xf numFmtId="0" fontId="18" fillId="3" borderId="36" xfId="0" applyFont="1" applyFill="1" applyBorder="1" applyAlignment="1">
      <alignment horizontal="left" vertical="center"/>
    </xf>
    <xf numFmtId="0" fontId="19" fillId="0" borderId="38" xfId="0" applyFont="1" applyBorder="1"/>
    <xf numFmtId="0" fontId="22" fillId="0" borderId="39" xfId="0" applyFont="1" applyBorder="1" applyAlignment="1">
      <alignment horizontal="center"/>
    </xf>
    <xf numFmtId="0" fontId="5" fillId="0" borderId="39" xfId="0" applyFont="1" applyBorder="1" applyAlignment="1">
      <alignment horizontal="center" vertical="center"/>
    </xf>
    <xf numFmtId="44" fontId="0" fillId="0" borderId="40" xfId="0" applyNumberFormat="1" applyBorder="1"/>
    <xf numFmtId="166" fontId="0" fillId="0" borderId="41" xfId="0" applyNumberFormat="1" applyBorder="1"/>
    <xf numFmtId="44" fontId="5" fillId="0" borderId="39" xfId="0" applyNumberFormat="1" applyFont="1" applyBorder="1" applyAlignment="1">
      <alignment horizontal="left" vertical="center"/>
    </xf>
    <xf numFmtId="3" fontId="8" fillId="0" borderId="39" xfId="2" applyNumberFormat="1" applyFont="1" applyFill="1" applyBorder="1" applyAlignment="1">
      <alignment horizontal="center" vertical="center" wrapText="1"/>
    </xf>
    <xf numFmtId="44" fontId="10" fillId="2" borderId="39" xfId="3" applyNumberFormat="1" applyFont="1" applyBorder="1" applyAlignment="1">
      <alignment horizontal="left" vertical="center"/>
    </xf>
    <xf numFmtId="0" fontId="9" fillId="0" borderId="39" xfId="0" applyFont="1" applyBorder="1" applyAlignment="1">
      <alignment horizontal="center" vertical="center"/>
    </xf>
    <xf numFmtId="164" fontId="8" fillId="0" borderId="42" xfId="2" applyNumberFormat="1" applyFont="1" applyBorder="1" applyAlignment="1">
      <alignment horizontal="center" vertical="center"/>
    </xf>
    <xf numFmtId="0" fontId="5" fillId="6" borderId="43" xfId="0" applyFont="1" applyFill="1" applyBorder="1" applyAlignment="1">
      <alignment horizontal="center"/>
    </xf>
    <xf numFmtId="0" fontId="5" fillId="6" borderId="44" xfId="0" applyFont="1" applyFill="1" applyBorder="1"/>
    <xf numFmtId="0" fontId="5" fillId="6" borderId="45" xfId="0" applyFont="1" applyFill="1" applyBorder="1"/>
    <xf numFmtId="0" fontId="0" fillId="3" borderId="47" xfId="0" applyFill="1" applyBorder="1"/>
    <xf numFmtId="0" fontId="0" fillId="3" borderId="48" xfId="0" applyFill="1" applyBorder="1"/>
    <xf numFmtId="0" fontId="34" fillId="12" borderId="46" xfId="0" applyFont="1" applyFill="1" applyBorder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32" fillId="0" borderId="0" xfId="0" applyFont="1"/>
    <xf numFmtId="0" fontId="20" fillId="3" borderId="0" xfId="0" applyFont="1" applyFill="1" applyAlignment="1">
      <alignment horizontal="left" vertical="center"/>
    </xf>
    <xf numFmtId="0" fontId="19" fillId="0" borderId="0" xfId="0" applyFont="1" applyAlignment="1">
      <alignment vertical="center"/>
    </xf>
    <xf numFmtId="0" fontId="18" fillId="0" borderId="8" xfId="0" applyFont="1" applyBorder="1" applyAlignment="1">
      <alignment horizontal="left" vertical="center"/>
    </xf>
    <xf numFmtId="0" fontId="24" fillId="0" borderId="8" xfId="5" applyFont="1" applyBorder="1" applyAlignment="1">
      <alignment horizontal="center" vertical="center"/>
    </xf>
    <xf numFmtId="0" fontId="2" fillId="0" borderId="8" xfId="5" applyBorder="1" applyAlignment="1">
      <alignment horizontal="center" vertical="center"/>
    </xf>
    <xf numFmtId="0" fontId="24" fillId="0" borderId="8" xfId="5" applyFont="1" applyBorder="1" applyAlignment="1">
      <alignment horizontal="center" vertical="center" wrapText="1"/>
    </xf>
    <xf numFmtId="0" fontId="25" fillId="0" borderId="8" xfId="5" applyFont="1" applyBorder="1" applyAlignment="1">
      <alignment horizontal="center" vertical="center"/>
    </xf>
    <xf numFmtId="0" fontId="19" fillId="0" borderId="8" xfId="0" applyFont="1" applyBorder="1"/>
    <xf numFmtId="0" fontId="27" fillId="0" borderId="8" xfId="5" applyFont="1" applyBorder="1" applyAlignment="1">
      <alignment horizontal="center" vertical="center"/>
    </xf>
    <xf numFmtId="0" fontId="1" fillId="0" borderId="8" xfId="5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26" fillId="0" borderId="8" xfId="6" applyBorder="1" applyAlignment="1">
      <alignment horizontal="center" vertical="center"/>
    </xf>
    <xf numFmtId="0" fontId="2" fillId="0" borderId="8" xfId="5" applyBorder="1" applyAlignment="1">
      <alignment horizontal="center" vertical="center" wrapText="1"/>
    </xf>
    <xf numFmtId="0" fontId="30" fillId="0" borderId="0" xfId="0" applyFont="1"/>
    <xf numFmtId="166" fontId="31" fillId="0" borderId="0" xfId="0" applyNumberFormat="1" applyFont="1"/>
    <xf numFmtId="0" fontId="38" fillId="0" borderId="11" xfId="0" applyFont="1" applyBorder="1" applyAlignment="1">
      <alignment horizontal="center" vertical="center" indent="1"/>
    </xf>
    <xf numFmtId="0" fontId="38" fillId="0" borderId="10" xfId="0" applyFont="1" applyBorder="1" applyAlignment="1">
      <alignment horizontal="center" vertical="center" indent="1"/>
    </xf>
    <xf numFmtId="0" fontId="38" fillId="0" borderId="9" xfId="0" applyFont="1" applyBorder="1" applyAlignment="1">
      <alignment horizontal="center" vertical="center" indent="1"/>
    </xf>
    <xf numFmtId="0" fontId="31" fillId="0" borderId="51" xfId="0" applyFont="1" applyBorder="1"/>
    <xf numFmtId="166" fontId="38" fillId="0" borderId="52" xfId="0" applyNumberFormat="1" applyFont="1" applyBorder="1"/>
    <xf numFmtId="0" fontId="37" fillId="13" borderId="53" xfId="0" applyFont="1" applyFill="1" applyBorder="1"/>
    <xf numFmtId="166" fontId="37" fillId="13" borderId="54" xfId="0" applyNumberFormat="1" applyFont="1" applyFill="1" applyBorder="1"/>
    <xf numFmtId="4" fontId="37" fillId="13" borderId="53" xfId="0" applyNumberFormat="1" applyFont="1" applyFill="1" applyBorder="1"/>
    <xf numFmtId="166" fontId="37" fillId="13" borderId="55" xfId="0" applyNumberFormat="1" applyFont="1" applyFill="1" applyBorder="1"/>
    <xf numFmtId="0" fontId="7" fillId="5" borderId="24" xfId="0" applyFont="1" applyFill="1" applyBorder="1" applyAlignment="1">
      <alignment horizontal="center" vertical="top" wrapText="1"/>
    </xf>
    <xf numFmtId="0" fontId="7" fillId="5" borderId="4" xfId="0" applyFont="1" applyFill="1" applyBorder="1" applyAlignment="1">
      <alignment horizontal="center" vertical="top" wrapText="1"/>
    </xf>
    <xf numFmtId="0" fontId="7" fillId="5" borderId="30" xfId="0" applyFont="1" applyFill="1" applyBorder="1" applyAlignment="1">
      <alignment horizontal="center" vertical="top" wrapText="1"/>
    </xf>
    <xf numFmtId="0" fontId="30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38" fillId="0" borderId="49" xfId="0" applyFont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38" fillId="0" borderId="50" xfId="0" applyFont="1" applyBorder="1" applyAlignment="1">
      <alignment horizontal="center"/>
    </xf>
    <xf numFmtId="0" fontId="20" fillId="11" borderId="11" xfId="5" applyFont="1" applyFill="1" applyBorder="1" applyAlignment="1">
      <alignment horizontal="center"/>
    </xf>
    <xf numFmtId="0" fontId="20" fillId="11" borderId="10" xfId="5" applyFont="1" applyFill="1" applyBorder="1" applyAlignment="1">
      <alignment horizontal="center"/>
    </xf>
    <xf numFmtId="0" fontId="20" fillId="11" borderId="9" xfId="5" applyFont="1" applyFill="1" applyBorder="1" applyAlignment="1">
      <alignment horizontal="center"/>
    </xf>
    <xf numFmtId="0" fontId="35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left"/>
    </xf>
    <xf numFmtId="44" fontId="0" fillId="0" borderId="0" xfId="0" applyNumberFormat="1" applyBorder="1"/>
    <xf numFmtId="166" fontId="0" fillId="0" borderId="0" xfId="0" applyNumberFormat="1" applyBorder="1"/>
    <xf numFmtId="0" fontId="33" fillId="0" borderId="0" xfId="0" applyFont="1" applyBorder="1"/>
    <xf numFmtId="0" fontId="36" fillId="0" borderId="0" xfId="0" applyFont="1" applyBorder="1" applyAlignment="1">
      <alignment horizontal="center" vertical="center"/>
    </xf>
    <xf numFmtId="44" fontId="36" fillId="0" borderId="0" xfId="0" applyNumberFormat="1" applyFont="1" applyBorder="1" applyAlignment="1">
      <alignment wrapText="1"/>
    </xf>
  </cellXfs>
  <cellStyles count="7">
    <cellStyle name="Bom" xfId="3" builtinId="26"/>
    <cellStyle name="Hyperlink" xfId="4" xr:uid="{736DC712-FEDA-440E-A7D3-DBD76EDC57C1}"/>
    <cellStyle name="Hyperlink 2" xfId="6" xr:uid="{F65A4879-8389-485B-A399-19D6E87A242F}"/>
    <cellStyle name="Moeda" xfId="1" builtinId="4"/>
    <cellStyle name="Normal" xfId="0" builtinId="0"/>
    <cellStyle name="Normal 2" xfId="5" xr:uid="{F64F655C-2666-4878-96B4-5F95EB1CB42D}"/>
    <cellStyle name="Porcentagem" xfId="2" builtinId="5"/>
  </cellStyles>
  <dxfs count="77"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9C0006"/>
      </font>
    </dxf>
    <dxf>
      <font>
        <b/>
        <i val="0"/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center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rgb="FF000000"/>
        </bottom>
      </border>
    </dxf>
    <dxf>
      <border outline="0">
        <top style="thin">
          <color rgb="FF4BACC6"/>
        </top>
      </border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 Nova Light"/>
        <family val="2"/>
        <scheme val="none"/>
      </font>
      <fill>
        <patternFill patternType="solid">
          <fgColor rgb="FF4BACC6"/>
          <bgColor rgb="FF4BACC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vertAlign val="baseline"/>
        <name val="Arial Nova Light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color theme="1"/>
        <name val="Arial Nova Light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Ligh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166" formatCode="_-[$R$-416]\ * #,##0.00_-;\-[$R$-416]\ * #,##0.00_-;_-[$R$-416]\ * &quot;-&quot;??_-;_-@_-"/>
      <alignment horizontal="left" vertical="center" textRotation="0" wrapText="0" indent="0" justifyLastLine="0" shrinkToFit="0" readingOrder="0"/>
      <border diagonalUp="0" diagonalDown="0">
        <left/>
        <right/>
        <top style="thin">
          <color indexed="6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rgb="FF999999"/>
        </left>
        <right/>
        <top style="thin">
          <color indexed="6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numFmt numFmtId="0" formatCode="General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none">
          <fgColor indexed="64"/>
          <bgColor rgb="FFFFFF00"/>
        </patternFill>
      </fill>
      <alignment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fill>
        <patternFill patternType="none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166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 Nova Ligh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vertAlign val="baseline"/>
        <name val="Arial Nova Light"/>
        <family val="2"/>
        <scheme val="none"/>
      </font>
    </dxf>
    <dxf>
      <font>
        <strike val="0"/>
        <outline val="0"/>
        <shadow val="0"/>
        <vertAlign val="baseline"/>
        <name val="Arial Nova Light"/>
        <family val="2"/>
        <scheme val="none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Relat&#243;rio de Faltas'!A1"/><Relationship Id="rId1" Type="http://schemas.openxmlformats.org/officeDocument/2006/relationships/hyperlink" Target="https://1drv.ms/u/s!Apq_HBIsZHk9jmQ_ONRXKIMVLFaS?e=4RM28h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414619</xdr:colOff>
      <xdr:row>37</xdr:row>
      <xdr:rowOff>78440</xdr:rowOff>
    </xdr:from>
    <xdr:to>
      <xdr:col>0</xdr:col>
      <xdr:colOff>2394697</xdr:colOff>
      <xdr:row>40</xdr:row>
      <xdr:rowOff>114861</xdr:rowOff>
    </xdr:to>
    <xdr:sp macro="" textlink="">
      <xdr:nvSpPr>
        <xdr:cNvPr id="2" name="Retângulo Arredond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206988-544E-49E4-9718-133C0CB7705D}"/>
            </a:ext>
          </a:extLst>
        </xdr:cNvPr>
        <xdr:cNvSpPr/>
      </xdr:nvSpPr>
      <xdr:spPr>
        <a:xfrm>
          <a:off x="414619" y="5838264"/>
          <a:ext cx="1980078" cy="607921"/>
        </a:xfrm>
        <a:prstGeom prst="roundRect">
          <a:avLst/>
        </a:prstGeom>
        <a:gradFill rotWithShape="1">
          <a:gsLst>
            <a:gs pos="0">
              <a:srgbClr val="404040"/>
            </a:gs>
            <a:gs pos="100000">
              <a:srgbClr val="000000"/>
            </a:gs>
          </a:gsLst>
          <a:lin ang="5400000"/>
        </a:gradFill>
        <a:ln w="12700">
          <a:solidFill>
            <a:srgbClr val="0070BF"/>
          </a:solidFill>
          <a:prstDash val="solid"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lt"/>
              <a:cs typeface="+mn-lt"/>
            </a:rPr>
            <a:t>NOTAS FISCAIS</a:t>
          </a:r>
        </a:p>
      </xdr:txBody>
    </xdr:sp>
    <xdr:clientData/>
  </xdr:twoCellAnchor>
  <xdr:twoCellAnchor>
    <xdr:from>
      <xdr:col>0</xdr:col>
      <xdr:colOff>436468</xdr:colOff>
      <xdr:row>42</xdr:row>
      <xdr:rowOff>58833</xdr:rowOff>
    </xdr:from>
    <xdr:to>
      <xdr:col>0</xdr:col>
      <xdr:colOff>2401419</xdr:colOff>
      <xdr:row>45</xdr:row>
      <xdr:rowOff>132792</xdr:rowOff>
    </xdr:to>
    <xdr:sp macro="" textlink="">
      <xdr:nvSpPr>
        <xdr:cNvPr id="3" name="Retângulo Arredond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F5474C-D5B5-4D3F-8F27-B6E2F76633D0}"/>
            </a:ext>
          </a:extLst>
        </xdr:cNvPr>
        <xdr:cNvSpPr/>
      </xdr:nvSpPr>
      <xdr:spPr>
        <a:xfrm>
          <a:off x="436468" y="9841568"/>
          <a:ext cx="1964951" cy="645459"/>
        </a:xfrm>
        <a:prstGeom prst="round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>
              <a:solidFill>
                <a:schemeClr val="lt1"/>
              </a:solidFill>
              <a:latin typeface="+mn-lt"/>
              <a:ea typeface="+mn-lt"/>
              <a:cs typeface="+mn-lt"/>
            </a:rPr>
            <a:t>RELATÓRIO DE FALTAS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2853A0-5535-4C18-8C80-8E55D4AF3ABA}" name="Tabela324" displayName="Tabela324" ref="A1:K34" totalsRowCount="1" headerRowDxfId="54" dataDxfId="53" totalsRowDxfId="52" headerRowBorderDxfId="50" tableBorderDxfId="51">
  <autoFilter ref="A1:K33" xr:uid="{E02853A0-5535-4C18-8C80-8E55D4AF3ABA}"/>
  <sortState xmlns:xlrd2="http://schemas.microsoft.com/office/spreadsheetml/2017/richdata2" ref="A2:K33">
    <sortCondition ref="A1:A33"/>
  </sortState>
  <tableColumns count="11">
    <tableColumn id="1" xr3:uid="{006FE4AD-D3A6-4A77-BE68-2D97E3D1A717}" name="FUNCIONÁRIOS" totalsRowLabel="VALOR TOTAL" dataDxfId="48" totalsRowDxfId="49"/>
    <tableColumn id="10" xr3:uid="{1FDD6B2E-9EEE-4FFC-B045-9B1D060618F6}" name="Especialidade" dataDxfId="46" totalsRowDxfId="47"/>
    <tableColumn id="11" xr3:uid="{AE408517-8DDD-4F58-86CD-41B636E5FBCB}" name="UNIDADE" dataDxfId="44" totalsRowDxfId="45"/>
    <tableColumn id="2" xr3:uid="{6A3DA9A2-AA8A-4FFD-B619-AA9E22926A2E}" name="Valor Total Clínica" totalsRowFunction="custom" dataDxfId="42" totalsRowDxfId="43">
      <totalsRowFormula>SUM(D2:D33)</totalsRowFormula>
    </tableColumn>
    <tableColumn id="3" xr3:uid="{13B0E5FE-8200-4DCE-BBCF-F8FA0A420652}" name="Valor Profissional" totalsRowFunction="custom" dataDxfId="40" totalsRowDxfId="41">
      <totalsRowFormula>SUM(E2:E33)</totalsRowFormula>
    </tableColumn>
    <tableColumn id="4" xr3:uid="{A501DD94-56EA-48DB-8A46-6638B02B9042}" name="FIXO" totalsRowFunction="custom" dataDxfId="38" totalsRowDxfId="39">
      <calculatedColumnFormula>IF(K2&gt;0,600-(K2*20),600)</calculatedColumnFormula>
      <totalsRowFormula>SUM(F2:F33)</totalsRowFormula>
    </tableColumn>
    <tableColumn id="5" xr3:uid="{A4E88783-A7DC-45A2-9A24-85336C2F7AE0}" name="META" dataDxfId="36" totalsRowDxfId="37" dataCellStyle="Porcentagem"/>
    <tableColumn id="6" xr3:uid="{F9EA79CA-1886-4FB9-B121-BA2756F4BA03}" name="Valor Bruto" totalsRowFunction="custom" dataDxfId="34" totalsRowDxfId="35" dataCellStyle="Bom">
      <calculatedColumnFormula>IF(D2&gt;G2,AD2,E2+F2)</calculatedColumnFormula>
      <totalsRowFormula>SUM(H2:H33)</totalsRowFormula>
    </tableColumn>
    <tableColumn id="7" xr3:uid="{6C4486A6-1AEE-4A6F-91C3-638613A3365D}" name="Metas" dataDxfId="32" totalsRowDxfId="33">
      <calculatedColumnFormula>IF(Tabela324[[#This Row],[Valor Total Clínica]]&gt;=Tabela324[[#This Row],[META]],"META","FORA")</calculatedColumnFormula>
    </tableColumn>
    <tableColumn id="8" xr3:uid="{91422569-BA8A-4A53-BC75-E09C507467CD}" name="STATUS NOTA" dataDxfId="30" totalsRowDxfId="31"/>
    <tableColumn id="9" xr3:uid="{650E3BEC-8F69-42B0-A962-14263CD91C89}" name="FALTAS" dataDxfId="28" totalsRowDxfId="29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72570E-F6F7-4952-B70D-7A1AFD6857A0}" name="Tabela135" displayName="Tabela135" ref="M1:U33" totalsRowShown="0" headerRowDxfId="27" dataDxfId="26" headerRowBorderDxfId="24" tableBorderDxfId="25">
  <autoFilter ref="M1:U33" xr:uid="{CE72570E-F6F7-4952-B70D-7A1AFD6857A0}"/>
  <sortState xmlns:xlrd2="http://schemas.microsoft.com/office/spreadsheetml/2017/richdata2" ref="M2:U27">
    <sortCondition ref="U1:U27"/>
  </sortState>
  <tableColumns count="9">
    <tableColumn id="1" xr3:uid="{8D1E09F0-4E7A-4D2E-8A6C-85E8A697D12A}" name="INSS(11%)" dataDxfId="23">
      <calculatedColumnFormula>Tabela324[[#This Row],[Valor Bruto]]*11%</calculatedColumnFormula>
    </tableColumn>
    <tableColumn id="2" xr3:uid="{103E09CF-CBB1-4818-B88D-E96038AB8234}" name="IRPF" dataDxfId="22">
      <calculatedColumnFormula>(Tabela135[[#This Row],[BASE IR]]*Tabela135[[#This Row],[ALIQ IR]])-Tabela135[[#This Row],[DESC IR]]</calculatedColumnFormula>
    </tableColumn>
    <tableColumn id="3" xr3:uid="{CCEA4937-8200-4ABD-938C-99FA3984742A}" name="ISS(5%)" dataDxfId="21">
      <calculatedColumnFormula>#REF!*5%</calculatedColumnFormula>
    </tableColumn>
    <tableColumn id="4" xr3:uid="{9E0DC362-B5E3-4802-83E1-3BB9B6D35526}" name="BASE IR" dataDxfId="20">
      <calculatedColumnFormula>Tabela324[[#This Row],[Valor Bruto]]-Tabela135[[#This Row],[INSS(11%)]]</calculatedColumnFormula>
    </tableColumn>
    <tableColumn id="6" xr3:uid="{2AE76605-0D87-4CFB-A4DF-B8A5BF057642}" name="ALIQ IR" dataDxfId="19">
      <calculatedColumnFormula>IF(Tabela135[[#This Row],[BASE IR]]&lt;=1903.98,0%,IF(Tabela135[[#This Row],[BASE IR]]&lt;=2826.65,7.5%,IF(Tabela135[[#This Row],[BASE IR]]&lt;=3751.05,15%,IF(Tabela135[[#This Row],[BASE IR]]&lt;=4664.68,22.5%,IF(Tabela135[[#This Row],[BASE IR]]&gt;4664.69,27.5%,0)))))</calculatedColumnFormula>
    </tableColumn>
    <tableColumn id="7" xr3:uid="{90061CF4-6726-4229-B0DB-8CB45B47EA46}" name="DESC IR" dataDxfId="18">
      <calculatedColumnFormula>IF(Tabela135[[#This Row],[ALIQ IR]]=0%,0,IF(Tabela135[[#This Row],[ALIQ IR]]=7.5%,142.8,IF(Tabela135[[#This Row],[ALIQ IR]]=15%,354.8,IF(Tabela135[[#This Row],[ALIQ IR]]=22.5%,636.13,IF(Tabela135[[#This Row],[ALIQ IR]]=27.5%,869.36,0)))))</calculatedColumnFormula>
    </tableColumn>
    <tableColumn id="8" xr3:uid="{D5DD8DAD-EBDB-4C0D-A98E-D3D776FF60FA}" name="Valor Líquido" dataDxfId="17">
      <calculatedColumnFormula>IF(Tabela324[[#This Row],[STATUS NOTA]]="NFA",Tabela324[[#This Row],[Valor Bruto]]-Tabela135[[#This Row],[INSS(11%)]]-Tabela135[[#This Row],[IRPF]]-Tabela135[[#This Row],[ISS(5%)]],Tabela324[[#This Row],[Valor Bruto]])</calculatedColumnFormula>
    </tableColumn>
    <tableColumn id="10" xr3:uid="{9CEAB957-F483-4211-8B54-C89332A4AECC}" name=" NOTA Status Recebido" dataDxfId="16"/>
    <tableColumn id="9" xr3:uid="{BCEACFDD-0945-4AD7-BB92-8596EE58B08F}" name="VALOR Status Envio" dataDxfId="1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75732A-EE2E-419D-AEFD-F598E7905DFF}" name="Tabela21086" displayName="Tabela21086" ref="W1:X34" totalsRowCount="1" headerRowDxfId="76" dataDxfId="75" tableBorderDxfId="74">
  <autoFilter ref="W1:X33" xr:uid="{5E75732A-EE2E-419D-AEFD-F598E7905DFF}"/>
  <sortState xmlns:xlrd2="http://schemas.microsoft.com/office/spreadsheetml/2017/richdata2" ref="W2:X33">
    <sortCondition ref="W1:W33"/>
  </sortState>
  <tableColumns count="2">
    <tableColumn id="1" xr3:uid="{758C7EF5-8DA7-4AFA-9D6B-B51A84B18E81}" name="Funcionários" dataDxfId="73" totalsRowDxfId="72"/>
    <tableColumn id="5" xr3:uid="{1B90199D-3AA4-4497-8818-41C0B6B26B80}" name="VALOR PROFISSIONAL" dataDxfId="71" totalsRowDxfId="70">
      <calculatedColumnFormula>IF(D2&gt;G2,E2+F2,"FORA")</calculatedColumnFormula>
    </tableColumn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1DB722-FB2A-49E7-8E8B-2AA05C0B38B5}" name="Tabela411107" displayName="Tabela411107" ref="Y1:AD34" totalsRowShown="0" headerRowDxfId="69" dataDxfId="68" tableBorderDxfId="67">
  <autoFilter ref="Y1:AD34" xr:uid="{B91DB722-FB2A-49E7-8E8B-2AA05C0B38B5}"/>
  <tableColumns count="6">
    <tableColumn id="1" xr3:uid="{96E54D88-1BB5-4557-BF9C-E986E88E1DA7}" name="VALOR FUNC" dataDxfId="66">
      <calculatedColumnFormula>IF(X2="FORA",0,X2-Z2)</calculatedColumnFormula>
    </tableColumn>
    <tableColumn id="2" xr3:uid="{87F6AC2E-F102-47F1-BAD7-A61C75A94EB0}" name="PART/OAB" dataDxfId="65"/>
    <tableColumn id="3" xr3:uid="{796DF2F9-FE7A-4AF0-9B24-EBC801868E27}" name="100% do valor" dataDxfId="64">
      <calculatedColumnFormula>Y2*100/16</calculatedColumnFormula>
    </tableColumn>
    <tableColumn id="4" xr3:uid="{DF756708-E982-4D36-BE3C-7CD5A7BF00C2}" name="SEM META" dataDxfId="63">
      <calculatedColumnFormula>AA2*16%</calculatedColumnFormula>
    </tableColumn>
    <tableColumn id="5" xr3:uid="{AFC8697F-DC21-4CA7-B84F-7E49DC6FA61A}" name="COM META" dataDxfId="62">
      <calculatedColumnFormula>AA2*18%</calculatedColumnFormula>
    </tableColumn>
    <tableColumn id="6" xr3:uid="{5A590E38-91FC-4386-83DB-E0F93F1A5A6C}" name="META+PART/OAB" dataDxfId="61">
      <calculatedColumnFormula>Tabela411107[[#This Row],[COM META]]+Tabela411107[[#This Row],[PART/OAB]]</calculatedColumnFormula>
    </tableColumn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802F31-7770-46A9-868B-2EAFB8237D8C}" name="Tabela1" displayName="Tabela1" ref="A2:E21" totalsRowShown="0" headerRowDxfId="60">
  <autoFilter ref="A2:E21" xr:uid="{35DFA7F3-55FB-427D-B3C1-0E0F1F0CA59A}"/>
  <sortState xmlns:xlrd2="http://schemas.microsoft.com/office/spreadsheetml/2017/richdata2" ref="A3:E22">
    <sortCondition ref="A2:A22"/>
  </sortState>
  <tableColumns count="5">
    <tableColumn id="1" xr3:uid="{53BF95CC-D27D-4B9F-8BAD-2200B01B9C29}" name="Funcionários" dataDxfId="59"/>
    <tableColumn id="2" xr3:uid="{AA971899-95E1-488A-8FE7-316002DF1EF0}" name="Dias" dataDxfId="58"/>
    <tableColumn id="3" xr3:uid="{DD90442E-28E7-42AF-A999-09FB3FED8CA5}" name="Qtd. Faltas" dataDxfId="57"/>
    <tableColumn id="4" xr3:uid="{63E101EB-4E1A-4B68-81E7-A6525C836267}" name="Motivo" dataDxfId="56"/>
    <tableColumn id="5" xr3:uid="{F77F47E9-E338-4037-9CAF-D85FEA5D54E4}" name="Atestado" dataDxfId="55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4D16-6813-40D2-B422-660EBA025279}">
  <sheetPr codeName="Planilha2"/>
  <dimension ref="A1:AN80"/>
  <sheetViews>
    <sheetView tabSelected="1" zoomScale="85" zoomScaleNormal="85" workbookViewId="0">
      <pane xSplit="1" topLeftCell="B1" activePane="topRight" state="frozen"/>
      <selection pane="topRight" activeCell="AN13" sqref="AN13"/>
    </sheetView>
  </sheetViews>
  <sheetFormatPr defaultColWidth="9.140625" defaultRowHeight="15" x14ac:dyDescent="0.25"/>
  <cols>
    <col min="1" max="1" width="43.28515625" bestFit="1" customWidth="1"/>
    <col min="2" max="2" width="17.28515625" customWidth="1"/>
    <col min="3" max="3" width="13.42578125" customWidth="1"/>
    <col min="4" max="4" width="21.85546875" customWidth="1"/>
    <col min="5" max="5" width="28" customWidth="1"/>
    <col min="6" max="6" width="17.42578125" customWidth="1"/>
    <col min="7" max="7" width="9.7109375" customWidth="1"/>
    <col min="8" max="8" width="23.140625" bestFit="1" customWidth="1"/>
    <col min="9" max="9" width="9.85546875" customWidth="1"/>
    <col min="10" max="10" width="18.28515625" customWidth="1"/>
    <col min="11" max="11" width="12.140625" customWidth="1"/>
    <col min="12" max="12" width="10" customWidth="1"/>
    <col min="13" max="13" width="14.42578125" customWidth="1"/>
    <col min="14" max="14" width="15" customWidth="1"/>
    <col min="15" max="15" width="14.28515625" hidden="1" customWidth="1"/>
    <col min="16" max="16" width="17" customWidth="1"/>
    <col min="17" max="17" width="11.28515625" customWidth="1"/>
    <col min="18" max="18" width="11.5703125" customWidth="1"/>
    <col min="19" max="19" width="25" customWidth="1"/>
    <col min="20" max="20" width="27.42578125" bestFit="1" customWidth="1"/>
    <col min="21" max="21" width="23.85546875" hidden="1" customWidth="1"/>
    <col min="22" max="22" width="9.140625" hidden="1" customWidth="1"/>
    <col min="23" max="23" width="43.28515625" hidden="1" customWidth="1"/>
    <col min="24" max="24" width="23.42578125" hidden="1" customWidth="1"/>
    <col min="25" max="25" width="17" hidden="1" customWidth="1"/>
    <col min="26" max="26" width="14.7109375" hidden="1" customWidth="1"/>
    <col min="27" max="27" width="18.140625" hidden="1" customWidth="1"/>
    <col min="28" max="28" width="14.7109375" hidden="1" customWidth="1"/>
    <col min="29" max="29" width="15.28515625" hidden="1" customWidth="1"/>
    <col min="30" max="30" width="22.28515625" hidden="1" customWidth="1"/>
    <col min="31" max="32" width="9.140625" hidden="1" customWidth="1"/>
    <col min="33" max="33" width="0" hidden="1" customWidth="1"/>
    <col min="34" max="34" width="17.140625" customWidth="1"/>
    <col min="35" max="35" width="20.28515625" customWidth="1"/>
    <col min="36" max="36" width="27.28515625" customWidth="1"/>
    <col min="37" max="37" width="19.140625" customWidth="1"/>
    <col min="38" max="38" width="21.28515625" customWidth="1"/>
    <col min="39" max="39" width="17.7109375" customWidth="1"/>
    <col min="40" max="40" width="14" customWidth="1"/>
  </cols>
  <sheetData>
    <row r="1" spans="1:40" ht="23.25" thickBot="1" x14ac:dyDescent="0.35">
      <c r="A1" s="103" t="s">
        <v>33</v>
      </c>
      <c r="B1" s="104" t="s">
        <v>0</v>
      </c>
      <c r="C1" s="104" t="s">
        <v>34</v>
      </c>
      <c r="D1" s="105" t="s">
        <v>35</v>
      </c>
      <c r="E1" s="104" t="s">
        <v>1</v>
      </c>
      <c r="F1" s="104" t="s">
        <v>36</v>
      </c>
      <c r="G1" s="104" t="s">
        <v>37</v>
      </c>
      <c r="H1" s="104" t="s">
        <v>38</v>
      </c>
      <c r="I1" s="104" t="s">
        <v>39</v>
      </c>
      <c r="J1" s="106" t="s">
        <v>40</v>
      </c>
      <c r="K1" s="107" t="s">
        <v>41</v>
      </c>
      <c r="L1" s="125"/>
      <c r="M1" s="81" t="s">
        <v>42</v>
      </c>
      <c r="N1" s="81" t="s">
        <v>43</v>
      </c>
      <c r="O1" s="81" t="s">
        <v>44</v>
      </c>
      <c r="P1" s="81" t="s">
        <v>45</v>
      </c>
      <c r="Q1" s="81" t="s">
        <v>46</v>
      </c>
      <c r="R1" s="81" t="s">
        <v>47</v>
      </c>
      <c r="S1" s="82" t="s">
        <v>48</v>
      </c>
      <c r="T1" s="81" t="s">
        <v>49</v>
      </c>
      <c r="U1" s="81" t="s">
        <v>50</v>
      </c>
      <c r="V1" s="160" t="s">
        <v>51</v>
      </c>
      <c r="W1" s="83" t="s">
        <v>52</v>
      </c>
      <c r="X1" s="84" t="s">
        <v>53</v>
      </c>
      <c r="Y1" s="69" t="s">
        <v>54</v>
      </c>
      <c r="Z1" s="69" t="s">
        <v>55</v>
      </c>
      <c r="AA1" s="69" t="s">
        <v>56</v>
      </c>
      <c r="AB1" s="85" t="s">
        <v>57</v>
      </c>
      <c r="AC1" s="86" t="s">
        <v>58</v>
      </c>
      <c r="AD1" s="87" t="s">
        <v>59</v>
      </c>
    </row>
    <row r="2" spans="1:40" ht="18.75" x14ac:dyDescent="0.3">
      <c r="A2" s="108" t="s">
        <v>5</v>
      </c>
      <c r="B2" s="70" t="s">
        <v>60</v>
      </c>
      <c r="C2" s="71" t="s">
        <v>61</v>
      </c>
      <c r="D2" s="72"/>
      <c r="E2" s="73"/>
      <c r="F2" s="74">
        <f>IF(K2&gt;0,600-(K2*20),600)</f>
        <v>600</v>
      </c>
      <c r="G2" s="75">
        <v>13000</v>
      </c>
      <c r="H2" s="76">
        <f>IF(D2&gt;G2,AD2,E2+F2)</f>
        <v>600</v>
      </c>
      <c r="I2" s="71" t="str">
        <f>IF(Tabela324[[#This Row],[Valor Total Clínica]]&gt;=Tabela324[[#This Row],[META]],"META","FORA")</f>
        <v>FORA</v>
      </c>
      <c r="J2" s="77" t="s">
        <v>62</v>
      </c>
      <c r="K2" s="109"/>
      <c r="L2" s="125"/>
      <c r="M2" s="98">
        <f>Tabela324[[#This Row],[Valor Bruto]]*11%</f>
        <v>66</v>
      </c>
      <c r="N2" s="2">
        <f>(Tabela135[[#This Row],[BASE IR]]*Tabela135[[#This Row],[ALIQ IR]])-Tabela135[[#This Row],[DESC IR]]</f>
        <v>0</v>
      </c>
      <c r="O2" s="2">
        <v>0</v>
      </c>
      <c r="P2" s="2">
        <f>Tabela324[[#This Row],[Valor Bruto]]-Tabela135[[#This Row],[INSS(11%)]]</f>
        <v>534</v>
      </c>
      <c r="Q2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" s="29">
        <f>IF(Tabela324[[#This Row],[STATUS NOTA]]="NFA",Tabela324[[#This Row],[Valor Bruto]]-Tabela135[[#This Row],[INSS(11%)]]-Tabela135[[#This Row],[IRPF]]-Tabela135[[#This Row],[ISS(5%)]],Tabela324[[#This Row],[Valor Bruto]])</f>
        <v>600</v>
      </c>
      <c r="T2" s="28" t="s">
        <v>63</v>
      </c>
      <c r="U2" s="9" t="s">
        <v>64</v>
      </c>
      <c r="V2" s="161"/>
      <c r="W2" s="21" t="s">
        <v>5</v>
      </c>
      <c r="X2" s="26" t="str">
        <f>IF(D2&gt;G2,E2+F2,"FORA")</f>
        <v>FORA</v>
      </c>
      <c r="Y2" s="24">
        <f>IF(X2="FORA",0,X2-Z2)</f>
        <v>0</v>
      </c>
      <c r="Z2" s="24">
        <v>0</v>
      </c>
      <c r="AA2" s="25">
        <f t="shared" ref="AA2:AA33" si="0">Y2*100/16</f>
        <v>0</v>
      </c>
      <c r="AB2" s="25">
        <f t="shared" ref="AB2:AB33" si="1">AA2*16%</f>
        <v>0</v>
      </c>
      <c r="AC2" s="25">
        <f t="shared" ref="AC2:AC33" si="2">AA2*18%</f>
        <v>0</v>
      </c>
      <c r="AD2" s="88">
        <f>Tabela411107[[#This Row],[COM META]]+Tabela411107[[#This Row],[PART/OAB]]</f>
        <v>0</v>
      </c>
      <c r="AG2" s="163"/>
      <c r="AH2" s="163"/>
      <c r="AI2" s="163"/>
      <c r="AJ2" s="163"/>
      <c r="AK2" s="163"/>
    </row>
    <row r="3" spans="1:40" ht="18.75" x14ac:dyDescent="0.25">
      <c r="A3" s="110" t="s">
        <v>3</v>
      </c>
      <c r="B3" s="17" t="s">
        <v>65</v>
      </c>
      <c r="C3" s="6" t="s">
        <v>61</v>
      </c>
      <c r="D3" s="43"/>
      <c r="E3" s="48"/>
      <c r="F3" s="4">
        <f>IF(K3&gt;0,600-(K3*20),600)</f>
        <v>600</v>
      </c>
      <c r="G3" s="11">
        <v>8000</v>
      </c>
      <c r="H3" s="13">
        <f t="shared" ref="H3:H15" si="3">IF(D3&gt;G3,AD3,E3+F3)</f>
        <v>600</v>
      </c>
      <c r="I3" s="6" t="str">
        <f>IF(Tabela324[[#This Row],[Valor Total Clínica]]&gt;=Tabela324[[#This Row],[META]],"META","FORA")</f>
        <v>FORA</v>
      </c>
      <c r="J3" s="5" t="s">
        <v>66</v>
      </c>
      <c r="K3" s="111"/>
      <c r="L3" s="126"/>
      <c r="M3" s="98">
        <f>Tabela324[[#This Row],[Valor Bruto]]*11%</f>
        <v>66</v>
      </c>
      <c r="N3" s="2">
        <f>(Tabela135[[#This Row],[BASE IR]]*Tabela135[[#This Row],[ALIQ IR]])-Tabela135[[#This Row],[DESC IR]]</f>
        <v>0</v>
      </c>
      <c r="O3" s="2">
        <v>0</v>
      </c>
      <c r="P3" s="2">
        <f>Tabela324[[#This Row],[Valor Bruto]]-Tabela135[[#This Row],[INSS(11%)]]</f>
        <v>534</v>
      </c>
      <c r="Q3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" s="29">
        <f>IF(Tabela324[[#This Row],[STATUS NOTA]]="NFA",Tabela324[[#This Row],[Valor Bruto]]-Tabela135[[#This Row],[INSS(11%)]]-Tabela135[[#This Row],[IRPF]]-Tabela135[[#This Row],[ISS(5%)]],Tabela324[[#This Row],[Valor Bruto]])</f>
        <v>534</v>
      </c>
      <c r="T3" s="28" t="s">
        <v>67</v>
      </c>
      <c r="U3" s="9" t="s">
        <v>64</v>
      </c>
      <c r="V3" s="161"/>
      <c r="W3" s="21" t="s">
        <v>3</v>
      </c>
      <c r="X3" s="26" t="str">
        <f t="shared" ref="X3:X15" si="4">IF(D3&gt;G3,E3+F3,"FORA")</f>
        <v>FORA</v>
      </c>
      <c r="Y3" s="24">
        <f t="shared" ref="Y3:Y34" si="5">IF(X3="FORA",0,X3-Z3)</f>
        <v>0</v>
      </c>
      <c r="Z3" s="24">
        <v>0</v>
      </c>
      <c r="AA3" s="25">
        <f t="shared" si="0"/>
        <v>0</v>
      </c>
      <c r="AB3" s="25">
        <f t="shared" si="1"/>
        <v>0</v>
      </c>
      <c r="AC3" s="25">
        <f t="shared" si="2"/>
        <v>0</v>
      </c>
      <c r="AD3" s="88">
        <f>Tabela411107[[#This Row],[COM META]]+Tabela411107[[#This Row],[PART/OAB]]</f>
        <v>0</v>
      </c>
      <c r="AG3" s="40"/>
      <c r="AH3" s="40"/>
      <c r="AI3" s="40"/>
      <c r="AJ3" s="40"/>
      <c r="AK3" s="40"/>
    </row>
    <row r="4" spans="1:40" ht="18.75" x14ac:dyDescent="0.25">
      <c r="A4" s="110" t="s">
        <v>16</v>
      </c>
      <c r="B4" s="17" t="s">
        <v>68</v>
      </c>
      <c r="C4" s="6" t="s">
        <v>69</v>
      </c>
      <c r="D4" s="43"/>
      <c r="E4" s="48"/>
      <c r="F4" s="4">
        <v>0</v>
      </c>
      <c r="G4" s="11" t="s">
        <v>70</v>
      </c>
      <c r="H4" s="13">
        <f t="shared" si="3"/>
        <v>0</v>
      </c>
      <c r="I4" s="6" t="str">
        <f>IF(Tabela324[[#This Row],[Valor Total Clínica]]&gt;=Tabela324[[#This Row],[META]],"META","FORA")</f>
        <v>FORA</v>
      </c>
      <c r="J4" s="3" t="s">
        <v>71</v>
      </c>
      <c r="K4" s="111"/>
      <c r="L4" s="126"/>
      <c r="M4" s="98">
        <f>Tabela324[[#This Row],[Valor Bruto]]*11%</f>
        <v>0</v>
      </c>
      <c r="N4" s="2">
        <f>(Tabela135[[#This Row],[BASE IR]]*Tabela135[[#This Row],[ALIQ IR]])-Tabela135[[#This Row],[DESC IR]]</f>
        <v>0</v>
      </c>
      <c r="O4" s="2">
        <v>0</v>
      </c>
      <c r="P4" s="2">
        <f>Tabela324[[#This Row],[Valor Bruto]]-Tabela135[[#This Row],[INSS(11%)]]</f>
        <v>0</v>
      </c>
      <c r="Q4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4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4" s="36">
        <f>IF(Tabela324[[#This Row],[STATUS NOTA]]="NFA",Tabela324[[#This Row],[Valor Bruto]]-Tabela135[[#This Row],[INSS(11%)]]-Tabela135[[#This Row],[IRPF]]-Tabela135[[#This Row],[ISS(5%)]],Tabela324[[#This Row],[Valor Bruto]])</f>
        <v>0</v>
      </c>
      <c r="T4" s="9" t="s">
        <v>67</v>
      </c>
      <c r="U4" s="9" t="s">
        <v>67</v>
      </c>
      <c r="V4" s="161"/>
      <c r="W4" s="21" t="s">
        <v>16</v>
      </c>
      <c r="X4" s="26" t="str">
        <f t="shared" si="4"/>
        <v>FORA</v>
      </c>
      <c r="Y4" s="24">
        <f t="shared" si="5"/>
        <v>0</v>
      </c>
      <c r="Z4" s="24">
        <v>0</v>
      </c>
      <c r="AA4" s="25">
        <f t="shared" si="0"/>
        <v>0</v>
      </c>
      <c r="AB4" s="25">
        <f t="shared" si="1"/>
        <v>0</v>
      </c>
      <c r="AC4" s="25">
        <f t="shared" si="2"/>
        <v>0</v>
      </c>
      <c r="AD4" s="88">
        <f>Tabela411107[[#This Row],[COM META]]+Tabela411107[[#This Row],[PART/OAB]]</f>
        <v>0</v>
      </c>
      <c r="AG4" s="40"/>
      <c r="AH4" s="41"/>
      <c r="AI4" s="41"/>
      <c r="AK4" s="44"/>
    </row>
    <row r="5" spans="1:40" ht="19.5" thickBot="1" x14ac:dyDescent="0.35">
      <c r="A5" s="112" t="s">
        <v>32</v>
      </c>
      <c r="B5" s="18" t="s">
        <v>72</v>
      </c>
      <c r="C5" s="6" t="s">
        <v>61</v>
      </c>
      <c r="D5" s="43"/>
      <c r="E5" s="48"/>
      <c r="F5" s="4">
        <v>0</v>
      </c>
      <c r="G5" s="11" t="s">
        <v>70</v>
      </c>
      <c r="H5" s="13">
        <f t="shared" si="3"/>
        <v>0</v>
      </c>
      <c r="I5" s="6" t="str">
        <f>IF(Tabela324[[#This Row],[Valor Total Clínica]]&gt;=Tabela324[[#This Row],[META]],"META","FORA")</f>
        <v>FORA</v>
      </c>
      <c r="J5" s="5" t="s">
        <v>71</v>
      </c>
      <c r="K5" s="111"/>
      <c r="L5" s="126"/>
      <c r="M5" s="98">
        <f>Tabela324[[#This Row],[Valor Bruto]]*11%</f>
        <v>0</v>
      </c>
      <c r="N5" s="2">
        <f>(Tabela135[[#This Row],[BASE IR]]*Tabela135[[#This Row],[ALIQ IR]])-Tabela135[[#This Row],[DESC IR]]</f>
        <v>0</v>
      </c>
      <c r="O5" s="2">
        <v>0</v>
      </c>
      <c r="P5" s="2">
        <f>Tabela324[[#This Row],[Valor Bruto]]-Tabela135[[#This Row],[INSS(11%)]]</f>
        <v>0</v>
      </c>
      <c r="Q5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5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5" s="36">
        <f>IF(Tabela324[[#This Row],[STATUS NOTA]]="NFA",Tabela324[[#This Row],[Valor Bruto]]-Tabela135[[#This Row],[INSS(11%)]]-Tabela135[[#This Row],[IRPF]]-Tabela135[[#This Row],[ISS(5%)]],Tabela324[[#This Row],[Valor Bruto]])</f>
        <v>0</v>
      </c>
      <c r="T5" s="9" t="s">
        <v>67</v>
      </c>
      <c r="U5" s="9" t="s">
        <v>67</v>
      </c>
      <c r="V5" s="161"/>
      <c r="W5" s="22" t="s">
        <v>32</v>
      </c>
      <c r="X5" s="26" t="str">
        <f t="shared" si="4"/>
        <v>FORA</v>
      </c>
      <c r="Y5" s="24">
        <f t="shared" si="5"/>
        <v>0</v>
      </c>
      <c r="Z5" s="24">
        <v>0</v>
      </c>
      <c r="AA5" s="25">
        <f t="shared" si="0"/>
        <v>0</v>
      </c>
      <c r="AB5" s="25">
        <f t="shared" si="1"/>
        <v>0</v>
      </c>
      <c r="AC5" s="25">
        <f t="shared" si="2"/>
        <v>0</v>
      </c>
      <c r="AD5" s="88">
        <f>Tabela411107[[#This Row],[COM META]]+Tabela411107[[#This Row],[PART/OAB]]</f>
        <v>0</v>
      </c>
      <c r="AG5" s="40"/>
      <c r="AH5" s="41"/>
    </row>
    <row r="6" spans="1:40" ht="19.5" thickBot="1" x14ac:dyDescent="0.35">
      <c r="A6" s="112" t="s">
        <v>13</v>
      </c>
      <c r="B6" s="18" t="s">
        <v>73</v>
      </c>
      <c r="C6" s="6" t="s">
        <v>74</v>
      </c>
      <c r="D6" s="43"/>
      <c r="E6" s="48"/>
      <c r="F6" s="4">
        <f>IF(K6&gt;0,600-(K6*20),600)</f>
        <v>600</v>
      </c>
      <c r="G6" s="11">
        <v>8000</v>
      </c>
      <c r="H6" s="13">
        <f t="shared" si="3"/>
        <v>600</v>
      </c>
      <c r="I6" s="6" t="str">
        <f>IF(Tabela324[[#This Row],[Valor Total Clínica]]&gt;=Tabela324[[#This Row],[META]],"META","FORA")</f>
        <v>FORA</v>
      </c>
      <c r="J6" s="3" t="s">
        <v>62</v>
      </c>
      <c r="K6" s="111"/>
      <c r="L6" s="126"/>
      <c r="M6" s="98">
        <f>Tabela324[[#This Row],[Valor Bruto]]*11%</f>
        <v>66</v>
      </c>
      <c r="N6" s="2">
        <f>(Tabela135[[#This Row],[BASE IR]]*Tabela135[[#This Row],[ALIQ IR]])-Tabela135[[#This Row],[DESC IR]]</f>
        <v>0</v>
      </c>
      <c r="O6" s="2">
        <v>0</v>
      </c>
      <c r="P6" s="2">
        <f>Tabela324[[#This Row],[Valor Bruto]]-Tabela135[[#This Row],[INSS(11%)]]</f>
        <v>534</v>
      </c>
      <c r="Q6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6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6" s="36">
        <f>IF(Tabela324[[#This Row],[STATUS NOTA]]="NFA",Tabela324[[#This Row],[Valor Bruto]]-Tabela135[[#This Row],[INSS(11%)]]-Tabela135[[#This Row],[IRPF]]-Tabela135[[#This Row],[ISS(5%)]],Tabela324[[#This Row],[Valor Bruto]])</f>
        <v>600</v>
      </c>
      <c r="T6" s="9" t="s">
        <v>63</v>
      </c>
      <c r="U6" s="9" t="s">
        <v>64</v>
      </c>
      <c r="V6" s="161"/>
      <c r="W6" s="22" t="s">
        <v>13</v>
      </c>
      <c r="X6" s="26" t="str">
        <f t="shared" si="4"/>
        <v>FORA</v>
      </c>
      <c r="Y6" s="24">
        <f t="shared" si="5"/>
        <v>0</v>
      </c>
      <c r="Z6" s="24">
        <v>0</v>
      </c>
      <c r="AA6" s="25">
        <f t="shared" si="0"/>
        <v>0</v>
      </c>
      <c r="AB6" s="25">
        <f t="shared" si="1"/>
        <v>0</v>
      </c>
      <c r="AC6" s="25">
        <f t="shared" si="2"/>
        <v>0</v>
      </c>
      <c r="AD6" s="88">
        <f>Tabela411107[[#This Row],[COM META]]+Tabela411107[[#This Row],[PART/OAB]]</f>
        <v>0</v>
      </c>
      <c r="AI6" s="166" t="s">
        <v>75</v>
      </c>
      <c r="AJ6" s="167"/>
      <c r="AK6" s="167"/>
      <c r="AL6" s="168"/>
    </row>
    <row r="7" spans="1:40" ht="19.5" thickBot="1" x14ac:dyDescent="0.35">
      <c r="A7" s="113" t="s">
        <v>28</v>
      </c>
      <c r="B7" s="19" t="s">
        <v>76</v>
      </c>
      <c r="C7" s="7" t="s">
        <v>61</v>
      </c>
      <c r="D7" s="43"/>
      <c r="E7" s="48"/>
      <c r="F7" s="4">
        <v>0</v>
      </c>
      <c r="G7" s="11" t="s">
        <v>70</v>
      </c>
      <c r="H7" s="13">
        <f t="shared" si="3"/>
        <v>0</v>
      </c>
      <c r="I7" s="6" t="str">
        <f>IF(Tabela324[[#This Row],[Valor Total Clínica]]&gt;=Tabela324[[#This Row],[META]],"META","FORA")</f>
        <v>FORA</v>
      </c>
      <c r="J7" s="3" t="s">
        <v>71</v>
      </c>
      <c r="K7" s="111"/>
      <c r="L7" s="126"/>
      <c r="M7" s="98">
        <f>Tabela324[[#This Row],[Valor Bruto]]*11%</f>
        <v>0</v>
      </c>
      <c r="N7" s="2">
        <f>(Tabela135[[#This Row],[BASE IR]]*Tabela135[[#This Row],[ALIQ IR]])-Tabela135[[#This Row],[DESC IR]]</f>
        <v>0</v>
      </c>
      <c r="O7" s="2">
        <v>0</v>
      </c>
      <c r="P7" s="2">
        <f>Tabela324[[#This Row],[Valor Bruto]]-Tabela135[[#This Row],[INSS(11%)]]</f>
        <v>0</v>
      </c>
      <c r="Q7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7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7" s="29">
        <f>IF(Tabela324[[#This Row],[STATUS NOTA]]="NFA",Tabela324[[#This Row],[Valor Bruto]]-Tabela135[[#This Row],[INSS(11%)]]-Tabela135[[#This Row],[IRPF]]-Tabela135[[#This Row],[ISS(5%)]],Tabela324[[#This Row],[Valor Bruto]])</f>
        <v>0</v>
      </c>
      <c r="T7" s="28" t="s">
        <v>67</v>
      </c>
      <c r="U7" s="9" t="s">
        <v>67</v>
      </c>
      <c r="V7" s="161"/>
      <c r="W7" s="23" t="s">
        <v>28</v>
      </c>
      <c r="X7" s="26" t="str">
        <f t="shared" si="4"/>
        <v>FORA</v>
      </c>
      <c r="Y7" s="24">
        <f t="shared" si="5"/>
        <v>0</v>
      </c>
      <c r="Z7" s="24">
        <v>0</v>
      </c>
      <c r="AA7" s="25">
        <f t="shared" si="0"/>
        <v>0</v>
      </c>
      <c r="AB7" s="25">
        <f t="shared" si="1"/>
        <v>0</v>
      </c>
      <c r="AC7" s="25">
        <f t="shared" si="2"/>
        <v>0</v>
      </c>
      <c r="AD7" s="88">
        <f>Tabela411107[[#This Row],[COM META]]+Tabela411107[[#This Row],[PART/OAB]]</f>
        <v>0</v>
      </c>
      <c r="AI7" s="151" t="s">
        <v>77</v>
      </c>
      <c r="AJ7" s="152" t="s">
        <v>78</v>
      </c>
      <c r="AK7" s="151" t="s">
        <v>79</v>
      </c>
      <c r="AL7" s="153" t="s">
        <v>80</v>
      </c>
      <c r="AM7" s="149"/>
    </row>
    <row r="8" spans="1:40" ht="18.75" x14ac:dyDescent="0.3">
      <c r="A8" s="113" t="s">
        <v>6</v>
      </c>
      <c r="B8" s="19" t="s">
        <v>76</v>
      </c>
      <c r="C8" s="7" t="s">
        <v>61</v>
      </c>
      <c r="D8" s="43"/>
      <c r="E8" s="48"/>
      <c r="F8" s="4">
        <v>0</v>
      </c>
      <c r="G8" s="11" t="s">
        <v>70</v>
      </c>
      <c r="H8" s="13">
        <f t="shared" si="3"/>
        <v>0</v>
      </c>
      <c r="I8" s="6" t="str">
        <f>IF(Tabela324[[#This Row],[Valor Total Clínica]]&gt;=Tabela324[[#This Row],[META]],"META","FORA")</f>
        <v>FORA</v>
      </c>
      <c r="J8" s="3" t="s">
        <v>71</v>
      </c>
      <c r="K8" s="111"/>
      <c r="L8" s="126"/>
      <c r="M8" s="98">
        <f>Tabela324[[#This Row],[Valor Bruto]]*11%</f>
        <v>0</v>
      </c>
      <c r="N8" s="2">
        <f>(Tabela135[[#This Row],[BASE IR]]*Tabela135[[#This Row],[ALIQ IR]])-Tabela135[[#This Row],[DESC IR]]</f>
        <v>0</v>
      </c>
      <c r="O8" s="2">
        <v>0</v>
      </c>
      <c r="P8" s="2">
        <f>Tabela324[[#This Row],[Valor Bruto]]-Tabela135[[#This Row],[INSS(11%)]]</f>
        <v>0</v>
      </c>
      <c r="Q8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8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8" s="29">
        <f>IF(Tabela324[[#This Row],[STATUS NOTA]]="NFA",Tabela324[[#This Row],[Valor Bruto]]-Tabela135[[#This Row],[INSS(11%)]]-Tabela135[[#This Row],[IRPF]]-Tabela135[[#This Row],[ISS(5%)]],Tabela324[[#This Row],[Valor Bruto]])</f>
        <v>0</v>
      </c>
      <c r="T8" s="28" t="s">
        <v>67</v>
      </c>
      <c r="U8" s="9" t="s">
        <v>67</v>
      </c>
      <c r="V8" s="161"/>
      <c r="W8" s="23" t="s">
        <v>6</v>
      </c>
      <c r="X8" s="26" t="str">
        <f t="shared" si="4"/>
        <v>FORA</v>
      </c>
      <c r="Y8" s="24">
        <f t="shared" si="5"/>
        <v>0</v>
      </c>
      <c r="Z8" s="24">
        <v>0</v>
      </c>
      <c r="AA8" s="25">
        <f t="shared" si="0"/>
        <v>0</v>
      </c>
      <c r="AB8" s="25">
        <f t="shared" si="1"/>
        <v>0</v>
      </c>
      <c r="AC8" s="25">
        <f t="shared" si="2"/>
        <v>0</v>
      </c>
      <c r="AD8" s="88">
        <f>Tabela411107[[#This Row],[COM META]]+Tabela411107[[#This Row],[PART/OAB]]</f>
        <v>0</v>
      </c>
      <c r="AG8" s="149"/>
      <c r="AH8" s="149"/>
      <c r="AI8" s="154" t="s">
        <v>81</v>
      </c>
      <c r="AJ8" s="150">
        <v>122561.5</v>
      </c>
      <c r="AK8" s="154" t="s">
        <v>82</v>
      </c>
      <c r="AL8" s="155">
        <f>(AJ8+AJ9)*0.1%</f>
        <v>215.07803000000001</v>
      </c>
      <c r="AM8" s="40"/>
    </row>
    <row r="9" spans="1:40" ht="18.75" x14ac:dyDescent="0.25">
      <c r="A9" s="110" t="s">
        <v>24</v>
      </c>
      <c r="B9" s="17" t="s">
        <v>72</v>
      </c>
      <c r="C9" s="6" t="s">
        <v>61</v>
      </c>
      <c r="D9" s="43"/>
      <c r="E9" s="48"/>
      <c r="F9" s="4">
        <v>0</v>
      </c>
      <c r="G9" s="11" t="s">
        <v>70</v>
      </c>
      <c r="H9" s="13">
        <f t="shared" si="3"/>
        <v>0</v>
      </c>
      <c r="I9" s="6" t="str">
        <f>IF(Tabela324[[#This Row],[Valor Total Clínica]]&gt;=Tabela324[[#This Row],[META]],"META","FORA")</f>
        <v>FORA</v>
      </c>
      <c r="J9" s="3" t="s">
        <v>71</v>
      </c>
      <c r="K9" s="111"/>
      <c r="L9" s="126"/>
      <c r="M9" s="98">
        <f>Tabela324[[#This Row],[Valor Bruto]]*11%</f>
        <v>0</v>
      </c>
      <c r="N9" s="2">
        <f>(Tabela135[[#This Row],[BASE IR]]*Tabela135[[#This Row],[ALIQ IR]])-Tabela135[[#This Row],[DESC IR]]</f>
        <v>0</v>
      </c>
      <c r="O9" s="2">
        <v>0</v>
      </c>
      <c r="P9" s="2">
        <f>Tabela324[[#This Row],[Valor Bruto]]-Tabela135[[#This Row],[INSS(11%)]]</f>
        <v>0</v>
      </c>
      <c r="Q9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9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9" s="37">
        <f>IF(Tabela324[[#This Row],[STATUS NOTA]]="NFA",Tabela324[[#This Row],[Valor Bruto]]-Tabela135[[#This Row],[INSS(11%)]]-Tabela135[[#This Row],[IRPF]]-Tabela135[[#This Row],[ISS(5%)]],Tabela324[[#This Row],[Valor Bruto]])</f>
        <v>0</v>
      </c>
      <c r="T9" s="9" t="s">
        <v>67</v>
      </c>
      <c r="U9" s="9" t="s">
        <v>67</v>
      </c>
      <c r="V9" s="161"/>
      <c r="W9" s="21" t="s">
        <v>24</v>
      </c>
      <c r="X9" s="26" t="str">
        <f t="shared" si="4"/>
        <v>FORA</v>
      </c>
      <c r="Y9" s="24">
        <f t="shared" si="5"/>
        <v>0</v>
      </c>
      <c r="Z9" s="24">
        <v>0</v>
      </c>
      <c r="AA9" s="25">
        <f t="shared" si="0"/>
        <v>0</v>
      </c>
      <c r="AB9" s="25">
        <f t="shared" si="1"/>
        <v>0</v>
      </c>
      <c r="AC9" s="25">
        <f t="shared" si="2"/>
        <v>0</v>
      </c>
      <c r="AD9" s="88">
        <f>Tabela411107[[#This Row],[COM META]]+Tabela411107[[#This Row],[PART/OAB]]</f>
        <v>0</v>
      </c>
      <c r="AG9" s="40"/>
      <c r="AH9" s="132"/>
      <c r="AI9" s="154" t="s">
        <v>83</v>
      </c>
      <c r="AJ9" s="150">
        <v>92516.53</v>
      </c>
      <c r="AK9" s="154"/>
      <c r="AL9" s="155"/>
      <c r="AM9" s="44"/>
    </row>
    <row r="10" spans="1:40" ht="18.75" x14ac:dyDescent="0.3">
      <c r="A10" s="112" t="s">
        <v>27</v>
      </c>
      <c r="B10" s="18" t="s">
        <v>84</v>
      </c>
      <c r="C10" s="6" t="s">
        <v>61</v>
      </c>
      <c r="D10" s="43"/>
      <c r="E10" s="48"/>
      <c r="F10" s="4">
        <f>IF(K10&gt;0,600-(K10*20),600)</f>
        <v>600</v>
      </c>
      <c r="G10" s="11">
        <v>8000</v>
      </c>
      <c r="H10" s="13">
        <f>IF(D10&gt;G10,AD10,E10+F10)</f>
        <v>600</v>
      </c>
      <c r="I10" s="6" t="str">
        <f>IF(Tabela324[[#This Row],[Valor Total Clínica]]&gt;=Tabela324[[#This Row],[META]],"META","FORA")</f>
        <v>FORA</v>
      </c>
      <c r="J10" s="3" t="s">
        <v>85</v>
      </c>
      <c r="K10" s="111"/>
      <c r="L10" s="126"/>
      <c r="M10" s="98">
        <f>Tabela324[[#This Row],[Valor Bruto]]*11%</f>
        <v>66</v>
      </c>
      <c r="N10" s="2">
        <f>(Tabela135[[#This Row],[BASE IR]]*Tabela135[[#This Row],[ALIQ IR]])-Tabela135[[#This Row],[DESC IR]]</f>
        <v>0</v>
      </c>
      <c r="O10" s="2">
        <v>0</v>
      </c>
      <c r="P10" s="2">
        <f>Tabela324[[#This Row],[Valor Bruto]]-Tabela135[[#This Row],[INSS(11%)]]</f>
        <v>534</v>
      </c>
      <c r="Q10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0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0" s="38">
        <f>IF(Tabela324[[#This Row],[STATUS NOTA]]="NFA",Tabela324[[#This Row],[Valor Bruto]]-Tabela135[[#This Row],[INSS(11%)]]-Tabela135[[#This Row],[IRPF]]-Tabela135[[#This Row],[ISS(5%)]],Tabela324[[#This Row],[Valor Bruto]])</f>
        <v>600</v>
      </c>
      <c r="T10" s="9" t="s">
        <v>64</v>
      </c>
      <c r="U10" s="9" t="s">
        <v>64</v>
      </c>
      <c r="V10" s="161"/>
      <c r="W10" s="22" t="s">
        <v>27</v>
      </c>
      <c r="X10" s="26" t="str">
        <f t="shared" si="4"/>
        <v>FORA</v>
      </c>
      <c r="Y10" s="24">
        <f t="shared" si="5"/>
        <v>0</v>
      </c>
      <c r="Z10" s="24">
        <v>0</v>
      </c>
      <c r="AA10" s="25">
        <f t="shared" si="0"/>
        <v>0</v>
      </c>
      <c r="AB10" s="25">
        <f t="shared" si="1"/>
        <v>0</v>
      </c>
      <c r="AC10" s="25">
        <f t="shared" si="2"/>
        <v>0</v>
      </c>
      <c r="AD10" s="88">
        <f>Tabela411107[[#This Row],[COM META]]+Tabela411107[[#This Row],[PART/OAB]]</f>
        <v>0</v>
      </c>
      <c r="AG10" s="40"/>
      <c r="AH10" s="41"/>
      <c r="AI10" s="154" t="s">
        <v>74</v>
      </c>
      <c r="AJ10" s="150">
        <v>25715.67</v>
      </c>
      <c r="AK10" s="154"/>
      <c r="AL10" s="155"/>
      <c r="AM10" s="44"/>
    </row>
    <row r="11" spans="1:40" ht="19.5" thickBot="1" x14ac:dyDescent="0.35">
      <c r="A11" s="110" t="s">
        <v>21</v>
      </c>
      <c r="B11" s="17" t="s">
        <v>76</v>
      </c>
      <c r="C11" s="24" t="s">
        <v>61</v>
      </c>
      <c r="D11" s="43"/>
      <c r="E11" s="48"/>
      <c r="F11" s="4">
        <f>IF(K11&gt;0,600-(K11*20),600)</f>
        <v>600</v>
      </c>
      <c r="G11" s="11" t="s">
        <v>70</v>
      </c>
      <c r="H11" s="13">
        <f t="shared" si="3"/>
        <v>600</v>
      </c>
      <c r="I11" s="6" t="str">
        <f>IF(Tabela324[[#This Row],[Valor Total Clínica]]&gt;=Tabela324[[#This Row],[META]],"META","FORA")</f>
        <v>FORA</v>
      </c>
      <c r="J11" s="3" t="s">
        <v>71</v>
      </c>
      <c r="K11" s="111"/>
      <c r="L11" s="126"/>
      <c r="M11" s="98">
        <f>Tabela324[[#This Row],[Valor Bruto]]*11%</f>
        <v>66</v>
      </c>
      <c r="N11" s="2">
        <f>(Tabela135[[#This Row],[BASE IR]]*Tabela135[[#This Row],[ALIQ IR]])-Tabela135[[#This Row],[DESC IR]]</f>
        <v>0</v>
      </c>
      <c r="O11" s="2">
        <v>0</v>
      </c>
      <c r="P11" s="2">
        <f>Tabela324[[#This Row],[Valor Bruto]]-Tabela135[[#This Row],[INSS(11%)]]</f>
        <v>534</v>
      </c>
      <c r="Q11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1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1" s="29">
        <f>IF(Tabela324[[#This Row],[STATUS NOTA]]="NFA",Tabela324[[#This Row],[Valor Bruto]]-Tabela135[[#This Row],[INSS(11%)]]-Tabela135[[#This Row],[IRPF]]-Tabela135[[#This Row],[ISS(5%)]],Tabela324[[#This Row],[Valor Bruto]])</f>
        <v>600</v>
      </c>
      <c r="T11" s="28" t="s">
        <v>67</v>
      </c>
      <c r="U11" s="9" t="s">
        <v>67</v>
      </c>
      <c r="V11" s="161"/>
      <c r="W11" s="21" t="s">
        <v>21</v>
      </c>
      <c r="X11" s="26" t="str">
        <f t="shared" si="4"/>
        <v>FORA</v>
      </c>
      <c r="Y11" s="24">
        <f t="shared" si="5"/>
        <v>0</v>
      </c>
      <c r="Z11" s="24">
        <v>0</v>
      </c>
      <c r="AA11" s="25">
        <f t="shared" si="0"/>
        <v>0</v>
      </c>
      <c r="AB11" s="25">
        <f t="shared" si="1"/>
        <v>0</v>
      </c>
      <c r="AC11" s="25">
        <f t="shared" si="2"/>
        <v>0</v>
      </c>
      <c r="AD11" s="88">
        <f>Tabela411107[[#This Row],[COM META]]+Tabela411107[[#This Row],[PART/OAB]]</f>
        <v>0</v>
      </c>
      <c r="AG11" s="40"/>
      <c r="AH11" s="41"/>
      <c r="AI11" s="156" t="s">
        <v>86</v>
      </c>
      <c r="AJ11" s="157">
        <f>AJ8+AJ9+AJ10</f>
        <v>240793.7</v>
      </c>
      <c r="AK11" s="158" t="s">
        <v>86</v>
      </c>
      <c r="AL11" s="159">
        <f>SUM(AL8:AL10)</f>
        <v>215.07803000000001</v>
      </c>
      <c r="AN11" s="149"/>
    </row>
    <row r="12" spans="1:40" ht="18.75" x14ac:dyDescent="0.25">
      <c r="A12" s="110" t="s">
        <v>23</v>
      </c>
      <c r="B12" s="17" t="s">
        <v>76</v>
      </c>
      <c r="C12" s="24" t="s">
        <v>61</v>
      </c>
      <c r="D12" s="43"/>
      <c r="E12" s="48"/>
      <c r="F12" s="4">
        <v>0</v>
      </c>
      <c r="G12" s="11" t="s">
        <v>70</v>
      </c>
      <c r="H12" s="13">
        <f t="shared" si="3"/>
        <v>0</v>
      </c>
      <c r="I12" s="6" t="str">
        <f>IF(Tabela324[[#This Row],[Valor Total Clínica]]&gt;=Tabela324[[#This Row],[META]],"META","FORA")</f>
        <v>FORA</v>
      </c>
      <c r="J12" s="3" t="s">
        <v>71</v>
      </c>
      <c r="K12" s="111"/>
      <c r="L12" s="126"/>
      <c r="M12" s="98">
        <f>Tabela324[[#This Row],[Valor Bruto]]*11%</f>
        <v>0</v>
      </c>
      <c r="N12" s="2">
        <f>(Tabela135[[#This Row],[BASE IR]]*Tabela135[[#This Row],[ALIQ IR]])-Tabela135[[#This Row],[DESC IR]]</f>
        <v>0</v>
      </c>
      <c r="O12" s="2">
        <v>0</v>
      </c>
      <c r="P12" s="2">
        <f>Tabela324[[#This Row],[Valor Bruto]]-Tabela135[[#This Row],[INSS(11%)]]</f>
        <v>0</v>
      </c>
      <c r="Q12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2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2" s="29">
        <f>IF(Tabela324[[#This Row],[STATUS NOTA]]="NFA",Tabela324[[#This Row],[Valor Bruto]]-Tabela135[[#This Row],[INSS(11%)]]-Tabela135[[#This Row],[IRPF]]-Tabela135[[#This Row],[ISS(5%)]],Tabela324[[#This Row],[Valor Bruto]])</f>
        <v>0</v>
      </c>
      <c r="T12" s="28" t="s">
        <v>67</v>
      </c>
      <c r="U12" s="9" t="s">
        <v>67</v>
      </c>
      <c r="V12" s="161"/>
      <c r="W12" s="21" t="s">
        <v>23</v>
      </c>
      <c r="X12" s="26" t="str">
        <f t="shared" si="4"/>
        <v>FORA</v>
      </c>
      <c r="Y12" s="24">
        <f t="shared" si="5"/>
        <v>0</v>
      </c>
      <c r="Z12" s="24">
        <v>0</v>
      </c>
      <c r="AA12" s="25">
        <f t="shared" si="0"/>
        <v>0</v>
      </c>
      <c r="AB12" s="25">
        <f t="shared" si="1"/>
        <v>0</v>
      </c>
      <c r="AC12" s="25">
        <f t="shared" si="2"/>
        <v>0</v>
      </c>
      <c r="AD12" s="88">
        <f>Tabela411107[[#This Row],[COM META]]+Tabela411107[[#This Row],[PART/OAB]]</f>
        <v>0</v>
      </c>
      <c r="AJ12" s="42"/>
    </row>
    <row r="13" spans="1:40" ht="18.75" x14ac:dyDescent="0.25">
      <c r="A13" s="110" t="s">
        <v>20</v>
      </c>
      <c r="B13" s="17" t="s">
        <v>73</v>
      </c>
      <c r="C13" s="6" t="s">
        <v>74</v>
      </c>
      <c r="D13" s="43"/>
      <c r="E13" s="48"/>
      <c r="F13" s="4">
        <f>IF(K13&gt;0,600-(K13*20),600)</f>
        <v>600</v>
      </c>
      <c r="G13" s="11">
        <v>8000</v>
      </c>
      <c r="H13" s="13">
        <f t="shared" si="3"/>
        <v>600</v>
      </c>
      <c r="I13" s="6" t="str">
        <f>IF(Tabela324[[#This Row],[Valor Total Clínica]]&gt;=Tabela324[[#This Row],[META]],"META","FORA")</f>
        <v>FORA</v>
      </c>
      <c r="J13" s="3" t="s">
        <v>87</v>
      </c>
      <c r="K13" s="111"/>
      <c r="L13" s="126"/>
      <c r="M13" s="98">
        <f>Tabela324[[#This Row],[Valor Bruto]]*11%</f>
        <v>66</v>
      </c>
      <c r="N13" s="2">
        <f>(Tabela135[[#This Row],[BASE IR]]*Tabela135[[#This Row],[ALIQ IR]])-Tabela135[[#This Row],[DESC IR]]</f>
        <v>0</v>
      </c>
      <c r="O13" s="2">
        <v>0</v>
      </c>
      <c r="P13" s="2">
        <f>Tabela324[[#This Row],[Valor Bruto]]-Tabela135[[#This Row],[INSS(11%)]]</f>
        <v>534</v>
      </c>
      <c r="Q13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3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3" s="37">
        <f>IF(Tabela324[[#This Row],[STATUS NOTA]]="NFA",Tabela324[[#This Row],[Valor Bruto]]-Tabela135[[#This Row],[INSS(11%)]]-Tabela135[[#This Row],[IRPF]]-Tabela135[[#This Row],[ISS(5%)]],Tabela324[[#This Row],[Valor Bruto]])</f>
        <v>600</v>
      </c>
      <c r="T13" s="28" t="s">
        <v>64</v>
      </c>
      <c r="U13" s="9" t="s">
        <v>64</v>
      </c>
      <c r="V13" s="161"/>
      <c r="W13" s="21" t="s">
        <v>20</v>
      </c>
      <c r="X13" s="26" t="str">
        <f t="shared" si="4"/>
        <v>FORA</v>
      </c>
      <c r="Y13" s="24">
        <f t="shared" si="5"/>
        <v>0</v>
      </c>
      <c r="Z13" s="24">
        <v>0</v>
      </c>
      <c r="AA13" s="25">
        <f t="shared" si="0"/>
        <v>0</v>
      </c>
      <c r="AB13" s="25">
        <f t="shared" si="1"/>
        <v>0</v>
      </c>
      <c r="AC13" s="25">
        <f t="shared" si="2"/>
        <v>0</v>
      </c>
      <c r="AD13" s="88">
        <f>Tabela411107[[#This Row],[COM META]]+Tabela411107[[#This Row],[PART/OAB]]</f>
        <v>0</v>
      </c>
    </row>
    <row r="14" spans="1:40" ht="18.75" x14ac:dyDescent="0.3">
      <c r="A14" s="110" t="s">
        <v>29</v>
      </c>
      <c r="B14" s="17" t="s">
        <v>30</v>
      </c>
      <c r="C14" s="24" t="s">
        <v>61</v>
      </c>
      <c r="D14" s="43"/>
      <c r="E14" s="48"/>
      <c r="F14" s="4">
        <v>0</v>
      </c>
      <c r="G14" s="11" t="s">
        <v>70</v>
      </c>
      <c r="H14" s="13">
        <f t="shared" si="3"/>
        <v>0</v>
      </c>
      <c r="I14" s="6" t="str">
        <f>IF(Tabela324[[#This Row],[Valor Total Clínica]]&gt;=Tabela324[[#This Row],[META]],"META","FORA")</f>
        <v>FORA</v>
      </c>
      <c r="J14" s="3" t="s">
        <v>71</v>
      </c>
      <c r="K14" s="111"/>
      <c r="L14" s="126"/>
      <c r="M14" s="98">
        <f>Tabela324[[#This Row],[Valor Bruto]]*11%</f>
        <v>0</v>
      </c>
      <c r="N14" s="2">
        <f>(Tabela135[[#This Row],[BASE IR]]*Tabela135[[#This Row],[ALIQ IR]])-Tabela135[[#This Row],[DESC IR]]</f>
        <v>0</v>
      </c>
      <c r="O14" s="2">
        <v>0</v>
      </c>
      <c r="P14" s="2">
        <f>Tabela324[[#This Row],[Valor Bruto]]-Tabela135[[#This Row],[INSS(11%)]]</f>
        <v>0</v>
      </c>
      <c r="Q14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4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4" s="38">
        <f>IF(Tabela324[[#This Row],[STATUS NOTA]]="NFA",Tabela324[[#This Row],[Valor Bruto]]-Tabela135[[#This Row],[INSS(11%)]]-Tabela135[[#This Row],[IRPF]]-Tabela135[[#This Row],[ISS(5%)]],Tabela324[[#This Row],[Valor Bruto]])</f>
        <v>0</v>
      </c>
      <c r="T14" s="9" t="s">
        <v>67</v>
      </c>
      <c r="U14" s="9" t="s">
        <v>67</v>
      </c>
      <c r="V14" s="161"/>
      <c r="W14" s="21" t="s">
        <v>29</v>
      </c>
      <c r="X14" s="26" t="str">
        <f t="shared" si="4"/>
        <v>FORA</v>
      </c>
      <c r="Y14" s="24">
        <f t="shared" si="5"/>
        <v>0</v>
      </c>
      <c r="Z14" s="24">
        <v>0</v>
      </c>
      <c r="AA14" s="25">
        <f t="shared" si="0"/>
        <v>0</v>
      </c>
      <c r="AB14" s="25">
        <f t="shared" si="1"/>
        <v>0</v>
      </c>
      <c r="AC14" s="25">
        <f t="shared" si="2"/>
        <v>0</v>
      </c>
      <c r="AD14" s="88">
        <f>Tabela411107[[#This Row],[COM META]]+Tabela411107[[#This Row],[PART/OAB]]</f>
        <v>0</v>
      </c>
      <c r="AI14" s="163"/>
      <c r="AJ14" s="163"/>
      <c r="AK14" s="163"/>
      <c r="AL14" s="163"/>
      <c r="AM14" s="163"/>
    </row>
    <row r="15" spans="1:40" ht="18.75" x14ac:dyDescent="0.3">
      <c r="A15" s="112" t="s">
        <v>7</v>
      </c>
      <c r="B15" s="18" t="s">
        <v>73</v>
      </c>
      <c r="C15" s="6" t="s">
        <v>69</v>
      </c>
      <c r="D15" s="43"/>
      <c r="E15" s="48"/>
      <c r="F15" s="4">
        <f>IF(K15&gt;0,600-(K15*20),600)</f>
        <v>600</v>
      </c>
      <c r="G15" s="11">
        <v>13000</v>
      </c>
      <c r="H15" s="13">
        <f t="shared" si="3"/>
        <v>600</v>
      </c>
      <c r="I15" s="6" t="str">
        <f>IF(Tabela324[[#This Row],[Valor Total Clínica]]&gt;=Tabela324[[#This Row],[META]],"META","FORA")</f>
        <v>FORA</v>
      </c>
      <c r="J15" s="3" t="s">
        <v>66</v>
      </c>
      <c r="K15" s="111"/>
      <c r="L15" s="126"/>
      <c r="M15" s="98">
        <f>Tabela324[[#This Row],[Valor Bruto]]*11%</f>
        <v>66</v>
      </c>
      <c r="N15" s="2">
        <f>(Tabela135[[#This Row],[BASE IR]]*Tabela135[[#This Row],[ALIQ IR]])-Tabela135[[#This Row],[DESC IR]]</f>
        <v>0</v>
      </c>
      <c r="O15" s="2">
        <v>0</v>
      </c>
      <c r="P15" s="2">
        <f>Tabela324[[#This Row],[Valor Bruto]]-Tabela135[[#This Row],[INSS(11%)]]</f>
        <v>534</v>
      </c>
      <c r="Q15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5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5" s="29">
        <f>IF(Tabela324[[#This Row],[STATUS NOTA]]="NFA",Tabela324[[#This Row],[Valor Bruto]]-Tabela135[[#This Row],[INSS(11%)]]-Tabela135[[#This Row],[IRPF]]-Tabela135[[#This Row],[ISS(5%)]],Tabela324[[#This Row],[Valor Bruto]])</f>
        <v>534</v>
      </c>
      <c r="T15" s="28" t="s">
        <v>64</v>
      </c>
      <c r="U15" s="9" t="s">
        <v>64</v>
      </c>
      <c r="V15" s="161"/>
      <c r="W15" s="22" t="s">
        <v>7</v>
      </c>
      <c r="X15" s="26" t="str">
        <f t="shared" si="4"/>
        <v>FORA</v>
      </c>
      <c r="Y15" s="24">
        <f t="shared" si="5"/>
        <v>0</v>
      </c>
      <c r="Z15" s="24">
        <v>0</v>
      </c>
      <c r="AA15" s="25">
        <f t="shared" si="0"/>
        <v>0</v>
      </c>
      <c r="AB15" s="25">
        <f t="shared" si="1"/>
        <v>0</v>
      </c>
      <c r="AC15" s="25">
        <f t="shared" si="2"/>
        <v>0</v>
      </c>
      <c r="AD15" s="88">
        <f>Tabela411107[[#This Row],[COM META]]+Tabela411107[[#This Row],[PART/OAB]]</f>
        <v>0</v>
      </c>
      <c r="AI15" s="40"/>
      <c r="AJ15" s="164"/>
      <c r="AK15" s="164"/>
      <c r="AL15" s="164"/>
      <c r="AM15" s="132"/>
    </row>
    <row r="16" spans="1:40" ht="18.75" x14ac:dyDescent="0.3">
      <c r="A16" s="112" t="s">
        <v>99</v>
      </c>
      <c r="B16" s="18" t="s">
        <v>73</v>
      </c>
      <c r="C16" s="6" t="s">
        <v>61</v>
      </c>
      <c r="D16" s="43"/>
      <c r="E16" s="49"/>
      <c r="F16" s="4">
        <f>IF(K16&gt;0,600-(K16*20),600)</f>
        <v>600</v>
      </c>
      <c r="G16" s="11">
        <v>13000</v>
      </c>
      <c r="H16" s="13">
        <f>IF(D16&gt;G16,AD16,E16+F16)</f>
        <v>600</v>
      </c>
      <c r="I16" s="6" t="str">
        <f>IF(Tabela324[[#This Row],[Valor Total Clínica]]&gt;=Tabela324[[#This Row],[META]],"META","FORA")</f>
        <v>FORA</v>
      </c>
      <c r="J16" s="3" t="s">
        <v>66</v>
      </c>
      <c r="K16" s="111"/>
      <c r="L16" s="126"/>
      <c r="M16" s="98">
        <f>Tabela324[[#This Row],[Valor Bruto]]*11%</f>
        <v>66</v>
      </c>
      <c r="N16" s="2">
        <f>(Tabela135[[#This Row],[BASE IR]]*Tabela135[[#This Row],[ALIQ IR]])-Tabela135[[#This Row],[DESC IR]]</f>
        <v>0</v>
      </c>
      <c r="O16" s="2">
        <v>0</v>
      </c>
      <c r="P16" s="2">
        <f>Tabela324[[#This Row],[Valor Bruto]]-Tabela135[[#This Row],[INSS(11%)]]</f>
        <v>534</v>
      </c>
      <c r="Q16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6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6" s="36">
        <f>IF(Tabela324[[#This Row],[STATUS NOTA]]="NFA",Tabela324[[#This Row],[Valor Bruto]]-Tabela135[[#This Row],[INSS(11%)]]-Tabela135[[#This Row],[IRPF]]-Tabela135[[#This Row],[ISS(5%)]],Tabela324[[#This Row],[Valor Bruto]])</f>
        <v>534</v>
      </c>
      <c r="T16" s="9" t="s">
        <v>64</v>
      </c>
      <c r="U16" s="9" t="s">
        <v>64</v>
      </c>
      <c r="V16" s="161"/>
      <c r="W16" s="22" t="s">
        <v>2</v>
      </c>
      <c r="X16" s="26" t="str">
        <f>IF(D16&gt;G16,E16+F16,"FORA")</f>
        <v>FORA</v>
      </c>
      <c r="Y16" s="24">
        <f t="shared" si="5"/>
        <v>0</v>
      </c>
      <c r="Z16" s="24">
        <v>0</v>
      </c>
      <c r="AA16" s="25">
        <f t="shared" si="0"/>
        <v>0</v>
      </c>
      <c r="AB16" s="25">
        <f t="shared" si="1"/>
        <v>0</v>
      </c>
      <c r="AC16" s="25">
        <f t="shared" si="2"/>
        <v>0</v>
      </c>
      <c r="AD16" s="88">
        <f>Tabela411107[[#This Row],[COM META]]+Tabela411107[[#This Row],[PART/OAB]]</f>
        <v>0</v>
      </c>
      <c r="AI16" s="40"/>
      <c r="AJ16" s="165"/>
      <c r="AK16" s="165"/>
      <c r="AL16" s="165"/>
      <c r="AM16" s="44"/>
    </row>
    <row r="17" spans="1:30" ht="18.75" x14ac:dyDescent="0.3">
      <c r="A17" s="112" t="s">
        <v>11</v>
      </c>
      <c r="B17" s="18" t="s">
        <v>72</v>
      </c>
      <c r="C17" s="6" t="s">
        <v>69</v>
      </c>
      <c r="D17" s="43"/>
      <c r="E17" s="48"/>
      <c r="F17" s="4">
        <f>IF(K17&gt;0,1200-(K17*20),1200)</f>
        <v>1200</v>
      </c>
      <c r="G17" s="11">
        <v>28000</v>
      </c>
      <c r="H17" s="13">
        <f>IF(D17&gt;G17,AD17,E17+F17)</f>
        <v>1200</v>
      </c>
      <c r="I17" s="6" t="str">
        <f>IF(Tabela324[[#This Row],[Valor Total Clínica]]&gt;=Tabela324[[#This Row],[META]],"META","FORA")</f>
        <v>FORA</v>
      </c>
      <c r="J17" s="3" t="s">
        <v>62</v>
      </c>
      <c r="K17" s="111"/>
      <c r="L17" s="126"/>
      <c r="M17" s="98">
        <f>Tabela324[[#This Row],[Valor Bruto]]*11%</f>
        <v>132</v>
      </c>
      <c r="N17" s="2">
        <f>(Tabela135[[#This Row],[BASE IR]]*Tabela135[[#This Row],[ALIQ IR]])-Tabela135[[#This Row],[DESC IR]]</f>
        <v>0</v>
      </c>
      <c r="O17" s="2">
        <v>0</v>
      </c>
      <c r="P17" s="2">
        <f>Tabela324[[#This Row],[Valor Bruto]]-Tabela135[[#This Row],[INSS(11%)]]</f>
        <v>1068</v>
      </c>
      <c r="Q17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7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7" s="29">
        <f>IF(Tabela324[[#This Row],[STATUS NOTA]]="NFA",Tabela324[[#This Row],[Valor Bruto]]-Tabela135[[#This Row],[INSS(11%)]]-Tabela135[[#This Row],[IRPF]]-Tabela135[[#This Row],[ISS(5%)]],Tabela324[[#This Row],[Valor Bruto]])</f>
        <v>1200</v>
      </c>
      <c r="T17" s="28" t="s">
        <v>64</v>
      </c>
      <c r="U17" s="9" t="s">
        <v>64</v>
      </c>
      <c r="V17" s="161"/>
      <c r="W17" s="22" t="s">
        <v>11</v>
      </c>
      <c r="X17" s="26" t="str">
        <f>IF(D17&gt;G17,E17+F17,"FORA")</f>
        <v>FORA</v>
      </c>
      <c r="Y17" s="24">
        <f t="shared" si="5"/>
        <v>0</v>
      </c>
      <c r="Z17" s="24">
        <v>0</v>
      </c>
      <c r="AA17" s="25">
        <f t="shared" si="0"/>
        <v>0</v>
      </c>
      <c r="AB17" s="25">
        <f t="shared" si="1"/>
        <v>0</v>
      </c>
      <c r="AC17" s="25">
        <f t="shared" si="2"/>
        <v>0</v>
      </c>
      <c r="AD17" s="88">
        <f>Tabela411107[[#This Row],[COM META]]+Tabela411107[[#This Row],[PART/OAB]]</f>
        <v>0</v>
      </c>
    </row>
    <row r="18" spans="1:30" ht="18.75" x14ac:dyDescent="0.3">
      <c r="A18" s="112" t="s">
        <v>19</v>
      </c>
      <c r="B18" s="18" t="s">
        <v>73</v>
      </c>
      <c r="C18" s="6" t="s">
        <v>61</v>
      </c>
      <c r="D18" s="43"/>
      <c r="E18" s="48"/>
      <c r="F18" s="4">
        <f>IF(K18&gt;0,600-(K18*20),600)</f>
        <v>600</v>
      </c>
      <c r="G18" s="11">
        <v>13000</v>
      </c>
      <c r="H18" s="13">
        <f>IF(D18&gt;G18,AD18,E18+F18)</f>
        <v>600</v>
      </c>
      <c r="I18" s="6" t="str">
        <f>IF(Tabela324[[#This Row],[Valor Total Clínica]]&gt;=Tabela324[[#This Row],[META]],"META","FORA")</f>
        <v>FORA</v>
      </c>
      <c r="J18" s="3" t="s">
        <v>62</v>
      </c>
      <c r="K18" s="111"/>
      <c r="L18" s="126"/>
      <c r="M18" s="98">
        <f>Tabela324[[#This Row],[Valor Bruto]]*11%</f>
        <v>66</v>
      </c>
      <c r="N18" s="2">
        <f>(Tabela135[[#This Row],[BASE IR]]*Tabela135[[#This Row],[ALIQ IR]])-Tabela135[[#This Row],[DESC IR]]</f>
        <v>0</v>
      </c>
      <c r="O18" s="2">
        <v>0</v>
      </c>
      <c r="P18" s="2">
        <f>Tabela324[[#This Row],[Valor Bruto]]-Tabela135[[#This Row],[INSS(11%)]]</f>
        <v>534</v>
      </c>
      <c r="Q18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8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8" s="29">
        <f>IF(Tabela324[[#This Row],[STATUS NOTA]]="NFA",Tabela324[[#This Row],[Valor Bruto]]-Tabela135[[#This Row],[INSS(11%)]]-Tabela135[[#This Row],[IRPF]]-Tabela135[[#This Row],[ISS(5%)]],Tabela324[[#This Row],[Valor Bruto]])</f>
        <v>600</v>
      </c>
      <c r="T18" s="28" t="s">
        <v>64</v>
      </c>
      <c r="U18" s="9" t="s">
        <v>64</v>
      </c>
      <c r="V18" s="161"/>
      <c r="W18" s="22" t="s">
        <v>19</v>
      </c>
      <c r="X18" s="26" t="str">
        <f>IF(D18&gt;G18,E18+F18,"FORA")</f>
        <v>FORA</v>
      </c>
      <c r="Y18" s="24">
        <f t="shared" si="5"/>
        <v>0</v>
      </c>
      <c r="Z18" s="24">
        <v>0</v>
      </c>
      <c r="AA18" s="25">
        <f t="shared" si="0"/>
        <v>0</v>
      </c>
      <c r="AB18" s="25">
        <f t="shared" si="1"/>
        <v>0</v>
      </c>
      <c r="AC18" s="25">
        <f t="shared" si="2"/>
        <v>0</v>
      </c>
      <c r="AD18" s="88">
        <f>Tabela411107[[#This Row],[COM META]]+Tabela411107[[#This Row],[PART/OAB]]</f>
        <v>0</v>
      </c>
    </row>
    <row r="19" spans="1:30" ht="18.75" x14ac:dyDescent="0.25">
      <c r="A19" s="110" t="s">
        <v>26</v>
      </c>
      <c r="B19" s="17" t="s">
        <v>76</v>
      </c>
      <c r="C19" s="24" t="s">
        <v>69</v>
      </c>
      <c r="D19" s="43"/>
      <c r="E19" s="48"/>
      <c r="F19" s="4">
        <v>0</v>
      </c>
      <c r="G19" s="11" t="s">
        <v>70</v>
      </c>
      <c r="H19" s="13">
        <f>IF(D19&gt;G19,AD19,E19+F19)</f>
        <v>0</v>
      </c>
      <c r="I19" s="6" t="str">
        <f>IF(Tabela324[[#This Row],[Valor Total Clínica]]&gt;=Tabela324[[#This Row],[META]],"META","FORA")</f>
        <v>FORA</v>
      </c>
      <c r="J19" s="3" t="s">
        <v>71</v>
      </c>
      <c r="K19" s="111"/>
      <c r="L19" s="126"/>
      <c r="M19" s="98">
        <f>Tabela324[[#This Row],[Valor Bruto]]*11%</f>
        <v>0</v>
      </c>
      <c r="N19" s="2">
        <f>(Tabela135[[#This Row],[BASE IR]]*Tabela135[[#This Row],[ALIQ IR]])-Tabela135[[#This Row],[DESC IR]]</f>
        <v>0</v>
      </c>
      <c r="O19" s="2">
        <v>0</v>
      </c>
      <c r="P19" s="2">
        <f>Tabela324[[#This Row],[Valor Bruto]]-Tabela135[[#This Row],[INSS(11%)]]</f>
        <v>0</v>
      </c>
      <c r="Q19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19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19" s="29">
        <f>IF(Tabela324[[#This Row],[STATUS NOTA]]="NFA",Tabela324[[#This Row],[Valor Bruto]]-Tabela135[[#This Row],[INSS(11%)]]-Tabela135[[#This Row],[IRPF]]-Tabela135[[#This Row],[ISS(5%)]],Tabela324[[#This Row],[Valor Bruto]])</f>
        <v>0</v>
      </c>
      <c r="T19" s="28" t="s">
        <v>67</v>
      </c>
      <c r="U19" s="9" t="s">
        <v>67</v>
      </c>
      <c r="V19" s="161"/>
      <c r="W19" s="21" t="s">
        <v>26</v>
      </c>
      <c r="X19" s="26" t="str">
        <f>IF(D19&gt;G19,E19+F19,"FORA")</f>
        <v>FORA</v>
      </c>
      <c r="Y19" s="24">
        <f t="shared" si="5"/>
        <v>0</v>
      </c>
      <c r="Z19" s="24">
        <v>0</v>
      </c>
      <c r="AA19" s="25">
        <f t="shared" si="0"/>
        <v>0</v>
      </c>
      <c r="AB19" s="25">
        <f t="shared" si="1"/>
        <v>0</v>
      </c>
      <c r="AC19" s="25">
        <f t="shared" si="2"/>
        <v>0</v>
      </c>
      <c r="AD19" s="88">
        <f>Tabela411107[[#This Row],[COM META]]+Tabela411107[[#This Row],[PART/OAB]]</f>
        <v>0</v>
      </c>
    </row>
    <row r="20" spans="1:30" ht="18.75" x14ac:dyDescent="0.25">
      <c r="A20" s="113" t="s">
        <v>88</v>
      </c>
      <c r="B20" s="19" t="s">
        <v>72</v>
      </c>
      <c r="C20" s="7" t="s">
        <v>74</v>
      </c>
      <c r="D20" s="43"/>
      <c r="E20" s="48"/>
      <c r="F20" s="4">
        <f>IF(K20&gt;0,1200-(K20*20),1200)</f>
        <v>1200</v>
      </c>
      <c r="G20" s="11">
        <v>27000</v>
      </c>
      <c r="H20" s="13">
        <f>IF(D20&gt;G20,AD20,E20+F20)</f>
        <v>1200</v>
      </c>
      <c r="I20" s="6" t="str">
        <f>IF(Tabela324[[#This Row],[Valor Total Clínica]]&gt;=Tabela324[[#This Row],[META]],"META","FORA")</f>
        <v>FORA</v>
      </c>
      <c r="J20" s="3" t="s">
        <v>62</v>
      </c>
      <c r="K20" s="111"/>
      <c r="L20" s="126"/>
      <c r="M20" s="98">
        <f>Tabela324[[#This Row],[Valor Bruto]]*11%</f>
        <v>132</v>
      </c>
      <c r="N20" s="2">
        <f>(Tabela135[[#This Row],[BASE IR]]*Tabela135[[#This Row],[ALIQ IR]])-Tabela135[[#This Row],[DESC IR]]</f>
        <v>0</v>
      </c>
      <c r="O20" s="2">
        <v>0</v>
      </c>
      <c r="P20" s="2">
        <f>Tabela324[[#This Row],[Valor Bruto]]-Tabela135[[#This Row],[INSS(11%)]]</f>
        <v>1068</v>
      </c>
      <c r="Q20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0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0" s="36">
        <f>IF(Tabela324[[#This Row],[STATUS NOTA]]="NFA",Tabela324[[#This Row],[Valor Bruto]]-Tabela135[[#This Row],[INSS(11%)]]-Tabela135[[#This Row],[IRPF]]-Tabela135[[#This Row],[ISS(5%)]],Tabela324[[#This Row],[Valor Bruto]])</f>
        <v>1200</v>
      </c>
      <c r="T20" s="9" t="s">
        <v>64</v>
      </c>
      <c r="U20" s="9" t="s">
        <v>64</v>
      </c>
      <c r="V20" s="161"/>
      <c r="W20" s="23" t="s">
        <v>88</v>
      </c>
      <c r="X20" s="26" t="str">
        <f>IF(D20&gt;G20,E20+F20,"FORA")</f>
        <v>FORA</v>
      </c>
      <c r="Y20" s="24">
        <f t="shared" si="5"/>
        <v>0</v>
      </c>
      <c r="Z20" s="24">
        <v>0</v>
      </c>
      <c r="AA20" s="25">
        <f t="shared" si="0"/>
        <v>0</v>
      </c>
      <c r="AB20" s="25">
        <f t="shared" si="1"/>
        <v>0</v>
      </c>
      <c r="AC20" s="25">
        <f t="shared" si="2"/>
        <v>0</v>
      </c>
      <c r="AD20" s="88">
        <f>Tabela411107[[#This Row],[COM META]]+Tabela411107[[#This Row],[PART/OAB]]</f>
        <v>0</v>
      </c>
    </row>
    <row r="21" spans="1:30" ht="18.75" x14ac:dyDescent="0.3">
      <c r="A21" s="112" t="s">
        <v>12</v>
      </c>
      <c r="B21" s="18" t="s">
        <v>60</v>
      </c>
      <c r="C21" s="6" t="s">
        <v>61</v>
      </c>
      <c r="D21" s="43"/>
      <c r="E21" s="48"/>
      <c r="F21" s="4">
        <f>IF(K21&gt;0,600-(K21*20),600)</f>
        <v>600</v>
      </c>
      <c r="G21" s="11">
        <v>13000</v>
      </c>
      <c r="H21" s="13">
        <f>IF(D21&gt;G21,AD21,E21+F21)</f>
        <v>600</v>
      </c>
      <c r="I21" s="6" t="str">
        <f>IF(Tabela324[[#This Row],[Valor Total Clínica]]&gt;=Tabela324[[#This Row],[META]],"META","FORA")</f>
        <v>FORA</v>
      </c>
      <c r="J21" s="3" t="s">
        <v>62</v>
      </c>
      <c r="K21" s="111"/>
      <c r="L21" s="126"/>
      <c r="M21" s="98">
        <f>Tabela324[[#This Row],[Valor Bruto]]*11%</f>
        <v>66</v>
      </c>
      <c r="N21" s="2">
        <f>(Tabela135[[#This Row],[BASE IR]]*Tabela135[[#This Row],[ALIQ IR]])-Tabela135[[#This Row],[DESC IR]]</f>
        <v>0</v>
      </c>
      <c r="O21" s="2">
        <v>0</v>
      </c>
      <c r="P21" s="2">
        <f>Tabela324[[#This Row],[Valor Bruto]]-Tabela135[[#This Row],[INSS(11%)]]</f>
        <v>534</v>
      </c>
      <c r="Q21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1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1" s="29">
        <f>IF(Tabela324[[#This Row],[STATUS NOTA]]="NFA",Tabela324[[#This Row],[Valor Bruto]]-Tabela135[[#This Row],[INSS(11%)]]-Tabela135[[#This Row],[IRPF]]-Tabela135[[#This Row],[ISS(5%)]],Tabela324[[#This Row],[Valor Bruto]])</f>
        <v>600</v>
      </c>
      <c r="T21" s="28" t="s">
        <v>64</v>
      </c>
      <c r="U21" s="9" t="s">
        <v>64</v>
      </c>
      <c r="V21" s="161"/>
      <c r="W21" s="22" t="s">
        <v>12</v>
      </c>
      <c r="X21" s="26" t="str">
        <f>IF(D21&gt;G21,E21+F21,"FORA")</f>
        <v>FORA</v>
      </c>
      <c r="Y21" s="24">
        <f t="shared" si="5"/>
        <v>0</v>
      </c>
      <c r="Z21" s="24">
        <v>0</v>
      </c>
      <c r="AA21" s="25">
        <f t="shared" si="0"/>
        <v>0</v>
      </c>
      <c r="AB21" s="25">
        <f t="shared" si="1"/>
        <v>0</v>
      </c>
      <c r="AC21" s="25">
        <f t="shared" si="2"/>
        <v>0</v>
      </c>
      <c r="AD21" s="88">
        <f>Tabela411107[[#This Row],[COM META]]+Tabela411107[[#This Row],[PART/OAB]]</f>
        <v>0</v>
      </c>
    </row>
    <row r="22" spans="1:30" ht="18.75" x14ac:dyDescent="0.3">
      <c r="A22" s="110" t="s">
        <v>25</v>
      </c>
      <c r="B22" s="17" t="s">
        <v>60</v>
      </c>
      <c r="C22" s="6" t="s">
        <v>61</v>
      </c>
      <c r="D22" s="43"/>
      <c r="E22" s="48"/>
      <c r="F22" s="4">
        <f>IF(K22&gt;0,600-(K22*20),600)</f>
        <v>600</v>
      </c>
      <c r="G22" s="11" t="s">
        <v>70</v>
      </c>
      <c r="H22" s="13">
        <f>IF(D22&gt;G22,AD22,E22+F22)</f>
        <v>600</v>
      </c>
      <c r="I22" s="6" t="str">
        <f>IF(Tabela324[[#This Row],[Valor Total Clínica]]&gt;=Tabela324[[#This Row],[META]],"META","FORA")</f>
        <v>FORA</v>
      </c>
      <c r="J22" s="3" t="s">
        <v>89</v>
      </c>
      <c r="K22" s="111"/>
      <c r="L22" s="126"/>
      <c r="M22" s="98">
        <f>Tabela324[[#This Row],[Valor Bruto]]*11%</f>
        <v>66</v>
      </c>
      <c r="N22" s="2">
        <f>(Tabela135[[#This Row],[BASE IR]]*Tabela135[[#This Row],[ALIQ IR]])-Tabela135[[#This Row],[DESC IR]]</f>
        <v>0</v>
      </c>
      <c r="O22" s="2">
        <v>0</v>
      </c>
      <c r="P22" s="2">
        <f>Tabela324[[#This Row],[Valor Bruto]]-Tabela135[[#This Row],[INSS(11%)]]</f>
        <v>534</v>
      </c>
      <c r="Q22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2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2" s="29">
        <f>IF(Tabela324[[#This Row],[STATUS NOTA]]="NFA",Tabela324[[#This Row],[Valor Bruto]]-Tabela135[[#This Row],[INSS(11%)]]-Tabela135[[#This Row],[IRPF]]-Tabela135[[#This Row],[ISS(5%)]],Tabela324[[#This Row],[Valor Bruto]])</f>
        <v>600</v>
      </c>
      <c r="T22" s="28" t="s">
        <v>64</v>
      </c>
      <c r="U22" s="9" t="s">
        <v>64</v>
      </c>
      <c r="V22" s="161"/>
      <c r="W22" s="22" t="s">
        <v>25</v>
      </c>
      <c r="X22" s="26" t="str">
        <f>IF(D22&gt;G22,E22+F22,"FORA")</f>
        <v>FORA</v>
      </c>
      <c r="Y22" s="24">
        <f t="shared" si="5"/>
        <v>0</v>
      </c>
      <c r="Z22" s="24">
        <v>0</v>
      </c>
      <c r="AA22" s="25">
        <f t="shared" si="0"/>
        <v>0</v>
      </c>
      <c r="AB22" s="25">
        <f t="shared" si="1"/>
        <v>0</v>
      </c>
      <c r="AC22" s="25">
        <f t="shared" si="2"/>
        <v>0</v>
      </c>
      <c r="AD22" s="88">
        <f>Tabela411107[[#This Row],[COM META]]+Tabela411107[[#This Row],[PART/OAB]]</f>
        <v>0</v>
      </c>
    </row>
    <row r="23" spans="1:30" ht="18.75" x14ac:dyDescent="0.3">
      <c r="A23" s="112" t="s">
        <v>14</v>
      </c>
      <c r="B23" s="18" t="s">
        <v>73</v>
      </c>
      <c r="C23" s="6" t="s">
        <v>74</v>
      </c>
      <c r="D23" s="43"/>
      <c r="E23" s="48"/>
      <c r="F23" s="4">
        <f>IF(K23&gt;0,600-(K23*20),600)</f>
        <v>600</v>
      </c>
      <c r="G23" s="11">
        <v>8000</v>
      </c>
      <c r="H23" s="13">
        <f>IF(D23&gt;G23,AD23,E23+F23)</f>
        <v>600</v>
      </c>
      <c r="I23" s="6" t="str">
        <f>IF(Tabela324[[#This Row],[Valor Total Clínica]]&gt;=Tabela324[[#This Row],[META]],"META","FORA")</f>
        <v>FORA</v>
      </c>
      <c r="J23" s="3" t="s">
        <v>66</v>
      </c>
      <c r="K23" s="111"/>
      <c r="L23" s="126"/>
      <c r="M23" s="98">
        <f>Tabela324[[#This Row],[Valor Bruto]]*11%</f>
        <v>66</v>
      </c>
      <c r="N23" s="2">
        <f>(Tabela135[[#This Row],[BASE IR]]*Tabela135[[#This Row],[ALIQ IR]])-Tabela135[[#This Row],[DESC IR]]</f>
        <v>0</v>
      </c>
      <c r="O23" s="2">
        <v>0</v>
      </c>
      <c r="P23" s="2">
        <f>Tabela324[[#This Row],[Valor Bruto]]-Tabela135[[#This Row],[INSS(11%)]]</f>
        <v>534</v>
      </c>
      <c r="Q23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3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3" s="29">
        <f>IF(Tabela324[[#This Row],[STATUS NOTA]]="NFA",Tabela324[[#This Row],[Valor Bruto]]-Tabela135[[#This Row],[INSS(11%)]]-Tabela135[[#This Row],[IRPF]]-Tabela135[[#This Row],[ISS(5%)]],Tabela324[[#This Row],[Valor Bruto]])</f>
        <v>534</v>
      </c>
      <c r="T23" s="28" t="s">
        <v>64</v>
      </c>
      <c r="U23" s="9" t="s">
        <v>64</v>
      </c>
      <c r="V23" s="161"/>
      <c r="W23" s="22" t="s">
        <v>14</v>
      </c>
      <c r="X23" s="26" t="str">
        <f>IF(D23&gt;G23,E23+F23,"FORA")</f>
        <v>FORA</v>
      </c>
      <c r="Y23" s="24">
        <f t="shared" si="5"/>
        <v>0</v>
      </c>
      <c r="Z23" s="24">
        <v>0</v>
      </c>
      <c r="AA23" s="25">
        <f t="shared" si="0"/>
        <v>0</v>
      </c>
      <c r="AB23" s="25">
        <f t="shared" si="1"/>
        <v>0</v>
      </c>
      <c r="AC23" s="25">
        <f t="shared" si="2"/>
        <v>0</v>
      </c>
      <c r="AD23" s="88">
        <f>Tabela411107[[#This Row],[COM META]]+Tabela411107[[#This Row],[PART/OAB]]</f>
        <v>0</v>
      </c>
    </row>
    <row r="24" spans="1:30" ht="18.75" x14ac:dyDescent="0.25">
      <c r="A24" s="114" t="s">
        <v>90</v>
      </c>
      <c r="B24" s="20" t="s">
        <v>73</v>
      </c>
      <c r="C24" s="10" t="s">
        <v>61</v>
      </c>
      <c r="D24" s="43"/>
      <c r="E24" s="48"/>
      <c r="F24" s="4">
        <f>IF(K24&gt;0,600-(K24*20),600)</f>
        <v>600</v>
      </c>
      <c r="G24" s="11">
        <v>13000</v>
      </c>
      <c r="H24" s="13">
        <f>IF(D24&gt;G24,AD24,E24+F24)</f>
        <v>600</v>
      </c>
      <c r="I24" s="6" t="str">
        <f>IF(Tabela324[[#This Row],[Valor Total Clínica]]&gt;=Tabela324[[#This Row],[META]],"META","FORA")</f>
        <v>FORA</v>
      </c>
      <c r="J24" s="12" t="s">
        <v>62</v>
      </c>
      <c r="K24" s="111"/>
      <c r="L24" s="126"/>
      <c r="M24" s="98">
        <f>Tabela324[[#This Row],[Valor Bruto]]*11%</f>
        <v>66</v>
      </c>
      <c r="N24" s="2">
        <f>(Tabela135[[#This Row],[BASE IR]]*Tabela135[[#This Row],[ALIQ IR]])-Tabela135[[#This Row],[DESC IR]]</f>
        <v>0</v>
      </c>
      <c r="O24" s="2">
        <v>0</v>
      </c>
      <c r="P24" s="2">
        <f>Tabela324[[#This Row],[Valor Bruto]]-Tabela135[[#This Row],[INSS(11%)]]</f>
        <v>534</v>
      </c>
      <c r="Q24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4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4" s="29">
        <f>IF(Tabela324[[#This Row],[STATUS NOTA]]="NFA",Tabela324[[#This Row],[Valor Bruto]]-Tabela135[[#This Row],[INSS(11%)]]-Tabela135[[#This Row],[IRPF]]-Tabela135[[#This Row],[ISS(5%)]],Tabela324[[#This Row],[Valor Bruto]])</f>
        <v>600</v>
      </c>
      <c r="T24" s="28" t="s">
        <v>64</v>
      </c>
      <c r="U24" s="9" t="s">
        <v>64</v>
      </c>
      <c r="V24" s="161"/>
      <c r="W24" s="21" t="s">
        <v>90</v>
      </c>
      <c r="X24" s="26" t="str">
        <f>IF(D24&gt;G24,E24+F24,"FORA")</f>
        <v>FORA</v>
      </c>
      <c r="Y24" s="24">
        <f t="shared" si="5"/>
        <v>0</v>
      </c>
      <c r="Z24" s="24">
        <v>0</v>
      </c>
      <c r="AA24" s="25">
        <f t="shared" si="0"/>
        <v>0</v>
      </c>
      <c r="AB24" s="25">
        <f t="shared" si="1"/>
        <v>0</v>
      </c>
      <c r="AC24" s="25">
        <f t="shared" si="2"/>
        <v>0</v>
      </c>
      <c r="AD24" s="88">
        <f>Tabela411107[[#This Row],[COM META]]+Tabela411107[[#This Row],[PART/OAB]]</f>
        <v>0</v>
      </c>
    </row>
    <row r="25" spans="1:30" ht="18.75" x14ac:dyDescent="0.3">
      <c r="A25" s="112" t="s">
        <v>9</v>
      </c>
      <c r="B25" s="18" t="s">
        <v>68</v>
      </c>
      <c r="C25" s="8" t="s">
        <v>69</v>
      </c>
      <c r="D25" s="43"/>
      <c r="E25" s="48"/>
      <c r="F25" s="4">
        <v>0</v>
      </c>
      <c r="G25" s="11" t="s">
        <v>70</v>
      </c>
      <c r="H25" s="13">
        <f>IF(D25&gt;G25,AD25,E25+F25)</f>
        <v>0</v>
      </c>
      <c r="I25" s="6" t="str">
        <f>IF(Tabela324[[#This Row],[Valor Total Clínica]]&gt;=Tabela324[[#This Row],[META]],"META","FORA")</f>
        <v>FORA</v>
      </c>
      <c r="J25" s="3" t="s">
        <v>62</v>
      </c>
      <c r="K25" s="111"/>
      <c r="L25" s="126"/>
      <c r="M25" s="98">
        <f>Tabela324[[#This Row],[Valor Bruto]]*11%</f>
        <v>0</v>
      </c>
      <c r="N25" s="2">
        <f>(Tabela135[[#This Row],[BASE IR]]*Tabela135[[#This Row],[ALIQ IR]])-Tabela135[[#This Row],[DESC IR]]</f>
        <v>0</v>
      </c>
      <c r="O25" s="2">
        <v>0</v>
      </c>
      <c r="P25" s="2">
        <f>Tabela324[[#This Row],[Valor Bruto]]-Tabela135[[#This Row],[INSS(11%)]]</f>
        <v>0</v>
      </c>
      <c r="Q25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5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5" s="36">
        <f>IF(Tabela324[[#This Row],[STATUS NOTA]]="NFA",Tabela324[[#This Row],[Valor Bruto]]-Tabela135[[#This Row],[INSS(11%)]]-Tabela135[[#This Row],[IRPF]]-Tabela135[[#This Row],[ISS(5%)]],Tabela324[[#This Row],[Valor Bruto]])</f>
        <v>0</v>
      </c>
      <c r="T25" s="9" t="s">
        <v>64</v>
      </c>
      <c r="U25" s="9" t="s">
        <v>64</v>
      </c>
      <c r="V25" s="161"/>
      <c r="W25" s="22" t="s">
        <v>9</v>
      </c>
      <c r="X25" s="26" t="str">
        <f>IF(D25&gt;G25,E25+F25,"FORA")</f>
        <v>FORA</v>
      </c>
      <c r="Y25" s="24">
        <f t="shared" si="5"/>
        <v>0</v>
      </c>
      <c r="Z25" s="24">
        <v>0</v>
      </c>
      <c r="AA25" s="25">
        <f t="shared" si="0"/>
        <v>0</v>
      </c>
      <c r="AB25" s="25">
        <f t="shared" si="1"/>
        <v>0</v>
      </c>
      <c r="AC25" s="25">
        <f t="shared" si="2"/>
        <v>0</v>
      </c>
      <c r="AD25" s="88">
        <f>Tabela411107[[#This Row],[COM META]]+Tabela411107[[#This Row],[PART/OAB]]</f>
        <v>0</v>
      </c>
    </row>
    <row r="26" spans="1:30" ht="18.75" x14ac:dyDescent="0.25">
      <c r="A26" s="110" t="s">
        <v>17</v>
      </c>
      <c r="B26" s="17" t="s">
        <v>76</v>
      </c>
      <c r="C26" s="6" t="s">
        <v>61</v>
      </c>
      <c r="D26" s="43"/>
      <c r="E26" s="48"/>
      <c r="F26" s="4">
        <f t="shared" ref="F26:F33" si="6">IF(K26&gt;0,600-(K26*20),600)</f>
        <v>600</v>
      </c>
      <c r="G26" s="11" t="s">
        <v>70</v>
      </c>
      <c r="H26" s="13">
        <f>IF(D26&gt;G26,AD26,E26+F26)</f>
        <v>600</v>
      </c>
      <c r="I26" s="6" t="str">
        <f>IF(Tabela324[[#This Row],[Valor Total Clínica]]&gt;=Tabela324[[#This Row],[META]],"META","FORA")</f>
        <v>FORA</v>
      </c>
      <c r="J26" s="3" t="s">
        <v>71</v>
      </c>
      <c r="K26" s="111"/>
      <c r="L26" s="126"/>
      <c r="M26" s="98">
        <f>Tabela324[[#This Row],[Valor Bruto]]*11%</f>
        <v>66</v>
      </c>
      <c r="N26" s="2">
        <f>(Tabela135[[#This Row],[BASE IR]]*Tabela135[[#This Row],[ALIQ IR]])-Tabela135[[#This Row],[DESC IR]]</f>
        <v>0</v>
      </c>
      <c r="O26" s="2">
        <v>0</v>
      </c>
      <c r="P26" s="2">
        <f>Tabela324[[#This Row],[Valor Bruto]]-Tabela135[[#This Row],[INSS(11%)]]</f>
        <v>534</v>
      </c>
      <c r="Q26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6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6" s="29">
        <f>IF(Tabela324[[#This Row],[STATUS NOTA]]="NFA",Tabela324[[#This Row],[Valor Bruto]]-Tabela135[[#This Row],[INSS(11%)]]-Tabela135[[#This Row],[IRPF]]-Tabela135[[#This Row],[ISS(5%)]],Tabela324[[#This Row],[Valor Bruto]])</f>
        <v>600</v>
      </c>
      <c r="T26" s="28" t="s">
        <v>67</v>
      </c>
      <c r="U26" s="9" t="s">
        <v>67</v>
      </c>
      <c r="V26" s="161"/>
      <c r="W26" s="21" t="s">
        <v>17</v>
      </c>
      <c r="X26" s="26" t="str">
        <f>IF(D26&gt;G26,E26+F26,"FORA")</f>
        <v>FORA</v>
      </c>
      <c r="Y26" s="24">
        <f t="shared" si="5"/>
        <v>0</v>
      </c>
      <c r="Z26" s="24">
        <v>0</v>
      </c>
      <c r="AA26" s="25">
        <f t="shared" si="0"/>
        <v>0</v>
      </c>
      <c r="AB26" s="25">
        <f t="shared" si="1"/>
        <v>0</v>
      </c>
      <c r="AC26" s="25">
        <f t="shared" si="2"/>
        <v>0</v>
      </c>
      <c r="AD26" s="88">
        <f>Tabela411107[[#This Row],[COM META]]+Tabela411107[[#This Row],[PART/OAB]]</f>
        <v>0</v>
      </c>
    </row>
    <row r="27" spans="1:30" ht="18.75" x14ac:dyDescent="0.25">
      <c r="A27" s="110" t="s">
        <v>22</v>
      </c>
      <c r="B27" s="17" t="s">
        <v>76</v>
      </c>
      <c r="C27" s="6" t="s">
        <v>61</v>
      </c>
      <c r="D27" s="43"/>
      <c r="E27" s="48"/>
      <c r="F27" s="4">
        <f t="shared" si="6"/>
        <v>600</v>
      </c>
      <c r="G27" s="11" t="s">
        <v>70</v>
      </c>
      <c r="H27" s="13">
        <f>IF(D27&gt;G27,AD27,E27+F27)</f>
        <v>600</v>
      </c>
      <c r="I27" s="6" t="str">
        <f>IF(Tabela324[[#This Row],[Valor Total Clínica]]&gt;=Tabela324[[#This Row],[META]],"META","FORA")</f>
        <v>FORA</v>
      </c>
      <c r="J27" s="3" t="s">
        <v>71</v>
      </c>
      <c r="K27" s="111"/>
      <c r="L27" s="126"/>
      <c r="M27" s="98">
        <f>Tabela324[[#This Row],[Valor Bruto]]*11%</f>
        <v>66</v>
      </c>
      <c r="N27" s="2">
        <f>(Tabela135[[#This Row],[BASE IR]]*Tabela135[[#This Row],[ALIQ IR]])-Tabela135[[#This Row],[DESC IR]]</f>
        <v>0</v>
      </c>
      <c r="O27" s="2">
        <v>0</v>
      </c>
      <c r="P27" s="2">
        <f>Tabela324[[#This Row],[Valor Bruto]]-Tabela135[[#This Row],[INSS(11%)]]</f>
        <v>534</v>
      </c>
      <c r="Q27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7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7" s="37">
        <f>IF(Tabela324[[#This Row],[STATUS NOTA]]="NFA",Tabela324[[#This Row],[Valor Bruto]]-Tabela135[[#This Row],[INSS(11%)]]-Tabela135[[#This Row],[IRPF]]-Tabela135[[#This Row],[ISS(5%)]],Tabela324[[#This Row],[Valor Bruto]])</f>
        <v>600</v>
      </c>
      <c r="T27" s="9" t="s">
        <v>67</v>
      </c>
      <c r="U27" s="9" t="s">
        <v>67</v>
      </c>
      <c r="V27" s="161"/>
      <c r="W27" s="21" t="s">
        <v>22</v>
      </c>
      <c r="X27" s="26" t="str">
        <f>IF(D27&gt;G27,E27+F27,"FORA")</f>
        <v>FORA</v>
      </c>
      <c r="Y27" s="24">
        <f t="shared" si="5"/>
        <v>0</v>
      </c>
      <c r="Z27" s="24">
        <v>0</v>
      </c>
      <c r="AA27" s="25">
        <f t="shared" si="0"/>
        <v>0</v>
      </c>
      <c r="AB27" s="25">
        <f t="shared" si="1"/>
        <v>0</v>
      </c>
      <c r="AC27" s="25">
        <f t="shared" si="2"/>
        <v>0</v>
      </c>
      <c r="AD27" s="88">
        <f>Tabela411107[[#This Row],[COM META]]+Tabela411107[[#This Row],[PART/OAB]]</f>
        <v>0</v>
      </c>
    </row>
    <row r="28" spans="1:30" ht="18.75" x14ac:dyDescent="0.25">
      <c r="A28" s="110" t="s">
        <v>31</v>
      </c>
      <c r="B28" s="17" t="s">
        <v>73</v>
      </c>
      <c r="C28" s="6" t="s">
        <v>69</v>
      </c>
      <c r="D28" s="43"/>
      <c r="E28" s="48"/>
      <c r="F28" s="4">
        <f t="shared" si="6"/>
        <v>600</v>
      </c>
      <c r="G28" s="11">
        <v>13000</v>
      </c>
      <c r="H28" s="13">
        <f>IF(D28&gt;G28,AD28,E28+F28)</f>
        <v>600</v>
      </c>
      <c r="I28" s="6" t="str">
        <f>IF(Tabela324[[#This Row],[Valor Total Clínica]]&gt;=Tabela324[[#This Row],[META]],"META","FORA")</f>
        <v>FORA</v>
      </c>
      <c r="J28" s="3" t="s">
        <v>66</v>
      </c>
      <c r="K28" s="111"/>
      <c r="L28" s="126"/>
      <c r="M28" s="98">
        <f>Tabela324[[#This Row],[Valor Bruto]]*11%</f>
        <v>66</v>
      </c>
      <c r="N28" s="2">
        <f>(Tabela135[[#This Row],[BASE IR]]*Tabela135[[#This Row],[ALIQ IR]])-Tabela135[[#This Row],[DESC IR]]</f>
        <v>0</v>
      </c>
      <c r="O28" s="2">
        <v>0</v>
      </c>
      <c r="P28" s="16">
        <f>Tabela324[[#This Row],[Valor Bruto]]-Tabela135[[#This Row],[INSS(11%)]]</f>
        <v>534</v>
      </c>
      <c r="Q28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8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8" s="39">
        <f>IF(Tabela324[[#This Row],[STATUS NOTA]]="NFA",Tabela324[[#This Row],[Valor Bruto]]-Tabela135[[#This Row],[INSS(11%)]]-Tabela135[[#This Row],[IRPF]]-Tabela135[[#This Row],[ISS(5%)]],Tabela324[[#This Row],[Valor Bruto]])</f>
        <v>534</v>
      </c>
      <c r="T28" s="9" t="s">
        <v>64</v>
      </c>
      <c r="U28" s="9" t="s">
        <v>64</v>
      </c>
      <c r="V28" s="161"/>
      <c r="W28" s="21" t="s">
        <v>31</v>
      </c>
      <c r="X28" s="26" t="str">
        <f>IF(D28&gt;G28,E28+F28,"FORA")</f>
        <v>FORA</v>
      </c>
      <c r="Y28" s="24">
        <f t="shared" si="5"/>
        <v>0</v>
      </c>
      <c r="Z28" s="24">
        <v>0</v>
      </c>
      <c r="AA28" s="25">
        <f t="shared" si="0"/>
        <v>0</v>
      </c>
      <c r="AB28" s="25">
        <f t="shared" si="1"/>
        <v>0</v>
      </c>
      <c r="AC28" s="25">
        <f t="shared" si="2"/>
        <v>0</v>
      </c>
      <c r="AD28" s="88">
        <f>Tabela411107[[#This Row],[COM META]]+Tabela411107[[#This Row],[PART/OAB]]</f>
        <v>0</v>
      </c>
    </row>
    <row r="29" spans="1:30" ht="18.75" x14ac:dyDescent="0.3">
      <c r="A29" s="112" t="s">
        <v>10</v>
      </c>
      <c r="B29" s="18" t="s">
        <v>73</v>
      </c>
      <c r="C29" s="6" t="s">
        <v>69</v>
      </c>
      <c r="D29" s="43"/>
      <c r="E29" s="48"/>
      <c r="F29" s="4">
        <f t="shared" si="6"/>
        <v>600</v>
      </c>
      <c r="G29" s="11">
        <v>13000</v>
      </c>
      <c r="H29" s="13">
        <f>IF(D29&gt;G29,AD29,E29+F29)</f>
        <v>600</v>
      </c>
      <c r="I29" s="6" t="str">
        <f>IF(Tabela324[[#This Row],[Valor Total Clínica]]&gt;=Tabela324[[#This Row],[META]],"META","FORA")</f>
        <v>FORA</v>
      </c>
      <c r="J29" s="3" t="s">
        <v>66</v>
      </c>
      <c r="K29" s="111"/>
      <c r="L29" s="126"/>
      <c r="M29" s="98">
        <f>Tabela324[[#This Row],[Valor Bruto]]*11%</f>
        <v>66</v>
      </c>
      <c r="N29" s="2">
        <f>(Tabela135[[#This Row],[BASE IR]]*Tabela135[[#This Row],[ALIQ IR]])-Tabela135[[#This Row],[DESC IR]]</f>
        <v>0</v>
      </c>
      <c r="O29" s="2">
        <v>0</v>
      </c>
      <c r="P29" s="2">
        <f>Tabela324[[#This Row],[Valor Bruto]]-Tabela135[[#This Row],[INSS(11%)]]</f>
        <v>534</v>
      </c>
      <c r="Q29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29" s="15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29" s="38">
        <f>IF(Tabela324[[#This Row],[STATUS NOTA]]="NFA",Tabela324[[#This Row],[Valor Bruto]]-Tabela135[[#This Row],[INSS(11%)]]-Tabela135[[#This Row],[IRPF]]-Tabela135[[#This Row],[ISS(5%)]],Tabela324[[#This Row],[Valor Bruto]])</f>
        <v>534</v>
      </c>
      <c r="T29" s="9" t="s">
        <v>64</v>
      </c>
      <c r="U29" s="9" t="s">
        <v>64</v>
      </c>
      <c r="V29" s="161"/>
      <c r="W29" s="22" t="s">
        <v>10</v>
      </c>
      <c r="X29" s="26" t="str">
        <f>IF(D29&gt;G29,E29+F29,"FORA")</f>
        <v>FORA</v>
      </c>
      <c r="Y29" s="24">
        <f t="shared" si="5"/>
        <v>0</v>
      </c>
      <c r="Z29" s="24">
        <v>0</v>
      </c>
      <c r="AA29" s="25">
        <f t="shared" si="0"/>
        <v>0</v>
      </c>
      <c r="AB29" s="25">
        <f t="shared" si="1"/>
        <v>0</v>
      </c>
      <c r="AC29" s="25">
        <f t="shared" si="2"/>
        <v>0</v>
      </c>
      <c r="AD29" s="88">
        <f>Tabela411107[[#This Row],[COM META]]+Tabela411107[[#This Row],[PART/OAB]]</f>
        <v>0</v>
      </c>
    </row>
    <row r="30" spans="1:30" ht="18.75" x14ac:dyDescent="0.3">
      <c r="A30" s="112" t="s">
        <v>18</v>
      </c>
      <c r="B30" s="18" t="s">
        <v>60</v>
      </c>
      <c r="C30" s="6" t="s">
        <v>61</v>
      </c>
      <c r="D30" s="43"/>
      <c r="E30" s="48"/>
      <c r="F30" s="4">
        <f t="shared" si="6"/>
        <v>600</v>
      </c>
      <c r="G30" s="11">
        <v>13000</v>
      </c>
      <c r="H30" s="13">
        <f>IF(D30&gt;G30,AD30,E30+F30)</f>
        <v>600</v>
      </c>
      <c r="I30" s="6" t="str">
        <f>IF(Tabela324[[#This Row],[Valor Total Clínica]]&gt;=Tabela324[[#This Row],[META]],"META","FORA")</f>
        <v>FORA</v>
      </c>
      <c r="J30" s="3" t="s">
        <v>62</v>
      </c>
      <c r="K30" s="111"/>
      <c r="L30" s="126"/>
      <c r="M30" s="98">
        <f>Tabela324[[#This Row],[Valor Bruto]]*11%</f>
        <v>66</v>
      </c>
      <c r="N30" s="2">
        <f>(Tabela135[[#This Row],[BASE IR]]*Tabela135[[#This Row],[ALIQ IR]])-Tabela135[[#This Row],[DESC IR]]</f>
        <v>0</v>
      </c>
      <c r="O30" s="2">
        <v>0</v>
      </c>
      <c r="P30" s="2">
        <f>Tabela324[[#This Row],[Valor Bruto]]-Tabela135[[#This Row],[INSS(11%)]]</f>
        <v>534</v>
      </c>
      <c r="Q30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0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0" s="29">
        <f>IF(Tabela324[[#This Row],[STATUS NOTA]]="NFA",Tabela324[[#This Row],[Valor Bruto]]-Tabela135[[#This Row],[INSS(11%)]]-Tabela135[[#This Row],[IRPF]]-Tabela135[[#This Row],[ISS(5%)]],Tabela324[[#This Row],[Valor Bruto]])</f>
        <v>600</v>
      </c>
      <c r="T30" s="28" t="s">
        <v>64</v>
      </c>
      <c r="U30" s="9" t="s">
        <v>64</v>
      </c>
      <c r="V30" s="161"/>
      <c r="W30" s="22" t="s">
        <v>18</v>
      </c>
      <c r="X30" s="26" t="str">
        <f>IF(D30&gt;G30,E30+F30,"FORA")</f>
        <v>FORA</v>
      </c>
      <c r="Y30" s="24">
        <f t="shared" si="5"/>
        <v>0</v>
      </c>
      <c r="Z30" s="24">
        <v>0</v>
      </c>
      <c r="AA30" s="25">
        <f t="shared" si="0"/>
        <v>0</v>
      </c>
      <c r="AB30" s="25">
        <f t="shared" si="1"/>
        <v>0</v>
      </c>
      <c r="AC30" s="25">
        <f t="shared" si="2"/>
        <v>0</v>
      </c>
      <c r="AD30" s="88">
        <f>Tabela411107[[#This Row],[COM META]]+Tabela411107[[#This Row],[PART/OAB]]</f>
        <v>0</v>
      </c>
    </row>
    <row r="31" spans="1:30" ht="18.75" x14ac:dyDescent="0.25">
      <c r="A31" s="110" t="s">
        <v>8</v>
      </c>
      <c r="B31" s="17" t="s">
        <v>73</v>
      </c>
      <c r="C31" s="6" t="s">
        <v>74</v>
      </c>
      <c r="D31" s="43"/>
      <c r="E31" s="48"/>
      <c r="F31" s="4">
        <f t="shared" si="6"/>
        <v>600</v>
      </c>
      <c r="G31" s="11">
        <v>8000</v>
      </c>
      <c r="H31" s="13">
        <f>IF(D31&gt;G31,AD31,E31+F31)</f>
        <v>600</v>
      </c>
      <c r="I31" s="6" t="str">
        <f>IF(Tabela324[[#This Row],[Valor Total Clínica]]&gt;=Tabela324[[#This Row],[META]],"META","FORA")</f>
        <v>FORA</v>
      </c>
      <c r="J31" s="3" t="s">
        <v>62</v>
      </c>
      <c r="K31" s="111"/>
      <c r="L31" s="126"/>
      <c r="M31" s="98">
        <f>Tabela324[[#This Row],[Valor Bruto]]*11%</f>
        <v>66</v>
      </c>
      <c r="N31" s="2">
        <f>(Tabela135[[#This Row],[BASE IR]]*Tabela135[[#This Row],[ALIQ IR]])-Tabela135[[#This Row],[DESC IR]]</f>
        <v>0</v>
      </c>
      <c r="O31" s="2">
        <v>0</v>
      </c>
      <c r="P31" s="2">
        <f>Tabela324[[#This Row],[Valor Bruto]]-Tabela135[[#This Row],[INSS(11%)]]</f>
        <v>534</v>
      </c>
      <c r="Q31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1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1" s="29">
        <f>IF(Tabela324[[#This Row],[STATUS NOTA]]="NFA",Tabela324[[#This Row],[Valor Bruto]]-Tabela135[[#This Row],[INSS(11%)]]-Tabela135[[#This Row],[IRPF]]-Tabela135[[#This Row],[ISS(5%)]],Tabela324[[#This Row],[Valor Bruto]])</f>
        <v>600</v>
      </c>
      <c r="T31" s="28" t="s">
        <v>64</v>
      </c>
      <c r="U31" s="9" t="s">
        <v>64</v>
      </c>
      <c r="V31" s="161"/>
      <c r="W31" s="21" t="s">
        <v>8</v>
      </c>
      <c r="X31" s="26" t="str">
        <f>IF(D31&gt;G31,E31+F31,"FORA")</f>
        <v>FORA</v>
      </c>
      <c r="Y31" s="24">
        <f t="shared" si="5"/>
        <v>0</v>
      </c>
      <c r="Z31" s="24">
        <v>0</v>
      </c>
      <c r="AA31" s="25">
        <f t="shared" si="0"/>
        <v>0</v>
      </c>
      <c r="AB31" s="25">
        <f t="shared" si="1"/>
        <v>0</v>
      </c>
      <c r="AC31" s="25">
        <f t="shared" si="2"/>
        <v>0</v>
      </c>
      <c r="AD31" s="88">
        <f>Tabela411107[[#This Row],[COM META]]+Tabela411107[[#This Row],[PART/OAB]]</f>
        <v>0</v>
      </c>
    </row>
    <row r="32" spans="1:30" ht="18.75" x14ac:dyDescent="0.25">
      <c r="A32" s="110" t="s">
        <v>4</v>
      </c>
      <c r="B32" s="17" t="s">
        <v>91</v>
      </c>
      <c r="C32" s="6" t="s">
        <v>61</v>
      </c>
      <c r="D32" s="43"/>
      <c r="E32" s="48"/>
      <c r="F32" s="4">
        <f t="shared" si="6"/>
        <v>600</v>
      </c>
      <c r="G32" s="11">
        <v>13000</v>
      </c>
      <c r="H32" s="13">
        <f>IF(D32&gt;G32,AD32,E32+F32)</f>
        <v>600</v>
      </c>
      <c r="I32" s="6" t="str">
        <f>IF(Tabela324[[#This Row],[Valor Total Clínica]]&gt;=Tabela324[[#This Row],[META]],"META","FORA")</f>
        <v>FORA</v>
      </c>
      <c r="J32" s="3" t="s">
        <v>62</v>
      </c>
      <c r="K32" s="111"/>
      <c r="L32" s="126"/>
      <c r="M32" s="98">
        <f>Tabela324[[#This Row],[Valor Bruto]]*11%</f>
        <v>66</v>
      </c>
      <c r="N32" s="2">
        <f>(Tabela135[[#This Row],[BASE IR]]*Tabela135[[#This Row],[ALIQ IR]])-Tabela135[[#This Row],[DESC IR]]</f>
        <v>0</v>
      </c>
      <c r="O32" s="2">
        <v>0</v>
      </c>
      <c r="P32" s="2">
        <f>Tabela324[[#This Row],[Valor Bruto]]-Tabela135[[#This Row],[INSS(11%)]]</f>
        <v>534</v>
      </c>
      <c r="Q32" s="14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2" s="27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2" s="29">
        <f>IF(Tabela324[[#This Row],[STATUS NOTA]]="NFA",Tabela324[[#This Row],[Valor Bruto]]-Tabela135[[#This Row],[INSS(11%)]]-Tabela135[[#This Row],[IRPF]]-Tabela135[[#This Row],[ISS(5%)]],Tabela324[[#This Row],[Valor Bruto]])</f>
        <v>600</v>
      </c>
      <c r="T32" s="28" t="s">
        <v>64</v>
      </c>
      <c r="U32" s="9" t="s">
        <v>64</v>
      </c>
      <c r="V32" s="161"/>
      <c r="W32" s="21" t="s">
        <v>4</v>
      </c>
      <c r="X32" s="26" t="str">
        <f>IF(D32&gt;G32,E32+F32,"FORA")</f>
        <v>FORA</v>
      </c>
      <c r="Y32" s="24">
        <f t="shared" si="5"/>
        <v>0</v>
      </c>
      <c r="Z32" s="24">
        <v>0</v>
      </c>
      <c r="AA32" s="25">
        <f t="shared" si="0"/>
        <v>0</v>
      </c>
      <c r="AB32" s="25">
        <f t="shared" si="1"/>
        <v>0</v>
      </c>
      <c r="AC32" s="25">
        <f t="shared" si="2"/>
        <v>0</v>
      </c>
      <c r="AD32" s="88">
        <f>Tabela411107[[#This Row],[COM META]]+Tabela411107[[#This Row],[PART/OAB]]</f>
        <v>0</v>
      </c>
    </row>
    <row r="33" spans="1:30" ht="19.5" thickBot="1" x14ac:dyDescent="0.35">
      <c r="A33" s="115" t="s">
        <v>15</v>
      </c>
      <c r="B33" s="116" t="s">
        <v>73</v>
      </c>
      <c r="C33" s="117" t="s">
        <v>69</v>
      </c>
      <c r="D33" s="118"/>
      <c r="E33" s="119"/>
      <c r="F33" s="120">
        <f t="shared" si="6"/>
        <v>600</v>
      </c>
      <c r="G33" s="121">
        <v>13000</v>
      </c>
      <c r="H33" s="122">
        <f>IF(D33&gt;G33,AD33,E33+F33)</f>
        <v>600</v>
      </c>
      <c r="I33" s="117" t="str">
        <f>IF(Tabela324[[#This Row],[Valor Total Clínica]]&gt;=Tabela324[[#This Row],[META]],"META","FORA")</f>
        <v>FORA</v>
      </c>
      <c r="J33" s="123" t="s">
        <v>66</v>
      </c>
      <c r="K33" s="124"/>
      <c r="L33" s="127"/>
      <c r="M33" s="99">
        <f>Tabela324[[#This Row],[Valor Bruto]]*11%</f>
        <v>66</v>
      </c>
      <c r="N33" s="89">
        <f>(Tabela135[[#This Row],[BASE IR]]*Tabela135[[#This Row],[ALIQ IR]])-Tabela135[[#This Row],[DESC IR]]</f>
        <v>0</v>
      </c>
      <c r="O33" s="89">
        <v>0</v>
      </c>
      <c r="P33" s="89">
        <f>Tabela324[[#This Row],[Valor Bruto]]-Tabela135[[#This Row],[INSS(11%)]]</f>
        <v>534</v>
      </c>
      <c r="Q33" s="90">
        <f>IF(Tabela135[[#This Row],[BASE IR]]&lt;=1903.98,0%,IF(Tabela135[[#This Row],[BASE IR]]&lt;=2826.65,7.5%,IF(Tabela135[[#This Row],[BASE IR]]&lt;=3751.05,15%,IF(Tabela135[[#This Row],[BASE IR]]&lt;=4664.68,22.5%,IF(Tabela135[[#This Row],[BASE IR]]&gt;4664.69,27.5%,0)))))</f>
        <v>0</v>
      </c>
      <c r="R33" s="91">
        <f>IF(Tabela135[[#This Row],[ALIQ IR]]=0%,0,IF(Tabela135[[#This Row],[ALIQ IR]]=7.5%,142.8,IF(Tabela135[[#This Row],[ALIQ IR]]=15%,354.8,IF(Tabela135[[#This Row],[ALIQ IR]]=22.5%,636.13,IF(Tabela135[[#This Row],[ALIQ IR]]=27.5%,869.36,0)))))</f>
        <v>0</v>
      </c>
      <c r="S33" s="92">
        <f>IF(Tabela324[[#This Row],[STATUS NOTA]]="NFA",Tabela324[[#This Row],[Valor Bruto]]-Tabela135[[#This Row],[INSS(11%)]]-Tabela135[[#This Row],[IRPF]]-Tabela135[[#This Row],[ISS(5%)]],Tabela324[[#This Row],[Valor Bruto]])</f>
        <v>534</v>
      </c>
      <c r="T33" s="93" t="s">
        <v>64</v>
      </c>
      <c r="U33" s="9" t="s">
        <v>64</v>
      </c>
      <c r="V33" s="162"/>
      <c r="W33" s="94" t="s">
        <v>15</v>
      </c>
      <c r="X33" s="26" t="str">
        <f>IF(D33&gt;G33,E33+F33,"FORA")</f>
        <v>FORA</v>
      </c>
      <c r="Y33" s="24">
        <f t="shared" si="5"/>
        <v>0</v>
      </c>
      <c r="Z33" s="95">
        <v>0</v>
      </c>
      <c r="AA33" s="96">
        <f t="shared" si="0"/>
        <v>0</v>
      </c>
      <c r="AB33" s="96">
        <f t="shared" si="1"/>
        <v>0</v>
      </c>
      <c r="AC33" s="96">
        <f t="shared" si="2"/>
        <v>0</v>
      </c>
      <c r="AD33" s="97">
        <f>Tabela411107[[#This Row],[COM META]]+Tabela411107[[#This Row],[PART/OAB]]</f>
        <v>0</v>
      </c>
    </row>
    <row r="34" spans="1:30" ht="18.75" customHeight="1" x14ac:dyDescent="0.25">
      <c r="A34" s="50" t="s">
        <v>92</v>
      </c>
      <c r="B34" s="50"/>
      <c r="C34" s="50"/>
      <c r="D34" s="51">
        <f>SUM(D2:D33)</f>
        <v>0</v>
      </c>
      <c r="E34" s="51">
        <f>SUM(E2:E33)</f>
        <v>0</v>
      </c>
      <c r="F34" s="51">
        <f>SUM(F2:F33)</f>
        <v>15000</v>
      </c>
      <c r="G34" s="52"/>
      <c r="H34" s="51">
        <f>SUM(H2:H33)</f>
        <v>15000</v>
      </c>
      <c r="I34" s="53"/>
      <c r="J34" s="54"/>
      <c r="K34" s="54"/>
      <c r="L34" s="54"/>
      <c r="M34" s="57"/>
      <c r="N34" s="57"/>
      <c r="O34" s="57"/>
      <c r="P34" s="57"/>
      <c r="Q34" s="58"/>
      <c r="R34" s="59"/>
      <c r="S34" s="60"/>
      <c r="T34" s="61"/>
      <c r="U34" s="61"/>
      <c r="V34" s="78"/>
      <c r="W34" s="79"/>
      <c r="X34" s="80"/>
      <c r="Y34" s="24">
        <f t="shared" si="5"/>
        <v>0</v>
      </c>
      <c r="Z34" s="55"/>
      <c r="AA34" s="25">
        <f>Y34*100/16</f>
        <v>0</v>
      </c>
      <c r="AB34" s="25">
        <f>AA34*16%</f>
        <v>0</v>
      </c>
      <c r="AC34" s="25">
        <f>AA34*18%</f>
        <v>0</v>
      </c>
      <c r="AD34" s="131">
        <f>Tabela411107[[#This Row],[COM META]]+Tabela411107[[#This Row],[PART/OAB]]</f>
        <v>0</v>
      </c>
    </row>
    <row r="35" spans="1:30" ht="19.5" thickBot="1" x14ac:dyDescent="0.3">
      <c r="A35" s="47"/>
      <c r="B35" s="62"/>
      <c r="C35" s="63"/>
      <c r="D35" s="64"/>
      <c r="E35" s="49"/>
      <c r="F35" s="51"/>
      <c r="G35" s="65"/>
      <c r="H35" s="68"/>
      <c r="I35" s="63"/>
      <c r="J35" s="66"/>
      <c r="K35" s="67"/>
      <c r="L35" s="54"/>
      <c r="M35" s="57"/>
      <c r="N35" s="57"/>
      <c r="O35" s="57"/>
      <c r="P35" s="57"/>
      <c r="Q35" s="58"/>
      <c r="R35" s="59"/>
      <c r="S35" s="60"/>
      <c r="T35" s="61"/>
      <c r="U35" s="61"/>
      <c r="V35" s="1"/>
      <c r="W35" s="47"/>
      <c r="X35" s="56"/>
      <c r="Y35" s="55"/>
      <c r="Z35" s="55"/>
      <c r="AA35" s="25"/>
      <c r="AB35" s="25"/>
      <c r="AC35" s="25"/>
      <c r="AD35" s="25"/>
    </row>
    <row r="36" spans="1:30" ht="24" customHeight="1" thickBot="1" x14ac:dyDescent="0.3">
      <c r="A36" s="130" t="s">
        <v>93</v>
      </c>
      <c r="B36" s="62"/>
      <c r="C36" s="63"/>
      <c r="D36" s="64"/>
      <c r="E36" s="49"/>
      <c r="F36" s="51"/>
      <c r="G36" s="65"/>
      <c r="H36" s="68"/>
      <c r="I36" s="63"/>
      <c r="J36" s="66"/>
      <c r="K36" s="67"/>
      <c r="W36" s="47"/>
      <c r="X36" s="56"/>
    </row>
    <row r="37" spans="1:30" x14ac:dyDescent="0.25">
      <c r="A37" s="128"/>
      <c r="E37" s="172"/>
      <c r="F37" s="172"/>
      <c r="G37" s="172"/>
      <c r="H37" s="173"/>
    </row>
    <row r="38" spans="1:30" x14ac:dyDescent="0.25">
      <c r="A38" s="128"/>
      <c r="E38" s="174"/>
      <c r="F38" s="175"/>
      <c r="G38" s="175"/>
      <c r="H38" s="173"/>
      <c r="J38" s="101"/>
      <c r="K38" s="101"/>
      <c r="L38" s="101"/>
      <c r="M38" s="101"/>
      <c r="N38" s="101"/>
      <c r="O38" s="101"/>
      <c r="P38" s="101"/>
      <c r="Q38" s="101"/>
      <c r="R38" s="101"/>
      <c r="S38" s="101"/>
    </row>
    <row r="39" spans="1:30" x14ac:dyDescent="0.25">
      <c r="A39" s="128"/>
      <c r="E39" s="174"/>
      <c r="F39" s="176"/>
      <c r="G39" s="176"/>
      <c r="H39" s="173"/>
    </row>
    <row r="40" spans="1:30" x14ac:dyDescent="0.25">
      <c r="A40" s="128"/>
      <c r="E40" s="174"/>
      <c r="F40" s="175"/>
      <c r="G40" s="175"/>
      <c r="H40" s="173"/>
    </row>
    <row r="41" spans="1:30" x14ac:dyDescent="0.25">
      <c r="A41" s="128"/>
      <c r="E41" s="174"/>
      <c r="F41" s="175"/>
      <c r="G41" s="175"/>
      <c r="H41" s="173"/>
    </row>
    <row r="42" spans="1:30" x14ac:dyDescent="0.25">
      <c r="A42" s="128"/>
      <c r="E42" s="173"/>
      <c r="F42" s="173"/>
      <c r="G42" s="173"/>
      <c r="H42" s="173"/>
    </row>
    <row r="43" spans="1:30" x14ac:dyDescent="0.25">
      <c r="A43" s="128"/>
      <c r="E43" s="177"/>
      <c r="F43" s="176"/>
      <c r="G43" s="173"/>
      <c r="H43" s="173"/>
    </row>
    <row r="44" spans="1:30" x14ac:dyDescent="0.25">
      <c r="A44" s="128"/>
      <c r="E44" s="174"/>
      <c r="F44" s="176"/>
      <c r="G44" s="173"/>
      <c r="H44" s="173"/>
    </row>
    <row r="45" spans="1:30" x14ac:dyDescent="0.25">
      <c r="A45" s="128"/>
      <c r="E45" s="178"/>
      <c r="F45" s="179"/>
      <c r="G45" s="175"/>
      <c r="H45" s="173"/>
    </row>
    <row r="46" spans="1:30" x14ac:dyDescent="0.25">
      <c r="A46" s="128"/>
      <c r="E46" s="174"/>
      <c r="F46" s="176"/>
      <c r="G46" s="173"/>
      <c r="H46" s="173"/>
    </row>
    <row r="47" spans="1:30" x14ac:dyDescent="0.25">
      <c r="A47" s="128"/>
      <c r="E47" s="174"/>
      <c r="F47" s="176"/>
      <c r="G47" s="173"/>
      <c r="H47" s="173"/>
    </row>
    <row r="48" spans="1:30" ht="15.75" thickBot="1" x14ac:dyDescent="0.3">
      <c r="A48" s="129"/>
    </row>
    <row r="49" spans="1:15" x14ac:dyDescent="0.25">
      <c r="A49" s="1"/>
    </row>
    <row r="50" spans="1:15" x14ac:dyDescent="0.25">
      <c r="A50" s="1"/>
    </row>
    <row r="51" spans="1:15" x14ac:dyDescent="0.25">
      <c r="A51" s="1"/>
    </row>
    <row r="52" spans="1:15" x14ac:dyDescent="0.25">
      <c r="A52" s="1"/>
    </row>
    <row r="53" spans="1:15" x14ac:dyDescent="0.25">
      <c r="A53" s="1"/>
    </row>
    <row r="54" spans="1:15" x14ac:dyDescent="0.25">
      <c r="A54" s="1"/>
    </row>
    <row r="55" spans="1:15" x14ac:dyDescent="0.25">
      <c r="A55" s="1"/>
    </row>
    <row r="56" spans="1:15" x14ac:dyDescent="0.25">
      <c r="A56" s="1"/>
      <c r="L56" s="100"/>
      <c r="M56" s="100"/>
      <c r="N56" s="100"/>
      <c r="O56" s="100"/>
    </row>
    <row r="57" spans="1:15" x14ac:dyDescent="0.25">
      <c r="A57" s="1"/>
      <c r="L57" s="101"/>
      <c r="M57" s="102"/>
      <c r="N57" s="102"/>
      <c r="O57" s="102"/>
    </row>
    <row r="58" spans="1:15" x14ac:dyDescent="0.25">
      <c r="A58" s="1"/>
    </row>
    <row r="59" spans="1:15" x14ac:dyDescent="0.25">
      <c r="A59" s="1"/>
    </row>
    <row r="60" spans="1:15" x14ac:dyDescent="0.25">
      <c r="A60" s="1"/>
    </row>
    <row r="61" spans="1:15" x14ac:dyDescent="0.25">
      <c r="A61" s="1"/>
    </row>
    <row r="62" spans="1:15" x14ac:dyDescent="0.25">
      <c r="A62" s="1"/>
    </row>
    <row r="63" spans="1:15" x14ac:dyDescent="0.25">
      <c r="A63" s="1"/>
    </row>
    <row r="64" spans="1:15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</sheetData>
  <mergeCells count="6">
    <mergeCell ref="V1:V33"/>
    <mergeCell ref="AG2:AK2"/>
    <mergeCell ref="AJ15:AL15"/>
    <mergeCell ref="AI14:AM14"/>
    <mergeCell ref="AJ16:AL16"/>
    <mergeCell ref="AI6:AL6"/>
  </mergeCells>
  <conditionalFormatting sqref="I2:I36">
    <cfRule type="cellIs" dxfId="14" priority="19" operator="equal">
      <formula>"META"</formula>
    </cfRule>
    <cfRule type="cellIs" dxfId="13" priority="20" operator="equal">
      <formula>"FORA"</formula>
    </cfRule>
    <cfRule type="cellIs" dxfId="12" priority="22" operator="equal">
      <formula>"""META"""</formula>
    </cfRule>
  </conditionalFormatting>
  <conditionalFormatting sqref="K2:K36">
    <cfRule type="cellIs" dxfId="11" priority="18" operator="greaterThan">
      <formula>0</formula>
    </cfRule>
  </conditionalFormatting>
  <conditionalFormatting sqref="J3:J36">
    <cfRule type="cellIs" dxfId="10" priority="17" operator="equal">
      <formula>"NFA"</formula>
    </cfRule>
  </conditionalFormatting>
  <conditionalFormatting sqref="T2:T33">
    <cfRule type="cellIs" dxfId="9" priority="16" operator="equal">
      <formula>"ok"</formula>
    </cfRule>
  </conditionalFormatting>
  <conditionalFormatting sqref="T2:T33">
    <cfRule type="cellIs" dxfId="8" priority="15" operator="equal">
      <formula>"Pendente"</formula>
    </cfRule>
  </conditionalFormatting>
  <conditionalFormatting sqref="U2:U33">
    <cfRule type="cellIs" dxfId="7" priority="11" operator="equal">
      <formula>"ok"</formula>
    </cfRule>
  </conditionalFormatting>
  <conditionalFormatting sqref="U2:U33">
    <cfRule type="cellIs" dxfId="6" priority="10" operator="equal">
      <formula>"Pendente"</formula>
    </cfRule>
  </conditionalFormatting>
  <conditionalFormatting sqref="J2">
    <cfRule type="cellIs" dxfId="5" priority="8" operator="equal">
      <formula>"NFA"</formula>
    </cfRule>
  </conditionalFormatting>
  <conditionalFormatting sqref="X1:X36">
    <cfRule type="cellIs" dxfId="4" priority="7" operator="equal">
      <formula>"FORA"</formula>
    </cfRule>
  </conditionalFormatting>
  <conditionalFormatting sqref="G2:G33 G35:G36">
    <cfRule type="cellIs" dxfId="3" priority="6" operator="lessThan">
      <formula>D2+E2</formula>
    </cfRule>
  </conditionalFormatting>
  <conditionalFormatting sqref="S2:S33">
    <cfRule type="expression" dxfId="2" priority="5">
      <formula>J2="NFA"</formula>
    </cfRule>
  </conditionalFormatting>
  <conditionalFormatting sqref="T2:U33">
    <cfRule type="cellIs" dxfId="1" priority="25" operator="lessThan">
      <formula>#REF!</formula>
    </cfRule>
  </conditionalFormatting>
  <conditionalFormatting sqref="I2:I36">
    <cfRule type="cellIs" dxfId="0" priority="37" operator="lessThan">
      <formula>#REF!</formula>
    </cfRule>
  </conditionalFormatting>
  <pageMargins left="0.7" right="0.7" top="0.75" bottom="0.75" header="0.3" footer="0.3"/>
  <pageSetup paperSize="9" orientation="portrait" r:id="rId1"/>
  <drawing r:id="rId2"/>
  <tableParts count="4"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DB70-0C56-4F67-9952-BC4EEC080029}">
  <sheetPr codeName="Planilha3"/>
  <dimension ref="A1:F25"/>
  <sheetViews>
    <sheetView workbookViewId="0">
      <selection activeCell="D23" sqref="D23"/>
    </sheetView>
  </sheetViews>
  <sheetFormatPr defaultRowHeight="15" x14ac:dyDescent="0.25"/>
  <cols>
    <col min="1" max="1" width="47.140625" style="30" customWidth="1"/>
    <col min="2" max="2" width="39.85546875" style="30" customWidth="1"/>
    <col min="3" max="3" width="13.7109375" style="30" customWidth="1"/>
    <col min="4" max="4" width="46.28515625" style="30" customWidth="1"/>
    <col min="5" max="5" width="25.5703125" style="30" customWidth="1"/>
    <col min="6" max="16384" width="9.140625" style="30"/>
  </cols>
  <sheetData>
    <row r="1" spans="1:6" ht="19.5" thickBot="1" x14ac:dyDescent="0.35">
      <c r="A1" s="169" t="s">
        <v>94</v>
      </c>
      <c r="B1" s="170"/>
      <c r="C1" s="170"/>
      <c r="D1" s="170"/>
      <c r="E1" s="171"/>
    </row>
    <row r="2" spans="1:6" ht="18.75" x14ac:dyDescent="0.25">
      <c r="A2" s="35" t="s">
        <v>52</v>
      </c>
      <c r="B2" s="35" t="s">
        <v>95</v>
      </c>
      <c r="C2" s="35" t="s">
        <v>96</v>
      </c>
      <c r="D2" s="35" t="s">
        <v>97</v>
      </c>
      <c r="E2" s="35" t="s">
        <v>98</v>
      </c>
      <c r="F2" s="35"/>
    </row>
    <row r="3" spans="1:6" ht="18.75" x14ac:dyDescent="0.25">
      <c r="A3" s="137" t="s">
        <v>5</v>
      </c>
      <c r="B3" s="138"/>
      <c r="C3" s="138"/>
      <c r="D3" s="139"/>
      <c r="E3" s="139"/>
      <c r="F3" s="133"/>
    </row>
    <row r="4" spans="1:6" ht="18.75" x14ac:dyDescent="0.25">
      <c r="A4" s="137" t="s">
        <v>3</v>
      </c>
      <c r="B4" s="140"/>
      <c r="C4" s="141"/>
      <c r="D4" s="139"/>
      <c r="E4" s="139"/>
      <c r="F4" s="133"/>
    </row>
    <row r="5" spans="1:6" ht="18.75" x14ac:dyDescent="0.3">
      <c r="A5" s="142" t="s">
        <v>13</v>
      </c>
      <c r="B5" s="140"/>
      <c r="C5" s="141"/>
      <c r="D5" s="139"/>
      <c r="E5" s="139"/>
      <c r="F5" s="134"/>
    </row>
    <row r="6" spans="1:6" ht="18.75" x14ac:dyDescent="0.3">
      <c r="A6" s="142" t="s">
        <v>27</v>
      </c>
      <c r="B6" s="140"/>
      <c r="C6" s="143"/>
      <c r="D6" s="144"/>
      <c r="E6" s="144"/>
      <c r="F6" s="134"/>
    </row>
    <row r="7" spans="1:6" ht="18.75" x14ac:dyDescent="0.25">
      <c r="A7" s="137" t="s">
        <v>20</v>
      </c>
      <c r="B7" s="140"/>
      <c r="C7" s="141"/>
      <c r="D7" s="139"/>
      <c r="E7" s="139"/>
      <c r="F7" s="133"/>
    </row>
    <row r="8" spans="1:6" ht="18.75" x14ac:dyDescent="0.3">
      <c r="A8" s="142" t="s">
        <v>7</v>
      </c>
      <c r="B8" s="138"/>
      <c r="C8" s="141"/>
      <c r="D8" s="139"/>
      <c r="E8" s="139"/>
      <c r="F8" s="134"/>
    </row>
    <row r="9" spans="1:6" ht="18.75" x14ac:dyDescent="0.3">
      <c r="A9" s="142" t="s">
        <v>2</v>
      </c>
      <c r="B9" s="140"/>
      <c r="C9" s="141"/>
      <c r="D9" s="139"/>
      <c r="E9" s="139"/>
      <c r="F9" s="134"/>
    </row>
    <row r="10" spans="1:6" ht="18.75" x14ac:dyDescent="0.3">
      <c r="A10" s="142" t="s">
        <v>11</v>
      </c>
      <c r="B10" s="140"/>
      <c r="C10" s="141"/>
      <c r="D10" s="139"/>
      <c r="E10" s="139"/>
      <c r="F10" s="134"/>
    </row>
    <row r="11" spans="1:6" ht="18.75" x14ac:dyDescent="0.3">
      <c r="A11" s="142" t="s">
        <v>19</v>
      </c>
      <c r="B11" s="140"/>
      <c r="C11" s="141"/>
      <c r="D11" s="139"/>
      <c r="E11" s="139"/>
      <c r="F11" s="134"/>
    </row>
    <row r="12" spans="1:6" ht="18.75" x14ac:dyDescent="0.25">
      <c r="A12" s="145" t="s">
        <v>88</v>
      </c>
      <c r="B12" s="140"/>
      <c r="C12" s="141"/>
      <c r="D12" s="139"/>
      <c r="E12" s="139"/>
      <c r="F12" s="133"/>
    </row>
    <row r="13" spans="1:6" ht="18.75" x14ac:dyDescent="0.3">
      <c r="A13" s="142" t="s">
        <v>12</v>
      </c>
      <c r="B13" s="140"/>
      <c r="C13" s="141"/>
      <c r="D13" s="139"/>
      <c r="E13" s="139"/>
      <c r="F13" s="134"/>
    </row>
    <row r="14" spans="1:6" ht="18.75" x14ac:dyDescent="0.3">
      <c r="A14" s="142" t="s">
        <v>14</v>
      </c>
      <c r="B14" s="140"/>
      <c r="C14" s="141"/>
      <c r="D14" s="139"/>
      <c r="E14" s="139"/>
      <c r="F14" s="134"/>
    </row>
    <row r="15" spans="1:6" ht="18.75" x14ac:dyDescent="0.25">
      <c r="A15" s="146" t="s">
        <v>90</v>
      </c>
      <c r="B15" s="140"/>
      <c r="C15" s="143"/>
      <c r="D15" s="139"/>
      <c r="E15" s="147"/>
      <c r="F15" s="135"/>
    </row>
    <row r="16" spans="1:6" ht="18.75" x14ac:dyDescent="0.25">
      <c r="A16" s="137" t="s">
        <v>31</v>
      </c>
      <c r="B16" s="140"/>
      <c r="C16" s="141"/>
      <c r="D16" s="139"/>
      <c r="E16" s="139"/>
      <c r="F16" s="133"/>
    </row>
    <row r="17" spans="1:6" ht="18.75" x14ac:dyDescent="0.3">
      <c r="A17" s="142" t="s">
        <v>10</v>
      </c>
      <c r="B17" s="140"/>
      <c r="C17" s="141"/>
      <c r="D17" s="139"/>
      <c r="E17" s="139"/>
      <c r="F17" s="134"/>
    </row>
    <row r="18" spans="1:6" ht="18.75" x14ac:dyDescent="0.3">
      <c r="A18" s="142" t="s">
        <v>18</v>
      </c>
      <c r="B18" s="138"/>
      <c r="C18" s="141"/>
      <c r="D18" s="139"/>
      <c r="E18" s="139"/>
      <c r="F18" s="134"/>
    </row>
    <row r="19" spans="1:6" ht="18.75" x14ac:dyDescent="0.25">
      <c r="A19" s="137" t="s">
        <v>8</v>
      </c>
      <c r="B19" s="140"/>
      <c r="C19" s="141"/>
      <c r="D19" s="148"/>
      <c r="E19" s="139"/>
      <c r="F19" s="133"/>
    </row>
    <row r="20" spans="1:6" ht="18.75" x14ac:dyDescent="0.25">
      <c r="A20" s="137" t="s">
        <v>4</v>
      </c>
      <c r="B20" s="140"/>
      <c r="C20" s="141"/>
      <c r="D20" s="139"/>
      <c r="E20" s="147"/>
      <c r="F20" s="133"/>
    </row>
    <row r="21" spans="1:6" ht="18.75" x14ac:dyDescent="0.3">
      <c r="A21" s="142" t="s">
        <v>15</v>
      </c>
      <c r="B21" s="140"/>
      <c r="C21" s="141"/>
      <c r="D21" s="139"/>
      <c r="E21" s="139"/>
      <c r="F21" s="134"/>
    </row>
    <row r="22" spans="1:6" ht="18.75" x14ac:dyDescent="0.25">
      <c r="A22" s="136"/>
      <c r="B22" s="34"/>
      <c r="C22" s="32"/>
      <c r="D22" s="31"/>
      <c r="E22" s="31"/>
    </row>
    <row r="23" spans="1:6" ht="18.75" x14ac:dyDescent="0.25">
      <c r="A23" s="46"/>
      <c r="B23" s="34"/>
      <c r="C23" s="32"/>
      <c r="D23" s="31"/>
      <c r="E23" s="31"/>
    </row>
    <row r="24" spans="1:6" ht="18.75" x14ac:dyDescent="0.25">
      <c r="A24" s="46"/>
      <c r="B24" s="33"/>
      <c r="C24" s="32"/>
      <c r="D24" s="31"/>
      <c r="E24" s="31"/>
    </row>
    <row r="25" spans="1:6" ht="18.75" x14ac:dyDescent="0.25">
      <c r="A25" s="45"/>
      <c r="B25" s="33"/>
      <c r="C25" s="32"/>
      <c r="D25" s="31"/>
      <c r="E25" s="31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831B6-A5F5-48C9-86A0-51786FB4FE49}">
  <dimension ref="A1"/>
  <sheetViews>
    <sheetView workbookViewId="0">
      <selection activeCell="I29" sqref="I2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Fechamento Fevereiro</vt:lpstr>
      <vt:lpstr>Relatório de Faltas</vt:lpstr>
      <vt:lpstr>Metas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Atendimentos</dc:title>
  <dc:subject>Atendimentos</dc:subject>
  <dc:creator>Clinica Agil</dc:creator>
  <cp:keywords>atendimentos</cp:keywords>
  <dc:description>Relatorio Atendimentos.</dc:description>
  <cp:lastModifiedBy>Iaam Marcos</cp:lastModifiedBy>
  <cp:revision/>
  <dcterms:created xsi:type="dcterms:W3CDTF">2021-11-04T13:15:59Z</dcterms:created>
  <dcterms:modified xsi:type="dcterms:W3CDTF">2022-03-30T21:09:07Z</dcterms:modified>
  <cp:category>relatorio</cp:category>
  <cp:contentStatus/>
</cp:coreProperties>
</file>