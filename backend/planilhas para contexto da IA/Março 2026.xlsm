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6/PJ/"/>
    </mc:Choice>
  </mc:AlternateContent>
  <xr:revisionPtr revIDLastSave="2308" documentId="8_{72497DB5-F74E-4F76-9C4D-4735F896E20D}" xr6:coauthVersionLast="47" xr6:coauthVersionMax="47" xr10:uidLastSave="{13D792F3-3A25-B64E-A79A-0EC895BEC5A5}"/>
  <bookViews>
    <workbookView xWindow="0" yWindow="660" windowWidth="29400" windowHeight="18460" activeTab="2" xr2:uid="{00000000-000D-0000-FFFF-FFFF00000000}"/>
  </bookViews>
  <sheets>
    <sheet name="Relatório de Faltas" sheetId="4" state="hidden" r:id="rId1"/>
    <sheet name="Tab Dinamica" sheetId="32" r:id="rId2"/>
    <sheet name="Março" sheetId="3" r:id="rId3"/>
    <sheet name="Extras-Descontos" sheetId="5" r:id="rId4"/>
  </sheets>
  <externalReferences>
    <externalReference r:id="rId5"/>
  </externalReferences>
  <definedNames>
    <definedName name="_xleta.DAYS" hidden="1" xlm="1">#NAME?</definedName>
    <definedName name="ColumnTitle1">[1]!Livros[[#Headers],[Nome]]</definedName>
  </definedNames>
  <calcPr calcId="191028"/>
  <pivotCaches>
    <pivotCache cacheId="1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6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7" i="3"/>
  <c r="H28" i="3"/>
  <c r="H29" i="3"/>
  <c r="G29" i="5"/>
  <c r="B70" i="5"/>
  <c r="B28" i="5"/>
  <c r="B29" i="5"/>
  <c r="B30" i="5"/>
  <c r="B31" i="5"/>
  <c r="B32" i="5"/>
  <c r="B33" i="5"/>
  <c r="B34" i="5"/>
  <c r="B3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H30" i="3" l="1"/>
  <c r="H31" i="3"/>
  <c r="H37" i="3"/>
  <c r="C18" i="5" l="1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46" i="5"/>
  <c r="B4" i="5"/>
  <c r="C141" i="3"/>
  <c r="F141" i="3"/>
  <c r="G14" i="5"/>
  <c r="K3" i="3"/>
  <c r="K4" i="3"/>
  <c r="K5" i="3"/>
  <c r="K6" i="3"/>
  <c r="K7" i="3"/>
  <c r="K8" i="3"/>
  <c r="K9" i="3"/>
  <c r="K10" i="3"/>
  <c r="K11" i="3"/>
  <c r="K12" i="3"/>
  <c r="K13" i="3"/>
  <c r="K14" i="3"/>
  <c r="K15" i="3"/>
  <c r="K22" i="3"/>
  <c r="F22" i="3" s="1"/>
  <c r="K16" i="3"/>
  <c r="K17" i="3"/>
  <c r="K18" i="3"/>
  <c r="K19" i="3"/>
  <c r="K20" i="3"/>
  <c r="F20" i="3" s="1"/>
  <c r="K21" i="3"/>
  <c r="K26" i="3"/>
  <c r="K23" i="3"/>
  <c r="K24" i="3"/>
  <c r="K25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G5" i="5"/>
  <c r="G6" i="5"/>
  <c r="G7" i="5"/>
  <c r="G8" i="5"/>
  <c r="G9" i="5"/>
  <c r="G10" i="5"/>
  <c r="G11" i="5"/>
  <c r="G12" i="5"/>
  <c r="G13" i="5"/>
  <c r="G15" i="5"/>
  <c r="G16" i="5"/>
  <c r="G17" i="5"/>
  <c r="G28" i="5"/>
  <c r="G18" i="5"/>
  <c r="G19" i="5"/>
  <c r="G20" i="5"/>
  <c r="G21" i="5"/>
  <c r="G22" i="5"/>
  <c r="G23" i="5"/>
  <c r="G24" i="5"/>
  <c r="G25" i="5"/>
  <c r="G26" i="5"/>
  <c r="G27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D19" i="3" a="1"/>
  <c r="D19" i="3" s="1"/>
  <c r="D4" i="3" a="1"/>
  <c r="D4" i="3" s="1"/>
  <c r="D9" i="3" a="1"/>
  <c r="D9" i="3" s="1"/>
  <c r="D11" i="3" a="1"/>
  <c r="D11" i="3" s="1"/>
  <c r="D20" i="3" a="1"/>
  <c r="D20" i="3" s="1"/>
  <c r="D21" i="3" a="1"/>
  <c r="D21" i="3" s="1"/>
  <c r="D26" i="3" a="1"/>
  <c r="D26" i="3" s="1"/>
  <c r="D25" i="3" a="1"/>
  <c r="D25" i="3" s="1"/>
  <c r="D36" i="3" a="1"/>
  <c r="D36" i="3" s="1"/>
  <c r="D39" i="3" a="1"/>
  <c r="D39" i="3" s="1"/>
  <c r="D35" i="3" a="1"/>
  <c r="D35" i="3" s="1"/>
  <c r="D3" i="3" a="1"/>
  <c r="D3" i="3" s="1"/>
  <c r="D8" i="3" a="1"/>
  <c r="D8" i="3" s="1"/>
  <c r="D10" i="3" a="1"/>
  <c r="D10" i="3" s="1"/>
  <c r="D14" i="3" a="1"/>
  <c r="D14" i="3" s="1"/>
  <c r="D18" i="3" a="1"/>
  <c r="D18" i="3" s="1"/>
  <c r="D38" i="3" a="1"/>
  <c r="D38" i="3" s="1"/>
  <c r="D33" i="3" a="1"/>
  <c r="D33" i="3" s="1"/>
  <c r="D34" i="3" a="1"/>
  <c r="D34" i="3" s="1"/>
  <c r="D2" i="3" a="1"/>
  <c r="D2" i="3" s="1"/>
  <c r="D12" i="3" a="1"/>
  <c r="D12" i="3" s="1"/>
  <c r="D13" i="3" a="1"/>
  <c r="D13" i="3" s="1"/>
  <c r="D32" i="3" a="1"/>
  <c r="D32" i="3" s="1"/>
  <c r="D15" i="3" a="1"/>
  <c r="D15" i="3" s="1"/>
  <c r="D22" i="3" a="1"/>
  <c r="D22" i="3" s="1"/>
  <c r="D16" i="3" a="1"/>
  <c r="D16" i="3" s="1"/>
  <c r="D17" i="3" a="1"/>
  <c r="D17" i="3" s="1"/>
  <c r="D5" i="3" a="1"/>
  <c r="D5" i="3" s="1"/>
  <c r="D6" i="3" a="1"/>
  <c r="D6" i="3" s="1"/>
  <c r="D23" i="3" a="1"/>
  <c r="D23" i="3" s="1"/>
  <c r="D24" i="3" a="1"/>
  <c r="D24" i="3" s="1"/>
  <c r="D40" i="3" a="1"/>
  <c r="D40" i="3" s="1"/>
  <c r="D41" i="3" a="1"/>
  <c r="D41" i="3" s="1"/>
  <c r="D42" i="3" a="1"/>
  <c r="D42" i="3" s="1"/>
  <c r="D44" i="3" a="1"/>
  <c r="D44" i="3" s="1"/>
  <c r="K2" i="3"/>
  <c r="E3" i="3" l="1" a="1"/>
  <c r="E3" i="3" s="1"/>
  <c r="E4" i="3" a="1"/>
  <c r="E4" i="3" s="1"/>
  <c r="E5" i="3" a="1"/>
  <c r="E5" i="3" s="1"/>
  <c r="E6" i="3" a="1"/>
  <c r="E6" i="3" s="1"/>
  <c r="E8" i="3" a="1"/>
  <c r="E8" i="3" s="1"/>
  <c r="E9" i="3" a="1"/>
  <c r="E9" i="3" s="1"/>
  <c r="E36" i="3" a="1"/>
  <c r="E36" i="3" s="1"/>
  <c r="H36" i="3" s="1"/>
  <c r="E10" i="3" a="1"/>
  <c r="E10" i="3" s="1"/>
  <c r="E35" i="3" a="1"/>
  <c r="E35" i="3" s="1"/>
  <c r="H35" i="3" s="1"/>
  <c r="E11" i="3" a="1"/>
  <c r="E11" i="3" s="1"/>
  <c r="E17" i="3" a="1"/>
  <c r="E17" i="3" s="1"/>
  <c r="E12" i="3" a="1"/>
  <c r="E12" i="3" s="1"/>
  <c r="E13" i="3" a="1"/>
  <c r="E13" i="3" s="1"/>
  <c r="E14" i="3" a="1"/>
  <c r="E14" i="3" s="1"/>
  <c r="E15" i="3" a="1"/>
  <c r="E15" i="3" s="1"/>
  <c r="E38" i="3" a="1"/>
  <c r="E38" i="3" s="1"/>
  <c r="H38" i="3" s="1"/>
  <c r="E22" i="3" a="1"/>
  <c r="E22" i="3" s="1"/>
  <c r="E16" i="3" a="1"/>
  <c r="E16" i="3" s="1"/>
  <c r="E18" i="3" a="1"/>
  <c r="E18" i="3" s="1"/>
  <c r="E19" i="3" a="1"/>
  <c r="E19" i="3" s="1"/>
  <c r="E20" i="3" a="1"/>
  <c r="E20" i="3" s="1"/>
  <c r="E32" i="3" a="1"/>
  <c r="E32" i="3" s="1"/>
  <c r="H32" i="3" s="1"/>
  <c r="E33" i="3" a="1"/>
  <c r="E33" i="3" s="1"/>
  <c r="H33" i="3" s="1"/>
  <c r="E34" i="3" a="1"/>
  <c r="E34" i="3" s="1"/>
  <c r="H34" i="3" s="1"/>
  <c r="E21" i="3" a="1"/>
  <c r="E21" i="3" s="1"/>
  <c r="E26" i="3" a="1"/>
  <c r="E26" i="3" s="1"/>
  <c r="E23" i="3" a="1"/>
  <c r="E23" i="3" s="1"/>
  <c r="E24" i="3" a="1"/>
  <c r="E24" i="3" s="1"/>
  <c r="E25" i="3" a="1"/>
  <c r="E25" i="3" s="1"/>
  <c r="E39" i="3" a="1"/>
  <c r="E39" i="3" s="1"/>
  <c r="H39" i="3" s="1"/>
  <c r="E40" i="3" a="1"/>
  <c r="E40" i="3" s="1"/>
  <c r="H40" i="3" s="1"/>
  <c r="E41" i="3" a="1"/>
  <c r="E41" i="3" s="1"/>
  <c r="H41" i="3" s="1"/>
  <c r="E42" i="3" a="1"/>
  <c r="E42" i="3" s="1"/>
  <c r="H42" i="3" s="1"/>
  <c r="E44" i="3" a="1"/>
  <c r="E44" i="3" s="1"/>
  <c r="H44" i="3" s="1"/>
  <c r="E2" i="3" a="1"/>
  <c r="E2" i="3" s="1"/>
  <c r="D7" i="3" a="1"/>
  <c r="D7" i="3" s="1"/>
  <c r="F11" i="3" l="1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F13" i="3"/>
  <c r="Y43" i="3" l="1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Y3" i="3"/>
  <c r="Z3" i="3" s="1"/>
  <c r="AB3" i="3" s="1"/>
  <c r="Y32" i="3"/>
  <c r="Z32" i="3" s="1"/>
  <c r="AB32" i="3" s="1"/>
  <c r="F6" i="3"/>
  <c r="F19" i="3"/>
  <c r="F23" i="3"/>
  <c r="F24" i="3"/>
  <c r="X2" i="3"/>
  <c r="AB26" i="3" l="1"/>
  <c r="AC26" i="3" s="1"/>
  <c r="Z14" i="3"/>
  <c r="AB14" i="3" s="1"/>
  <c r="Z12" i="3"/>
  <c r="AB12" i="3" s="1"/>
  <c r="Z4" i="3"/>
  <c r="AB4" i="3" s="1"/>
  <c r="AC7" i="3"/>
  <c r="AC40" i="3"/>
  <c r="AD40" i="3"/>
  <c r="AE40" i="3" s="1"/>
  <c r="AD23" i="3"/>
  <c r="AE23" i="3" s="1"/>
  <c r="AD31" i="3"/>
  <c r="AE31" i="3" s="1"/>
  <c r="AC21" i="3"/>
  <c r="AC22" i="3"/>
  <c r="AD34" i="3"/>
  <c r="AE34" i="3" s="1"/>
  <c r="AD39" i="3"/>
  <c r="AE39" i="3" s="1"/>
  <c r="AC36" i="3"/>
  <c r="AC37" i="3"/>
  <c r="AD35" i="3"/>
  <c r="AE35" i="3" s="1"/>
  <c r="AD33" i="3"/>
  <c r="AE33" i="3" s="1"/>
  <c r="AD25" i="3"/>
  <c r="AE25" i="3" s="1"/>
  <c r="AC24" i="3"/>
  <c r="AC38" i="3"/>
  <c r="AC16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10" i="3"/>
  <c r="AE10" i="3" s="1"/>
  <c r="AC10" i="3"/>
  <c r="AD20" i="3"/>
  <c r="AE20" i="3" s="1"/>
  <c r="AC20" i="3"/>
  <c r="AD30" i="3"/>
  <c r="AE30" i="3" s="1"/>
  <c r="AC30" i="3"/>
  <c r="F5" i="3"/>
  <c r="AD26" i="3" l="1"/>
  <c r="AE26" i="3" s="1"/>
  <c r="T5" i="3"/>
  <c r="AD4" i="3"/>
  <c r="AE4" i="3" s="1"/>
  <c r="AC4" i="3"/>
  <c r="AD12" i="3"/>
  <c r="AE12" i="3" s="1"/>
  <c r="AC12" i="3"/>
  <c r="AC14" i="3"/>
  <c r="AD14" i="3"/>
  <c r="AE14" i="3" s="1"/>
  <c r="G4" i="5"/>
  <c r="H2" i="3" s="1"/>
  <c r="F21" i="3"/>
  <c r="T4" i="3" l="1"/>
  <c r="T2" i="3"/>
  <c r="F25" i="3"/>
  <c r="T44" i="3"/>
  <c r="I3" i="3"/>
  <c r="I6" i="3"/>
  <c r="I16" i="3"/>
  <c r="I4" i="3"/>
  <c r="I5" i="3"/>
  <c r="I31" i="3"/>
  <c r="I37" i="3"/>
  <c r="I28" i="3"/>
  <c r="I7" i="3"/>
  <c r="I9" i="3"/>
  <c r="I36" i="3"/>
  <c r="I35" i="3"/>
  <c r="I40" i="3"/>
  <c r="I10" i="3"/>
  <c r="I12" i="3"/>
  <c r="I13" i="3"/>
  <c r="I15" i="3"/>
  <c r="I27" i="3"/>
  <c r="I38" i="3"/>
  <c r="I22" i="3"/>
  <c r="I39" i="3"/>
  <c r="I8" i="3"/>
  <c r="I18" i="3"/>
  <c r="I21" i="3"/>
  <c r="I20" i="3"/>
  <c r="I19" i="3"/>
  <c r="I2" i="3"/>
  <c r="I32" i="3"/>
  <c r="I33" i="3"/>
  <c r="I34" i="3"/>
  <c r="I26" i="3"/>
  <c r="I23" i="3"/>
  <c r="I25" i="3"/>
  <c r="I29" i="3"/>
  <c r="I24" i="3"/>
  <c r="I30" i="3"/>
  <c r="I14" i="3"/>
  <c r="I11" i="3"/>
  <c r="I41" i="3"/>
  <c r="I42" i="3"/>
  <c r="I43" i="3"/>
  <c r="I44" i="3"/>
  <c r="I17" i="3"/>
  <c r="T10" i="3" l="1"/>
  <c r="T38" i="3"/>
  <c r="N44" i="3"/>
  <c r="Q44" i="3" s="1"/>
  <c r="F15" i="3"/>
  <c r="H45" i="3" s="1"/>
  <c r="T27" i="3"/>
  <c r="T41" i="3"/>
  <c r="T42" i="3"/>
  <c r="T43" i="3"/>
  <c r="D45" i="3"/>
  <c r="E45" i="3"/>
  <c r="Y2" i="3"/>
  <c r="Z2" i="3" s="1"/>
  <c r="A41" i="4"/>
  <c r="T26" i="3" l="1"/>
  <c r="T25" i="3"/>
  <c r="T9" i="3"/>
  <c r="T7" i="3"/>
  <c r="T3" i="3"/>
  <c r="T20" i="3"/>
  <c r="T17" i="3"/>
  <c r="T37" i="3"/>
  <c r="T36" i="3"/>
  <c r="T8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9" i="3"/>
  <c r="T18" i="3"/>
  <c r="T30" i="3"/>
  <c r="T29" i="3"/>
  <c r="T22" i="3"/>
  <c r="T40" i="3"/>
  <c r="T39" i="3"/>
  <c r="N28" i="3"/>
  <c r="Q28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N8" i="3"/>
  <c r="Q8" i="3" s="1"/>
  <c r="R8" i="3" s="1"/>
  <c r="S8" i="3" s="1"/>
  <c r="O8" i="3" s="1"/>
  <c r="N5" i="3"/>
  <c r="Q5" i="3" s="1"/>
  <c r="R5" i="3" s="1"/>
  <c r="S5" i="3" s="1"/>
  <c r="O5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O29" i="3"/>
  <c r="R28" i="3"/>
  <c r="S28" i="3" s="1"/>
  <c r="O28" i="3" s="1"/>
  <c r="R16" i="3"/>
  <c r="R19" i="3"/>
  <c r="S19" i="3" s="1"/>
  <c r="O19" i="3" s="1"/>
  <c r="R9" i="3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T23" i="3" s="1"/>
  <c r="O22" i="3"/>
  <c r="S16" i="3"/>
  <c r="O16" i="3" s="1"/>
  <c r="S9" i="3"/>
  <c r="O9" i="3" s="1"/>
  <c r="S20" i="3"/>
  <c r="O20" i="3" s="1"/>
  <c r="O34" i="3"/>
  <c r="T34" i="3" s="1"/>
  <c r="R7" i="3"/>
  <c r="S7" i="3" s="1"/>
  <c r="O7" i="3" s="1"/>
  <c r="R37" i="3" l="1"/>
  <c r="S37" i="3" s="1"/>
  <c r="R2" i="3"/>
  <c r="S2" i="3" s="1"/>
  <c r="O39" i="3"/>
  <c r="O17" i="3"/>
  <c r="O25" i="3"/>
  <c r="O37" i="3" l="1"/>
  <c r="O2" i="3"/>
  <c r="Z15" i="3"/>
  <c r="AB15" i="3" s="1"/>
  <c r="AC15" i="3" l="1"/>
  <c r="AD15" i="3"/>
  <c r="AE15" i="3" s="1"/>
  <c r="T16" i="3" l="1"/>
  <c r="T13" i="3"/>
  <c r="N13" i="3"/>
  <c r="Q13" i="3" s="1"/>
  <c r="T14" i="3"/>
  <c r="N14" i="3"/>
  <c r="Q14" i="3" s="1"/>
  <c r="T6" i="3"/>
  <c r="N6" i="3"/>
  <c r="Q6" i="3" s="1"/>
  <c r="R6" i="3" s="1"/>
  <c r="S6" i="3" s="1"/>
  <c r="O6" i="3" s="1"/>
  <c r="N33" i="3"/>
  <c r="Q33" i="3" s="1"/>
  <c r="R33" i="3" s="1"/>
  <c r="S33" i="3" s="1"/>
  <c r="O33" i="3" s="1"/>
  <c r="T33" i="3" s="1"/>
  <c r="T12" i="3"/>
  <c r="N15" i="3" l="1"/>
  <c r="Q15" i="3" s="1"/>
  <c r="T15" i="3"/>
  <c r="N12" i="3"/>
  <c r="Q12" i="3" s="1"/>
  <c r="T11" i="3"/>
  <c r="N11" i="3"/>
  <c r="Q11" i="3" s="1"/>
  <c r="R13" i="3"/>
  <c r="S13" i="3" s="1"/>
  <c r="R14" i="3"/>
  <c r="S14" i="3" s="1"/>
  <c r="R15" i="3"/>
  <c r="S15" i="3" s="1"/>
  <c r="O14" i="3" l="1"/>
  <c r="R11" i="3"/>
  <c r="S11" i="3" s="1"/>
  <c r="O11" i="3" s="1"/>
  <c r="R12" i="3"/>
  <c r="S12" i="3" s="1"/>
  <c r="O13" i="3"/>
  <c r="O15" i="3"/>
  <c r="O1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<sst xmlns="http://schemas.openxmlformats.org/spreadsheetml/2006/main" count="888" uniqueCount="173">
  <si>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</si>
  <si>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</si>
  <si>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</si>
  <si>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</si>
  <si>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</si>
  <si>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</si>
  <si>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</si>
  <si>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</si>
  <si>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</si>
  <si>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</si>
  <si>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</si>
  <si>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</si>
  <si>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</si>
  <si>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</si>
  <si>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</si>
  <si>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</si>
  <si>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</si>
  <si>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</si>
  <si>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</si>
  <si>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</si>
  <si>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</si>
  <si>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</si>
  <si>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</si>
  <si>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</si>
  <si>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</si>
  <si>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</si>
  <si>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</si>
  <si>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</si>
  <si>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</si>
  <si>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</si>
  <si>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</si>
  <si>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</si>
  <si>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</si>
  <si>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</si>
  <si>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</si>
  <si>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Hora</t>
  </si>
  <si>
    <t>Convênio</t>
  </si>
  <si>
    <t>Especialidade</t>
  </si>
  <si>
    <t>Valor Profissional</t>
  </si>
  <si>
    <t>Laysa Palmira Nogueira de Aquino</t>
  </si>
  <si>
    <t>Juliana Fernandes de Oliveira</t>
  </si>
  <si>
    <t>Pilates Manhã -  Lana Sabrina Castro Said</t>
  </si>
  <si>
    <t>Pilates</t>
  </si>
  <si>
    <t>Giovanna Águila da Costa</t>
  </si>
  <si>
    <t>Jamily Oliveira do Vale</t>
  </si>
  <si>
    <t>Silvino Viana Reis Sobrinho</t>
  </si>
  <si>
    <t>Luziane Seixas de Almeida</t>
  </si>
  <si>
    <t>Joiceane Martins de Brito</t>
  </si>
  <si>
    <t>Jackeline Tavares do Nascimento</t>
  </si>
  <si>
    <t>Renata Mariana Leão Miyake</t>
  </si>
  <si>
    <t>Leiliany Palmeira da S.</t>
  </si>
  <si>
    <t>Bruna Picanço Pinheiro Silva</t>
  </si>
  <si>
    <t>Thiago Renan da Silva e Silva</t>
  </si>
  <si>
    <t>Romilton Santos</t>
  </si>
  <si>
    <t>Franklin Andrade</t>
  </si>
  <si>
    <t>Sandra Fachinello</t>
  </si>
  <si>
    <t>Leiliany Palmeira da Silva</t>
  </si>
  <si>
    <t>Edivaldo Silva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</si>
  <si>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</si>
  <si>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</si>
  <si>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</si>
  <si>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</si>
  <si>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</si>
  <si>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</si>
  <si>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</si>
  <si>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</si>
  <si>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</si>
  <si>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</si>
  <si>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</si>
  <si>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</si>
  <si>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</si>
  <si>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</si>
  <si>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</si>
  <si>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</si>
  <si>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</si>
  <si>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</si>
  <si>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</si>
  <si>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</si>
  <si>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</si>
  <si>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</si>
  <si>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</si>
  <si>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</si>
  <si>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</si>
  <si>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</si>
  <si>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</si>
  <si>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</si>
  <si>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</si>
  <si>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</si>
  <si>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</si>
  <si>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</si>
  <si>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</si>
  <si>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</si>
  <si>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</si>
  <si>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</si>
  <si>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</si>
  <si>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</si>
  <si>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</si>
  <si>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</si>
  <si>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</si>
  <si>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</si>
  <si>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</si>
  <si>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</si>
  <si>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</si>
  <si>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</si>
  <si>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</si>
  <si>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</si>
  <si>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</si>
  <si>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</si>
  <si>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</si>
  <si>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</si>
  <si>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</si>
  <si>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</si>
  <si>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</si>
  <si>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</si>
  <si>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</si>
  <si>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</si>
  <si>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</si>
  <si>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</si>
  <si>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</si>
  <si>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</si>
  <si>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</si>
  <si>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</si>
  <si>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</si>
  <si>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</si>
  <si>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</si>
  <si>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</si>
  <si>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</si>
  <si>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</si>
  <si>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</si>
  <si>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</si>
  <si>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</si>
  <si>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</si>
  <si>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</si>
  <si>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</si>
  <si>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</si>
  <si>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</si>
  <si>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</si>
  <si>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</si>
  <si>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</si>
  <si>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</si>
  <si>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</si>
  <si>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</si>
  <si>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</si>
  <si>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</si>
  <si>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TARDE</t>
  </si>
  <si>
    <t>MANHÃ</t>
  </si>
  <si>
    <t>fisiosilvino671@gmail.com</t>
  </si>
  <si>
    <t>Pilates  Tarde - Ana Clara dos Santos Costa</t>
  </si>
  <si>
    <t>Marina Brasil de Abreu</t>
  </si>
  <si>
    <t>Nádia Fabíola Silva Lasmar</t>
  </si>
  <si>
    <t>Ana Clara dos Santos Costa</t>
  </si>
  <si>
    <t>Lana Sabrina Castro Said</t>
  </si>
  <si>
    <t>fisiojuliana.jf@gmail.com</t>
  </si>
  <si>
    <t>nadiaflasmar@icloud.com</t>
  </si>
  <si>
    <t>EXTRAS NOVEMBRO</t>
  </si>
  <si>
    <t>DESCONTOS - NOVEMBRO</t>
  </si>
  <si>
    <t>kalebecaldas@iaamazonas.com.br</t>
  </si>
  <si>
    <t>Marina Brasil de Abreu (Tarde)</t>
  </si>
  <si>
    <t>Nialen dos Santos Melo.</t>
  </si>
  <si>
    <t>Total Geral</t>
  </si>
  <si>
    <t>Soma de Valor Profissional</t>
  </si>
  <si>
    <t>Soma de Valor Total</t>
  </si>
  <si>
    <t>Rótulos de Linha</t>
  </si>
  <si>
    <t>(Vários itens)</t>
  </si>
  <si>
    <t>Douglas Almeida da Silva Tarde</t>
  </si>
  <si>
    <t>(Tudo)</t>
  </si>
  <si>
    <t>Viviane Cristina Carvalho de Menezes</t>
  </si>
  <si>
    <t>Marina Brasil de Abreu.</t>
  </si>
  <si>
    <t>Tarde OAB</t>
  </si>
  <si>
    <t>Tarde</t>
  </si>
  <si>
    <t>Manhã OAB</t>
  </si>
  <si>
    <t>Manhã</t>
  </si>
  <si>
    <t>Silvino Viana Reis Sobrinho (Tarde)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</si>
</sst>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9" x14ac:knownFonts="1">
    <font>
      <sz val="11"/>
      <color rgb="FF000000"/>
      <name val="Calibri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rgb="FF00B050"/>
      <name val="Calibri"/>
      <family val="2"/>
      <scheme val="minor"/>
    </font>
    <font>
      <b/>
      <sz val="14"/>
      <color rgb="FF00B050"/>
      <name val="Calibri"/>
      <family val="2"/>
    </font>
    <font>
      <sz val="12"/>
      <color rgb="FF000000"/>
      <name val="Calibri"/>
      <family val="2"/>
      <scheme val="minor"/>
    </font>
    <font>
      <b/>
      <sz val="11"/>
      <color rgb="FF000000"/>
      <name val="Arial"/>
      <family val="2"/>
    </font>
    <font>
      <b/>
      <sz val="12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4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2" borderId="0" applyNumberFormat="0" applyBorder="0" applyAlignment="0" applyProtection="0"/>
    <xf numFmtId="0" fontId="2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0" fontId="32" fillId="0" borderId="0"/>
    <xf numFmtId="0" fontId="4" fillId="0" borderId="0"/>
    <xf numFmtId="44" fontId="4" fillId="0" borderId="0" applyFont="0" applyFill="0" applyBorder="0" applyAlignment="0" applyProtection="0"/>
    <xf numFmtId="44" fontId="47" fillId="0" borderId="0" applyFont="0" applyFill="0" applyBorder="0" applyAlignment="0" applyProtection="0"/>
    <xf numFmtId="0" fontId="4" fillId="0" borderId="0"/>
    <xf numFmtId="0" fontId="1" fillId="0" borderId="0"/>
  </cellStyleXfs>
  <cellXfs count="272">
    <xf numFmtId="0" fontId="0" fillId="0" borderId="0" xfId="0"/>
    <xf numFmtId="0" fontId="3" fillId="0" borderId="0" xfId="0" applyFont="1"/>
    <xf numFmtId="0" fontId="0" fillId="3" borderId="0" xfId="0" applyFill="1"/>
    <xf numFmtId="16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7" fillId="0" borderId="0" xfId="0" applyFont="1"/>
    <xf numFmtId="0" fontId="0" fillId="3" borderId="2" xfId="0" applyFill="1" applyBorder="1"/>
    <xf numFmtId="0" fontId="0" fillId="3" borderId="3" xfId="0" applyFill="1" applyBorder="1"/>
    <xf numFmtId="44" fontId="10" fillId="0" borderId="6" xfId="0" applyNumberFormat="1" applyFont="1" applyBorder="1" applyAlignment="1">
      <alignment horizontal="left" vertical="center"/>
    </xf>
    <xf numFmtId="44" fontId="15" fillId="0" borderId="7" xfId="0" applyNumberFormat="1" applyFont="1" applyBorder="1"/>
    <xf numFmtId="44" fontId="15" fillId="0" borderId="8" xfId="0" applyNumberFormat="1" applyFont="1" applyBorder="1"/>
    <xf numFmtId="0" fontId="11" fillId="0" borderId="19" xfId="0" applyFont="1" applyBorder="1" applyAlignment="1">
      <alignment horizontal="left" vertical="center"/>
    </xf>
    <xf numFmtId="166" fontId="15" fillId="0" borderId="7" xfId="2" applyNumberFormat="1" applyFont="1" applyBorder="1"/>
    <xf numFmtId="0" fontId="14" fillId="0" borderId="7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8" fillId="0" borderId="19" xfId="0" applyFont="1" applyBorder="1"/>
    <xf numFmtId="0" fontId="18" fillId="5" borderId="19" xfId="0" applyFont="1" applyFill="1" applyBorder="1"/>
    <xf numFmtId="0" fontId="19" fillId="0" borderId="19" xfId="0" applyFont="1" applyBorder="1" applyAlignment="1">
      <alignment horizontal="left" vertical="center"/>
    </xf>
    <xf numFmtId="0" fontId="6" fillId="0" borderId="11" xfId="4" applyFont="1" applyBorder="1" applyAlignment="1">
      <alignment horizontal="center" vertical="center"/>
    </xf>
    <xf numFmtId="0" fontId="11" fillId="5" borderId="19" xfId="0" applyFont="1" applyFill="1" applyBorder="1" applyAlignment="1">
      <alignment horizontal="left" vertical="center"/>
    </xf>
    <xf numFmtId="164" fontId="9" fillId="0" borderId="0" xfId="0" applyNumberFormat="1" applyFont="1"/>
    <xf numFmtId="164" fontId="9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8" fillId="0" borderId="19" xfId="0" applyFont="1" applyBorder="1" applyAlignment="1">
      <alignment horizontal="left"/>
    </xf>
    <xf numFmtId="164" fontId="12" fillId="0" borderId="0" xfId="0" applyNumberFormat="1" applyFont="1" applyAlignment="1">
      <alignment horizontal="center" vertical="center"/>
    </xf>
    <xf numFmtId="164" fontId="12" fillId="0" borderId="20" xfId="0" applyNumberFormat="1" applyFont="1" applyBorder="1" applyAlignment="1">
      <alignment horizontal="center" vertical="center"/>
    </xf>
    <xf numFmtId="164" fontId="20" fillId="0" borderId="0" xfId="0" applyNumberFormat="1" applyFont="1"/>
    <xf numFmtId="4" fontId="20" fillId="0" borderId="0" xfId="0" applyNumberFormat="1" applyFont="1"/>
    <xf numFmtId="0" fontId="20" fillId="0" borderId="0" xfId="0" applyFont="1"/>
    <xf numFmtId="4" fontId="9" fillId="0" borderId="0" xfId="0" applyNumberFormat="1" applyFont="1"/>
    <xf numFmtId="0" fontId="14" fillId="3" borderId="7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164" fontId="21" fillId="0" borderId="0" xfId="0" applyNumberFormat="1" applyFont="1"/>
    <xf numFmtId="164" fontId="3" fillId="0" borderId="0" xfId="0" applyNumberFormat="1" applyFont="1"/>
    <xf numFmtId="0" fontId="21" fillId="0" borderId="0" xfId="0" applyFont="1" applyAlignment="1">
      <alignment horizontal="center" vertical="center" indent="1"/>
    </xf>
    <xf numFmtId="0" fontId="21" fillId="0" borderId="0" xfId="0" applyFont="1"/>
    <xf numFmtId="0" fontId="14" fillId="9" borderId="7" xfId="0" applyFont="1" applyFill="1" applyBorder="1" applyAlignment="1">
      <alignment horizontal="center" vertical="center"/>
    </xf>
    <xf numFmtId="0" fontId="2" fillId="0" borderId="0" xfId="4"/>
    <xf numFmtId="0" fontId="2" fillId="0" borderId="11" xfId="4" applyBorder="1" applyAlignment="1">
      <alignment horizontal="center" vertical="center"/>
    </xf>
    <xf numFmtId="0" fontId="11" fillId="0" borderId="11" xfId="0" applyFont="1" applyBorder="1" applyAlignment="1">
      <alignment horizontal="left" vertical="center"/>
    </xf>
    <xf numFmtId="0" fontId="19" fillId="0" borderId="0" xfId="4" applyFont="1" applyAlignment="1">
      <alignment horizontal="center" vertical="center"/>
    </xf>
    <xf numFmtId="0" fontId="28" fillId="0" borderId="0" xfId="0" applyFont="1"/>
    <xf numFmtId="0" fontId="19" fillId="0" borderId="0" xfId="0" applyFont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165" fontId="13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9" fillId="5" borderId="0" xfId="2" applyNumberFormat="1" applyFont="1" applyFill="1" applyBorder="1" applyAlignment="1">
      <alignment horizontal="left" vertical="center" wrapText="1"/>
    </xf>
    <xf numFmtId="0" fontId="7" fillId="5" borderId="0" xfId="0" applyFont="1" applyFill="1" applyAlignment="1">
      <alignment horizontal="center" vertical="center" wrapText="1"/>
    </xf>
    <xf numFmtId="0" fontId="18" fillId="0" borderId="11" xfId="4" applyFont="1" applyBorder="1" applyAlignment="1">
      <alignment vertical="center"/>
    </xf>
    <xf numFmtId="44" fontId="0" fillId="0" borderId="38" xfId="0" applyNumberFormat="1" applyBorder="1"/>
    <xf numFmtId="0" fontId="17" fillId="4" borderId="2" xfId="0" applyFont="1" applyFill="1" applyBorder="1" applyAlignment="1">
      <alignment horizontal="center" vertical="center"/>
    </xf>
    <xf numFmtId="44" fontId="16" fillId="2" borderId="7" xfId="3" applyNumberFormat="1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 wrapText="1"/>
    </xf>
    <xf numFmtId="44" fontId="10" fillId="6" borderId="7" xfId="0" applyNumberFormat="1" applyFont="1" applyFill="1" applyBorder="1"/>
    <xf numFmtId="44" fontId="15" fillId="0" borderId="6" xfId="0" applyNumberFormat="1" applyFont="1" applyBorder="1" applyAlignment="1">
      <alignment horizontal="center" vertical="center"/>
    </xf>
    <xf numFmtId="164" fontId="15" fillId="0" borderId="6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 vertical="center"/>
    </xf>
    <xf numFmtId="0" fontId="15" fillId="0" borderId="41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44" fontId="15" fillId="0" borderId="6" xfId="1" applyFont="1" applyBorder="1"/>
    <xf numFmtId="44" fontId="15" fillId="3" borderId="6" xfId="0" applyNumberFormat="1" applyFont="1" applyFill="1" applyBorder="1" applyAlignment="1">
      <alignment horizontal="center" vertical="center"/>
    </xf>
    <xf numFmtId="0" fontId="26" fillId="10" borderId="29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27" xfId="0" applyFont="1" applyFill="1" applyBorder="1" applyAlignment="1">
      <alignment horizontal="center" vertical="center" wrapText="1"/>
    </xf>
    <xf numFmtId="164" fontId="10" fillId="0" borderId="43" xfId="0" applyNumberFormat="1" applyFont="1" applyBorder="1" applyAlignment="1">
      <alignment horizontal="center" vertical="center"/>
    </xf>
    <xf numFmtId="44" fontId="15" fillId="0" borderId="12" xfId="0" applyNumberFormat="1" applyFont="1" applyBorder="1" applyAlignment="1">
      <alignment horizontal="left" vertical="center"/>
    </xf>
    <xf numFmtId="0" fontId="15" fillId="5" borderId="12" xfId="0" applyFont="1" applyFill="1" applyBorder="1"/>
    <xf numFmtId="0" fontId="15" fillId="0" borderId="12" xfId="0" applyFont="1" applyBorder="1"/>
    <xf numFmtId="0" fontId="15" fillId="0" borderId="12" xfId="0" applyFont="1" applyBorder="1" applyAlignment="1">
      <alignment wrapText="1"/>
    </xf>
    <xf numFmtId="0" fontId="26" fillId="10" borderId="17" xfId="0" applyFont="1" applyFill="1" applyBorder="1" applyAlignment="1">
      <alignment horizontal="center" vertical="center"/>
    </xf>
    <xf numFmtId="44" fontId="15" fillId="3" borderId="9" xfId="0" applyNumberFormat="1" applyFont="1" applyFill="1" applyBorder="1" applyAlignment="1">
      <alignment horizontal="center" vertical="center"/>
    </xf>
    <xf numFmtId="44" fontId="15" fillId="0" borderId="14" xfId="0" applyNumberFormat="1" applyFont="1" applyBorder="1"/>
    <xf numFmtId="44" fontId="15" fillId="3" borderId="14" xfId="0" applyNumberFormat="1" applyFont="1" applyFill="1" applyBorder="1" applyAlignment="1">
      <alignment horizontal="center" vertical="center"/>
    </xf>
    <xf numFmtId="44" fontId="15" fillId="3" borderId="31" xfId="0" applyNumberFormat="1" applyFont="1" applyFill="1" applyBorder="1" applyAlignment="1">
      <alignment horizontal="center" vertical="center"/>
    </xf>
    <xf numFmtId="0" fontId="11" fillId="0" borderId="36" xfId="0" applyFont="1" applyBorder="1" applyAlignment="1">
      <alignment horizontal="left" vertical="center"/>
    </xf>
    <xf numFmtId="44" fontId="12" fillId="0" borderId="12" xfId="0" applyNumberFormat="1" applyFont="1" applyBorder="1" applyAlignment="1">
      <alignment horizontal="left" vertical="center"/>
    </xf>
    <xf numFmtId="0" fontId="18" fillId="0" borderId="7" xfId="0" applyFont="1" applyBorder="1" applyAlignment="1">
      <alignment horizontal="center" vertical="center" wrapText="1"/>
    </xf>
    <xf numFmtId="44" fontId="18" fillId="0" borderId="35" xfId="1" applyFont="1" applyBorder="1" applyAlignment="1">
      <alignment horizontal="center" vertical="center"/>
    </xf>
    <xf numFmtId="0" fontId="19" fillId="0" borderId="11" xfId="4" applyFont="1" applyBorder="1" applyAlignment="1">
      <alignment horizontal="center" vertical="center"/>
    </xf>
    <xf numFmtId="0" fontId="18" fillId="0" borderId="21" xfId="0" applyFont="1" applyBorder="1" applyAlignment="1">
      <alignment horizontal="left"/>
    </xf>
    <xf numFmtId="0" fontId="18" fillId="0" borderId="0" xfId="0" applyFont="1"/>
    <xf numFmtId="0" fontId="7" fillId="0" borderId="34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18" fillId="0" borderId="19" xfId="0" applyFont="1" applyBorder="1" applyAlignment="1">
      <alignment horizontal="left" vertical="center"/>
    </xf>
    <xf numFmtId="0" fontId="15" fillId="0" borderId="30" xfId="0" applyFont="1" applyBorder="1" applyAlignment="1">
      <alignment horizontal="center" vertical="center"/>
    </xf>
    <xf numFmtId="0" fontId="18" fillId="0" borderId="7" xfId="0" applyFont="1" applyBorder="1" applyAlignment="1">
      <alignment horizontal="left"/>
    </xf>
    <xf numFmtId="0" fontId="11" fillId="0" borderId="7" xfId="0" applyFont="1" applyBorder="1" applyAlignment="1">
      <alignment horizontal="left" vertical="center"/>
    </xf>
    <xf numFmtId="0" fontId="18" fillId="0" borderId="7" xfId="0" applyFont="1" applyBorder="1"/>
    <xf numFmtId="0" fontId="19" fillId="0" borderId="7" xfId="0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/>
    </xf>
    <xf numFmtId="0" fontId="11" fillId="0" borderId="4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/>
    </xf>
    <xf numFmtId="44" fontId="15" fillId="0" borderId="9" xfId="0" applyNumberFormat="1" applyFont="1" applyBorder="1" applyAlignment="1">
      <alignment horizontal="center" vertical="center"/>
    </xf>
    <xf numFmtId="44" fontId="15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" fontId="4" fillId="0" borderId="14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11" fillId="0" borderId="45" xfId="0" applyFont="1" applyBorder="1" applyAlignment="1">
      <alignment horizontal="left" vertical="center"/>
    </xf>
    <xf numFmtId="0" fontId="7" fillId="0" borderId="17" xfId="0" applyFont="1" applyBorder="1" applyAlignment="1">
      <alignment horizontal="center" vertical="center"/>
    </xf>
    <xf numFmtId="44" fontId="18" fillId="16" borderId="35" xfId="1" applyFont="1" applyFill="1" applyBorder="1" applyAlignment="1">
      <alignment horizontal="center" vertical="center"/>
    </xf>
    <xf numFmtId="16" fontId="18" fillId="0" borderId="7" xfId="0" applyNumberFormat="1" applyFont="1" applyBorder="1" applyAlignment="1">
      <alignment horizontal="center" vertical="center" wrapText="1"/>
    </xf>
    <xf numFmtId="44" fontId="18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3" fontId="13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3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5" fillId="0" borderId="13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164" fontId="15" fillId="0" borderId="12" xfId="0" applyNumberFormat="1" applyFont="1" applyBorder="1" applyAlignment="1">
      <alignment horizontal="left" vertical="center"/>
    </xf>
    <xf numFmtId="3" fontId="13" fillId="0" borderId="12" xfId="0" applyNumberFormat="1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0" fontId="18" fillId="0" borderId="16" xfId="0" applyFont="1" applyBorder="1"/>
    <xf numFmtId="0" fontId="18" fillId="0" borderId="16" xfId="0" applyFont="1" applyBorder="1" applyAlignment="1">
      <alignment wrapText="1"/>
    </xf>
    <xf numFmtId="0" fontId="18" fillId="0" borderId="17" xfId="0" applyFont="1" applyBorder="1" applyAlignment="1">
      <alignment wrapText="1"/>
    </xf>
    <xf numFmtId="0" fontId="4" fillId="0" borderId="10" xfId="0" applyFont="1" applyBorder="1"/>
    <xf numFmtId="0" fontId="4" fillId="0" borderId="6" xfId="2" applyNumberFormat="1" applyFont="1" applyBorder="1"/>
    <xf numFmtId="0" fontId="4" fillId="0" borderId="33" xfId="2" applyNumberFormat="1" applyFont="1" applyBorder="1"/>
    <xf numFmtId="0" fontId="4" fillId="0" borderId="8" xfId="0" applyFont="1" applyBorder="1"/>
    <xf numFmtId="0" fontId="4" fillId="0" borderId="7" xfId="2" applyNumberFormat="1" applyFont="1" applyBorder="1"/>
    <xf numFmtId="0" fontId="4" fillId="0" borderId="9" xfId="2" applyNumberFormat="1" applyFont="1" applyBorder="1"/>
    <xf numFmtId="0" fontId="4" fillId="0" borderId="7" xfId="0" applyFont="1" applyBorder="1"/>
    <xf numFmtId="0" fontId="4" fillId="0" borderId="9" xfId="0" applyFont="1" applyBorder="1"/>
    <xf numFmtId="0" fontId="4" fillId="0" borderId="32" xfId="0" applyFont="1" applyBorder="1"/>
    <xf numFmtId="0" fontId="4" fillId="0" borderId="14" xfId="0" applyFont="1" applyBorder="1"/>
    <xf numFmtId="0" fontId="4" fillId="0" borderId="31" xfId="0" applyFont="1" applyBorder="1"/>
    <xf numFmtId="0" fontId="40" fillId="0" borderId="0" xfId="0" applyFont="1"/>
    <xf numFmtId="44" fontId="39" fillId="0" borderId="47" xfId="1" applyFont="1" applyBorder="1"/>
    <xf numFmtId="0" fontId="15" fillId="0" borderId="33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165" fontId="41" fillId="0" borderId="7" xfId="2" applyNumberFormat="1" applyFont="1" applyBorder="1" applyAlignment="1">
      <alignment horizontal="left" vertical="center" wrapText="1"/>
    </xf>
    <xf numFmtId="165" fontId="41" fillId="15" borderId="7" xfId="2" applyNumberFormat="1" applyFont="1" applyFill="1" applyBorder="1" applyAlignment="1">
      <alignment horizontal="left" vertical="center" wrapText="1"/>
    </xf>
    <xf numFmtId="0" fontId="41" fillId="0" borderId="7" xfId="0" applyFont="1" applyBorder="1"/>
    <xf numFmtId="165" fontId="41" fillId="0" borderId="0" xfId="2" applyNumberFormat="1" applyFont="1" applyBorder="1" applyAlignment="1">
      <alignment horizontal="left" vertical="center" wrapText="1"/>
    </xf>
    <xf numFmtId="44" fontId="15" fillId="0" borderId="10" xfId="0" applyNumberFormat="1" applyFont="1" applyBorder="1" applyAlignment="1" applyProtection="1">
      <alignment horizontal="left" vertical="center"/>
      <protection locked="0"/>
    </xf>
    <xf numFmtId="44" fontId="15" fillId="0" borderId="8" xfId="0" applyNumberFormat="1" applyFont="1" applyBorder="1" applyAlignment="1" applyProtection="1">
      <alignment horizontal="left" vertical="center"/>
      <protection locked="0"/>
    </xf>
    <xf numFmtId="44" fontId="18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18" fillId="0" borderId="7" xfId="0" applyFont="1" applyBorder="1" applyAlignment="1">
      <alignment horizontal="left" vertical="center"/>
    </xf>
    <xf numFmtId="0" fontId="15" fillId="0" borderId="48" xfId="0" applyFont="1" applyBorder="1"/>
    <xf numFmtId="0" fontId="15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3" fillId="0" borderId="15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45" fillId="0" borderId="7" xfId="0" applyFont="1" applyBorder="1"/>
    <xf numFmtId="0" fontId="48" fillId="6" borderId="17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vertical="top" wrapText="1"/>
    </xf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left"/>
    </xf>
    <xf numFmtId="0" fontId="41" fillId="0" borderId="0" xfId="0" applyFont="1"/>
    <xf numFmtId="167" fontId="4" fillId="0" borderId="1" xfId="0" applyNumberFormat="1" applyFont="1" applyBorder="1"/>
    <xf numFmtId="167" fontId="4" fillId="0" borderId="39" xfId="0" applyNumberFormat="1" applyFont="1" applyBorder="1"/>
    <xf numFmtId="44" fontId="4" fillId="0" borderId="0" xfId="0" applyNumberFormat="1" applyFont="1"/>
    <xf numFmtId="44" fontId="51" fillId="0" borderId="0" xfId="1" applyFont="1"/>
    <xf numFmtId="0" fontId="43" fillId="0" borderId="9" xfId="0" applyFont="1" applyBorder="1" applyAlignment="1">
      <alignment horizontal="center" vertical="center"/>
    </xf>
    <xf numFmtId="165" fontId="42" fillId="0" borderId="7" xfId="2" applyNumberFormat="1" applyFont="1" applyBorder="1" applyAlignment="1">
      <alignment horizontal="left" vertical="center" wrapText="1"/>
    </xf>
    <xf numFmtId="0" fontId="44" fillId="0" borderId="7" xfId="0" applyFont="1" applyBorder="1"/>
    <xf numFmtId="0" fontId="52" fillId="0" borderId="0" xfId="0" applyFont="1"/>
    <xf numFmtId="44" fontId="53" fillId="6" borderId="7" xfId="0" applyNumberFormat="1" applyFont="1" applyFill="1" applyBorder="1"/>
    <xf numFmtId="0" fontId="15" fillId="0" borderId="0" xfId="0" applyFont="1" applyAlignment="1">
      <alignment horizontal="left" vertical="center"/>
    </xf>
    <xf numFmtId="0" fontId="36" fillId="0" borderId="10" xfId="0" applyFont="1" applyBorder="1" applyAlignment="1">
      <alignment horizontal="center" vertical="center"/>
    </xf>
    <xf numFmtId="3" fontId="13" fillId="5" borderId="7" xfId="2" applyNumberFormat="1" applyFont="1" applyFill="1" applyBorder="1" applyAlignment="1">
      <alignment horizontal="center" vertical="center" wrapText="1"/>
    </xf>
    <xf numFmtId="0" fontId="41" fillId="0" borderId="7" xfId="5" applyFont="1" applyBorder="1" applyAlignment="1">
      <alignment horizontal="left" vertical="center" wrapText="1"/>
    </xf>
    <xf numFmtId="0" fontId="0" fillId="0" borderId="7" xfId="0" applyBorder="1"/>
    <xf numFmtId="44" fontId="35" fillId="0" borderId="0" xfId="0" applyNumberFormat="1" applyFont="1"/>
    <xf numFmtId="0" fontId="54" fillId="0" borderId="7" xfId="0" applyFont="1" applyBorder="1" applyAlignment="1">
      <alignment horizontal="left" vertical="center"/>
    </xf>
    <xf numFmtId="0" fontId="55" fillId="0" borderId="7" xfId="0" applyFont="1" applyBorder="1"/>
    <xf numFmtId="0" fontId="28" fillId="0" borderId="7" xfId="0" applyFont="1" applyBorder="1"/>
    <xf numFmtId="165" fontId="30" fillId="0" borderId="7" xfId="5" applyNumberFormat="1" applyBorder="1" applyAlignment="1">
      <alignment horizontal="left" vertical="center" wrapText="1"/>
    </xf>
    <xf numFmtId="0" fontId="28" fillId="0" borderId="7" xfId="0" applyFont="1" applyBorder="1" applyAlignment="1">
      <alignment horizontal="left"/>
    </xf>
    <xf numFmtId="0" fontId="55" fillId="0" borderId="7" xfId="0" applyFont="1" applyBorder="1" applyAlignment="1">
      <alignment horizontal="left"/>
    </xf>
    <xf numFmtId="167" fontId="4" fillId="0" borderId="39" xfId="9" applyNumberFormat="1" applyBorder="1"/>
    <xf numFmtId="167" fontId="4" fillId="0" borderId="1" xfId="9" applyNumberFormat="1" applyBorder="1"/>
    <xf numFmtId="167" fontId="4" fillId="0" borderId="38" xfId="9" applyNumberFormat="1" applyBorder="1"/>
    <xf numFmtId="167" fontId="4" fillId="0" borderId="37" xfId="9" applyNumberFormat="1" applyBorder="1"/>
    <xf numFmtId="0" fontId="4" fillId="0" borderId="37" xfId="9" applyBorder="1" applyAlignment="1">
      <alignment horizontal="left"/>
    </xf>
    <xf numFmtId="0" fontId="37" fillId="0" borderId="7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54" fillId="0" borderId="1" xfId="0" applyFont="1" applyBorder="1" applyAlignment="1">
      <alignment horizontal="left" vertical="center"/>
    </xf>
    <xf numFmtId="0" fontId="30" fillId="0" borderId="7" xfId="5" applyBorder="1" applyAlignment="1">
      <alignment horizontal="left" vertical="center" wrapText="1"/>
    </xf>
    <xf numFmtId="0" fontId="0" fillId="0" borderId="37" xfId="0" pivotButton="1" applyBorder="1"/>
    <xf numFmtId="0" fontId="0" fillId="0" borderId="37" xfId="0" applyBorder="1"/>
    <xf numFmtId="0" fontId="0" fillId="0" borderId="38" xfId="0" applyBorder="1"/>
    <xf numFmtId="0" fontId="0" fillId="0" borderId="52" xfId="0" applyBorder="1" applyAlignment="1">
      <alignment horizontal="left"/>
    </xf>
    <xf numFmtId="167" fontId="0" fillId="0" borderId="52" xfId="0" applyNumberFormat="1" applyBorder="1"/>
    <xf numFmtId="167" fontId="0" fillId="0" borderId="51" xfId="0" applyNumberFormat="1" applyBorder="1"/>
    <xf numFmtId="0" fontId="0" fillId="0" borderId="53" xfId="0" pivotButton="1" applyBorder="1"/>
    <xf numFmtId="0" fontId="0" fillId="0" borderId="53" xfId="0" applyBorder="1"/>
    <xf numFmtId="0" fontId="50" fillId="0" borderId="0" xfId="0" applyFont="1"/>
    <xf numFmtId="0" fontId="19" fillId="13" borderId="5" xfId="4" applyFont="1" applyFill="1" applyBorder="1" applyAlignment="1">
      <alignment horizontal="center"/>
    </xf>
    <xf numFmtId="0" fontId="19" fillId="13" borderId="26" xfId="4" applyFont="1" applyFill="1" applyBorder="1" applyAlignment="1">
      <alignment horizontal="center"/>
    </xf>
    <xf numFmtId="0" fontId="19" fillId="13" borderId="4" xfId="4" applyFont="1" applyFill="1" applyBorder="1" applyAlignment="1">
      <alignment horizontal="center"/>
    </xf>
    <xf numFmtId="0" fontId="19" fillId="12" borderId="25" xfId="4" applyFont="1" applyFill="1" applyBorder="1" applyAlignment="1">
      <alignment horizontal="center"/>
    </xf>
    <xf numFmtId="0" fontId="19" fillId="12" borderId="23" xfId="4" applyFont="1" applyFill="1" applyBorder="1" applyAlignment="1">
      <alignment horizontal="center"/>
    </xf>
    <xf numFmtId="0" fontId="19" fillId="12" borderId="24" xfId="4" applyFont="1" applyFill="1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10" fillId="8" borderId="15" xfId="0" applyFont="1" applyFill="1" applyBorder="1" applyAlignment="1">
      <alignment horizontal="center" vertical="top" wrapText="1"/>
    </xf>
    <xf numFmtId="0" fontId="10" fillId="8" borderId="0" xfId="0" applyFont="1" applyFill="1" applyAlignment="1">
      <alignment horizontal="center" vertical="top" wrapText="1"/>
    </xf>
    <xf numFmtId="0" fontId="49" fillId="0" borderId="50" xfId="0" applyFont="1" applyBorder="1" applyAlignment="1">
      <alignment horizontal="left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7" borderId="30" xfId="0" applyFont="1" applyFill="1" applyBorder="1" applyAlignment="1">
      <alignment horizontal="center" vertical="center"/>
    </xf>
    <xf numFmtId="0" fontId="31" fillId="17" borderId="15" xfId="0" applyFont="1" applyFill="1" applyBorder="1" applyAlignment="1">
      <alignment horizontal="center" vertical="center"/>
    </xf>
    <xf numFmtId="0" fontId="31" fillId="17" borderId="22" xfId="0" applyFont="1" applyFill="1" applyBorder="1" applyAlignment="1">
      <alignment horizontal="center" vertical="center"/>
    </xf>
    <xf numFmtId="0" fontId="31" fillId="17" borderId="34" xfId="0" applyFont="1" applyFill="1" applyBorder="1" applyAlignment="1">
      <alignment horizontal="center" vertical="center"/>
    </xf>
    <xf numFmtId="0" fontId="31" fillId="17" borderId="0" xfId="0" applyFont="1" applyFill="1" applyAlignment="1">
      <alignment horizontal="center" vertical="center"/>
    </xf>
    <xf numFmtId="0" fontId="31" fillId="17" borderId="18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0" xfId="12"/>
    <xf numFmtId="167" fontId="56" fillId="0" borderId="39" xfId="13" applyNumberFormat="1" applyFont="1" applyBorder="1"/>
    <xf numFmtId="167" fontId="56" fillId="0" borderId="1" xfId="13" applyNumberFormat="1" applyFont="1" applyBorder="1"/>
    <xf numFmtId="0" fontId="56" fillId="0" borderId="1" xfId="13" applyFont="1" applyBorder="1" applyAlignment="1">
      <alignment horizontal="left"/>
    </xf>
    <xf numFmtId="167" fontId="1" fillId="0" borderId="39" xfId="13" applyNumberFormat="1" applyBorder="1"/>
    <xf numFmtId="167" fontId="1" fillId="0" borderId="1" xfId="13" applyNumberFormat="1" applyBorder="1"/>
    <xf numFmtId="0" fontId="1" fillId="0" borderId="1" xfId="13" applyBorder="1" applyAlignment="1">
      <alignment horizontal="left"/>
    </xf>
    <xf numFmtId="0" fontId="1" fillId="0" borderId="0" xfId="13"/>
    <xf numFmtId="167" fontId="1" fillId="0" borderId="38" xfId="13" applyNumberFormat="1" applyBorder="1"/>
    <xf numFmtId="167" fontId="1" fillId="0" borderId="37" xfId="13" applyNumberFormat="1" applyBorder="1"/>
    <xf numFmtId="0" fontId="1" fillId="0" borderId="37" xfId="13" applyBorder="1" applyAlignment="1">
      <alignment horizontal="left"/>
    </xf>
    <xf numFmtId="167" fontId="56" fillId="0" borderId="38" xfId="13" applyNumberFormat="1" applyFont="1" applyBorder="1"/>
    <xf numFmtId="167" fontId="56" fillId="0" borderId="37" xfId="13" applyNumberFormat="1" applyFont="1" applyBorder="1"/>
    <xf numFmtId="0" fontId="56" fillId="0" borderId="37" xfId="13" applyFont="1" applyBorder="1" applyAlignment="1">
      <alignment horizontal="left"/>
    </xf>
    <xf numFmtId="0" fontId="56" fillId="0" borderId="38" xfId="13" applyFont="1" applyBorder="1"/>
    <xf numFmtId="0" fontId="56" fillId="0" borderId="37" xfId="13" applyFont="1" applyBorder="1"/>
    <xf numFmtId="167" fontId="1" fillId="0" borderId="51" xfId="13" applyNumberFormat="1" applyBorder="1"/>
    <xf numFmtId="167" fontId="1" fillId="0" borderId="52" xfId="13" applyNumberFormat="1" applyBorder="1"/>
    <xf numFmtId="0" fontId="1" fillId="0" borderId="52" xfId="13" applyBorder="1" applyAlignment="1">
      <alignment horizontal="left"/>
    </xf>
    <xf numFmtId="165" fontId="30" fillId="15" borderId="49" xfId="5" applyNumberFormat="1" applyFill="1" applyBorder="1" applyAlignment="1">
      <alignment horizontal="left" vertical="center" wrapText="1"/>
    </xf>
    <xf numFmtId="0" fontId="41" fillId="0" borderId="0" xfId="0" applyFont="1" applyBorder="1" applyAlignment="1">
      <alignment horizontal="left" vertical="center" wrapText="1"/>
    </xf>
    <xf numFmtId="0" fontId="30" fillId="0" borderId="0" xfId="5" applyBorder="1"/>
    <xf numFmtId="0" fontId="19" fillId="0" borderId="1" xfId="13" applyFont="1" applyBorder="1" applyAlignment="1">
      <alignment horizontal="left"/>
    </xf>
    <xf numFmtId="4" fontId="57" fillId="0" borderId="0" xfId="0" applyNumberFormat="1" applyFont="1"/>
    <xf numFmtId="0" fontId="58" fillId="0" borderId="1" xfId="13" applyFont="1" applyBorder="1" applyAlignment="1">
      <alignment horizontal="left"/>
    </xf>
    <xf numFmtId="0" fontId="41" fillId="0" borderId="0" xfId="0" applyFont="1" applyBorder="1"/>
    <xf numFmtId="0" fontId="45" fillId="0" borderId="0" xfId="0" applyFont="1" applyBorder="1"/>
    <xf numFmtId="0" fontId="45" fillId="3" borderId="0" xfId="0" applyFont="1" applyFill="1" applyBorder="1" applyAlignment="1">
      <alignment vertical="top" wrapText="1"/>
    </xf>
  </cellXfs>
  <cellStyles count="14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2 3" xfId="12" xr:uid="{13CC7BCD-A87F-DC44-8AC4-D42C7B6E4D63}"/>
    <cellStyle name="Normal 3" xfId="7" xr:uid="{157843EF-EB75-4A37-A272-79FC89245D1A}"/>
    <cellStyle name="Normal 4" xfId="9" xr:uid="{59A89F57-5A62-4BB8-BFD7-17EA01A5E398}"/>
    <cellStyle name="Normal 5" xfId="13" xr:uid="{028C847B-18E0-9145-B6DD-7D53139BF02F}"/>
    <cellStyle name="Porcentagem" xfId="2" builtinId="5"/>
  </cellStyles>
  <dxfs count="2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076281" y="13224897"/>
          <a:ext cx="1276350" cy="110435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atendimentos%20mar&#231;o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126.750279629632" createdVersion="8" refreshedVersion="8" minRefreshableVersion="3" recordCount="11789" xr:uid="{16B98C15-AF9D-3846-81F9-4E09BC5A3FDB}">
  <cacheSource type="worksheet">
    <worksheetSource name="Tabela1" r:id="rId2"/>
  </cacheSource>
  <cacheFields count="19">
    <cacheField name="Data" numFmtId="0">
      <sharedItems count="26">
        <s v="16/03/2026"/>
        <s v="17/03/2026"/>
        <s v="18/03/2026"/>
        <s v="19/03/2026"/>
        <s v="20/03/2026"/>
        <s v="23/03/2026"/>
        <s v="24/03/2026"/>
        <s v="25/03/2026"/>
        <s v="26/03/2026"/>
        <s v="27/03/2026"/>
        <s v="30/03/2026"/>
        <s v="31/03/2026"/>
        <s v="02/03/2026"/>
        <s v="03/03/2026"/>
        <s v="04/03/2026"/>
        <s v="05/03/2026"/>
        <s v="06/03/2026"/>
        <s v="09/03/2026"/>
        <s v="10/03/2026"/>
        <s v="12/03/2026"/>
        <s v="13/03/2026"/>
        <s v="07/03/2026"/>
        <s v="11/03/2026"/>
        <s v="14/03/2026"/>
        <s v="21/03/2026"/>
        <s v="28/03/2026"/>
      </sharedItems>
    </cacheField>
    <cacheField name="Hora" numFmtId="0">
      <sharedItems count="99">
        <s v="14:00:00"/>
        <s v="14:15:00"/>
        <s v="14:30:00"/>
        <s v="14:45:00"/>
        <s v="15:00:00"/>
        <s v="15:15:00"/>
        <s v="16:00:00"/>
        <s v="16:15:00"/>
        <s v="17:30:00"/>
        <s v="17:45:00"/>
        <s v="18:00:00"/>
        <s v="18:15:00"/>
        <s v="18:30:00"/>
        <s v="15:30:00"/>
        <s v="15:45:00"/>
        <s v="16:30:00"/>
        <s v="16:45:00"/>
        <s v="17:00:00"/>
        <s v="17:15:00"/>
        <s v="18:45:00"/>
        <s v="19:00:00"/>
        <s v="19:15:00"/>
        <s v="13:30:00"/>
        <s v="13:45:00"/>
        <s v="17:10:00"/>
        <s v="17:20:00"/>
        <s v="16:10:00"/>
        <s v="16:20:00"/>
        <s v="19:30:00"/>
        <s v="15:10:00"/>
        <s v="15:20:00"/>
        <s v="15:40:00"/>
        <s v="15:50:00"/>
        <s v="17:40:00"/>
        <s v="17:50:00"/>
        <s v="09:30:00"/>
        <s v="08:30:00"/>
        <s v="10:30:00"/>
        <s v="10:00:00"/>
        <s v="11:00:00"/>
        <s v="09:00:00"/>
        <s v="08:00:00"/>
        <s v="09:45:00"/>
        <s v="11:30:00"/>
        <s v="07:30:00"/>
        <s v="09:15:00"/>
        <s v="18:40:00"/>
        <s v="13:40:00"/>
        <s v="08:20:00"/>
        <s v="09:10:00"/>
        <s v="10:50:00"/>
        <s v="11:40:00"/>
        <s v="16:40:00"/>
        <s v="14:10:00"/>
        <s v="18:20:00"/>
        <s v="09:20:00"/>
        <s v="14:40:00"/>
        <s v="08:40:00"/>
        <s v="10:40:00"/>
        <s v="11:20:00"/>
        <s v="07:45:00"/>
        <s v="08:45:00"/>
        <s v="10:15:00"/>
        <s v="10:45:00"/>
        <s v="11:15:00"/>
        <s v="08:15:00"/>
        <s v="11:45:00"/>
        <s v="08:50:00"/>
        <s v="10:10:00"/>
        <s v="10:20:00"/>
        <s v="09:40:00"/>
        <s v="09:50:00"/>
        <s v="11:10:00"/>
        <s v="07:40:00"/>
        <s v="07:50:00"/>
        <s v="13:20:00"/>
        <s v="08:10:00"/>
        <s v="11:50:00"/>
        <s v="11:05:00"/>
        <s v="09:55:00"/>
        <s v="14:25:00"/>
        <s v="14:50:00"/>
        <s v="16:50:00"/>
        <s v="18:10:00"/>
        <s v="18:50:00"/>
        <s v="19:10:00"/>
        <s v="16:25:00"/>
        <s v="17:05:00"/>
        <s v="13:50:00"/>
        <s v="07:00:00"/>
        <s v="07:15:00"/>
        <s v="14:20:00"/>
        <s v="07:10:00"/>
        <s v="07:20:00"/>
        <s v="13:15:00"/>
        <s v="14:35:00"/>
        <s v="10:01:00"/>
        <s v="15:05:00"/>
        <s v="15:3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3">
        <s v="Petrobras"/>
        <s v="Geap"/>
        <s v="Bradesco Fisioterapia e Rpg"/>
        <s v="Oab - Ordem dos Advogados do Brasil"/>
        <s v="Bradesco Acupuntura, Consulta Médica e Nutrição"/>
        <s v="Saude Caixa"/>
        <s v="Sulamerica"/>
        <s v="Particular"/>
        <s v="Bradesco Operadora de Planos - Fisioterapia"/>
        <s v="Bradesco Operadora de Planos - Acupuntura"/>
        <s v="Evida"/>
        <s v="Tribunal Regional Eleitoral"/>
        <s v="Mediservice"/>
        <s v="Assefaz"/>
        <s v="Bradesco Operadora de Planos São José - Fisioterapia"/>
        <s v="Casembrapa"/>
        <s v="Fogas"/>
        <s v="Life Saude"/>
        <s v="Cultural/ Pro Saude/ Medikon/ Medprev"/>
        <s v="Pro - Social"/>
        <s v="Plan-Assiste"/>
        <s v="Conab"/>
        <s v="Cortesia"/>
        <s v="Gympass/Wellhub"/>
        <s v="Glomam Grande Loja Maconica do Amazonas"/>
        <s v="Affeam"/>
        <s v="Notredame - Intermédica"/>
        <s v="Bradesco Fisioterapia e Rpg- São José"/>
        <s v="Ambep - Aposentados Petrobras"/>
        <s v="Gama Saúde"/>
        <s v="Bemol  - São José"/>
        <s v="Bradesco Acupuntura - São José"/>
        <s v="Bradesco Operadora de Planos São José - Acupuntura"/>
      </sharedItems>
    </cacheField>
    <cacheField name="Profissional" numFmtId="0">
      <sharedItems count="35">
        <s v="Marina Brasil de Abreu."/>
        <s v="Viviane Cristina Carvalho de Menezes"/>
        <s v="Nialen dos Santos Melo."/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alen dos Santos Melo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1320" maxValue="4.2263120227375E+16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782212117005E+17"/>
    </cacheField>
    <cacheField name="ID Paciente" numFmtId="0">
      <sharedItems containsSemiMixedTypes="0" containsString="0" containsNumber="1" containsInteger="1" minValue="29" maxValue="59844"/>
    </cacheField>
    <cacheField name="Clínica" numFmtId="0">
      <sharedItems/>
    </cacheField>
    <cacheField name="Guia" numFmtId="0">
      <sharedItems containsBlank="1" containsMixedTypes="1" containsNumber="1" containsInteger="1" minValue="1320" maxValue="4.2263120227375E+16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89">
  <r>
    <x v="0"/>
    <x v="0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4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0"/>
    <x v="0"/>
    <s v="Walter Jose Firmo Gonçalves Filho"/>
    <s v="Masculino"/>
    <x v="0"/>
    <x v="0"/>
    <s v="31602185 - Estimulação Elétrica Transcutânea Fisioterapia (Novo - 01/12) (R$ 54,13)"/>
    <s v="Fisioterapia"/>
    <s v="42263120260311457584"/>
    <s v="Finalizado (5/10)"/>
    <n v="47.634399999999999"/>
    <n v="6.4955999999999996"/>
    <n v="54.13"/>
    <s v="Sessão a Faturar"/>
    <s v="010033652700"/>
    <n v="41064"/>
    <s v="Unidade Vieralves (ANEXO)"/>
    <s v="42263120260311457584"/>
    <s v="Guia assinada! 02/04"/>
  </r>
  <r>
    <x v="0"/>
    <x v="0"/>
    <s v="Rosiane Mendes Valente"/>
    <s v="Feminino"/>
    <x v="1"/>
    <x v="0"/>
    <s v="50000160 - Fisioterapia Ortopédica (R$ 20,00), 98980327 - Taxa de Eletroterapia (Tens) (R$ 15,00)"/>
    <s v="Fisioterapia"/>
    <n v="9297961"/>
    <s v="Finalizado (1/8)"/>
    <n v="30.8"/>
    <n v="4.2"/>
    <n v="35"/>
    <s v="Sessão a Faturar"/>
    <n v="1301013577000200"/>
    <n v="55856"/>
    <s v="Unidade Vieralves (ANEXO)"/>
    <n v="9297961"/>
    <m/>
  </r>
  <r>
    <x v="0"/>
    <x v="0"/>
    <s v="Ana Lucia Medeiros Figliuolo"/>
    <s v="Feminino"/>
    <x v="1"/>
    <x v="0"/>
    <s v="50000160 - Fisioterapia Ortopédica (R$ 20,00), 98980327 - Taxa de Eletroterapia (Tens) (R$ 15,00)"/>
    <s v="Fisioterapia"/>
    <n v="9274224"/>
    <s v="Finalizado (3/10)"/>
    <n v="30.8"/>
    <n v="4.2"/>
    <n v="35"/>
    <s v="Sessão Faturada"/>
    <s v="0901013317940180"/>
    <n v="32208"/>
    <s v="Unidade Vieralves (ANEXO)"/>
    <n v="9274224"/>
    <s v="Guia assinada!"/>
  </r>
  <r>
    <x v="0"/>
    <x v="1"/>
    <s v="Isabelly Bacelar Gonçalves"/>
    <s v="Feminino"/>
    <x v="0"/>
    <x v="0"/>
    <s v="50000160 - Fisioterapia Ortopedica (R$ 49,72)"/>
    <s v="Fisioterapia"/>
    <s v="42263120260316483774"/>
    <s v="Finalizado (4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0"/>
    <x v="1"/>
    <s v="Walter Jose Firmo Gonçalves Filho"/>
    <s v="Masculino"/>
    <x v="0"/>
    <x v="0"/>
    <s v="50000160 - Fisioterapia Ortopedica (R$ 49,72)"/>
    <s v="Fisioterapia"/>
    <s v="42263120260310449344"/>
    <s v="Finalizado (5/10)"/>
    <n v="43.753599999999999"/>
    <n v="5.9664000000000001"/>
    <n v="49.72"/>
    <s v="Sessão a Faturar"/>
    <s v="010033652700"/>
    <n v="41064"/>
    <s v="Unidade Vieralves (ANEXO)"/>
    <s v="42263120260310449344"/>
    <s v="Guia assinada! 02/04"/>
  </r>
  <r>
    <x v="0"/>
    <x v="2"/>
    <s v="Rosineide Rodrigues Arcanjo"/>
    <s v="Feminino"/>
    <x v="2"/>
    <x v="0"/>
    <s v="20103514 - Fisioterapia - Patologia Em Diferentes Segmentos da Coluna (R$ 14,83)"/>
    <s v="Fisioterapia"/>
    <n v="1709777911"/>
    <s v="Finalizado (5/9)"/>
    <n v="13.0504"/>
    <n v="1.7796000000000001"/>
    <n v="14.83"/>
    <s v="Sessão Faturada"/>
    <n v="774063004219030"/>
    <n v="50224"/>
    <s v="Unidade Vieralves (ANEXO)"/>
    <n v="1709777911"/>
    <m/>
  </r>
  <r>
    <x v="0"/>
    <x v="2"/>
    <s v="Cristiane Gomes Barcelar Gonçalves"/>
    <s v="Feminino"/>
    <x v="0"/>
    <x v="0"/>
    <s v="50000160 - Fisioterapia Ortopedica (R$ 49,72)"/>
    <s v="Fisioterapia"/>
    <s v="42263120260305415598"/>
    <s v="Finalizado (6/10)"/>
    <n v="43.753599999999999"/>
    <n v="5.9664000000000001"/>
    <n v="49.72"/>
    <s v="Sessão a Faturar"/>
    <s v="010033652753"/>
    <n v="27217"/>
    <s v="Unidade Vieralves (ANEXO)"/>
    <s v="42263120260305415598"/>
    <m/>
  </r>
  <r>
    <x v="0"/>
    <x v="2"/>
    <s v="Kryslaine de Oliveira Silva"/>
    <s v="Feminino"/>
    <x v="3"/>
    <x v="0"/>
    <s v="0006 - Fisioterapia Ortopédica - Pacote Com 10 Sessões (R$ 40,00)"/>
    <s v="Fisioterapia"/>
    <n v="158033"/>
    <s v="Finalizado (9/10)"/>
    <n v="31.2"/>
    <n v="8.8000000000000007"/>
    <n v="40"/>
    <s v="Sessão a Faturar"/>
    <n v="13544812"/>
    <n v="58204"/>
    <s v="Unidade Vieralves (ANEXO)"/>
    <n v="158033"/>
    <m/>
  </r>
  <r>
    <x v="0"/>
    <x v="3"/>
    <s v="Cristiane Gomes Barcelar Gonçalves"/>
    <s v="Feminino"/>
    <x v="0"/>
    <x v="0"/>
    <s v="31602185 - Estimulação Elétrica Transcutânea Fisioterapia (Novo - 01/12) (R$ 54,13)"/>
    <s v="Fisioterapia"/>
    <s v="42263120260305415649"/>
    <s v="Finalizado (6/10)"/>
    <n v="47.634399999999999"/>
    <n v="6.4955999999999996"/>
    <n v="54.13"/>
    <s v="Sessão a Faturar"/>
    <s v="010033652753"/>
    <n v="27217"/>
    <s v="Unidade Vieralves (ANEXO)"/>
    <s v="42263120260305415649"/>
    <m/>
  </r>
  <r>
    <x v="0"/>
    <x v="3"/>
    <s v="Rosineide Rodrigues Arcanjo"/>
    <s v="Feminino"/>
    <x v="4"/>
    <x v="0"/>
    <s v="31602185 - Estimulação Elétrica Transcutânea - Removido 13/04/2026 (R$ 40,00)"/>
    <s v="Fisioterapia"/>
    <n v="1711548824"/>
    <s v="Finalizado (3/7)"/>
    <n v="35.200000000000003"/>
    <n v="4.8"/>
    <n v="40"/>
    <s v="Sessão Faturada"/>
    <n v="774063004219030"/>
    <n v="50224"/>
    <s v="Unidade Vieralves (ANEXO)"/>
    <n v="1711548824"/>
    <m/>
  </r>
  <r>
    <x v="0"/>
    <x v="4"/>
    <s v="Estela Maria Galvao Vidal de Abreu"/>
    <s v="Feminino"/>
    <x v="4"/>
    <x v="0"/>
    <s v="31602185 - Estimulação Elétrica Transcutânea - Removido 13/04/2026 (R$ 40,00)"/>
    <s v="Fisioterapia"/>
    <n v="1711603141"/>
    <s v="Finalizado (2/5)"/>
    <n v="35.200000000000003"/>
    <n v="4.8"/>
    <n v="40"/>
    <s v="Sessão Faturada"/>
    <n v="836922200019000"/>
    <n v="45049"/>
    <s v="Unidade Vieralves (ANEXO)"/>
    <n v="1711603141"/>
    <m/>
  </r>
  <r>
    <x v="0"/>
    <x v="5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4/10)"/>
    <n v="21.507200000000001"/>
    <n v="2.9327999999999999"/>
    <n v="24.44"/>
    <s v="Sessão Faturada"/>
    <n v="836922200019000"/>
    <n v="45049"/>
    <s v="Unidade Vieralves (ANEXO)"/>
    <n v="1709766067"/>
    <m/>
  </r>
  <r>
    <x v="0"/>
    <x v="6"/>
    <s v="Laura Irene Villacrez Flores"/>
    <s v="Feminino"/>
    <x v="5"/>
    <x v="0"/>
    <s v="98860011 - Fisioterapia Complexidade 1 (R$ 55,26)"/>
    <s v="Fisioterapia"/>
    <n v="77963780"/>
    <s v="Finalizado (7/10)"/>
    <n v="48.628799999999998"/>
    <n v="6.6311999999999998"/>
    <n v="55.26"/>
    <s v="Sessão Faturada"/>
    <s v="010080860100"/>
    <n v="59130"/>
    <s v="Unidade Vieralves (ANEXO)"/>
    <n v="77963780"/>
    <m/>
  </r>
  <r>
    <x v="0"/>
    <x v="6"/>
    <s v="Leticia Magalhães Mendes"/>
    <s v="Feminino"/>
    <x v="2"/>
    <x v="0"/>
    <s v="20103484 - Fisioterapia - Patologia Em Um Membro (R$ 12,22)"/>
    <s v="Fisioterapia"/>
    <n v="1710448748"/>
    <s v="Finalizado (3/10)"/>
    <n v="10.7536"/>
    <n v="1.4663999999999999"/>
    <n v="12.22"/>
    <s v="Sessão Faturada"/>
    <n v="775423014966000"/>
    <n v="59594"/>
    <s v="Unidade Vieralves (ANEXO)"/>
    <n v="1710448748"/>
    <m/>
  </r>
  <r>
    <x v="0"/>
    <x v="7"/>
    <s v="Leticia Magalhães Mendes"/>
    <s v="Feminino"/>
    <x v="4"/>
    <x v="0"/>
    <s v="31602185 - Estimulação Elétrica Transcutânea - Removido 13/04/2026 (R$ 40,00)"/>
    <s v="Fisioterapia"/>
    <n v="1712950346"/>
    <s v="Finalizado (1/8)"/>
    <n v="35.200000000000003"/>
    <n v="4.8"/>
    <n v="40"/>
    <s v="Sessão a Faturar"/>
    <n v="775423014966000"/>
    <n v="59594"/>
    <s v="Unidade Vieralves (ANEXO)"/>
    <n v="1712950346"/>
    <m/>
  </r>
  <r>
    <x v="0"/>
    <x v="7"/>
    <s v="Laura Irene Villacrez Flores"/>
    <s v="Feminino"/>
    <x v="5"/>
    <x v="0"/>
    <s v="31602185 - Estimulação Elétrica Transcutânea (Tens) (R$ 125,40)"/>
    <s v="Fisioterapia"/>
    <n v="78268770"/>
    <s v="Finalizado (5/10)"/>
    <n v="110.352"/>
    <n v="15.048"/>
    <n v="125.4"/>
    <s v="Sessão Faturada"/>
    <s v="010080860100"/>
    <n v="59130"/>
    <s v="Unidade Vieralves (ANEXO)"/>
    <n v="78268770"/>
    <m/>
  </r>
  <r>
    <x v="0"/>
    <x v="8"/>
    <s v="Renata de Aguiar Torres"/>
    <s v="Feminino"/>
    <x v="2"/>
    <x v="0"/>
    <s v="20103492 - Fisioterapia - Patologia Em Dois Ou Mais Membros (R$ 14,83)"/>
    <s v="Fisioterapia"/>
    <n v="1702975911"/>
    <s v="Finalizado (4/4)"/>
    <n v="13.0504"/>
    <n v="1.7796000000000001"/>
    <n v="14.83"/>
    <s v="Sessão Faturada"/>
    <n v="960019412893000"/>
    <n v="49038"/>
    <s v="Unidade Vieralves (ANEXO)"/>
    <n v="1702975911"/>
    <m/>
  </r>
  <r>
    <x v="0"/>
    <x v="8"/>
    <s v="Nathalia Cristina Gabriel"/>
    <s v="Feminino"/>
    <x v="6"/>
    <x v="0"/>
    <s v="20103492 - Patologia Em Dois Ou Mais Membros (R$ 30,26)"/>
    <s v="Fisioterapia"/>
    <n v="171070"/>
    <s v="Finalizado (4/5)"/>
    <n v="26.628799999999998"/>
    <n v="3.6312000000000002"/>
    <n v="30.26"/>
    <s v="Sessão a Faturar"/>
    <s v="54563002000013620010"/>
    <n v="48743"/>
    <s v="Unidade Vieralves (ANEXO)"/>
    <n v="171070"/>
    <m/>
  </r>
  <r>
    <x v="0"/>
    <x v="8"/>
    <s v="Renata de Aguiar Torres"/>
    <s v="Feminino"/>
    <x v="4"/>
    <x v="0"/>
    <s v="31602185 - Estimulação Elétrica Transcutânea - Removido 13/04/2026 (R$ 40,00)"/>
    <s v="Fisioterapia"/>
    <n v="1712992709"/>
    <s v="Finalizado (1/1)"/>
    <n v="35.200000000000003"/>
    <n v="4.8"/>
    <n v="40"/>
    <s v="Sessão Faturada"/>
    <n v="960019412893000"/>
    <n v="49038"/>
    <s v="Unidade Vieralves (ANEXO)"/>
    <n v="1712992709"/>
    <m/>
  </r>
  <r>
    <x v="0"/>
    <x v="9"/>
    <s v="Nathalia Cristina Gabriel"/>
    <s v="Feminino"/>
    <x v="6"/>
    <x v="0"/>
    <s v="31602185 - Estimulação Elétrica Transcutanea (Tens) (R$ 40,00)"/>
    <s v="Fisioterapia"/>
    <n v="171071"/>
    <s v="Finalizado (4/5)"/>
    <n v="35.200000000000003"/>
    <n v="4.8"/>
    <n v="40"/>
    <s v="Sessão a Faturar"/>
    <s v="54563002000013620010"/>
    <n v="48743"/>
    <s v="Unidade Vieralves (ANEXO)"/>
    <n v="171071"/>
    <m/>
  </r>
  <r>
    <x v="0"/>
    <x v="10"/>
    <s v="Juliana de Oliveira Ayres Marques"/>
    <s v="Feminino"/>
    <x v="1"/>
    <x v="0"/>
    <s v="50000160 - Fisioterapia Ortopédica (R$ 20,00), 98980327 - Taxa de Eletroterapia (Tens) (R$ 15,00)"/>
    <s v="Fisioterapia"/>
    <n v="9194914"/>
    <s v="Finalizado (2/2)"/>
    <n v="30.8"/>
    <n v="4.2"/>
    <n v="35"/>
    <s v="Sessão Faturada"/>
    <n v="1901013310170200"/>
    <n v="53918"/>
    <s v="Unidade Vieralves (ANEXO)"/>
    <n v="9194914"/>
    <m/>
  </r>
  <r>
    <x v="0"/>
    <x v="10"/>
    <s v="Sabrina Frota Miranda"/>
    <s v="Feminino"/>
    <x v="2"/>
    <x v="0"/>
    <s v="20103484 - Fisioterapia - Patologia Em Um Membro (R$ 12,22)"/>
    <s v="Fisioterapia"/>
    <n v="1704013274"/>
    <s v="Finalizado (5/5)"/>
    <n v="10.7536"/>
    <n v="1.4663999999999999"/>
    <n v="12.22"/>
    <s v="Sessão Faturada"/>
    <n v="774170004260000"/>
    <n v="58714"/>
    <s v="Unidade Vieralves (ANEXO)"/>
    <n v="1704013274"/>
    <m/>
  </r>
  <r>
    <x v="0"/>
    <x v="11"/>
    <s v="Sabrina Frota Miranda"/>
    <s v="Feminino"/>
    <x v="4"/>
    <x v="0"/>
    <s v="31602185 - Estimulação Elétrica Transcutânea - Removido 13/04/2026 (R$ 40,00)"/>
    <s v="Fisioterapia"/>
    <n v="1711678690"/>
    <s v="Finalizado (2/2)"/>
    <n v="35.200000000000003"/>
    <n v="4.8"/>
    <n v="40"/>
    <s v="Sessão Faturada"/>
    <n v="774170004260000"/>
    <n v="58714"/>
    <s v="Unidade Vieralves (ANEXO)"/>
    <n v="1711678690"/>
    <m/>
  </r>
  <r>
    <x v="0"/>
    <x v="12"/>
    <s v="Paulo Cesar Silva Santiago"/>
    <s v="Masculino"/>
    <x v="4"/>
    <x v="0"/>
    <s v="31602185 - Estimulação Elétrica Transcutânea - Removido 13/04/2026 (R$ 40,00)"/>
    <s v="Fisioterapia"/>
    <n v="1710507488"/>
    <s v="Finalizado (2/6)"/>
    <n v="35.200000000000003"/>
    <n v="4.8"/>
    <n v="40"/>
    <s v="Sessão a Faturar"/>
    <n v="611168920097000"/>
    <n v="19776"/>
    <s v="Unidade Vieralves (ANEXO)"/>
    <n v="1710507488"/>
    <m/>
  </r>
  <r>
    <x v="0"/>
    <x v="12"/>
    <s v="Paulo Cesar Silva Santiago"/>
    <s v="Masculino"/>
    <x v="2"/>
    <x v="0"/>
    <s v="20103514 - Fisioterapia - Patologia Em Diferentes Segmentos da Coluna (R$ 14,83)"/>
    <s v="Fisioterapia"/>
    <n v="1709882272"/>
    <s v="Finalizado (3/7)"/>
    <n v="13.0504"/>
    <n v="1.7796000000000001"/>
    <n v="14.83"/>
    <s v="Sessão a Faturar"/>
    <n v="611168920097000"/>
    <n v="19776"/>
    <s v="Unidade Vieralves (ANEXO)"/>
    <n v="1709882272"/>
    <m/>
  </r>
  <r>
    <x v="1"/>
    <x v="0"/>
    <s v="Rosineide Rodrigues Arcanjo"/>
    <s v="Feminino"/>
    <x v="2"/>
    <x v="0"/>
    <s v="20103514 - Fisioterapia - Patologia Em Diferentes Segmentos da Coluna (R$ 14,83)"/>
    <s v="Fisioterapia"/>
    <n v="1709777911"/>
    <s v="Finalizado (6/9)"/>
    <n v="13.0504"/>
    <n v="1.7796000000000001"/>
    <n v="14.83"/>
    <s v="Sessão Faturada"/>
    <n v="774063004219030"/>
    <n v="50224"/>
    <s v="Unidade Vieralves (ANEXO)"/>
    <n v="1709777911"/>
    <m/>
  </r>
  <r>
    <x v="1"/>
    <x v="0"/>
    <s v="Maria de Fatima Chaves Coimbra"/>
    <s v="Feminino"/>
    <x v="6"/>
    <x v="0"/>
    <s v="20103484 - Patologia Em Um Membro (R$ 14,16), 20103506 - Patologia Em Um Segmento da Coluna (R$ 14,16)"/>
    <s v="Fisioterapia"/>
    <n v="171008"/>
    <s v="Finalizado (1/10)"/>
    <n v="24.921600000000002"/>
    <n v="3.3984000000000001"/>
    <n v="28.32"/>
    <s v="Sessão a Faturar"/>
    <s v="55788888000967700014"/>
    <n v="19051"/>
    <s v="Unidade Vieralves (ANEXO)"/>
    <n v="171008"/>
    <m/>
  </r>
  <r>
    <x v="1"/>
    <x v="0"/>
    <s v="Rosineide Rodrigues Arcanjo"/>
    <s v="Feminino"/>
    <x v="4"/>
    <x v="0"/>
    <s v="31602185 - Estimulação Elétrica Transcutânea - Removido 13/04/2026 (R$ 40,00)"/>
    <s v="Fisioterapia"/>
    <n v="1711548824"/>
    <s v="Finalizado (4/7)"/>
    <n v="35.200000000000003"/>
    <n v="4.8"/>
    <n v="40"/>
    <s v="Sessão Faturada"/>
    <n v="774063004219030"/>
    <n v="50224"/>
    <s v="Unidade Vieralves (ANEXO)"/>
    <n v="1711548824"/>
    <m/>
  </r>
  <r>
    <x v="1"/>
    <x v="1"/>
    <s v="Maria de Fatima Chaves Coimbra"/>
    <s v="Feminino"/>
    <x v="6"/>
    <x v="0"/>
    <s v="31602185 - Estimulação Elétrica Transcutanea (Tens) (R$ 40,00)"/>
    <s v="Fisioterapia"/>
    <n v="171993"/>
    <s v="Finalizado (1/10)"/>
    <n v="35.200000000000003"/>
    <n v="4.8"/>
    <n v="40"/>
    <s v="Sessão a Faturar"/>
    <s v="55788888000967700014"/>
    <n v="19051"/>
    <s v="Unidade Vieralves (ANEXO)"/>
    <n v="171993"/>
    <m/>
  </r>
  <r>
    <x v="1"/>
    <x v="4"/>
    <s v="Richarles de Araújo Sousa"/>
    <s v="Masculino"/>
    <x v="1"/>
    <x v="0"/>
    <s v="50000160 - Fisioterapia Ortopédica (R$ 20,00), 98980327 - Taxa de Eletroterapia (Tens) (R$ 15,00)"/>
    <s v="Fisioterapia"/>
    <n v="9320335"/>
    <s v="Finalizado (1/8)"/>
    <n v="30.8"/>
    <n v="4.2"/>
    <n v="35"/>
    <s v="Sessão a Faturar"/>
    <n v="1301013026380000"/>
    <n v="58337"/>
    <s v="Unidade Vieralves (ANEXO)"/>
    <n v="9320335"/>
    <m/>
  </r>
  <r>
    <x v="1"/>
    <x v="4"/>
    <s v="Natálya da Silva Sampaio"/>
    <s v="Feminino"/>
    <x v="1"/>
    <x v="0"/>
    <s v="50000160 - Fisioterapia Ortopédica (R$ 20,00), 98980327 - Taxa de Eletroterapia (Tens) (R$ 15,00)"/>
    <s v="Fisioterapia"/>
    <n v="9325509"/>
    <s v="Finalizado (1/8)"/>
    <n v="30.8"/>
    <n v="4.2"/>
    <n v="35"/>
    <s v="Sessão a Faturar"/>
    <n v="1301013026380200"/>
    <n v="59331"/>
    <s v="Unidade Vieralves (ANEXO)"/>
    <n v="9325509"/>
    <m/>
  </r>
  <r>
    <x v="1"/>
    <x v="4"/>
    <s v="Genilza Evaristo Machado Moreira"/>
    <s v="Feminino"/>
    <x v="1"/>
    <x v="0"/>
    <s v="50000160 - Fisioterapia Ortopédica (R$ 20,00), 98980327 - Taxa de Eletroterapia (Tens) (R$ 15,00)"/>
    <s v="Fisioterapia"/>
    <n v="9318751"/>
    <s v="Finalizado (3/10)"/>
    <n v="30.8"/>
    <n v="4.2"/>
    <n v="35"/>
    <s v="Sessão Faturada"/>
    <n v="1901012887600100"/>
    <n v="59599"/>
    <s v="Unidade Vieralves (ANEXO)"/>
    <n v="9318751"/>
    <m/>
  </r>
  <r>
    <x v="1"/>
    <x v="13"/>
    <s v="Laiane Tammy Abati"/>
    <s v="Feminino"/>
    <x v="1"/>
    <x v="0"/>
    <s v="50000160 - Fisioterapia Ortopédica (R$ 20,00), 98980327 - Taxa de Eletroterapia (Tens) (R$ 15,00)"/>
    <s v="Fisioterapia"/>
    <n v="8920855"/>
    <s v="Finalizado (6/10)"/>
    <n v="30.8"/>
    <n v="4.2"/>
    <n v="35"/>
    <s v="Sessão Faturada"/>
    <s v="0901013277860067"/>
    <n v="59363"/>
    <s v="Unidade Vieralves (ANEXO)"/>
    <n v="8920855"/>
    <s v="GUIA ASSINADA!!!!!"/>
  </r>
  <r>
    <x v="1"/>
    <x v="13"/>
    <s v="Ana Clara de Morais Virginio"/>
    <s v="Feminino"/>
    <x v="6"/>
    <x v="0"/>
    <s v="20103506 - Patologia Em Um Segmento da Coluna (R$ 14,16)"/>
    <s v="Fisioterapia"/>
    <n v="171233"/>
    <s v="Finalizado (3/5)"/>
    <n v="12.460800000000001"/>
    <n v="1.6992"/>
    <n v="14.16"/>
    <s v="Sessão a Faturar"/>
    <s v="55788888491532830118"/>
    <n v="59365"/>
    <s v="Unidade Vieralves (ANEXO)"/>
    <n v="171233"/>
    <m/>
  </r>
  <r>
    <x v="1"/>
    <x v="14"/>
    <s v="Ana Clara de Morais Virginio"/>
    <s v="Feminino"/>
    <x v="6"/>
    <x v="0"/>
    <s v="31602185 - Estimulação Elétrica Transcutanea (Tens) (R$ 40,00)"/>
    <s v="Fisioterapia"/>
    <n v="171234"/>
    <s v="Finalizado (3/5)"/>
    <n v="35.200000000000003"/>
    <n v="4.8"/>
    <n v="40"/>
    <s v="Sessão a Faturar"/>
    <s v="55788888491532830118"/>
    <n v="59365"/>
    <s v="Unidade Vieralves (ANEXO)"/>
    <n v="171234"/>
    <m/>
  </r>
  <r>
    <x v="1"/>
    <x v="6"/>
    <s v="Laura Irene Villacrez Flores"/>
    <s v="Feminino"/>
    <x v="5"/>
    <x v="0"/>
    <s v="98860011 - Fisioterapia Complexidade 1 (R$ 55,26)"/>
    <s v="Fisioterapia"/>
    <n v="77963780"/>
    <s v="Finalizado (8/10)"/>
    <n v="48.628799999999998"/>
    <n v="6.6311999999999998"/>
    <n v="55.26"/>
    <s v="Sessão Faturada"/>
    <s v="010080860100"/>
    <n v="59130"/>
    <s v="Unidade Vieralves (ANEXO)"/>
    <n v="77963780"/>
    <m/>
  </r>
  <r>
    <x v="1"/>
    <x v="6"/>
    <s v="Heberton Diego Ramalho Machado"/>
    <s v="Masculino"/>
    <x v="6"/>
    <x v="0"/>
    <s v="50000144 - Avaliação de Fisioterapia (R$ 56,52)"/>
    <s v="Fisioterapia"/>
    <n v="7700047266"/>
    <s v="Finalizado (1/1)"/>
    <n v="50.868000000000002"/>
    <n v="5.6520000000000001"/>
    <n v="56.52"/>
    <s v="Sessão Faturada"/>
    <s v="55788888491271860019"/>
    <n v="15998"/>
    <s v="Unidade Vieralves (ANEXO)"/>
    <n v="7700047266"/>
    <m/>
  </r>
  <r>
    <x v="1"/>
    <x v="6"/>
    <s v="Heberton Diego Ramalho Machado"/>
    <s v="Masculino"/>
    <x v="6"/>
    <x v="0"/>
    <s v="20103662 - Pos Operatorio Em Um Membro (R$ 22,53)"/>
    <s v="Fisioterapia"/>
    <n v="172017"/>
    <s v="Finalizado (1/10)"/>
    <n v="19.8264"/>
    <n v="2.7035999999999998"/>
    <n v="22.53"/>
    <s v="Sessão a Faturar"/>
    <s v="55788888491271860019"/>
    <n v="15998"/>
    <s v="Unidade Vieralves (ANEXO)"/>
    <n v="172017"/>
    <m/>
  </r>
  <r>
    <x v="1"/>
    <x v="6"/>
    <s v="Heberton Diego Ramalho Machado"/>
    <s v="Masculino"/>
    <x v="6"/>
    <x v="0"/>
    <s v="31602185 - Estimulação Elétrica Transcutanea (Tens) (R$ 40,00)"/>
    <s v="Fisioterapia"/>
    <n v="172024"/>
    <s v="Finalizado (1/7)"/>
    <n v="35.200000000000003"/>
    <n v="4.8"/>
    <n v="40"/>
    <s v="Sessão a Faturar"/>
    <s v="55788888491271860019"/>
    <n v="15998"/>
    <s v="Unidade Vieralves (ANEXO)"/>
    <n v="172024"/>
    <m/>
  </r>
  <r>
    <x v="1"/>
    <x v="6"/>
    <s v="Estela Maria Galvao Vidal de Abreu"/>
    <s v="Feminino"/>
    <x v="4"/>
    <x v="0"/>
    <s v="31602185 - Estimulação Elétrica Transcutânea - Removido 13/04/2026 (R$ 40,00)"/>
    <s v="Fisioterapia"/>
    <n v="1711603141"/>
    <s v="Finalizado (3/5)"/>
    <n v="35.200000000000003"/>
    <n v="4.8"/>
    <n v="40"/>
    <s v="Sessão Faturada"/>
    <n v="836922200019000"/>
    <n v="45049"/>
    <s v="Unidade Vieralves (ANEXO)"/>
    <n v="1711603141"/>
    <m/>
  </r>
  <r>
    <x v="1"/>
    <x v="6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5/10)"/>
    <n v="21.507200000000001"/>
    <n v="2.9327999999999999"/>
    <n v="24.44"/>
    <s v="Sessão Faturada"/>
    <n v="836922200019000"/>
    <n v="45049"/>
    <s v="Unidade Vieralves (ANEXO)"/>
    <n v="1709766067"/>
    <m/>
  </r>
  <r>
    <x v="1"/>
    <x v="7"/>
    <s v="Laura Irene Villacrez Flores"/>
    <s v="Feminino"/>
    <x v="5"/>
    <x v="0"/>
    <s v="31602185 - Estimulação Elétrica Transcutânea (Tens) (R$ 125,40)"/>
    <s v="Fisioterapia"/>
    <n v="78268770"/>
    <s v="Finalizado (6/10)"/>
    <n v="110.352"/>
    <n v="15.048"/>
    <n v="125.4"/>
    <s v="Sessão Faturada"/>
    <s v="010080860100"/>
    <n v="59130"/>
    <s v="Unidade Vieralves (ANEXO)"/>
    <n v="78268770"/>
    <m/>
  </r>
  <r>
    <x v="1"/>
    <x v="15"/>
    <s v="Alexsandro de Pierri Camara Frangos"/>
    <s v="Masculino"/>
    <x v="6"/>
    <x v="0"/>
    <s v="20103514 - Patologia Em Dois Ou Mais Segmentos da Coluna (R$ 32,82)"/>
    <s v="Fisioterapia"/>
    <n v="171696"/>
    <s v="Finalizado (2/5)"/>
    <n v="28.881599999999999"/>
    <n v="3.9384000000000001"/>
    <n v="32.82"/>
    <s v="Sessão a Faturar"/>
    <s v="44520813095886520010"/>
    <n v="59453"/>
    <s v="Unidade Vieralves (ANEXO)"/>
    <n v="171696"/>
    <m/>
  </r>
  <r>
    <x v="1"/>
    <x v="16"/>
    <s v="Alexsandro de Pierri Camara Frangos"/>
    <s v="Masculino"/>
    <x v="6"/>
    <x v="0"/>
    <s v="31602185 - Estimulação Elétrica Transcutanea (Tens) (R$ 40,00)"/>
    <s v="Fisioterapia"/>
    <n v="171697"/>
    <s v="Finalizado (2/5)"/>
    <n v="35.200000000000003"/>
    <n v="4.8"/>
    <n v="40"/>
    <s v="Sessão a Faturar"/>
    <s v="44520813095886520010"/>
    <n v="59453"/>
    <s v="Unidade Vieralves (ANEXO)"/>
    <n v="171697"/>
    <s v="GUIA ASSINADA"/>
  </r>
  <r>
    <x v="1"/>
    <x v="17"/>
    <s v="Eberth Lucas Vasconcelos de Santana"/>
    <s v="Masculino"/>
    <x v="7"/>
    <x v="0"/>
    <s v="Vieiralves - 1 - Fisioterapia Ortopedica - Pacote (R$ 40,00)"/>
    <s v="Fisioterapia"/>
    <n v="171209"/>
    <s v="Finalizado (4/10)"/>
    <n v="31.2"/>
    <n v="8.8000000000000007"/>
    <n v="40"/>
    <s v="No Prazo"/>
    <s v="00"/>
    <n v="59597"/>
    <s v="Unidade Vieralves (ANEXO)"/>
    <n v="171209"/>
    <m/>
  </r>
  <r>
    <x v="1"/>
    <x v="8"/>
    <s v="Gaspar Henrique Alves Mota"/>
    <m/>
    <x v="4"/>
    <x v="0"/>
    <s v="31602185 - Estimulação Elétrica Transcutânea - Removido 13/04/2026 (R$ 40,00)"/>
    <s v="Fisioterapia"/>
    <n v="1713643221"/>
    <s v="Finalizado (1/4)"/>
    <n v="35.200000000000003"/>
    <n v="4.8"/>
    <n v="40"/>
    <s v="Sessão a Faturar"/>
    <n v="774642013528010"/>
    <n v="54316"/>
    <s v="Unidade Vieralves (ANEXO)"/>
    <n v="1713643221"/>
    <m/>
  </r>
  <r>
    <x v="1"/>
    <x v="8"/>
    <s v="Adriana Antonia da Costa Barros"/>
    <s v="Feminino"/>
    <x v="2"/>
    <x v="0"/>
    <s v="50000144 - Avaliação de Fisioterapia (R$ 51,42)"/>
    <s v="Fisioterapia"/>
    <n v="1713636869"/>
    <s v="Finalizado (1/1)"/>
    <n v="46.277999999999999"/>
    <n v="5.1420000000000003"/>
    <n v="51.42"/>
    <s v="Sessão Faturada"/>
    <n v="774063004316000"/>
    <n v="59624"/>
    <s v="Unidade Vieralves (ANEXO)"/>
    <n v="1713636869"/>
    <m/>
  </r>
  <r>
    <x v="1"/>
    <x v="8"/>
    <s v="Gaspar Henrique Alves Mota"/>
    <m/>
    <x v="2"/>
    <x v="0"/>
    <s v="20103115 - Atividade Reflexa Cinesioterápica (R$ 20,81)"/>
    <s v="Fisioterapia"/>
    <n v="1706520928"/>
    <s v="Finalizado (4/4)"/>
    <n v="18.312799999999999"/>
    <n v="2.4971999999999999"/>
    <n v="20.81"/>
    <s v="Sessão Faturada"/>
    <n v="774642013528010"/>
    <n v="54316"/>
    <s v="Unidade Vieralves (ANEXO)"/>
    <n v="1706520928"/>
    <m/>
  </r>
  <r>
    <x v="1"/>
    <x v="9"/>
    <s v="Adriana Antonia da Costa Barros"/>
    <s v="Feminino"/>
    <x v="2"/>
    <x v="0"/>
    <s v="20103484 - Fisioterapia - Patologia Em Um Membro (R$ 12,22)"/>
    <s v="Fisioterapia"/>
    <n v="1713637397"/>
    <s v="Finalizado (1/4)"/>
    <n v="10.7536"/>
    <n v="1.4663999999999999"/>
    <n v="12.22"/>
    <s v="Sessão a Faturar"/>
    <n v="774063004316000"/>
    <n v="59624"/>
    <s v="Unidade Vieralves (ANEXO)"/>
    <n v="1713637397"/>
    <m/>
  </r>
  <r>
    <x v="1"/>
    <x v="10"/>
    <s v="Ney Henrique Lopes Cordeiro"/>
    <s v="Masculino"/>
    <x v="2"/>
    <x v="0"/>
    <s v="20103662 - Fisioterapia - Pos Operatorio Em Um Membro (R$ 14,99)"/>
    <s v="Fisioterapia"/>
    <n v="1713642317"/>
    <s v="Finalizado (1/5)"/>
    <n v="13.1912"/>
    <n v="1.7988"/>
    <n v="14.99"/>
    <s v="Sessão a Faturar"/>
    <n v="610171790036010"/>
    <n v="58355"/>
    <s v="Unidade Vieralves (ANEXO)"/>
    <n v="1713642317"/>
    <m/>
  </r>
  <r>
    <x v="1"/>
    <x v="12"/>
    <s v="Paulo Cesar Silva Santiago"/>
    <s v="Masculino"/>
    <x v="2"/>
    <x v="0"/>
    <s v="20103514 - Fisioterapia - Patologia Em Diferentes Segmentos da Coluna (R$ 14,83)"/>
    <s v="Fisioterapia"/>
    <n v="1709882272"/>
    <s v="Finalizado (4/7)"/>
    <n v="13.0504"/>
    <n v="1.7796000000000001"/>
    <n v="14.83"/>
    <s v="Sessão a Faturar"/>
    <n v="611168920097000"/>
    <n v="19776"/>
    <s v="Unidade Vieralves (ANEXO)"/>
    <n v="1709882272"/>
    <m/>
  </r>
  <r>
    <x v="1"/>
    <x v="12"/>
    <s v="Paulo Cesar Silva Santiago"/>
    <s v="Masculino"/>
    <x v="4"/>
    <x v="0"/>
    <s v="31602185 - Estimulação Elétrica Transcutânea - Removido 13/04/2026 (R$ 40,00)"/>
    <s v="Fisioterapia"/>
    <n v="1710507488"/>
    <s v="Finalizado (3/6)"/>
    <n v="35.200000000000003"/>
    <n v="4.8"/>
    <n v="40"/>
    <s v="Sessão a Faturar"/>
    <n v="611168920097000"/>
    <n v="19776"/>
    <s v="Unidade Vieralves (ANEXO)"/>
    <n v="1710507488"/>
    <m/>
  </r>
  <r>
    <x v="2"/>
    <x v="0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5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2"/>
    <x v="1"/>
    <s v="Isabelly Bacelar Gonçalves"/>
    <s v="Feminino"/>
    <x v="0"/>
    <x v="0"/>
    <s v="50000160 - Fisioterapia Ortopedica (R$ 49,72)"/>
    <s v="Fisioterapia"/>
    <s v="42263120260316483774"/>
    <s v="Finalizado (5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2"/>
    <x v="2"/>
    <s v="Cristiane Gomes Barcelar Gonçalves"/>
    <s v="Feminino"/>
    <x v="0"/>
    <x v="0"/>
    <s v="50000160 - Fisioterapia Ortopedica (R$ 49,72)"/>
    <s v="Fisioterapia"/>
    <s v="42263120260305415598"/>
    <s v="Finalizado (7/10)"/>
    <n v="43.753599999999999"/>
    <n v="5.9664000000000001"/>
    <n v="49.72"/>
    <s v="Sessão a Faturar"/>
    <s v="010033652753"/>
    <n v="27217"/>
    <s v="Unidade Vieralves (ANEXO)"/>
    <s v="42263120260305415598"/>
    <m/>
  </r>
  <r>
    <x v="2"/>
    <x v="3"/>
    <s v="Cristiane Gomes Barcelar Gonçalves"/>
    <s v="Feminino"/>
    <x v="0"/>
    <x v="0"/>
    <s v="31602185 - Estimulação Elétrica Transcutânea Fisioterapia (Novo - 01/12) (R$ 54,13)"/>
    <s v="Fisioterapia"/>
    <s v="42263120260305415649"/>
    <s v="Finalizado (7/10)"/>
    <n v="47.634399999999999"/>
    <n v="6.4955999999999996"/>
    <n v="54.13"/>
    <s v="Sessão a Faturar"/>
    <s v="010033652753"/>
    <n v="27217"/>
    <s v="Unidade Vieralves (ANEXO)"/>
    <s v="42263120260305415649"/>
    <m/>
  </r>
  <r>
    <x v="2"/>
    <x v="4"/>
    <s v="Rosiane Mendes Valente"/>
    <s v="Feminino"/>
    <x v="1"/>
    <x v="0"/>
    <s v="50000160 - Fisioterapia Ortopédica (R$ 20,00), 98980327 - Taxa de Eletroterapia (Tens) (R$ 15,00)"/>
    <s v="Fisioterapia"/>
    <n v="9297961"/>
    <s v="Finalizado (2/8)"/>
    <n v="30.8"/>
    <n v="4.2"/>
    <n v="35"/>
    <s v="Sessão a Faturar"/>
    <n v="1301013577000200"/>
    <n v="55856"/>
    <s v="Unidade Vieralves (ANEXO)"/>
    <n v="9297961"/>
    <m/>
  </r>
  <r>
    <x v="2"/>
    <x v="6"/>
    <s v="Leticia Magalhães Mendes"/>
    <s v="Feminino"/>
    <x v="4"/>
    <x v="0"/>
    <s v="31602185 - Estimulação Elétrica Transcutânea - Removido 13/04/2026 (R$ 40,00)"/>
    <s v="Fisioterapia"/>
    <n v="1712950346"/>
    <s v="Finalizado (2/8)"/>
    <n v="35.200000000000003"/>
    <n v="4.8"/>
    <n v="40"/>
    <s v="Sessão a Faturar"/>
    <n v="775423014966000"/>
    <n v="59594"/>
    <s v="Unidade Vieralves (ANEXO)"/>
    <n v="1712950346"/>
    <m/>
  </r>
  <r>
    <x v="2"/>
    <x v="6"/>
    <s v="Laura Irene Villacrez Flores"/>
    <s v="Feminino"/>
    <x v="5"/>
    <x v="0"/>
    <s v="31602185 - Estimulação Elétrica Transcutânea (Tens) (R$ 125,40)"/>
    <s v="Fisioterapia"/>
    <n v="78268770"/>
    <s v="Finalizado (7/10)"/>
    <n v="110.352"/>
    <n v="15.048"/>
    <n v="125.4"/>
    <s v="Sessão Faturada"/>
    <s v="010080860100"/>
    <n v="59130"/>
    <s v="Unidade Vieralves (ANEXO)"/>
    <n v="78268770"/>
    <m/>
  </r>
  <r>
    <x v="2"/>
    <x v="6"/>
    <s v="Lidia Teresa Monteiro Mendes"/>
    <s v="Feminino"/>
    <x v="6"/>
    <x v="0"/>
    <s v="20103492 - Patologia Em Dois Ou Mais Membros (R$ 30,26)"/>
    <s v="Fisioterapia"/>
    <n v="171232"/>
    <s v="Finalizado (5/10)"/>
    <n v="26.628799999999998"/>
    <n v="3.6312000000000002"/>
    <n v="30.26"/>
    <s v="Sessão a Faturar"/>
    <s v="54588888004872480010"/>
    <n v="37147"/>
    <s v="Unidade Vieralves (ANEXO)"/>
    <n v="171232"/>
    <m/>
  </r>
  <r>
    <x v="2"/>
    <x v="6"/>
    <s v="Maria de Fatima da Silva Souza"/>
    <s v="Feminino"/>
    <x v="2"/>
    <x v="0"/>
    <s v="20103492 - Fisioterapia - Patologia Em Dois Ou Mais Membros (R$ 14,83)"/>
    <s v="Fisioterapia"/>
    <n v="1710422709"/>
    <s v="Finalizado (3/4)"/>
    <n v="13.0504"/>
    <n v="1.7796000000000001"/>
    <n v="14.83"/>
    <s v="Sessão a Faturar"/>
    <n v="952140115211010"/>
    <n v="23931"/>
    <s v="Unidade Vieralves (ANEXO)"/>
    <n v="1710422709"/>
    <m/>
  </r>
  <r>
    <x v="2"/>
    <x v="7"/>
    <s v="Laura Irene Villacrez Flores"/>
    <s v="Feminino"/>
    <x v="5"/>
    <x v="0"/>
    <s v="98860011 - Fisioterapia Complexidade 1 (R$ 55,26)"/>
    <s v="Fisioterapia"/>
    <n v="77963780"/>
    <s v="Finalizado (9/10)"/>
    <n v="48.628799999999998"/>
    <n v="6.6311999999999998"/>
    <n v="55.26"/>
    <s v="Sessão Faturada"/>
    <s v="010080860100"/>
    <n v="59130"/>
    <s v="Unidade Vieralves (ANEXO)"/>
    <n v="77963780"/>
    <m/>
  </r>
  <r>
    <x v="2"/>
    <x v="7"/>
    <s v="Maria de Fatima da Silva Souza"/>
    <s v="Feminino"/>
    <x v="4"/>
    <x v="0"/>
    <s v="31602185 - Estimulação Elétrica Transcutânea - Removido 13/04/2026 (R$ 40,00)"/>
    <s v="Fisioterapia"/>
    <n v="1714183326"/>
    <s v="Finalizado (1/2)"/>
    <n v="35.200000000000003"/>
    <n v="4.8"/>
    <n v="40"/>
    <s v="Sessão a Faturar"/>
    <n v="952140115211010"/>
    <n v="23931"/>
    <s v="Unidade Vieralves (ANEXO)"/>
    <n v="1714183326"/>
    <m/>
  </r>
  <r>
    <x v="2"/>
    <x v="7"/>
    <s v="Leticia Magalhães Mendes"/>
    <s v="Feminino"/>
    <x v="2"/>
    <x v="0"/>
    <s v="20103484 - Fisioterapia - Patologia Em Um Membro (R$ 12,22)"/>
    <s v="Fisioterapia"/>
    <n v="1710448748"/>
    <s v="Finalizado (4/10)"/>
    <n v="10.7536"/>
    <n v="1.4663999999999999"/>
    <n v="12.22"/>
    <s v="Sessão Faturada"/>
    <n v="775423014966000"/>
    <n v="59594"/>
    <s v="Unidade Vieralves (ANEXO)"/>
    <n v="1710448748"/>
    <m/>
  </r>
  <r>
    <x v="2"/>
    <x v="7"/>
    <s v="Lidia Teresa Monteiro Mendes"/>
    <s v="Feminino"/>
    <x v="6"/>
    <x v="0"/>
    <s v="31602185 - Estimulação Elétrica Transcutanea (Tens) (R$ 40,00)"/>
    <s v="Fisioterapia"/>
    <n v="171378"/>
    <s v="Finalizado (3/10)"/>
    <n v="35.200000000000003"/>
    <n v="4.8"/>
    <n v="40"/>
    <s v="Sessão a Faturar"/>
    <s v="54588888004872480010"/>
    <n v="37147"/>
    <s v="Unidade Vieralves (ANEXO)"/>
    <n v="171378"/>
    <m/>
  </r>
  <r>
    <x v="2"/>
    <x v="15"/>
    <s v="Claudia Maria de Moura Abrahim"/>
    <s v="Feminino"/>
    <x v="1"/>
    <x v="0"/>
    <s v="50000217 - Fisioterapia Pré e Pós Operatória (R$ 25,00), 98980327 - Taxa de Eletroterapia (Tens) (R$ 15,00)"/>
    <s v="Fisioterapia"/>
    <n v="9030934"/>
    <s v="Finalizado (7/10)"/>
    <n v="35.200000000000003"/>
    <n v="4.8"/>
    <n v="40"/>
    <s v="Sessão Faturada"/>
    <s v="0901001967210050"/>
    <n v="21456"/>
    <s v="Unidade Vieralves (ANEXO)"/>
    <n v="9030934"/>
    <m/>
  </r>
  <r>
    <x v="2"/>
    <x v="15"/>
    <s v="Eberth Lucas Vasconcelos de Santana"/>
    <s v="Masculino"/>
    <x v="7"/>
    <x v="0"/>
    <s v="Vieiralves - 1 - Fisioterapia Ortopedica - Pacote (R$ 40,00)"/>
    <s v="Fisioterapia"/>
    <n v="171209"/>
    <s v="Finalizado (5/10)"/>
    <n v="31.2"/>
    <n v="8.8000000000000007"/>
    <n v="40"/>
    <s v="No Prazo"/>
    <s v="00"/>
    <n v="59597"/>
    <s v="Unidade Vieralves (ANEXO)"/>
    <n v="171209"/>
    <m/>
  </r>
  <r>
    <x v="2"/>
    <x v="17"/>
    <s v="Gaspar Henrique Alves Mota"/>
    <m/>
    <x v="4"/>
    <x v="0"/>
    <s v="31602185 - Estimulação Elétrica Transcutânea - Removido 13/04/2026 (R$ 40,00)"/>
    <s v="Fisioterapia"/>
    <n v="1713643221"/>
    <s v="Finalizado (2/4)"/>
    <n v="35.200000000000003"/>
    <n v="4.8"/>
    <n v="40"/>
    <s v="Sessão a Faturar"/>
    <n v="774642013528010"/>
    <n v="54316"/>
    <s v="Unidade Vieralves (ANEXO)"/>
    <n v="1713643221"/>
    <m/>
  </r>
  <r>
    <x v="2"/>
    <x v="18"/>
    <s v="Gaspar Henrique Alves Mota"/>
    <m/>
    <x v="2"/>
    <x v="0"/>
    <s v="20103514 - Fisioterapia - Patologia Em Diferentes Segmentos da Coluna (R$ 14,83)"/>
    <s v="Fisioterapia"/>
    <n v="1711669686"/>
    <s v="Finalizado (2/4)"/>
    <n v="13.0504"/>
    <n v="1.7796000000000001"/>
    <n v="14.83"/>
    <s v="Sessão a Faturar"/>
    <n v="774642013528010"/>
    <n v="54316"/>
    <s v="Unidade Vieralves (ANEXO)"/>
    <n v="1711669686"/>
    <m/>
  </r>
  <r>
    <x v="2"/>
    <x v="8"/>
    <s v="Napoleão Cesar Pinheiro Ladim"/>
    <s v="Masculino"/>
    <x v="2"/>
    <x v="0"/>
    <s v="20103506 - Fisioterapia - Patologia Em Um Segmento da Coluna (R$ 12,22)"/>
    <s v="Fisioterapia"/>
    <n v="1710485213"/>
    <s v="Finalizado (2/5)"/>
    <n v="10.7536"/>
    <n v="1.4663999999999999"/>
    <n v="12.22"/>
    <s v="Sessão a Faturar"/>
    <n v="837500800019000"/>
    <n v="58942"/>
    <s v="Unidade Vieralves (ANEXO)"/>
    <n v="1710485213"/>
    <m/>
  </r>
  <r>
    <x v="2"/>
    <x v="8"/>
    <s v="Márcia Lourenço de Freitas Araújo"/>
    <s v="Feminino"/>
    <x v="5"/>
    <x v="0"/>
    <s v="98860020 - Fisioterapia Complexidade 2 - 04/03/2026 (R$ 70,79)"/>
    <s v="Fisioterapia"/>
    <n v="73872850"/>
    <s v="Finalizado (3/10)"/>
    <n v="62.295200000000001"/>
    <n v="8.4947999999999997"/>
    <n v="70.790000000000006"/>
    <s v="Sessão Faturada"/>
    <s v="0101150055000256"/>
    <n v="58755"/>
    <s v="Unidade Vieralves (ANEXO)"/>
    <n v="73872850"/>
    <m/>
  </r>
  <r>
    <x v="2"/>
    <x v="9"/>
    <s v="Napoleão Cesar Pinheiro Ladim"/>
    <s v="Masculino"/>
    <x v="4"/>
    <x v="0"/>
    <s v="31602185 - Estimulação Elétrica Transcutânea - Removido 13/04/2026 (R$ 40,00)"/>
    <s v="Fisioterapia"/>
    <n v="1714237305"/>
    <s v="Finalizado (1/4)"/>
    <n v="35.200000000000003"/>
    <n v="4.8"/>
    <n v="40"/>
    <s v="Sessão a Faturar"/>
    <n v="837500800019000"/>
    <n v="58942"/>
    <s v="Unidade Vieralves (ANEXO)"/>
    <n v="1714237305"/>
    <m/>
  </r>
  <r>
    <x v="2"/>
    <x v="9"/>
    <s v="Márcia Lourenço de Freitas Araújo"/>
    <s v="Feminino"/>
    <x v="5"/>
    <x v="0"/>
    <s v="31602185 - Estimulação Elétrica Transcutânea (Tens) - 04/03/2026 (R$ 120,28)"/>
    <s v="Fisioterapia"/>
    <n v="73905640"/>
    <s v="Finalizado (2/10)"/>
    <n v="105.8464"/>
    <n v="14.4336"/>
    <n v="120.28"/>
    <s v="Sessão Faturada"/>
    <s v="0101150055000256"/>
    <n v="58755"/>
    <s v="Unidade Vieralves (ANEXO)"/>
    <n v="73905640"/>
    <m/>
  </r>
  <r>
    <x v="2"/>
    <x v="10"/>
    <s v="Antonio Helio Borges Eliziario"/>
    <s v="Masculino"/>
    <x v="2"/>
    <x v="0"/>
    <s v="20103484 - Fisioterapia - Patologia Em Um Membro (R$ 12,22)"/>
    <s v="Fisioterapia"/>
    <n v="1711969905"/>
    <s v="Finalizado (2/5)"/>
    <n v="10.7536"/>
    <n v="1.4663999999999999"/>
    <n v="12.22"/>
    <s v="Sessão a Faturar"/>
    <n v="960016147160000"/>
    <n v="59407"/>
    <s v="Unidade Vieralves (ANEXO)"/>
    <n v="1711969905"/>
    <m/>
  </r>
  <r>
    <x v="2"/>
    <x v="10"/>
    <s v="Simone Carvalho da Silva Grijo"/>
    <s v="Feminino"/>
    <x v="5"/>
    <x v="0"/>
    <s v="98860020 - Fisioterapia Complexidade 2 - 04/03/2026 (R$ 70,79)"/>
    <s v="Fisioterapia"/>
    <n v="76803750"/>
    <s v="Finalizado (6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2"/>
    <x v="12"/>
    <s v="Hyggor da Silva Medeiros"/>
    <s v="Masculino"/>
    <x v="4"/>
    <x v="0"/>
    <s v="31602185 - Estimulação Elétrica Transcutânea - Removido 13/04/2026 (R$ 40,00)"/>
    <s v="Fisioterapia"/>
    <n v="1711684264"/>
    <s v="Finalizado (3/4)"/>
    <n v="35.200000000000003"/>
    <n v="4.8"/>
    <n v="40"/>
    <s v="Sessão Faturada"/>
    <n v="774642025895010"/>
    <n v="59368"/>
    <s v="Unidade Vieralves (ANEXO)"/>
    <n v="1711684264"/>
    <m/>
  </r>
  <r>
    <x v="2"/>
    <x v="12"/>
    <s v="Fabio Arruda Binda"/>
    <s v="Masculino"/>
    <x v="4"/>
    <x v="0"/>
    <s v="31602185 - Estimulação Elétrica Transcutânea - Removido 13/04/2026 (R$ 40,00)"/>
    <s v="Fisioterapia"/>
    <n v="1713340251"/>
    <s v="Finalizado (2/5)"/>
    <n v="35.200000000000003"/>
    <n v="4.8"/>
    <n v="40"/>
    <s v="Sessão a Faturar"/>
    <n v="812980300400000"/>
    <n v="59607"/>
    <s v="Unidade Vieralves (ANEXO)"/>
    <n v="1713340251"/>
    <m/>
  </r>
  <r>
    <x v="2"/>
    <x v="12"/>
    <s v="Antonio Gonzaga Brito Honorato Junior"/>
    <s v="Masculino"/>
    <x v="4"/>
    <x v="0"/>
    <s v="31602185 - Estimulação Elétrica Transcutânea - Removido 13/04/2026 (R$ 40,00)"/>
    <s v="Fisioterapia"/>
    <n v="1711684896"/>
    <s v="Finalizado (4/4)"/>
    <n v="35.200000000000003"/>
    <n v="4.8"/>
    <n v="40"/>
    <s v="Sessão Faturada"/>
    <n v="960019320397020"/>
    <n v="59461"/>
    <s v="Unidade Vieralves (ANEXO)"/>
    <n v="1711684896"/>
    <m/>
  </r>
  <r>
    <x v="2"/>
    <x v="19"/>
    <s v="Antonio Gonzaga Brito Honorato Junior"/>
    <s v="Masculino"/>
    <x v="2"/>
    <x v="0"/>
    <s v="20103484 - Fisioterapia - Patologia Em Um Membro (R$ 12,22)"/>
    <s v="Fisioterapia"/>
    <n v="1709850818"/>
    <s v="Finalizado (6/10)"/>
    <n v="10.7536"/>
    <n v="1.4663999999999999"/>
    <n v="12.22"/>
    <s v="Sessão Faturada"/>
    <n v="960019320397020"/>
    <n v="59461"/>
    <s v="Unidade Vieralves (ANEXO)"/>
    <n v="1709850818"/>
    <m/>
  </r>
  <r>
    <x v="2"/>
    <x v="19"/>
    <s v="Hyggor da Silva Medeiros"/>
    <s v="Masculino"/>
    <x v="2"/>
    <x v="0"/>
    <s v="20103484 - Fisioterapia - Patologia Em Um Membro (R$ 12,22)"/>
    <s v="Fisioterapia"/>
    <n v="1710507497"/>
    <s v="Finalizado (4/5)"/>
    <n v="10.7536"/>
    <n v="1.4663999999999999"/>
    <n v="12.22"/>
    <s v="Sessão Faturada"/>
    <n v="774642025895010"/>
    <n v="59368"/>
    <s v="Unidade Vieralves (ANEXO)"/>
    <n v="1710507497"/>
    <m/>
  </r>
  <r>
    <x v="2"/>
    <x v="19"/>
    <s v="Fabio Arruda Binda"/>
    <s v="Masculino"/>
    <x v="2"/>
    <x v="0"/>
    <s v="20103484 - Fisioterapia - Patologia Em Um Membro (R$ 12,22)"/>
    <s v="Fisioterapia"/>
    <n v="1712675997"/>
    <s v="Finalizado (3/6)"/>
    <n v="10.7536"/>
    <n v="1.4663999999999999"/>
    <n v="12.22"/>
    <s v="Sessão a Faturar"/>
    <n v="812980300400000"/>
    <n v="59607"/>
    <s v="Unidade Vieralves (ANEXO)"/>
    <n v="1712675997"/>
    <m/>
  </r>
  <r>
    <x v="2"/>
    <x v="20"/>
    <s v="Heberton Diego Ramalho Machado"/>
    <s v="Masculino"/>
    <x v="6"/>
    <x v="0"/>
    <s v="20103662 - Pos Operatorio Em Um Membro (R$ 22,53)"/>
    <s v="Fisioterapia"/>
    <n v="172017"/>
    <s v="Não compareceu (2/10)"/>
    <n v="22.53"/>
    <n v="0"/>
    <n v="22.53"/>
    <s v="Sessão a Faturar"/>
    <s v="55788888491271860019"/>
    <n v="15998"/>
    <s v="Unidade Vieralves (ANEXO)"/>
    <n v="172017"/>
    <m/>
  </r>
  <r>
    <x v="2"/>
    <x v="21"/>
    <s v="Heberton Diego Ramalho Machado"/>
    <s v="Masculino"/>
    <x v="6"/>
    <x v="0"/>
    <s v="31602185 - Estimulação Elétrica Transcutanea (Tens) (R$ 40,00)"/>
    <s v="Fisioterapia"/>
    <n v="172024"/>
    <s v="Não compareceu (2/7)"/>
    <n v="40"/>
    <n v="0"/>
    <n v="40"/>
    <s v="Sessão a Faturar"/>
    <s v="55788888491271860019"/>
    <n v="15998"/>
    <s v="Unidade Vieralves (ANEXO)"/>
    <n v="172024"/>
    <m/>
  </r>
  <r>
    <x v="3"/>
    <x v="22"/>
    <s v="Samira Farias Costa de Souza"/>
    <s v="Feminino"/>
    <x v="4"/>
    <x v="0"/>
    <s v="31602185 - Estimulação Elétrica Transcutânea - Removido 13/04/2026 (R$ 40,00)"/>
    <s v="Fisioterapia"/>
    <n v="1711321666"/>
    <s v="Finalizado (4/9)"/>
    <n v="35.200000000000003"/>
    <n v="4.8"/>
    <n v="40"/>
    <s v="Sessão a Faturar"/>
    <n v="774981013048010"/>
    <n v="59585"/>
    <s v="Unidade Vieralves (ANEXO)"/>
    <n v="1711321666"/>
    <m/>
  </r>
  <r>
    <x v="3"/>
    <x v="22"/>
    <s v="Lucas Catunda  Castello Branco"/>
    <s v="Masculino"/>
    <x v="6"/>
    <x v="0"/>
    <s v="20103662 - Pos Operatorio Em Um Membro (R$ 22,53)"/>
    <s v="Fisioterapia"/>
    <n v="171867"/>
    <s v="Não compareceu (3/5)"/>
    <n v="22.53"/>
    <n v="0"/>
    <n v="22.53"/>
    <s v="Sessão a Faturar"/>
    <s v="55788888491083670119"/>
    <n v="59335"/>
    <s v="Unidade Vieralves (ANEXO)"/>
    <n v="171867"/>
    <m/>
  </r>
  <r>
    <x v="3"/>
    <x v="22"/>
    <s v="Elma Carla Luna Rodrigues de Sá"/>
    <s v="Feminino"/>
    <x v="1"/>
    <x v="0"/>
    <s v="50000160 - Fisioterapia Ortopédica (R$ 20,00), 98980327 - Taxa de Eletroterapia (Tens) (R$ 15,00)"/>
    <s v="Fisioterapia"/>
    <n v="9369787"/>
    <s v="Finalizado (3/10)"/>
    <n v="30.8"/>
    <n v="4.2"/>
    <n v="35"/>
    <s v="Sessão Faturada"/>
    <n v="1301013792660000"/>
    <n v="59645"/>
    <s v="Unidade Vieralves (ANEXO)"/>
    <n v="9369787"/>
    <m/>
  </r>
  <r>
    <x v="3"/>
    <x v="23"/>
    <s v="Lucas Catunda  Castello Branco"/>
    <s v="Masculino"/>
    <x v="6"/>
    <x v="0"/>
    <s v="31602185 - Estimulação Elétrica Transcutanea (Tens) (R$ 40,00)"/>
    <s v="Fisioterapia"/>
    <n v="171991"/>
    <s v="Não compareceu (3/5)"/>
    <n v="40"/>
    <n v="0"/>
    <n v="40"/>
    <s v="Sessão a Faturar"/>
    <s v="55788888491083670119"/>
    <n v="59335"/>
    <s v="Unidade Vieralves (ANEXO)"/>
    <n v="171991"/>
    <m/>
  </r>
  <r>
    <x v="3"/>
    <x v="23"/>
    <s v="Samira Farias Costa de Souza"/>
    <s v="Feminino"/>
    <x v="2"/>
    <x v="0"/>
    <s v="20103484 - Fisioterapia - Patologia Em Um Membro (R$ 12,22)"/>
    <s v="Fisioterapia"/>
    <n v="1709716473"/>
    <s v="Finalizado (7/10)"/>
    <n v="10.7536"/>
    <n v="1.4663999999999999"/>
    <n v="12.22"/>
    <s v="Sessão Faturada"/>
    <n v="774981013048010"/>
    <n v="59585"/>
    <s v="Unidade Vieralves (ANEXO)"/>
    <n v="1709716473"/>
    <m/>
  </r>
  <r>
    <x v="3"/>
    <x v="0"/>
    <s v="Claudia Ferreira de Souza Cutar"/>
    <s v="Feminino"/>
    <x v="6"/>
    <x v="0"/>
    <s v="20103484 - Patologia Em Um Membro (R$ 14,16), 20103506 - Patologia Em Um Segmento da Coluna (R$ 14,16)"/>
    <s v="Fisioterapia"/>
    <n v="172168"/>
    <s v="Finalizado (2/5)"/>
    <n v="24.921600000000002"/>
    <n v="3.3984000000000001"/>
    <n v="28.32"/>
    <s v="Sessão a Faturar"/>
    <s v="54588888010050710012"/>
    <n v="9658"/>
    <s v="Unidade Vieralves (ANEXO)"/>
    <n v="172168"/>
    <m/>
  </r>
  <r>
    <x v="3"/>
    <x v="0"/>
    <s v="Maria de Fatima Chaves Coimbra"/>
    <s v="Feminino"/>
    <x v="6"/>
    <x v="0"/>
    <s v="20103484 - Patologia Em Um Membro (R$ 14,16), 20103506 - Patologia Em Um Segmento da Coluna (R$ 14,16)"/>
    <s v="Fisioterapia"/>
    <n v="171008"/>
    <s v="Finalizado (2/10)"/>
    <n v="24.921600000000002"/>
    <n v="3.3984000000000001"/>
    <n v="28.32"/>
    <s v="Sessão a Faturar"/>
    <s v="55788888000967700014"/>
    <n v="19051"/>
    <s v="Unidade Vieralves (ANEXO)"/>
    <n v="171008"/>
    <m/>
  </r>
  <r>
    <x v="3"/>
    <x v="1"/>
    <s v="Maria de Fatima Chaves Coimbra"/>
    <s v="Feminino"/>
    <x v="6"/>
    <x v="0"/>
    <s v="31602185 - Estimulação Elétrica Transcutanea (Tens) (R$ 40,00)"/>
    <s v="Fisioterapia"/>
    <n v="171993"/>
    <s v="Finalizado (2/10)"/>
    <n v="35.200000000000003"/>
    <n v="4.8"/>
    <n v="40"/>
    <s v="Sessão a Faturar"/>
    <s v="55788888000967700014"/>
    <n v="19051"/>
    <s v="Unidade Vieralves (ANEXO)"/>
    <n v="171993"/>
    <m/>
  </r>
  <r>
    <x v="3"/>
    <x v="1"/>
    <s v="Claudia Ferreira de Souza Cutar"/>
    <s v="Feminino"/>
    <x v="6"/>
    <x v="0"/>
    <s v="31602185 - Estimulação Elétrica Transcutanea (Tens) (R$ 40,00)"/>
    <s v="Fisioterapia"/>
    <n v="172169"/>
    <s v="Finalizado (2/5)"/>
    <n v="35.200000000000003"/>
    <n v="4.8"/>
    <n v="40"/>
    <s v="Sessão a Faturar"/>
    <s v="54588888010050710012"/>
    <n v="9658"/>
    <s v="Unidade Vieralves (ANEXO)"/>
    <n v="172169"/>
    <m/>
  </r>
  <r>
    <x v="3"/>
    <x v="2"/>
    <s v="Ana Cristina Medeiros Lima"/>
    <s v="Feminino"/>
    <x v="7"/>
    <x v="0"/>
    <s v="Vieiralves - 33 - Fisioterapia Ortopedica - Sessão Avulsa (R$ 90,00)"/>
    <s v="Fisioterapia"/>
    <m/>
    <s v="Finalizado (1/1)"/>
    <n v="70.2"/>
    <n v="19.8"/>
    <n v="90"/>
    <s v="Pago"/>
    <s v="0104004021230003"/>
    <n v="59273"/>
    <s v="Unidade Vieralves (ANEXO)"/>
    <m/>
    <m/>
  </r>
  <r>
    <x v="3"/>
    <x v="2"/>
    <s v="Marcio da Silva Monteiro"/>
    <s v="Masculino"/>
    <x v="8"/>
    <x v="0"/>
    <s v="20103662 - Pos Operatorio Em Um Membro (R$ 14,99)"/>
    <s v="Fisioterapia"/>
    <n v="1711004503"/>
    <s v="Finalizado (2/2)"/>
    <n v="13.1912"/>
    <n v="1.7988"/>
    <n v="14.99"/>
    <s v="Sessão a Faturar"/>
    <n v="954600033812020"/>
    <n v="59627"/>
    <s v="Unidade Vieralves (ANEXO)"/>
    <n v="1711004503"/>
    <m/>
  </r>
  <r>
    <x v="3"/>
    <x v="2"/>
    <s v="Ladyane Moreno Rosa de Almeida"/>
    <s v="Feminino"/>
    <x v="6"/>
    <x v="0"/>
    <s v="31602185 - Estimulação Elétrica Transcutanea (Tens) (R$ 40,00)"/>
    <s v="Fisioterapia"/>
    <n v="170201"/>
    <s v="Finalizado (5/5)"/>
    <n v="35.200000000000003"/>
    <n v="4.8"/>
    <n v="40"/>
    <s v="Sessão a Faturar"/>
    <s v="56788888487957080014"/>
    <n v="56246"/>
    <s v="Unidade Vieralves (ANEXO)"/>
    <n v="170201"/>
    <m/>
  </r>
  <r>
    <x v="3"/>
    <x v="3"/>
    <s v="Marcio da Silva Monteiro"/>
    <s v="Masculino"/>
    <x v="9"/>
    <x v="0"/>
    <s v="31602185 - Estimulação Elétrica Transcutânea (Tens) - Removido 13/04/2026 (R$ 40,00)"/>
    <s v="Fisioterapia"/>
    <n v="1714674910"/>
    <s v="Finalizado (1/1)"/>
    <n v="35.200000000000003"/>
    <n v="4.8"/>
    <n v="40"/>
    <s v="Sessão a Faturar"/>
    <n v="954600033812020"/>
    <n v="59627"/>
    <s v="Unidade Vieralves (ANEXO)"/>
    <n v="1714674910"/>
    <m/>
  </r>
  <r>
    <x v="3"/>
    <x v="3"/>
    <s v="Ladyane Moreno Rosa de Almeida"/>
    <s v="Feminino"/>
    <x v="6"/>
    <x v="0"/>
    <s v="20103484 - Patologia Em Um Membro (R$ 14,16)"/>
    <s v="Fisioterapia"/>
    <n v="172302"/>
    <s v="Finalizado (1/2)"/>
    <n v="12.460800000000001"/>
    <n v="1.6992"/>
    <n v="14.16"/>
    <s v="Sessão a Faturar"/>
    <s v="56788888487957080014"/>
    <n v="56246"/>
    <s v="Unidade Vieralves (ANEXO)"/>
    <n v="172302"/>
    <m/>
  </r>
  <r>
    <x v="3"/>
    <x v="4"/>
    <s v="Rosiane Mendes Valente"/>
    <s v="Feminino"/>
    <x v="1"/>
    <x v="0"/>
    <s v="50000160 - Fisioterapia Ortopédica (R$ 20,00), 98980327 - Taxa de Eletroterapia (Tens) (R$ 15,00)"/>
    <s v="Fisioterapia"/>
    <n v="9297961"/>
    <s v="Finalizado (3/8)"/>
    <n v="30.8"/>
    <n v="4.2"/>
    <n v="35"/>
    <s v="Sessão a Faturar"/>
    <n v="1301013577000200"/>
    <n v="55856"/>
    <s v="Unidade Vieralves (ANEXO)"/>
    <n v="9297961"/>
    <m/>
  </r>
  <r>
    <x v="3"/>
    <x v="4"/>
    <s v="Rosineide Rodrigues Arcanjo"/>
    <s v="Feminino"/>
    <x v="4"/>
    <x v="0"/>
    <s v="31602185 - Estimulação Elétrica Transcutânea - Removido 13/04/2026 (R$ 40,00)"/>
    <s v="Fisioterapia"/>
    <n v="1711548824"/>
    <s v="Finalizado (5/7)"/>
    <n v="35.200000000000003"/>
    <n v="4.8"/>
    <n v="40"/>
    <s v="Sessão Faturada"/>
    <n v="774063004219030"/>
    <n v="50224"/>
    <s v="Unidade Vieralves (ANEXO)"/>
    <n v="1711548824"/>
    <m/>
  </r>
  <r>
    <x v="3"/>
    <x v="4"/>
    <s v="Richarles de Araújo Sousa"/>
    <s v="Masculino"/>
    <x v="1"/>
    <x v="0"/>
    <s v="50000160 - Fisioterapia Ortopédica (R$ 20,00), 98980327 - Taxa de Eletroterapia (Tens) (R$ 15,00)"/>
    <s v="Fisioterapia"/>
    <n v="9320335"/>
    <s v="Finalizado (2/8)"/>
    <n v="30.8"/>
    <n v="4.2"/>
    <n v="35"/>
    <s v="Sessão a Faturar"/>
    <n v="1301013026380000"/>
    <n v="58337"/>
    <s v="Unidade Vieralves (ANEXO)"/>
    <n v="9320335"/>
    <m/>
  </r>
  <r>
    <x v="3"/>
    <x v="4"/>
    <s v="Natálya da Silva Sampaio"/>
    <s v="Feminino"/>
    <x v="1"/>
    <x v="0"/>
    <s v="50000160 - Fisioterapia Ortopédica (R$ 20,00), 98980327 - Taxa de Eletroterapia (Tens) (R$ 15,00)"/>
    <s v="Fisioterapia"/>
    <n v="9325509"/>
    <s v="Finalizado (2/8)"/>
    <n v="30.8"/>
    <n v="4.2"/>
    <n v="35"/>
    <s v="Sessão a Faturar"/>
    <n v="1301013026380200"/>
    <n v="59331"/>
    <s v="Unidade Vieralves (ANEXO)"/>
    <n v="9325509"/>
    <m/>
  </r>
  <r>
    <x v="3"/>
    <x v="5"/>
    <s v="Rosineide Rodrigues Arcanjo"/>
    <s v="Feminino"/>
    <x v="2"/>
    <x v="0"/>
    <s v="20103514 - Fisioterapia - Patologia Em Diferentes Segmentos da Coluna (R$ 14,83)"/>
    <s v="Fisioterapia"/>
    <n v="1709777911"/>
    <s v="Finalizado (7/9)"/>
    <n v="13.0504"/>
    <n v="1.7796000000000001"/>
    <n v="14.83"/>
    <s v="Sessão Faturada"/>
    <n v="774063004219030"/>
    <n v="50224"/>
    <s v="Unidade Vieralves (ANEXO)"/>
    <n v="1709777911"/>
    <m/>
  </r>
  <r>
    <x v="3"/>
    <x v="13"/>
    <s v="Genilza Evaristo Machado Moreira"/>
    <s v="Feminino"/>
    <x v="1"/>
    <x v="0"/>
    <s v="50000160 - Fisioterapia Ortopédica (R$ 20,00), 98980327 - Taxa de Eletroterapia (Tens) (R$ 15,00)"/>
    <s v="Fisioterapia"/>
    <n v="9318751"/>
    <s v="Finalizado (4/10)"/>
    <n v="30.8"/>
    <n v="4.2"/>
    <n v="35"/>
    <s v="Sessão Faturada"/>
    <n v="1901012887600100"/>
    <n v="59599"/>
    <s v="Unidade Vieralves (ANEXO)"/>
    <n v="9318751"/>
    <m/>
  </r>
  <r>
    <x v="3"/>
    <x v="13"/>
    <s v="Sofia Araujo Pereira Ferreira"/>
    <s v="Feminino"/>
    <x v="4"/>
    <x v="0"/>
    <s v="31602185 - Estimulação Elétrica Transcutânea - Removido 13/04/2026 (R$ 40,00)"/>
    <s v="Fisioterapia"/>
    <n v="1710989888"/>
    <s v="Finalizado (2/4)"/>
    <n v="35.200000000000003"/>
    <n v="4.8"/>
    <n v="40"/>
    <s v="Sessão a Faturar"/>
    <n v="814438300051020"/>
    <n v="59164"/>
    <s v="Unidade Vieralves (ANEXO)"/>
    <n v="1710989888"/>
    <m/>
  </r>
  <r>
    <x v="3"/>
    <x v="13"/>
    <s v="Laiane Tammy Abati"/>
    <s v="Feminino"/>
    <x v="1"/>
    <x v="0"/>
    <s v="50000160 - Fisioterapia Ortopédica (R$ 20,00), 98980327 - Taxa de Eletroterapia (Tens) (R$ 15,00)"/>
    <s v="Fisioterapia"/>
    <n v="8920855"/>
    <s v="Finalizado (7/10)"/>
    <n v="30.8"/>
    <n v="4.2"/>
    <n v="35"/>
    <s v="Sessão Faturada"/>
    <s v="0901013277860067"/>
    <n v="59363"/>
    <s v="Unidade Vieralves (ANEXO)"/>
    <n v="8920855"/>
    <s v="GUIA ASSINADA!!!!!"/>
  </r>
  <r>
    <x v="3"/>
    <x v="13"/>
    <s v="Rosemeire Gomes da Silva"/>
    <s v="Feminino"/>
    <x v="8"/>
    <x v="0"/>
    <s v="20103492 - Patologia Em Dois Ou Mais Membros (R$ 14,83)"/>
    <s v="Fisioterapia"/>
    <n v="1714711023"/>
    <s v="Finalizado (1/10)"/>
    <n v="13.0504"/>
    <n v="1.7796000000000001"/>
    <n v="14.83"/>
    <s v="Sessão a Faturar"/>
    <n v="954600005541000"/>
    <n v="36089"/>
    <s v="Unidade Vieralves (ANEXO)"/>
    <n v="1714711023"/>
    <m/>
  </r>
  <r>
    <x v="3"/>
    <x v="14"/>
    <s v="Sofia Araujo Pereira Ferreira"/>
    <s v="Feminino"/>
    <x v="2"/>
    <x v="0"/>
    <s v="20103514 - Fisioterapia - Patologia Em Diferentes Segmentos da Coluna (R$ 14,83)"/>
    <s v="Fisioterapia"/>
    <n v="1714686879"/>
    <s v="Finalizado (1/5)"/>
    <n v="13.0504"/>
    <n v="1.7796000000000001"/>
    <n v="14.83"/>
    <s v="Sessão a Faturar"/>
    <n v="814438300051020"/>
    <n v="59164"/>
    <s v="Unidade Vieralves (ANEXO)"/>
    <n v="1714686879"/>
    <m/>
  </r>
  <r>
    <x v="3"/>
    <x v="6"/>
    <s v="Larissa Castro Barbosa"/>
    <s v="Feminino"/>
    <x v="1"/>
    <x v="0"/>
    <s v="50000160 - Fisioterapia Ortopédica (R$ 20,00), 98980327 - Taxa de Eletroterapia (Tens) (R$ 15,00)"/>
    <s v="Fisioterapia"/>
    <n v="9391083"/>
    <s v="Finalizado (3/10)"/>
    <n v="30.8"/>
    <n v="4.2"/>
    <n v="35"/>
    <s v="Sessão Faturada"/>
    <s v="0901010162540294"/>
    <n v="53890"/>
    <s v="Unidade Vieralves (ANEXO)"/>
    <n v="9391083"/>
    <m/>
  </r>
  <r>
    <x v="3"/>
    <x v="6"/>
    <s v="Estela Maria Galvao Vidal de Abreu"/>
    <s v="Feminino"/>
    <x v="4"/>
    <x v="0"/>
    <s v="31602185 - Estimulação Elétrica Transcutânea - Removido 13/04/2026 (R$ 40,00)"/>
    <s v="Fisioterapia"/>
    <n v="1711603141"/>
    <s v="Finalizado (4/5)"/>
    <n v="35.200000000000003"/>
    <n v="4.8"/>
    <n v="40"/>
    <s v="Sessão Faturada"/>
    <n v="836922200019000"/>
    <n v="45049"/>
    <s v="Unidade Vieralves (ANEXO)"/>
    <n v="1711603141"/>
    <m/>
  </r>
  <r>
    <x v="3"/>
    <x v="6"/>
    <s v="Lidia Teresa Monteiro Mendes"/>
    <s v="Feminino"/>
    <x v="6"/>
    <x v="0"/>
    <s v="20103492 - Patologia Em Dois Ou Mais Membros (R$ 30,26)"/>
    <s v="Fisioterapia"/>
    <n v="171232"/>
    <s v="Finalizado (6/10)"/>
    <n v="26.628799999999998"/>
    <n v="3.6312000000000002"/>
    <n v="30.26"/>
    <s v="Sessão a Faturar"/>
    <s v="54588888004872480010"/>
    <n v="37147"/>
    <s v="Unidade Vieralves (ANEXO)"/>
    <n v="171232"/>
    <m/>
  </r>
  <r>
    <x v="3"/>
    <x v="6"/>
    <s v="Rosineide Vieira Lima"/>
    <s v="Feminino"/>
    <x v="1"/>
    <x v="0"/>
    <s v="50000160 - Fisioterapia Ortopédica (R$ 20,00), 98980327 - Taxa de Eletroterapia (Tens) (R$ 15,00)"/>
    <s v="Fisioterapia"/>
    <n v="9321749"/>
    <s v="Finalizado (4/10)"/>
    <n v="30.8"/>
    <n v="4.2"/>
    <n v="35"/>
    <s v="Sessão Faturada"/>
    <s v="0902002479470014"/>
    <n v="59297"/>
    <s v="Unidade Vieralves (ANEXO)"/>
    <n v="9321749"/>
    <m/>
  </r>
  <r>
    <x v="3"/>
    <x v="6"/>
    <s v="Hercilio Tenorio de Barros Filho"/>
    <s v="Masculino"/>
    <x v="7"/>
    <x v="0"/>
    <s v="Vieiralves - 1 - Fisioterapia Ortopedica - Pacote (R$ 80,00)"/>
    <s v="Fisioterapia"/>
    <m/>
    <s v="Finalizado (1/10)"/>
    <n v="62.4"/>
    <n v="17.600000000000001"/>
    <n v="80"/>
    <s v="Pago"/>
    <n v="0"/>
    <n v="59673"/>
    <s v="Unidade Vieralves (ANEXO)"/>
    <m/>
    <m/>
  </r>
  <r>
    <x v="3"/>
    <x v="6"/>
    <s v="Lidia Teresa Monteiro Mendes"/>
    <s v="Feminino"/>
    <x v="6"/>
    <x v="0"/>
    <s v="31602185 - Estimulação Elétrica Transcutanea (Tens) (R$ 40,00)"/>
    <s v="Fisioterapia"/>
    <n v="171378"/>
    <s v="Finalizado (4/10)"/>
    <n v="35.200000000000003"/>
    <n v="4.8"/>
    <n v="40"/>
    <s v="Sessão a Faturar"/>
    <s v="54588888004872480010"/>
    <n v="37147"/>
    <s v="Unidade Vieralves (ANEXO)"/>
    <n v="171378"/>
    <m/>
  </r>
  <r>
    <x v="3"/>
    <x v="7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6/10)"/>
    <n v="21.507200000000001"/>
    <n v="2.9327999999999999"/>
    <n v="24.44"/>
    <s v="Sessão Faturada"/>
    <n v="836922200019000"/>
    <n v="45049"/>
    <s v="Unidade Vieralves (ANEXO)"/>
    <n v="1709766067"/>
    <m/>
  </r>
  <r>
    <x v="3"/>
    <x v="15"/>
    <s v="Claudia Maria de Moura Abrahim"/>
    <s v="Feminino"/>
    <x v="1"/>
    <x v="0"/>
    <s v="50000217 - Fisioterapia Pré e Pós Operatória (R$ 25,00), 98980327 - Taxa de Eletroterapia (Tens) (R$ 15,00)"/>
    <s v="Fisioterapia"/>
    <n v="9030934"/>
    <s v="Finalizado (8/10)"/>
    <n v="35.200000000000003"/>
    <n v="4.8"/>
    <n v="40"/>
    <s v="Sessão Faturada"/>
    <s v="0901001967210050"/>
    <n v="21456"/>
    <s v="Unidade Vieralves (ANEXO)"/>
    <n v="9030934"/>
    <m/>
  </r>
  <r>
    <x v="3"/>
    <x v="17"/>
    <s v="Hugo Bomfim da Silva"/>
    <s v="Masculino"/>
    <x v="6"/>
    <x v="0"/>
    <s v="50000144 - Avaliação de Fisioterapia (R$ 56,52)"/>
    <s v="Fisioterapia"/>
    <n v="7700047308"/>
    <s v="Finalizado (1/1)"/>
    <n v="50.868000000000002"/>
    <n v="5.6520000000000001"/>
    <n v="56.52"/>
    <s v="Sessão Faturada"/>
    <s v="56788888021641330012"/>
    <n v="59681"/>
    <s v="Unidade Vieralves (ANEXO)"/>
    <n v="7700047308"/>
    <m/>
  </r>
  <r>
    <x v="3"/>
    <x v="17"/>
    <s v="Marcelo Batista Moreira"/>
    <s v="Masculino"/>
    <x v="7"/>
    <x v="0"/>
    <s v="Vieiralves - 1 - Fisioterapia Ortopedica - Pacote (R$ 80,00)"/>
    <s v="Fisioterapia"/>
    <m/>
    <s v="Finalizado (3/10)"/>
    <n v="62.4"/>
    <n v="17.600000000000001"/>
    <n v="80"/>
    <s v="No Prazo"/>
    <n v="0"/>
    <n v="59656"/>
    <s v="Unidade Vieralves (ANEXO)"/>
    <m/>
    <m/>
  </r>
  <r>
    <x v="3"/>
    <x v="17"/>
    <s v="Nayara Talassa Damasceno Inácio"/>
    <s v="Feminino"/>
    <x v="2"/>
    <x v="0"/>
    <s v="20103662 - Fisioterapia - Pos Operatorio Em Um Membro (R$ 14,99)"/>
    <s v="Fisioterapia"/>
    <n v="1714106666"/>
    <s v="Finalizado (2/10)"/>
    <n v="13.1912"/>
    <n v="1.7988"/>
    <n v="14.99"/>
    <s v="Sessão Faturada"/>
    <n v="774981007498010"/>
    <n v="55360"/>
    <s v="Unidade Vieralves (ANEXO)"/>
    <n v="1714106666"/>
    <m/>
  </r>
  <r>
    <x v="3"/>
    <x v="24"/>
    <s v="Hugo Bomfim da Silva"/>
    <s v="Masculino"/>
    <x v="6"/>
    <x v="0"/>
    <s v="20103514 - Patologia Em Dois Ou Mais Segmentos da Coluna (R$ 32,82)"/>
    <s v="Fisioterapia"/>
    <n v="172330"/>
    <s v="Finalizado (1/10)"/>
    <n v="28.881599999999999"/>
    <n v="3.9384000000000001"/>
    <n v="32.82"/>
    <s v="Sessão a Faturar"/>
    <s v="56788888021641330012"/>
    <n v="59681"/>
    <s v="Unidade Vieralves (ANEXO)"/>
    <n v="172330"/>
    <m/>
  </r>
  <r>
    <x v="3"/>
    <x v="25"/>
    <s v="Hugo Bomfim da Silva"/>
    <s v="Masculino"/>
    <x v="6"/>
    <x v="0"/>
    <s v="31602185 - Estimulação Elétrica Transcutanea (Tens) (R$ 40,00)"/>
    <s v="Fisioterapia"/>
    <n v="172332"/>
    <s v="Finalizado (1/3)"/>
    <n v="35.200000000000003"/>
    <n v="4.8"/>
    <n v="40"/>
    <s v="Sessão a Faturar"/>
    <s v="56788888021641330012"/>
    <n v="59681"/>
    <s v="Unidade Vieralves (ANEXO)"/>
    <n v="172332"/>
    <m/>
  </r>
  <r>
    <x v="3"/>
    <x v="8"/>
    <s v="Nathalia Cristina Gabriel"/>
    <s v="Feminino"/>
    <x v="6"/>
    <x v="0"/>
    <s v="31602185 - Estimulação Elétrica Transcutanea (Tens) (R$ 40,00)"/>
    <s v="Fisioterapia"/>
    <n v="171071"/>
    <s v="Finalizado (5/5)"/>
    <n v="35.200000000000003"/>
    <n v="4.8"/>
    <n v="40"/>
    <s v="Sessão a Faturar"/>
    <s v="54563002000013620010"/>
    <n v="48743"/>
    <s v="Unidade Vieralves (ANEXO)"/>
    <n v="171071"/>
    <m/>
  </r>
  <r>
    <x v="3"/>
    <x v="8"/>
    <s v="Gaspar Henrique Alves Mota"/>
    <m/>
    <x v="4"/>
    <x v="0"/>
    <s v="31602185 - Estimulação Elétrica Transcutânea - Removido 13/04/2026 (R$ 40,00)"/>
    <s v="Fisioterapia"/>
    <n v="1713643221"/>
    <s v="Finalizado (3/4)"/>
    <n v="35.200000000000003"/>
    <n v="4.8"/>
    <n v="40"/>
    <s v="Sessão a Faturar"/>
    <n v="774642013528010"/>
    <n v="54316"/>
    <s v="Unidade Vieralves (ANEXO)"/>
    <n v="1713643221"/>
    <m/>
  </r>
  <r>
    <x v="3"/>
    <x v="8"/>
    <s v="Edmundo dos Santos Freitas"/>
    <s v="Masculino"/>
    <x v="10"/>
    <x v="0"/>
    <s v="50000160 - Fisioterapia Ortopédica (R$ 15,00)"/>
    <s v="Fisioterapia"/>
    <n v="21123843"/>
    <s v="Finalizado (4/10)"/>
    <n v="13.2"/>
    <n v="1.8"/>
    <n v="15"/>
    <s v="Sessão Faturada"/>
    <s v="00010064289222002"/>
    <n v="59546"/>
    <s v="Unidade Vieralves (ANEXO)"/>
    <n v="21123843"/>
    <m/>
  </r>
  <r>
    <x v="3"/>
    <x v="8"/>
    <s v="Gaspar Henrique Alves Mota"/>
    <m/>
    <x v="2"/>
    <x v="0"/>
    <s v="20103514 - Fisioterapia - Patologia Em Diferentes Segmentos da Coluna (R$ 14,83)"/>
    <s v="Fisioterapia"/>
    <n v="1711669686"/>
    <s v="Finalizado (3/4)"/>
    <n v="13.0504"/>
    <n v="1.7796000000000001"/>
    <n v="14.83"/>
    <s v="Sessão a Faturar"/>
    <n v="774642013528010"/>
    <n v="54316"/>
    <s v="Unidade Vieralves (ANEXO)"/>
    <n v="1711669686"/>
    <m/>
  </r>
  <r>
    <x v="3"/>
    <x v="8"/>
    <s v="Nathalia Cristina Gabriel"/>
    <s v="Feminino"/>
    <x v="6"/>
    <x v="0"/>
    <s v="20103492 - Patologia Em Dois Ou Mais Membros (R$ 30,26)"/>
    <s v="Fisioterapia"/>
    <n v="171070"/>
    <s v="Finalizado (5/5)"/>
    <n v="26.628799999999998"/>
    <n v="3.6312000000000002"/>
    <n v="30.26"/>
    <s v="Sessão a Faturar"/>
    <s v="54563002000013620010"/>
    <n v="48743"/>
    <s v="Unidade Vieralves (ANEXO)"/>
    <n v="171070"/>
    <m/>
  </r>
  <r>
    <x v="3"/>
    <x v="10"/>
    <s v="Alexsandro de Pierri Camara Frangos"/>
    <s v="Masculino"/>
    <x v="6"/>
    <x v="0"/>
    <s v="20103514 - Patologia Em Dois Ou Mais Segmentos da Coluna (R$ 32,82)"/>
    <s v="Fisioterapia"/>
    <n v="171696"/>
    <s v="Finalizado (3/5)"/>
    <n v="28.881599999999999"/>
    <n v="3.9384000000000001"/>
    <n v="32.82"/>
    <s v="Sessão a Faturar"/>
    <s v="44520813095886520010"/>
    <n v="59453"/>
    <s v="Unidade Vieralves (ANEXO)"/>
    <n v="171696"/>
    <m/>
  </r>
  <r>
    <x v="3"/>
    <x v="10"/>
    <s v="Leandro Guimaraes dos Santos"/>
    <m/>
    <x v="1"/>
    <x v="0"/>
    <s v="50000160 - Fisioterapia Ortopédica (R$ 20,00), 98980327 - Taxa de Eletroterapia (Tens) (R$ 15,00)"/>
    <s v="Fisioterapia"/>
    <n v="9274123"/>
    <s v="Finalizado (6/7)"/>
    <n v="30.8"/>
    <n v="4.2"/>
    <n v="35"/>
    <s v="Sessão Faturada"/>
    <n v="1901013998000200"/>
    <n v="59051"/>
    <s v="Unidade Vieralves (ANEXO)"/>
    <n v="9274123"/>
    <m/>
  </r>
  <r>
    <x v="3"/>
    <x v="10"/>
    <s v="Luciana Nascimento da Silva"/>
    <s v="Feminino"/>
    <x v="7"/>
    <x v="0"/>
    <s v="Vieiralves - 1 - Fisioterapia Ortopedica - Pacote (R$ 40,00)"/>
    <s v="Fisioterapia"/>
    <m/>
    <s v="Finalizado (6/10)"/>
    <n v="31.2"/>
    <n v="8.8000000000000007"/>
    <n v="40"/>
    <s v="No Prazo"/>
    <s v="00"/>
    <n v="31909"/>
    <s v="Unidade Vieralves (ANEXO)"/>
    <m/>
    <m/>
  </r>
  <r>
    <x v="3"/>
    <x v="11"/>
    <s v="Alexsandro de Pierri Camara Frangos"/>
    <s v="Masculino"/>
    <x v="6"/>
    <x v="0"/>
    <s v="31602185 - Estimulação Elétrica Transcutanea (Tens) (R$ 40,00)"/>
    <s v="Fisioterapia"/>
    <n v="171697"/>
    <s v="Finalizado (3/5)"/>
    <n v="35.200000000000003"/>
    <n v="4.8"/>
    <n v="40"/>
    <s v="Sessão a Faturar"/>
    <s v="44520813095886520010"/>
    <n v="59453"/>
    <s v="Unidade Vieralves (ANEXO)"/>
    <n v="171697"/>
    <s v="GUIA ASSINADA"/>
  </r>
  <r>
    <x v="3"/>
    <x v="12"/>
    <s v="Willian da Silva Marques"/>
    <s v="Masculino"/>
    <x v="6"/>
    <x v="0"/>
    <s v="20103484 - Patologia Em Um Membro (R$ 14,16)"/>
    <s v="Fisioterapia"/>
    <n v="171333"/>
    <s v="Finalizado (5/10)"/>
    <n v="12.460800000000001"/>
    <n v="1.6992"/>
    <n v="14.16"/>
    <s v="Sessão a Faturar"/>
    <s v="58201065997798090011"/>
    <n v="58695"/>
    <s v="Unidade Vieralves (ANEXO)"/>
    <n v="171333"/>
    <m/>
  </r>
  <r>
    <x v="3"/>
    <x v="12"/>
    <s v="Yago Amaral Ferreira"/>
    <s v="Masculino"/>
    <x v="2"/>
    <x v="0"/>
    <s v="20103484 - Fisioterapia - Patologia Em Um Membro (R$ 12,22)"/>
    <s v="Fisioterapia"/>
    <n v="1713022685"/>
    <s v="Finalizado (2/3)"/>
    <n v="10.7536"/>
    <n v="1.4663999999999999"/>
    <n v="12.22"/>
    <s v="Sessão Faturada"/>
    <n v="773626008052010"/>
    <n v="33956"/>
    <s v="Unidade Vieralves (ANEXO)"/>
    <n v="1713022685"/>
    <m/>
  </r>
  <r>
    <x v="3"/>
    <x v="12"/>
    <s v="Willian da Silva Marques"/>
    <s v="Masculino"/>
    <x v="6"/>
    <x v="0"/>
    <s v="31602185 - Estimulação Elétrica Transcutanea (Tens) (R$ 40,00)"/>
    <s v="Fisioterapia"/>
    <n v="171562"/>
    <s v="Finalizado (5/10)"/>
    <n v="35.200000000000003"/>
    <n v="4.8"/>
    <n v="40"/>
    <s v="Sessão a Faturar"/>
    <s v="58201065997798090011"/>
    <n v="58695"/>
    <s v="Unidade Vieralves (ANEXO)"/>
    <n v="171562"/>
    <m/>
  </r>
  <r>
    <x v="3"/>
    <x v="19"/>
    <s v="Yago Amaral Ferreira"/>
    <s v="Masculino"/>
    <x v="4"/>
    <x v="0"/>
    <s v="31602185 - Estimulação Elétrica Transcutânea - Removido 13/04/2026 (R$ 40,00)"/>
    <s v="Fisioterapia"/>
    <n v="1714778381"/>
    <s v="Finalizado (1/2)"/>
    <n v="35.200000000000003"/>
    <n v="4.8"/>
    <n v="40"/>
    <s v="Sessão Faturada"/>
    <n v="773626008052010"/>
    <n v="33956"/>
    <s v="Unidade Vieralves (ANEXO)"/>
    <n v="1714778381"/>
    <m/>
  </r>
  <r>
    <x v="3"/>
    <x v="20"/>
    <s v="Heberton Diego Ramalho Machado"/>
    <s v="Masculino"/>
    <x v="6"/>
    <x v="0"/>
    <s v="31602185 - Estimulação Elétrica Transcutanea (Tens) (R$ 40,00)"/>
    <s v="Fisioterapia"/>
    <n v="172024"/>
    <s v="Finalizado (3/7)"/>
    <n v="35.200000000000003"/>
    <n v="4.8"/>
    <n v="40"/>
    <s v="Sessão a Faturar"/>
    <s v="55788888491271860019"/>
    <n v="15998"/>
    <s v="Unidade Vieralves (ANEXO)"/>
    <n v="172024"/>
    <m/>
  </r>
  <r>
    <x v="3"/>
    <x v="20"/>
    <s v="Heberton Diego Ramalho Machado"/>
    <s v="Masculino"/>
    <x v="6"/>
    <x v="0"/>
    <s v="20103662 - Pos Operatorio Em Um Membro (R$ 22,53)"/>
    <s v="Fisioterapia"/>
    <n v="172017"/>
    <s v="Finalizado (3/10)"/>
    <n v="19.8264"/>
    <n v="2.7035999999999998"/>
    <n v="22.53"/>
    <s v="Sessão a Faturar"/>
    <s v="55788888491271860019"/>
    <n v="15998"/>
    <s v="Unidade Vieralves (ANEXO)"/>
    <n v="172017"/>
    <m/>
  </r>
  <r>
    <x v="4"/>
    <x v="0"/>
    <s v="Ivanildes Barbosa da Silva"/>
    <s v="Feminino"/>
    <x v="6"/>
    <x v="0"/>
    <s v="20103484 - Patologia Em Um Membro (R$ 14,16)"/>
    <s v="Fisioterapia"/>
    <n v="171669"/>
    <s v="Finalizado (2/5)"/>
    <n v="12.460800000000001"/>
    <n v="1.6992"/>
    <n v="14.16"/>
    <s v="Sessão a Faturar"/>
    <s v="54588888019240100022"/>
    <n v="58583"/>
    <s v="Unidade Vieralves (ANEXO)"/>
    <n v="171669"/>
    <m/>
  </r>
  <r>
    <x v="4"/>
    <x v="0"/>
    <s v="Isabelly Bacelar Gonçalves"/>
    <s v="Feminino"/>
    <x v="0"/>
    <x v="0"/>
    <s v="50000160 - Fisioterapia Ortopedica (R$ 49,72)"/>
    <s v="Fisioterapia"/>
    <s v="42263120260316483774"/>
    <s v="Finalizado (6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4"/>
    <x v="1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6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4"/>
    <x v="1"/>
    <s v="Ivanildes Barbosa da Silva"/>
    <s v="Feminino"/>
    <x v="6"/>
    <x v="0"/>
    <s v="31602185 - Estimulação Elétrica Transcutanea (Tens) (R$ 40,00)"/>
    <s v="Fisioterapia"/>
    <n v="171670"/>
    <s v="Finalizado (2/3)"/>
    <n v="35.200000000000003"/>
    <n v="4.8"/>
    <n v="40"/>
    <s v="Sessão a Faturar"/>
    <s v="54588888019240100022"/>
    <n v="58583"/>
    <s v="Unidade Vieralves (ANEXO)"/>
    <n v="171670"/>
    <m/>
  </r>
  <r>
    <x v="4"/>
    <x v="2"/>
    <s v="Cristiane Gomes Barcelar Gonçalves"/>
    <s v="Feminino"/>
    <x v="0"/>
    <x v="0"/>
    <s v="50000160 - Fisioterapia Ortopedica (R$ 49,72)"/>
    <s v="Fisioterapia"/>
    <s v="42263120260305415598"/>
    <s v="Finalizado (8/10)"/>
    <n v="43.753599999999999"/>
    <n v="5.9664000000000001"/>
    <n v="49.72"/>
    <s v="Sessão a Faturar"/>
    <s v="010033652753"/>
    <n v="27217"/>
    <s v="Unidade Vieralves (ANEXO)"/>
    <s v="42263120260305415598"/>
    <m/>
  </r>
  <r>
    <x v="4"/>
    <x v="3"/>
    <s v="Cristiane Gomes Barcelar Gonçalves"/>
    <s v="Feminino"/>
    <x v="0"/>
    <x v="0"/>
    <s v="31602185 - Estimulação Elétrica Transcutânea Fisioterapia (Novo - 01/12) (R$ 54,13)"/>
    <s v="Fisioterapia"/>
    <s v="42263120260305415649"/>
    <s v="Finalizado (8/10)"/>
    <n v="47.634399999999999"/>
    <n v="6.4955999999999996"/>
    <n v="54.13"/>
    <s v="Sessão a Faturar"/>
    <s v="010033652753"/>
    <n v="27217"/>
    <s v="Unidade Vieralves (ANEXO)"/>
    <s v="42263120260305415649"/>
    <m/>
  </r>
  <r>
    <x v="4"/>
    <x v="4"/>
    <s v="Estela Maria Galvao Vidal de Abreu"/>
    <s v="Feminino"/>
    <x v="4"/>
    <x v="0"/>
    <s v="31602185 - Estimulação Elétrica Transcutânea - Removido 13/04/2026 (R$ 40,00)"/>
    <s v="Fisioterapia"/>
    <n v="1711603141"/>
    <s v="Finalizado (5/5)"/>
    <n v="35.200000000000003"/>
    <n v="4.8"/>
    <n v="40"/>
    <s v="Sessão Faturada"/>
    <n v="836922200019000"/>
    <n v="45049"/>
    <s v="Unidade Vieralves (ANEXO)"/>
    <n v="1711603141"/>
    <m/>
  </r>
  <r>
    <x v="4"/>
    <x v="4"/>
    <s v="Rosineide Rodrigues Arcanjo"/>
    <s v="Feminino"/>
    <x v="4"/>
    <x v="0"/>
    <s v="31602185 - Estimulação Elétrica Transcutânea - Removido 13/04/2026 (R$ 40,00)"/>
    <s v="Fisioterapia"/>
    <n v="1711548824"/>
    <s v="Finalizado (6/7)"/>
    <n v="35.200000000000003"/>
    <n v="4.8"/>
    <n v="40"/>
    <s v="Sessão Faturada"/>
    <n v="774063004219030"/>
    <n v="50224"/>
    <s v="Unidade Vieralves (ANEXO)"/>
    <n v="1711548824"/>
    <m/>
  </r>
  <r>
    <x v="4"/>
    <x v="4"/>
    <s v="Ricardo Soares Lozana"/>
    <s v="Masculino"/>
    <x v="2"/>
    <x v="0"/>
    <s v="50000144 - Avaliação de Fisioterapia (R$ 51,42)"/>
    <s v="Fisioterapia"/>
    <n v="1715210747"/>
    <s v="Finalizado (1/1)"/>
    <n v="46.277999999999999"/>
    <n v="5.1420000000000003"/>
    <n v="51.42"/>
    <s v="Sessão Faturada"/>
    <n v="774981012963020"/>
    <n v="43591"/>
    <s v="Unidade Vieralves (ANEXO)"/>
    <n v="1715210747"/>
    <m/>
  </r>
  <r>
    <x v="4"/>
    <x v="5"/>
    <s v="Rosineide Rodrigues Arcanjo"/>
    <s v="Feminino"/>
    <x v="2"/>
    <x v="0"/>
    <s v="20103514 - Fisioterapia - Patologia Em Diferentes Segmentos da Coluna (R$ 14,83)"/>
    <s v="Fisioterapia"/>
    <n v="1709777911"/>
    <s v="Finalizado (8/9)"/>
    <n v="13.0504"/>
    <n v="1.7796000000000001"/>
    <n v="14.83"/>
    <s v="Sessão Faturada"/>
    <n v="774063004219030"/>
    <n v="50224"/>
    <s v="Unidade Vieralves (ANEXO)"/>
    <n v="1709777911"/>
    <m/>
  </r>
  <r>
    <x v="4"/>
    <x v="5"/>
    <s v="Ricardo Soares Lozana"/>
    <s v="Masculino"/>
    <x v="2"/>
    <x v="0"/>
    <s v="20103506 - Fisioterapia - Patologia Em Um Segmento da Coluna (R$ 12,22)"/>
    <s v="Fisioterapia"/>
    <n v="1715211457"/>
    <s v="Finalizado (1/10)"/>
    <n v="10.7536"/>
    <n v="1.4663999999999999"/>
    <n v="12.22"/>
    <s v="Sessão a Faturar"/>
    <n v="774981012963020"/>
    <n v="43591"/>
    <s v="Unidade Vieralves (ANEXO)"/>
    <n v="1715211457"/>
    <m/>
  </r>
  <r>
    <x v="4"/>
    <x v="5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7/10)"/>
    <n v="21.507200000000001"/>
    <n v="2.9327999999999999"/>
    <n v="24.44"/>
    <s v="Sessão Faturada"/>
    <n v="836922200019000"/>
    <n v="45049"/>
    <s v="Unidade Vieralves (ANEXO)"/>
    <n v="1709766067"/>
    <m/>
  </r>
  <r>
    <x v="4"/>
    <x v="13"/>
    <s v="Laura Irene Villacrez Flores"/>
    <s v="Feminino"/>
    <x v="5"/>
    <x v="0"/>
    <s v="98860011 - Fisioterapia Complexidade 1 (R$ 55,26)"/>
    <s v="Fisioterapia"/>
    <n v="77963780"/>
    <s v="Finalizado (10/10)"/>
    <n v="48.628799999999998"/>
    <n v="6.6311999999999998"/>
    <n v="55.26"/>
    <s v="Sessão Faturada"/>
    <s v="010080860100"/>
    <n v="59130"/>
    <s v="Unidade Vieralves (ANEXO)"/>
    <n v="77963780"/>
    <m/>
  </r>
  <r>
    <x v="4"/>
    <x v="13"/>
    <s v="Ana Clara de Morais Virginio"/>
    <s v="Feminino"/>
    <x v="6"/>
    <x v="0"/>
    <s v="20103506 - Patologia Em Um Segmento da Coluna (R$ 14,16)"/>
    <s v="Fisioterapia"/>
    <n v="171233"/>
    <s v="Finalizado (4/5)"/>
    <n v="12.460800000000001"/>
    <n v="1.6992"/>
    <n v="14.16"/>
    <s v="Sessão a Faturar"/>
    <s v="55788888491532830118"/>
    <n v="59365"/>
    <s v="Unidade Vieralves (ANEXO)"/>
    <n v="171233"/>
    <m/>
  </r>
  <r>
    <x v="4"/>
    <x v="13"/>
    <s v="Claudia Maria de Moura Abrahim"/>
    <s v="Feminino"/>
    <x v="1"/>
    <x v="0"/>
    <s v="50000217 - Fisioterapia Pré e Pós Operatória (R$ 25,00), 98980327 - Taxa de Eletroterapia (Tens) (R$ 15,00)"/>
    <s v="Fisioterapia"/>
    <n v="9030934"/>
    <s v="Finalizado (9/10)"/>
    <n v="35.200000000000003"/>
    <n v="4.8"/>
    <n v="40"/>
    <s v="Sessão Faturada"/>
    <s v="0901001967210050"/>
    <n v="21456"/>
    <s v="Unidade Vieralves (ANEXO)"/>
    <n v="9030934"/>
    <m/>
  </r>
  <r>
    <x v="4"/>
    <x v="14"/>
    <s v="Ana Clara de Morais Virginio"/>
    <s v="Feminino"/>
    <x v="6"/>
    <x v="0"/>
    <s v="31602185 - Estimulação Elétrica Transcutanea (Tens) (R$ 40,00)"/>
    <s v="Fisioterapia"/>
    <n v="171234"/>
    <s v="Finalizado (4/5)"/>
    <n v="35.200000000000003"/>
    <n v="4.8"/>
    <n v="40"/>
    <s v="Sessão a Faturar"/>
    <s v="55788888491532830118"/>
    <n v="59365"/>
    <s v="Unidade Vieralves (ANEXO)"/>
    <n v="171234"/>
    <m/>
  </r>
  <r>
    <x v="4"/>
    <x v="14"/>
    <s v="Laura Irene Villacrez Flores"/>
    <s v="Feminino"/>
    <x v="5"/>
    <x v="0"/>
    <s v="31602185 - Estimulação Elétrica Transcutânea (Tens) (R$ 125,40)"/>
    <s v="Fisioterapia"/>
    <n v="78268770"/>
    <s v="Finalizado (8/10)"/>
    <n v="110.352"/>
    <n v="15.048"/>
    <n v="125.4"/>
    <s v="Sessão Faturada"/>
    <s v="010080860100"/>
    <n v="59130"/>
    <s v="Unidade Vieralves (ANEXO)"/>
    <n v="78268770"/>
    <m/>
  </r>
  <r>
    <x v="4"/>
    <x v="6"/>
    <s v="Lidia Teresa Monteiro Mendes"/>
    <s v="Feminino"/>
    <x v="6"/>
    <x v="0"/>
    <s v="20103492 - Patologia Em Dois Ou Mais Membros (R$ 30,26)"/>
    <s v="Fisioterapia"/>
    <n v="171232"/>
    <s v="Finalizado (7/10)"/>
    <n v="26.628799999999998"/>
    <n v="3.6312000000000002"/>
    <n v="30.26"/>
    <s v="Sessão a Faturar"/>
    <s v="54588888004872480010"/>
    <n v="37147"/>
    <s v="Unidade Vieralves (ANEXO)"/>
    <n v="171232"/>
    <m/>
  </r>
  <r>
    <x v="4"/>
    <x v="7"/>
    <s v="Lidia Teresa Monteiro Mendes"/>
    <s v="Feminino"/>
    <x v="6"/>
    <x v="0"/>
    <s v="31602185 - Estimulação Elétrica Transcutanea (Tens) (R$ 40,00)"/>
    <s v="Fisioterapia"/>
    <n v="171378"/>
    <s v="Finalizado (5/10)"/>
    <n v="35.200000000000003"/>
    <n v="4.8"/>
    <n v="40"/>
    <s v="Sessão a Faturar"/>
    <s v="54588888004872480010"/>
    <n v="37147"/>
    <s v="Unidade Vieralves (ANEXO)"/>
    <n v="171378"/>
    <m/>
  </r>
  <r>
    <x v="4"/>
    <x v="17"/>
    <s v="Leticia Magalhães Mendes"/>
    <s v="Feminino"/>
    <x v="2"/>
    <x v="0"/>
    <s v="20103484 - Fisioterapia - Patologia Em Um Membro (R$ 12,22)"/>
    <s v="Fisioterapia"/>
    <n v="1710448748"/>
    <s v="Finalizado (5/10)"/>
    <n v="10.7536"/>
    <n v="1.4663999999999999"/>
    <n v="12.22"/>
    <s v="Sessão Faturada"/>
    <n v="775423014966000"/>
    <n v="59594"/>
    <s v="Unidade Vieralves (ANEXO)"/>
    <n v="1710448748"/>
    <m/>
  </r>
  <r>
    <x v="4"/>
    <x v="18"/>
    <s v="Leticia Magalhães Mendes"/>
    <s v="Feminino"/>
    <x v="4"/>
    <x v="0"/>
    <s v="31602185 - Estimulação Elétrica Transcutânea - Removido 13/04/2026 (R$ 40,00)"/>
    <s v="Fisioterapia"/>
    <n v="1712950346"/>
    <s v="Finalizado (3/8)"/>
    <n v="35.200000000000003"/>
    <n v="4.8"/>
    <n v="40"/>
    <s v="Sessão a Faturar"/>
    <n v="775423014966000"/>
    <n v="59594"/>
    <s v="Unidade Vieralves (ANEXO)"/>
    <n v="1712950346"/>
    <m/>
  </r>
  <r>
    <x v="4"/>
    <x v="8"/>
    <s v="Gisele dos Santos Costa"/>
    <s v="Feminino"/>
    <x v="1"/>
    <x v="0"/>
    <s v="50000160 - Fisioterapia Ortopédica (R$ 20,00), 98980327 - Taxa de Eletroterapia (Tens) (R$ 15,00)"/>
    <s v="Fisioterapia"/>
    <n v="9123592"/>
    <s v="Finalizado (6/8)"/>
    <n v="30.8"/>
    <n v="4.2"/>
    <n v="35"/>
    <s v="Sessão Faturada"/>
    <n v="1901012931170000"/>
    <n v="53642"/>
    <s v="Unidade Vieralves (ANEXO)"/>
    <n v="9123592"/>
    <m/>
  </r>
  <r>
    <x v="4"/>
    <x v="12"/>
    <s v="Hugo Bomfim da Silva"/>
    <s v="Masculino"/>
    <x v="6"/>
    <x v="0"/>
    <s v="20103514 - Patologia Em Dois Ou Mais Segmentos da Coluna (R$ 32,82)"/>
    <s v="Fisioterapia"/>
    <n v="172330"/>
    <s v="Finalizado (2/10)"/>
    <n v="28.881599999999999"/>
    <n v="3.9384000000000001"/>
    <n v="32.82"/>
    <s v="Sessão a Faturar"/>
    <s v="56788888021641330012"/>
    <n v="59681"/>
    <s v="Unidade Vieralves (ANEXO)"/>
    <n v="172330"/>
    <m/>
  </r>
  <r>
    <x v="4"/>
    <x v="12"/>
    <s v="Hugo Bomfim da Silva"/>
    <s v="Masculino"/>
    <x v="6"/>
    <x v="0"/>
    <s v="31602185 - Estimulação Elétrica Transcutanea (Tens) (R$ 40,00)"/>
    <s v="Fisioterapia"/>
    <n v="172332"/>
    <s v="Finalizado (2/3)"/>
    <n v="35.200000000000003"/>
    <n v="4.8"/>
    <n v="40"/>
    <s v="Sessão a Faturar"/>
    <s v="56788888021641330012"/>
    <n v="59681"/>
    <s v="Unidade Vieralves (ANEXO)"/>
    <n v="172332"/>
    <m/>
  </r>
  <r>
    <x v="4"/>
    <x v="20"/>
    <s v="Heberton Diego Ramalho Machado"/>
    <s v="Masculino"/>
    <x v="6"/>
    <x v="0"/>
    <s v="20103662 - Pos Operatorio Em Um Membro (R$ 22,53)"/>
    <s v="Fisioterapia"/>
    <n v="172017"/>
    <s v="Finalizado (4/10)"/>
    <n v="19.8264"/>
    <n v="2.7035999999999998"/>
    <n v="22.53"/>
    <s v="Sessão a Faturar"/>
    <s v="55788888491271860019"/>
    <n v="15998"/>
    <s v="Unidade Vieralves (ANEXO)"/>
    <n v="172017"/>
    <m/>
  </r>
  <r>
    <x v="5"/>
    <x v="0"/>
    <s v="Ana Cristina Medeiros Lima"/>
    <s v="Feminino"/>
    <x v="7"/>
    <x v="0"/>
    <s v="Part Convenio - 10 - Fisioterapia Ortopédica- Pacote (R$ 50,00)"/>
    <s v="Fisioterapia"/>
    <n v="172319"/>
    <s v="Finalizado (1/10)"/>
    <n v="39"/>
    <n v="11"/>
    <n v="50"/>
    <s v="No Prazo"/>
    <s v="0104004021230003"/>
    <n v="59273"/>
    <s v="Unidade Vieralves (ANEXO)"/>
    <n v="172319"/>
    <m/>
  </r>
  <r>
    <x v="5"/>
    <x v="0"/>
    <s v="Isabelly Bacelar Gonçalves"/>
    <s v="Feminino"/>
    <x v="0"/>
    <x v="0"/>
    <s v="50000160 - Fisioterapia Ortopedica (R$ 49,72)"/>
    <s v="Fisioterapia"/>
    <s v="42263120260316483774"/>
    <s v="Finalizado (7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5"/>
    <x v="1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7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5"/>
    <x v="2"/>
    <s v="Cristiane Gomes Barcelar Gonçalves"/>
    <s v="Feminino"/>
    <x v="0"/>
    <x v="0"/>
    <s v="50000160 - Fisioterapia Ortopedica (R$ 49,72)"/>
    <s v="Fisioterapia"/>
    <s v="42263120260305415598"/>
    <s v="Finalizado (9/10)"/>
    <n v="43.753599999999999"/>
    <n v="5.9664000000000001"/>
    <n v="49.72"/>
    <s v="Sessão a Faturar"/>
    <s v="010033652753"/>
    <n v="27217"/>
    <s v="Unidade Vieralves (ANEXO)"/>
    <s v="42263120260305415598"/>
    <m/>
  </r>
  <r>
    <x v="5"/>
    <x v="2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8/10)"/>
    <n v="21.507200000000001"/>
    <n v="2.9327999999999999"/>
    <n v="24.44"/>
    <s v="Sessão Faturada"/>
    <n v="836922200019000"/>
    <n v="45049"/>
    <s v="Unidade Vieralves (ANEXO)"/>
    <n v="1709766067"/>
    <m/>
  </r>
  <r>
    <x v="5"/>
    <x v="3"/>
    <s v="Cristiane Gomes Barcelar Gonçalves"/>
    <s v="Feminino"/>
    <x v="0"/>
    <x v="0"/>
    <s v="31602185 - Estimulação Elétrica Transcutânea Fisioterapia (Novo - 01/12) (R$ 54,13)"/>
    <s v="Fisioterapia"/>
    <s v="42263120260305415649"/>
    <s v="Finalizado (9/10)"/>
    <n v="47.634399999999999"/>
    <n v="6.4955999999999996"/>
    <n v="54.13"/>
    <s v="Sessão a Faturar"/>
    <s v="010033652753"/>
    <n v="27217"/>
    <s v="Unidade Vieralves (ANEXO)"/>
    <s v="42263120260305415649"/>
    <m/>
  </r>
  <r>
    <x v="5"/>
    <x v="3"/>
    <s v="Estela Maria Galvao Vidal de Abreu"/>
    <s v="Feminino"/>
    <x v="4"/>
    <x v="0"/>
    <s v="31602185 - Estimulação Elétrica Transcutânea - Removido 13/04/2026 (R$ 40,00)"/>
    <s v="Fisioterapia"/>
    <n v="1716167490"/>
    <s v="Finalizado (1/3)"/>
    <n v="35.200000000000003"/>
    <n v="4.8"/>
    <n v="40"/>
    <s v="Sessão a Faturar"/>
    <n v="836922200019000"/>
    <n v="45049"/>
    <s v="Unidade Vieralves (ANEXO)"/>
    <n v="1716167490"/>
    <m/>
  </r>
  <r>
    <x v="5"/>
    <x v="13"/>
    <s v="Claudia Maria de Moura Abrahim"/>
    <s v="Feminino"/>
    <x v="1"/>
    <x v="0"/>
    <s v="50000217 - Fisioterapia Pré e Pós Operatória (R$ 25,00), 98980327 - Taxa de Eletroterapia (Tens) (R$ 15,00)"/>
    <s v="Fisioterapia"/>
    <n v="9030934"/>
    <s v="Finalizado (10/10)"/>
    <n v="35.200000000000003"/>
    <n v="4.8"/>
    <n v="40"/>
    <s v="Sessão Faturada"/>
    <s v="0901001967210050"/>
    <n v="21456"/>
    <s v="Unidade Vieralves (ANEXO)"/>
    <n v="9030934"/>
    <m/>
  </r>
  <r>
    <x v="5"/>
    <x v="6"/>
    <s v="Laura Irene Villacrez Flores"/>
    <s v="Feminino"/>
    <x v="5"/>
    <x v="0"/>
    <s v="98860011 - Fisioterapia Complexidade 1 (R$ 55,26)"/>
    <s v="Fisioterapia"/>
    <n v="79284110"/>
    <s v="Finalizado (1/10)"/>
    <n v="48.628799999999998"/>
    <n v="6.6311999999999998"/>
    <n v="55.26"/>
    <s v="Sessão a Faturar"/>
    <s v="010080860100"/>
    <n v="59130"/>
    <s v="Unidade Vieralves (ANEXO)"/>
    <n v="79284110"/>
    <m/>
  </r>
  <r>
    <x v="5"/>
    <x v="6"/>
    <s v="Leticia Magalhães Mendes"/>
    <s v="Feminino"/>
    <x v="4"/>
    <x v="0"/>
    <s v="31602185 - Estimulação Elétrica Transcutânea - Removido 13/04/2026 (R$ 40,00)"/>
    <s v="Fisioterapia"/>
    <n v="1712950346"/>
    <s v="Finalizado (4/8)"/>
    <n v="35.200000000000003"/>
    <n v="4.8"/>
    <n v="40"/>
    <s v="Sessão a Faturar"/>
    <n v="775423014966000"/>
    <n v="59594"/>
    <s v="Unidade Vieralves (ANEXO)"/>
    <n v="1712950346"/>
    <m/>
  </r>
  <r>
    <x v="5"/>
    <x v="7"/>
    <s v="Leticia Magalhães Mendes"/>
    <s v="Feminino"/>
    <x v="2"/>
    <x v="0"/>
    <s v="20103484 - Fisioterapia - Patologia Em Um Membro (R$ 12,22)"/>
    <s v="Fisioterapia"/>
    <n v="1710448748"/>
    <s v="Finalizado (6/10)"/>
    <n v="10.7536"/>
    <n v="1.4663999999999999"/>
    <n v="12.22"/>
    <s v="Sessão Faturada"/>
    <n v="775423014966000"/>
    <n v="59594"/>
    <s v="Unidade Vieralves (ANEXO)"/>
    <n v="1710448748"/>
    <m/>
  </r>
  <r>
    <x v="5"/>
    <x v="7"/>
    <s v="Laura Irene Villacrez Flores"/>
    <s v="Feminino"/>
    <x v="5"/>
    <x v="0"/>
    <s v="31602185 - Estimulação Elétrica Transcutânea (Tens) (R$ 125,40)"/>
    <s v="Fisioterapia"/>
    <n v="78268770"/>
    <s v="Finalizado (9/10)"/>
    <n v="110.352"/>
    <n v="15.048"/>
    <n v="125.4"/>
    <s v="Sessão Faturada"/>
    <s v="010080860100"/>
    <n v="59130"/>
    <s v="Unidade Vieralves (ANEXO)"/>
    <n v="78268770"/>
    <m/>
  </r>
  <r>
    <x v="5"/>
    <x v="15"/>
    <s v="Flavio Faustino da Silva"/>
    <s v="Masculino"/>
    <x v="11"/>
    <x v="0"/>
    <s v="20103484 - Fisioterapia - Patologia Em Um Membro (R$ 80,33)"/>
    <s v="Fisioterapia"/>
    <n v="3809"/>
    <s v="Finalizado (1/10)"/>
    <n v="70.690399999999997"/>
    <n v="9.6395999999999997"/>
    <n v="80.33"/>
    <s v="Sessão a Faturar"/>
    <s v="01685-C"/>
    <n v="417"/>
    <s v="Unidade Vieralves (ANEXO)"/>
    <n v="3809"/>
    <m/>
  </r>
  <r>
    <x v="5"/>
    <x v="10"/>
    <s v="Paulo Cesar Silva Santiago"/>
    <s v="Masculino"/>
    <x v="2"/>
    <x v="0"/>
    <s v="20103514 - Fisioterapia - Patologia Em Diferentes Segmentos da Coluna (R$ 14,83)"/>
    <s v="Fisioterapia"/>
    <n v="1709882272"/>
    <s v="Finalizado (5/7)"/>
    <n v="13.0504"/>
    <n v="1.7796000000000001"/>
    <n v="14.83"/>
    <s v="Sessão a Faturar"/>
    <n v="611168920097000"/>
    <n v="19776"/>
    <s v="Unidade Vieralves (ANEXO)"/>
    <n v="1709882272"/>
    <m/>
  </r>
  <r>
    <x v="5"/>
    <x v="11"/>
    <s v="Paulo Cesar Silva Santiago"/>
    <s v="Masculino"/>
    <x v="4"/>
    <x v="0"/>
    <s v="31602185 - Estimulação Elétrica Transcutânea - Removido 13/04/2026 (R$ 40,00)"/>
    <s v="Fisioterapia"/>
    <n v="1710507488"/>
    <s v="Finalizado (4/6)"/>
    <n v="35.200000000000003"/>
    <n v="4.8"/>
    <n v="40"/>
    <s v="Sessão a Faturar"/>
    <n v="611168920097000"/>
    <n v="19776"/>
    <s v="Unidade Vieralves (ANEXO)"/>
    <n v="1710507488"/>
    <m/>
  </r>
  <r>
    <x v="5"/>
    <x v="12"/>
    <s v="Cristiane Portilho Nascimento Pardo"/>
    <s v="Feminino"/>
    <x v="5"/>
    <x v="0"/>
    <s v="31602185 - Estimulação Elétrica Transcutânea (Tens) (R$ 125,40)"/>
    <s v="Fisioterapia"/>
    <n v="78157840"/>
    <s v="Finalizado (1/10)"/>
    <n v="110.352"/>
    <n v="15.048"/>
    <n v="125.4"/>
    <s v="Sessão a Faturar"/>
    <s v="010093389000"/>
    <n v="11201"/>
    <s v="Unidade Vieralves (ANEXO)"/>
    <n v="78157840"/>
    <s v="GUIA ASSINADA"/>
  </r>
  <r>
    <x v="5"/>
    <x v="12"/>
    <s v="Kelly Melo Pereira"/>
    <s v="Feminino"/>
    <x v="2"/>
    <x v="0"/>
    <s v="20103484 - Fisioterapia - Patologia Em Um Membro (R$ 12,22)"/>
    <s v="Fisioterapia"/>
    <n v="1716286437"/>
    <s v="Finalizado (1/4)"/>
    <n v="10.7536"/>
    <n v="1.4663999999999999"/>
    <n v="12.22"/>
    <s v="Sessão a Faturar"/>
    <n v="774642004685020"/>
    <n v="47396"/>
    <s v="Unidade Vieralves (ANEXO)"/>
    <n v="1716286437"/>
    <m/>
  </r>
  <r>
    <x v="5"/>
    <x v="12"/>
    <s v="Kelly Melo Pereira"/>
    <s v="Feminino"/>
    <x v="2"/>
    <x v="0"/>
    <s v="50000144 - Avaliação de Fisioterapia (R$ 51,42)"/>
    <s v="Fisioterapia"/>
    <n v="1716286113"/>
    <s v="Finalizado (1/1)"/>
    <n v="46.277999999999999"/>
    <n v="5.1420000000000003"/>
    <n v="51.42"/>
    <s v="Sessão Faturada"/>
    <n v="774642004685020"/>
    <n v="47396"/>
    <s v="Unidade Vieralves (ANEXO)"/>
    <n v="1716286113"/>
    <m/>
  </r>
  <r>
    <x v="5"/>
    <x v="20"/>
    <s v="Heberton Diego Ramalho Machado"/>
    <s v="Masculino"/>
    <x v="6"/>
    <x v="0"/>
    <s v="20103662 - Pos Operatorio Em Um Membro (R$ 22,53)"/>
    <s v="Fisioterapia"/>
    <n v="172017"/>
    <s v="Finalizado (5/10)"/>
    <n v="19.8264"/>
    <n v="2.7035999999999998"/>
    <n v="22.53"/>
    <s v="Sessão a Faturar"/>
    <s v="55788888491271860019"/>
    <n v="15998"/>
    <s v="Unidade Vieralves (ANEXO)"/>
    <n v="172017"/>
    <m/>
  </r>
  <r>
    <x v="5"/>
    <x v="20"/>
    <s v="Heberton Diego Ramalho Machado"/>
    <s v="Masculino"/>
    <x v="6"/>
    <x v="0"/>
    <s v="31602185 - Estimulação Elétrica Transcutanea (Tens) (R$ 40,00)"/>
    <s v="Fisioterapia"/>
    <n v="172024"/>
    <s v="Finalizado (4/7)"/>
    <n v="35.200000000000003"/>
    <n v="4.8"/>
    <n v="40"/>
    <s v="Sessão a Faturar"/>
    <s v="55788888491271860019"/>
    <n v="15998"/>
    <s v="Unidade Vieralves (ANEXO)"/>
    <n v="172024"/>
    <m/>
  </r>
  <r>
    <x v="6"/>
    <x v="0"/>
    <s v="Sofia Santana Teixeira"/>
    <s v="Feminino"/>
    <x v="2"/>
    <x v="0"/>
    <s v="20103484 - Fisioterapia - Patologia Em Um Membro (R$ 12,22)"/>
    <s v="Fisioterapia"/>
    <n v="1716688651"/>
    <s v="Finalizado (1/10)"/>
    <n v="10.7536"/>
    <n v="1.4663999999999999"/>
    <n v="12.22"/>
    <s v="Sessão a Faturar"/>
    <n v="771015056251030"/>
    <n v="58786"/>
    <s v="Unidade Vieralves (ANEXO)"/>
    <n v="1716688651"/>
    <m/>
  </r>
  <r>
    <x v="6"/>
    <x v="0"/>
    <s v="Maria de Fatima Chaves Coimbra"/>
    <s v="Feminino"/>
    <x v="6"/>
    <x v="0"/>
    <s v="20103484 - Patologia Em Um Membro (R$ 14,16), 20103506 - Patologia Em Um Segmento da Coluna (R$ 14,16)"/>
    <s v="Fisioterapia"/>
    <n v="171008"/>
    <s v="Não compareceu (3/10)"/>
    <n v="28.32"/>
    <n v="0"/>
    <n v="28.32"/>
    <s v="Sessão a Faturar"/>
    <s v="55788888000967700014"/>
    <n v="19051"/>
    <s v="Unidade Vieralves (ANEXO)"/>
    <n v="171008"/>
    <m/>
  </r>
  <r>
    <x v="6"/>
    <x v="0"/>
    <s v="Caroline Duarte Brighente"/>
    <s v="Feminino"/>
    <x v="1"/>
    <x v="0"/>
    <s v="50000160 - Fisioterapia Ortopédica (R$ 20,00), 98980327 - Taxa de Eletroterapia (Tens) (R$ 15,00)"/>
    <s v="Fisioterapia"/>
    <n v="9161743"/>
    <s v="Finalizado (8/10)"/>
    <n v="30.8"/>
    <n v="4.2"/>
    <n v="35"/>
    <s v="Sessão Faturada"/>
    <s v="0501011606920055"/>
    <n v="59374"/>
    <s v="Unidade Vieralves (ANEXO)"/>
    <n v="9161743"/>
    <m/>
  </r>
  <r>
    <x v="6"/>
    <x v="2"/>
    <s v="Rosineide Rodrigues Arcanjo"/>
    <s v="Feminino"/>
    <x v="4"/>
    <x v="0"/>
    <s v="31602185 - Estimulação Elétrica Transcutânea - Removido 13/04/2026 (R$ 40,00)"/>
    <s v="Fisioterapia"/>
    <n v="1711548824"/>
    <s v="Finalizado (7/7)"/>
    <n v="35.200000000000003"/>
    <n v="4.8"/>
    <n v="40"/>
    <s v="Sessão Faturada"/>
    <n v="774063004219030"/>
    <n v="50224"/>
    <s v="Unidade Vieralves (ANEXO)"/>
    <n v="1711548824"/>
    <m/>
  </r>
  <r>
    <x v="6"/>
    <x v="3"/>
    <s v="Rosineide Rodrigues Arcanjo"/>
    <s v="Feminino"/>
    <x v="2"/>
    <x v="0"/>
    <s v="20103514 - Fisioterapia - Patologia Em Diferentes Segmentos da Coluna (R$ 14,83)"/>
    <s v="Fisioterapia"/>
    <n v="1709777911"/>
    <s v="Finalizado (9/9)"/>
    <n v="13.0504"/>
    <n v="1.7796000000000001"/>
    <n v="14.83"/>
    <s v="Sessão Faturada"/>
    <n v="774063004219030"/>
    <n v="50224"/>
    <s v="Unidade Vieralves (ANEXO)"/>
    <n v="1709777911"/>
    <m/>
  </r>
  <r>
    <x v="6"/>
    <x v="4"/>
    <s v="Richarles de Araújo Sousa"/>
    <s v="Masculino"/>
    <x v="1"/>
    <x v="0"/>
    <s v="50000160 - Fisioterapia Ortopédica (R$ 20,00), 98980327 - Taxa de Eletroterapia (Tens) (R$ 15,00)"/>
    <s v="Fisioterapia"/>
    <n v="9320335"/>
    <s v="Finalizado (3/8)"/>
    <n v="30.8"/>
    <n v="4.2"/>
    <n v="35"/>
    <s v="Sessão a Faturar"/>
    <n v="1301013026380000"/>
    <n v="58337"/>
    <s v="Unidade Vieralves (ANEXO)"/>
    <n v="9320335"/>
    <m/>
  </r>
  <r>
    <x v="6"/>
    <x v="4"/>
    <s v="Natálya da Silva Sampaio"/>
    <s v="Feminino"/>
    <x v="1"/>
    <x v="0"/>
    <s v="50000160 - Fisioterapia Ortopédica (R$ 20,00), 98980327 - Taxa de Eletroterapia (Tens) (R$ 15,00)"/>
    <s v="Fisioterapia"/>
    <n v="9325509"/>
    <s v="Finalizado (3/8)"/>
    <n v="30.8"/>
    <n v="4.2"/>
    <n v="35"/>
    <s v="Sessão a Faturar"/>
    <n v="1301013026380200"/>
    <n v="59331"/>
    <s v="Unidade Vieralves (ANEXO)"/>
    <n v="9325509"/>
    <m/>
  </r>
  <r>
    <x v="6"/>
    <x v="4"/>
    <s v="Genilza Evaristo Machado Moreira"/>
    <s v="Feminino"/>
    <x v="1"/>
    <x v="0"/>
    <s v="50000160 - Fisioterapia Ortopédica (R$ 20,00), 98980327 - Taxa de Eletroterapia (Tens) (R$ 15,00)"/>
    <s v="Fisioterapia"/>
    <n v="9318751"/>
    <s v="Finalizado (6/10)"/>
    <n v="30.8"/>
    <n v="4.2"/>
    <n v="35"/>
    <s v="Sessão Faturada"/>
    <n v="1901012887600100"/>
    <n v="59599"/>
    <s v="Unidade Vieralves (ANEXO)"/>
    <n v="9318751"/>
    <m/>
  </r>
  <r>
    <x v="6"/>
    <x v="13"/>
    <s v="Claudia Maria de Moura Abrahim"/>
    <s v="Feminino"/>
    <x v="1"/>
    <x v="0"/>
    <s v="50000217 - Fisioterapia Pré e Pós Operatória (R$ 25,00), 98980327 - Taxa de Eletroterapia (Tens) (R$ 15,00)"/>
    <s v="Fisioterapia"/>
    <n v="9501935"/>
    <s v="Finalizado (1/10)"/>
    <n v="35.200000000000003"/>
    <n v="4.8"/>
    <n v="40"/>
    <s v="Sessão a Faturar"/>
    <s v="0901001967210050"/>
    <n v="21456"/>
    <s v="Unidade Vieralves (ANEXO)"/>
    <n v="9501935"/>
    <m/>
  </r>
  <r>
    <x v="6"/>
    <x v="6"/>
    <s v="Lidia Teresa Monteiro Mendes"/>
    <s v="Feminino"/>
    <x v="6"/>
    <x v="0"/>
    <s v="20103492 - Patologia Em Dois Ou Mais Membros (R$ 30,26)"/>
    <s v="Fisioterapia"/>
    <n v="171232"/>
    <s v="Finalizado (8/10)"/>
    <n v="26.628799999999998"/>
    <n v="3.6312000000000002"/>
    <n v="30.26"/>
    <s v="Sessão a Faturar"/>
    <s v="54588888004872480010"/>
    <n v="37147"/>
    <s v="Unidade Vieralves (ANEXO)"/>
    <n v="171232"/>
    <m/>
  </r>
  <r>
    <x v="6"/>
    <x v="6"/>
    <s v="Tadeu Sierpinski Neto"/>
    <s v="Masculino"/>
    <x v="6"/>
    <x v="0"/>
    <s v="50000144 - Avaliação de Fisioterapia (R$ 56,52)"/>
    <s v="Fisioterapia"/>
    <n v="7700047336"/>
    <s v="Finalizado (1/1)"/>
    <n v="50.868000000000002"/>
    <n v="5.6520000000000001"/>
    <n v="56.52"/>
    <s v="Sessão Faturada"/>
    <s v="55788888491919510013"/>
    <n v="59745"/>
    <s v="Unidade Vieralves (ANEXO)"/>
    <n v="7700047336"/>
    <m/>
  </r>
  <r>
    <x v="6"/>
    <x v="6"/>
    <s v="Rosana Silva dos Santos"/>
    <s v="Feminino"/>
    <x v="1"/>
    <x v="0"/>
    <s v="50000160 - Fisioterapia Ortopédica (R$ 20,00), 98980327 - Taxa de Eletroterapia (Tens) (R$ 15,00)"/>
    <s v="Fisioterapia"/>
    <n v="9523265"/>
    <s v="Finalizado (1/10)"/>
    <n v="30.8"/>
    <n v="4.2"/>
    <n v="35"/>
    <s v="Sessão Faturada"/>
    <n v="1101006073830400"/>
    <n v="58800"/>
    <s v="Unidade Vieralves (ANEXO)"/>
    <n v="9523265"/>
    <m/>
  </r>
  <r>
    <x v="6"/>
    <x v="6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9/10)"/>
    <n v="21.507200000000001"/>
    <n v="2.9327999999999999"/>
    <n v="24.44"/>
    <s v="Sessão Faturada"/>
    <n v="836922200019000"/>
    <n v="45049"/>
    <s v="Unidade Vieralves (ANEXO)"/>
    <n v="1709766067"/>
    <m/>
  </r>
  <r>
    <x v="6"/>
    <x v="26"/>
    <s v="Tadeu Sierpinski Neto"/>
    <s v="Masculino"/>
    <x v="6"/>
    <x v="0"/>
    <s v="20103506 - Patologia Em Um Segmento da Coluna (R$ 14,16)"/>
    <s v="Fisioterapia"/>
    <n v="172770"/>
    <s v="Finalizado (1/10)"/>
    <n v="12.460800000000001"/>
    <n v="1.6992"/>
    <n v="14.16"/>
    <s v="Sessão a Faturar"/>
    <s v="55788888491919510013"/>
    <n v="59745"/>
    <s v="Unidade Vieralves (ANEXO)"/>
    <n v="172770"/>
    <m/>
  </r>
  <r>
    <x v="6"/>
    <x v="7"/>
    <s v="Estela Maria Galvao Vidal de Abreu"/>
    <s v="Feminino"/>
    <x v="4"/>
    <x v="0"/>
    <s v="31602185 - Estimulação Elétrica Transcutânea - Removido 13/04/2026 (R$ 40,00)"/>
    <s v="Fisioterapia"/>
    <n v="1716167490"/>
    <s v="Finalizado (2/3)"/>
    <n v="35.200000000000003"/>
    <n v="4.8"/>
    <n v="40"/>
    <s v="Sessão a Faturar"/>
    <n v="836922200019000"/>
    <n v="45049"/>
    <s v="Unidade Vieralves (ANEXO)"/>
    <n v="1716167490"/>
    <m/>
  </r>
  <r>
    <x v="6"/>
    <x v="7"/>
    <s v="Lidia Teresa Monteiro Mendes"/>
    <s v="Feminino"/>
    <x v="6"/>
    <x v="0"/>
    <s v="31602185 - Estimulação Elétrica Transcutanea (Tens) (R$ 40,00)"/>
    <s v="Fisioterapia"/>
    <n v="171378"/>
    <s v="Finalizado (6/10)"/>
    <n v="35.200000000000003"/>
    <n v="4.8"/>
    <n v="40"/>
    <s v="Sessão a Faturar"/>
    <s v="54588888004872480010"/>
    <n v="37147"/>
    <s v="Unidade Vieralves (ANEXO)"/>
    <n v="171378"/>
    <m/>
  </r>
  <r>
    <x v="6"/>
    <x v="27"/>
    <s v="Tadeu Sierpinski Neto"/>
    <s v="Masculino"/>
    <x v="6"/>
    <x v="0"/>
    <s v="31602185 - Estimulação Elétrica Transcutanea (Tens) (R$ 40,00)"/>
    <s v="Fisioterapia"/>
    <n v="172773"/>
    <s v="Finalizado (1/2)"/>
    <n v="35.200000000000003"/>
    <n v="4.8"/>
    <n v="40"/>
    <s v="Sessão a Faturar"/>
    <s v="55788888491919510013"/>
    <n v="59745"/>
    <s v="Unidade Vieralves (ANEXO)"/>
    <n v="172773"/>
    <m/>
  </r>
  <r>
    <x v="6"/>
    <x v="15"/>
    <s v="José Roberto Teixeira Pereira"/>
    <s v="Masculino"/>
    <x v="6"/>
    <x v="0"/>
    <s v="20103506 - Patologia Em Um Segmento da Coluna (R$ 14,16)"/>
    <s v="Fisioterapia"/>
    <n v="171595"/>
    <s v="Finalizado (6/6)"/>
    <n v="12.460800000000001"/>
    <n v="1.6992"/>
    <n v="14.16"/>
    <s v="Sessão a Faturar"/>
    <s v="56788888488537970015"/>
    <n v="56491"/>
    <s v="Unidade Vieralves (ANEXO)"/>
    <n v="171595"/>
    <m/>
  </r>
  <r>
    <x v="6"/>
    <x v="15"/>
    <s v="Vinicius de Souza Teixeira"/>
    <s v="Masculino"/>
    <x v="2"/>
    <x v="0"/>
    <s v="20103484 - Fisioterapia - Patologia Em Um Membro (R$ 12,22), 20103514 - Fisioterapia - Patologia Em Diferentes Segmentos da Coluna (R$ 14,83)"/>
    <s v="Fisioterapia"/>
    <n v="1707498450"/>
    <s v="Finalizado (4/7)"/>
    <n v="23.803999999999998"/>
    <n v="3.246"/>
    <n v="27.05"/>
    <s v="Sessão a Faturar"/>
    <n v="774642030686000"/>
    <n v="59192"/>
    <s v="Unidade Vieralves (ANEXO)"/>
    <n v="1707498450"/>
    <m/>
  </r>
  <r>
    <x v="6"/>
    <x v="15"/>
    <s v="Rosineide Vieira Lima"/>
    <s v="Feminino"/>
    <x v="1"/>
    <x v="0"/>
    <s v="50000160 - Fisioterapia Ortopédica (R$ 20,00), 98980327 - Taxa de Eletroterapia (Tens) (R$ 15,00)"/>
    <s v="Fisioterapia"/>
    <n v="9321749"/>
    <s v="Finalizado (6/10)"/>
    <n v="30.8"/>
    <n v="4.2"/>
    <n v="35"/>
    <s v="Sessão Faturada"/>
    <s v="0902002479470014"/>
    <n v="59297"/>
    <s v="Unidade Vieralves (ANEXO)"/>
    <n v="9321749"/>
    <m/>
  </r>
  <r>
    <x v="6"/>
    <x v="16"/>
    <s v="José Roberto Teixeira Pereira"/>
    <s v="Masculino"/>
    <x v="6"/>
    <x v="0"/>
    <s v="31602185 - Estimulação Elétrica Transcutanea (Tens) (R$ 40,00)"/>
    <s v="Fisioterapia"/>
    <n v="171596"/>
    <s v="Finalizado (6/6)"/>
    <n v="35.200000000000003"/>
    <n v="4.8"/>
    <n v="40"/>
    <s v="Sessão a Faturar"/>
    <s v="56788888488537970015"/>
    <n v="56491"/>
    <s v="Unidade Vieralves (ANEXO)"/>
    <n v="171596"/>
    <m/>
  </r>
  <r>
    <x v="6"/>
    <x v="16"/>
    <s v="Vinicius de Souza Teixeira"/>
    <s v="Masculino"/>
    <x v="4"/>
    <x v="0"/>
    <s v="31602185 - Estimulação Elétrica Transcutânea - Removido 13/04/2026 (R$ 40,00)"/>
    <s v="Fisioterapia"/>
    <n v="1716769562"/>
    <s v="Finalizado (1/4)"/>
    <n v="35.200000000000003"/>
    <n v="4.8"/>
    <n v="40"/>
    <s v="Sessão a Faturar"/>
    <n v="774642030686000"/>
    <n v="59192"/>
    <s v="Unidade Vieralves (ANEXO)"/>
    <n v="1716769562"/>
    <m/>
  </r>
  <r>
    <x v="6"/>
    <x v="17"/>
    <s v="Manoel Arcangelo Ribeiro Tavares"/>
    <s v="Masculino"/>
    <x v="6"/>
    <x v="0"/>
    <s v="20103484 - Patologia Em Um Membro (R$ 14,16)"/>
    <s v="Fisioterapia"/>
    <n v="172792"/>
    <s v="Finalizado (1/10)"/>
    <n v="12.460800000000001"/>
    <n v="1.6992"/>
    <n v="14.16"/>
    <s v="Sessão a Faturar"/>
    <s v="54588888011540360016"/>
    <n v="19664"/>
    <s v="Unidade Vieralves (ANEXO)"/>
    <n v="172792"/>
    <m/>
  </r>
  <r>
    <x v="6"/>
    <x v="17"/>
    <s v="Manoel Arcangelo Ribeiro Tavares"/>
    <s v="Masculino"/>
    <x v="6"/>
    <x v="0"/>
    <s v="31602185 - Estimulação Elétrica Transcutanea (Tens) (R$ 40,00)"/>
    <s v="Fisioterapia"/>
    <n v="172793"/>
    <s v="Finalizado (1/5)"/>
    <n v="35.200000000000003"/>
    <n v="4.8"/>
    <n v="40"/>
    <s v="Sessão a Faturar"/>
    <s v="54588888011540360016"/>
    <n v="19664"/>
    <s v="Unidade Vieralves (ANEXO)"/>
    <n v="172793"/>
    <m/>
  </r>
  <r>
    <x v="6"/>
    <x v="17"/>
    <s v="Williams Valerio do Nascimento"/>
    <s v="Masculino"/>
    <x v="2"/>
    <x v="0"/>
    <s v="20103484 - Fisioterapia - Patologia Em Um Membro (R$ 12,22)"/>
    <s v="Fisioterapia"/>
    <n v="1716777046"/>
    <s v="Finalizado (1/2)"/>
    <n v="10.7536"/>
    <n v="1.4663999999999999"/>
    <n v="12.22"/>
    <s v="Sessão a Faturar"/>
    <n v="774438016047000"/>
    <n v="18013"/>
    <s v="Unidade Vieralves (ANEXO)"/>
    <n v="1716777046"/>
    <m/>
  </r>
  <r>
    <x v="6"/>
    <x v="17"/>
    <s v="Laiane Tammy Abati"/>
    <s v="Feminino"/>
    <x v="1"/>
    <x v="0"/>
    <s v="50000160 - Fisioterapia Ortopédica (R$ 20,00), 98980327 - Taxa de Eletroterapia (Tens) (R$ 15,00)"/>
    <s v="Fisioterapia"/>
    <n v="8920855"/>
    <s v="Finalizado (8/10)"/>
    <n v="30.8"/>
    <n v="4.2"/>
    <n v="35"/>
    <s v="Sessão Faturada"/>
    <s v="0901013277860067"/>
    <n v="59363"/>
    <s v="Unidade Vieralves (ANEXO)"/>
    <n v="8920855"/>
    <s v="GUIA ASSINADA!!!!!"/>
  </r>
  <r>
    <x v="6"/>
    <x v="17"/>
    <s v="Hercilio Tenorio de Barros Filho"/>
    <s v="Masculino"/>
    <x v="7"/>
    <x v="0"/>
    <s v="Vieiralves - 1 - Fisioterapia Ortopedica - Pacote (R$ 80,00)"/>
    <s v="Fisioterapia"/>
    <m/>
    <s v="Finalizado (2/10)"/>
    <n v="62.4"/>
    <n v="17.600000000000001"/>
    <n v="80"/>
    <s v="Pago"/>
    <n v="0"/>
    <n v="59673"/>
    <s v="Unidade Vieralves (ANEXO)"/>
    <m/>
    <m/>
  </r>
  <r>
    <x v="6"/>
    <x v="17"/>
    <s v="Manoel Arcangelo Ribeiro Tavares"/>
    <s v="Masculino"/>
    <x v="6"/>
    <x v="0"/>
    <s v="50000144 - Avaliação de Fisioterapia (R$ 56,52)"/>
    <s v="Fisioterapia"/>
    <n v="7700047338"/>
    <s v="Finalizado (1/1)"/>
    <n v="50.868000000000002"/>
    <n v="5.6520000000000001"/>
    <n v="56.52"/>
    <s v="Sessão Faturada"/>
    <s v="54588888011540360016"/>
    <n v="19664"/>
    <s v="Unidade Vieralves (ANEXO)"/>
    <n v="7700047338"/>
    <m/>
  </r>
  <r>
    <x v="6"/>
    <x v="17"/>
    <s v="Marcelo Batista Moreira"/>
    <s v="Masculino"/>
    <x v="7"/>
    <x v="0"/>
    <s v="Vieiralves - 1 - Fisioterapia Ortopedica - Pacote (R$ 80,00)"/>
    <s v="Fisioterapia"/>
    <m/>
    <s v="Finalizado (7/10)"/>
    <n v="62.4"/>
    <n v="17.600000000000001"/>
    <n v="80"/>
    <s v="No Prazo"/>
    <n v="0"/>
    <n v="59656"/>
    <s v="Unidade Vieralves (ANEXO)"/>
    <m/>
    <m/>
  </r>
  <r>
    <x v="6"/>
    <x v="18"/>
    <s v="Williams Valerio do Nascimento"/>
    <s v="Masculino"/>
    <x v="4"/>
    <x v="0"/>
    <s v="31602185 - Estimulação Elétrica Transcutânea - Removido 13/04/2026 (R$ 40,00)"/>
    <s v="Fisioterapia"/>
    <n v="1716779001"/>
    <s v="Finalizado (1/2)"/>
    <n v="35.200000000000003"/>
    <n v="4.8"/>
    <n v="40"/>
    <s v="Sessão a Faturar"/>
    <n v="774438016047000"/>
    <n v="18013"/>
    <s v="Unidade Vieralves (ANEXO)"/>
    <n v="1716779001"/>
    <m/>
  </r>
  <r>
    <x v="6"/>
    <x v="8"/>
    <s v="Gaspar Henrique Alves Mota"/>
    <m/>
    <x v="2"/>
    <x v="0"/>
    <s v="20103514 - Fisioterapia - Patologia Em Diferentes Segmentos da Coluna (R$ 14,83)"/>
    <s v="Fisioterapia"/>
    <n v="1711669686"/>
    <s v="Finalizado (4/4)"/>
    <n v="13.0504"/>
    <n v="1.7796000000000001"/>
    <n v="14.83"/>
    <s v="Sessão a Faturar"/>
    <n v="774642013528010"/>
    <n v="54316"/>
    <s v="Unidade Vieralves (ANEXO)"/>
    <n v="1711669686"/>
    <m/>
  </r>
  <r>
    <x v="6"/>
    <x v="8"/>
    <s v="Gisele dos Santos Costa"/>
    <s v="Feminino"/>
    <x v="1"/>
    <x v="0"/>
    <s v="50000160 - Fisioterapia Ortopédica (R$ 20,00), 98980327 - Taxa de Eletroterapia (Tens) (R$ 15,00)"/>
    <s v="Fisioterapia"/>
    <n v="9123592"/>
    <s v="Finalizado (7/8)"/>
    <n v="30.8"/>
    <n v="4.2"/>
    <n v="35"/>
    <s v="Sessão Faturada"/>
    <n v="1901012931170000"/>
    <n v="53642"/>
    <s v="Unidade Vieralves (ANEXO)"/>
    <n v="9123592"/>
    <m/>
  </r>
  <r>
    <x v="6"/>
    <x v="8"/>
    <s v="Mell Lenigia Oliveira da Cruz"/>
    <s v="Feminino"/>
    <x v="6"/>
    <x v="0"/>
    <s v="20103514 - Patologia Em Dois Ou Mais Segmentos da Coluna (R$ 32,82)"/>
    <s v="Fisioterapia"/>
    <n v="172214"/>
    <s v="Finalizado (2/3)"/>
    <n v="28.881599999999999"/>
    <n v="3.9384000000000001"/>
    <n v="32.82"/>
    <s v="Sessão a Faturar"/>
    <s v="55788888485414000013"/>
    <n v="21643"/>
    <s v="Unidade Vieralves (ANEXO)"/>
    <n v="172214"/>
    <m/>
  </r>
  <r>
    <x v="6"/>
    <x v="8"/>
    <s v="Gaspar Henrique Alves Mota"/>
    <m/>
    <x v="4"/>
    <x v="0"/>
    <s v="31602185 - Estimulação Elétrica Transcutânea - Removido 13/04/2026 (R$ 40,00)"/>
    <s v="Fisioterapia"/>
    <n v="1713643221"/>
    <s v="Finalizado (4/4)"/>
    <n v="35.200000000000003"/>
    <n v="4.8"/>
    <n v="40"/>
    <s v="Sessão a Faturar"/>
    <n v="774642013528010"/>
    <n v="54316"/>
    <s v="Unidade Vieralves (ANEXO)"/>
    <n v="1713643221"/>
    <m/>
  </r>
  <r>
    <x v="6"/>
    <x v="8"/>
    <s v="Adriana Antonia da Costa Barros"/>
    <s v="Feminino"/>
    <x v="2"/>
    <x v="0"/>
    <s v="20103484 - Fisioterapia - Patologia Em Um Membro (R$ 12,22)"/>
    <s v="Fisioterapia"/>
    <n v="1713637397"/>
    <s v="Finalizado (2/4)"/>
    <n v="10.7536"/>
    <n v="1.4663999999999999"/>
    <n v="12.22"/>
    <s v="Sessão a Faturar"/>
    <n v="774063004316000"/>
    <n v="59624"/>
    <s v="Unidade Vieralves (ANEXO)"/>
    <n v="1713637397"/>
    <m/>
  </r>
  <r>
    <x v="6"/>
    <x v="8"/>
    <s v="Dhijana Nobre de Almeida"/>
    <s v="Feminino"/>
    <x v="6"/>
    <x v="0"/>
    <s v="20103506 - Patologia Em Um Segmento da Coluna (R$ 14,16)"/>
    <s v="Fisioterapia"/>
    <n v="170863"/>
    <s v="Finalizado (5/10)"/>
    <n v="12.460800000000001"/>
    <n v="1.6992"/>
    <n v="14.16"/>
    <s v="Sessão a Faturar"/>
    <s v="54588888004873450017"/>
    <n v="6422"/>
    <s v="Unidade Vieralves (ANEXO)"/>
    <n v="170863"/>
    <m/>
  </r>
  <r>
    <x v="6"/>
    <x v="9"/>
    <s v="Adriana Antonia da Costa Barros"/>
    <s v="Feminino"/>
    <x v="4"/>
    <x v="0"/>
    <s v="31602185 - Estimulação Elétrica Transcutânea - Removido 13/04/2026 (R$ 40,00)"/>
    <s v="Fisioterapia"/>
    <n v="1716800517"/>
    <s v="Finalizado (1/3)"/>
    <n v="35.200000000000003"/>
    <n v="4.8"/>
    <n v="40"/>
    <s v="Sessão a Faturar"/>
    <n v="774063004316000"/>
    <n v="59624"/>
    <s v="Unidade Vieralves (ANEXO)"/>
    <n v="1716800517"/>
    <m/>
  </r>
  <r>
    <x v="6"/>
    <x v="9"/>
    <s v="Dhijana Nobre de Almeida"/>
    <s v="Feminino"/>
    <x v="6"/>
    <x v="0"/>
    <s v="31602185 - Estimulação Elétrica Transcutanea (Tens) (R$ 40,00)"/>
    <s v="Fisioterapia"/>
    <n v="170864"/>
    <s v="Finalizado (5/5)"/>
    <n v="35.200000000000003"/>
    <n v="4.8"/>
    <n v="40"/>
    <s v="Sessão a Faturar"/>
    <s v="54588888004873450017"/>
    <n v="6422"/>
    <s v="Unidade Vieralves (ANEXO)"/>
    <n v="170864"/>
    <m/>
  </r>
  <r>
    <x v="6"/>
    <x v="9"/>
    <s v="Mell Lenigia Oliveira da Cruz"/>
    <s v="Feminino"/>
    <x v="6"/>
    <x v="0"/>
    <s v="31602185 - Estimulação Elétrica Transcutanea (Tens) (R$ 40,00)"/>
    <s v="Fisioterapia"/>
    <n v="172215"/>
    <s v="Finalizado (2/3)"/>
    <n v="35.200000000000003"/>
    <n v="4.8"/>
    <n v="40"/>
    <s v="Sessão a Faturar"/>
    <s v="55788888485414000013"/>
    <n v="21643"/>
    <s v="Unidade Vieralves (ANEXO)"/>
    <n v="172215"/>
    <m/>
  </r>
  <r>
    <x v="6"/>
    <x v="10"/>
    <s v="Ney Henrique Lopes Cordeiro"/>
    <s v="Masculino"/>
    <x v="2"/>
    <x v="0"/>
    <s v="20103662 - Fisioterapia - Pos Operatorio Em Um Membro (R$ 14,99)"/>
    <s v="Fisioterapia"/>
    <n v="1713642317"/>
    <s v="Finalizado (2/5)"/>
    <n v="13.1912"/>
    <n v="1.7988"/>
    <n v="14.99"/>
    <s v="Sessão a Faturar"/>
    <n v="610171790036010"/>
    <n v="58355"/>
    <s v="Unidade Vieralves (ANEXO)"/>
    <n v="1713642317"/>
    <m/>
  </r>
  <r>
    <x v="6"/>
    <x v="10"/>
    <s v="Edineia de Medeiros Castro"/>
    <s v="Feminino"/>
    <x v="4"/>
    <x v="0"/>
    <s v="31602185 - Estimulação Elétrica Transcutânea - Removido 13/04/2026 (R$ 40,00)"/>
    <s v="Fisioterapia"/>
    <n v="1713011713"/>
    <s v="Finalizado (5/10)"/>
    <n v="35.200000000000003"/>
    <n v="4.8"/>
    <n v="40"/>
    <s v="Sessão a Faturar"/>
    <n v="960016147526000"/>
    <n v="59383"/>
    <s v="Unidade Vieralves (ANEXO)"/>
    <n v="1713011713"/>
    <m/>
  </r>
  <r>
    <x v="6"/>
    <x v="10"/>
    <s v="Edineia de Medeiros Castro"/>
    <s v="Feminino"/>
    <x v="2"/>
    <x v="0"/>
    <s v="20103484 - Fisioterapia - Patologia Em Um Membro (R$ 12,22)"/>
    <s v="Fisioterapia"/>
    <n v="1716807277"/>
    <s v="Finalizado (1/10)"/>
    <n v="10.7536"/>
    <n v="1.4663999999999999"/>
    <n v="12.22"/>
    <s v="Sessão a Faturar"/>
    <n v="960016147526000"/>
    <n v="59383"/>
    <s v="Unidade Vieralves (ANEXO)"/>
    <n v="1716807277"/>
    <m/>
  </r>
  <r>
    <x v="6"/>
    <x v="10"/>
    <s v="Luciana Nascimento da Silva"/>
    <s v="Feminino"/>
    <x v="7"/>
    <x v="0"/>
    <s v="Vieiralves - 1 - Fisioterapia Ortopedica - Pacote (R$ 40,00)"/>
    <s v="Fisioterapia"/>
    <m/>
    <s v="Finalizado (8/10)"/>
    <n v="31.2"/>
    <n v="8.8000000000000007"/>
    <n v="40"/>
    <s v="No Prazo"/>
    <s v="00"/>
    <n v="31909"/>
    <s v="Unidade Vieralves (ANEXO)"/>
    <m/>
    <m/>
  </r>
  <r>
    <x v="6"/>
    <x v="11"/>
    <s v="Ney Henrique Lopes Cordeiro"/>
    <s v="Masculino"/>
    <x v="4"/>
    <x v="0"/>
    <s v="31602185 - Estimulação Elétrica Transcutânea - Removido 13/04/2026 (R$ 40,00)"/>
    <s v="Fisioterapia"/>
    <n v="1716804863"/>
    <s v="Finalizado (1/4)"/>
    <n v="35.200000000000003"/>
    <n v="4.8"/>
    <n v="40"/>
    <s v="Sessão a Faturar"/>
    <n v="610171790036010"/>
    <n v="58355"/>
    <s v="Unidade Vieralves (ANEXO)"/>
    <n v="1716804863"/>
    <m/>
  </r>
  <r>
    <x v="6"/>
    <x v="12"/>
    <s v="Antonio Gonzaga Brito Honorato Junior"/>
    <s v="Masculino"/>
    <x v="2"/>
    <x v="0"/>
    <s v="20103484 - Fisioterapia - Patologia Em Um Membro (R$ 12,22)"/>
    <s v="Fisioterapia"/>
    <n v="1709850818"/>
    <s v="Finalizado (8/10)"/>
    <n v="10.7536"/>
    <n v="1.4663999999999999"/>
    <n v="12.22"/>
    <s v="Sessão Faturada"/>
    <n v="960019320397020"/>
    <n v="59461"/>
    <s v="Unidade Vieralves (ANEXO)"/>
    <n v="1709850818"/>
    <m/>
  </r>
  <r>
    <x v="6"/>
    <x v="12"/>
    <s v="Bruna Kerolaine Praia Neves"/>
    <s v="Feminino"/>
    <x v="2"/>
    <x v="0"/>
    <s v="20103514 - Fisioterapia - Patologia Em Diferentes Segmentos da Coluna (R$ 14,83)"/>
    <s v="Fisioterapia"/>
    <n v="1715275707"/>
    <s v="Finalizado (3/10)"/>
    <n v="13.0504"/>
    <n v="1.7796000000000001"/>
    <n v="14.83"/>
    <s v="Sessão a Faturar"/>
    <n v="833941000264010"/>
    <n v="51300"/>
    <s v="Unidade Vieralves (ANEXO)"/>
    <n v="1715275707"/>
    <m/>
  </r>
  <r>
    <x v="6"/>
    <x v="12"/>
    <s v="Nairion Jorge da Silva Cabral"/>
    <s v="Masculino"/>
    <x v="2"/>
    <x v="0"/>
    <s v="50000144 - Avaliação de Fisioterapia (R$ 51,42)"/>
    <s v="Fisioterapia"/>
    <n v="1716803093"/>
    <s v="Finalizado (1/1)"/>
    <n v="46.277999999999999"/>
    <n v="5.1420000000000003"/>
    <n v="51.42"/>
    <s v="Sessão Faturada"/>
    <n v="774170004421010"/>
    <n v="59731"/>
    <s v="Unidade Vieralves (ANEXO)"/>
    <n v="1716803093"/>
    <m/>
  </r>
  <r>
    <x v="6"/>
    <x v="12"/>
    <s v="Hugo Bomfim da Silva"/>
    <s v="Masculino"/>
    <x v="6"/>
    <x v="0"/>
    <s v="20103514 - Patologia Em Dois Ou Mais Segmentos da Coluna (R$ 32,82)"/>
    <s v="Fisioterapia"/>
    <n v="172330"/>
    <s v="Finalizado (3/10)"/>
    <n v="28.881599999999999"/>
    <n v="3.9384000000000001"/>
    <n v="32.82"/>
    <s v="Sessão a Faturar"/>
    <s v="56788888021641330012"/>
    <n v="59681"/>
    <s v="Unidade Vieralves (ANEXO)"/>
    <n v="172330"/>
    <m/>
  </r>
  <r>
    <x v="6"/>
    <x v="12"/>
    <s v="Alexsandro de Pierri Camara Frangos"/>
    <s v="Masculino"/>
    <x v="6"/>
    <x v="0"/>
    <s v="20103514 - Patologia Em Dois Ou Mais Segmentos da Coluna (R$ 32,82)"/>
    <s v="Fisioterapia"/>
    <n v="171696"/>
    <s v="Finalizado (5/5)"/>
    <n v="28.881599999999999"/>
    <n v="3.9384000000000001"/>
    <n v="32.82"/>
    <s v="Sessão a Faturar"/>
    <s v="44520813095886520010"/>
    <n v="59453"/>
    <s v="Unidade Vieralves (ANEXO)"/>
    <n v="171696"/>
    <m/>
  </r>
  <r>
    <x v="6"/>
    <x v="12"/>
    <s v="Alexsandro de Pierri Camara Frangos"/>
    <s v="Masculino"/>
    <x v="6"/>
    <x v="0"/>
    <s v="31602185 - Estimulação Elétrica Transcutanea (Tens) (R$ 40,00)"/>
    <s v="Fisioterapia"/>
    <n v="171697"/>
    <s v="Finalizado (4/5)"/>
    <n v="35.200000000000003"/>
    <n v="4.8"/>
    <n v="40"/>
    <s v="Sessão a Faturar"/>
    <s v="44520813095886520010"/>
    <n v="59453"/>
    <s v="Unidade Vieralves (ANEXO)"/>
    <n v="171697"/>
    <s v="GUIA ASSINADA"/>
  </r>
  <r>
    <x v="6"/>
    <x v="12"/>
    <s v="Bruna Kerolaine Praia Neves"/>
    <s v="Feminino"/>
    <x v="4"/>
    <x v="0"/>
    <s v="31602185 - Estimulação Elétrica Transcutânea - Removido 13/04/2026 (R$ 40,00)"/>
    <s v="Fisioterapia"/>
    <n v="1716285712"/>
    <s v="Finalizado (2/10)"/>
    <n v="35.200000000000003"/>
    <n v="4.8"/>
    <n v="40"/>
    <s v="Sessão a Faturar"/>
    <n v="833941000264010"/>
    <n v="51300"/>
    <s v="Unidade Vieralves (ANEXO)"/>
    <n v="1716285712"/>
    <m/>
  </r>
  <r>
    <x v="6"/>
    <x v="19"/>
    <s v="Hugo Bomfim da Silva"/>
    <s v="Masculino"/>
    <x v="6"/>
    <x v="0"/>
    <s v="31602185 - Estimulação Elétrica Transcutanea (Tens) (R$ 40,00)"/>
    <s v="Fisioterapia"/>
    <n v="172332"/>
    <s v="Finalizado (3/3)"/>
    <n v="35.200000000000003"/>
    <n v="4.8"/>
    <n v="40"/>
    <s v="Sessão a Faturar"/>
    <s v="56788888021641330012"/>
    <n v="59681"/>
    <s v="Unidade Vieralves (ANEXO)"/>
    <n v="172332"/>
    <m/>
  </r>
  <r>
    <x v="6"/>
    <x v="19"/>
    <s v="Nairion Jorge da Silva Cabral"/>
    <s v="Masculino"/>
    <x v="2"/>
    <x v="0"/>
    <s v="20103484 - Fisioterapia - Patologia Em Um Membro (R$ 12,22)"/>
    <s v="Fisioterapia"/>
    <n v="1716803364"/>
    <s v="Finalizado (1/3)"/>
    <n v="10.7536"/>
    <n v="1.4663999999999999"/>
    <n v="12.22"/>
    <s v="Sessão a Faturar"/>
    <n v="774170004421010"/>
    <n v="59731"/>
    <s v="Unidade Vieralves (ANEXO)"/>
    <n v="1716803364"/>
    <m/>
  </r>
  <r>
    <x v="6"/>
    <x v="20"/>
    <s v="Heberton Diego Ramalho Machado"/>
    <s v="Masculino"/>
    <x v="6"/>
    <x v="0"/>
    <s v="20103662 - Pos Operatorio Em Um Membro (R$ 22,53)"/>
    <s v="Fisioterapia"/>
    <n v="172017"/>
    <s v="Finalizado (6/10)"/>
    <n v="19.8264"/>
    <n v="2.7035999999999998"/>
    <n v="22.53"/>
    <s v="Sessão a Faturar"/>
    <s v="55788888491271860019"/>
    <n v="15998"/>
    <s v="Unidade Vieralves (ANEXO)"/>
    <n v="172017"/>
    <m/>
  </r>
  <r>
    <x v="6"/>
    <x v="20"/>
    <s v="Heberton Diego Ramalho Machado"/>
    <s v="Masculino"/>
    <x v="6"/>
    <x v="0"/>
    <s v="31602185 - Estimulação Elétrica Transcutanea (Tens) (R$ 40,00)"/>
    <s v="Fisioterapia"/>
    <n v="172024"/>
    <s v="Finalizado (5/7)"/>
    <n v="35.200000000000003"/>
    <n v="4.8"/>
    <n v="40"/>
    <s v="Sessão a Faturar"/>
    <s v="55788888491271860019"/>
    <n v="15998"/>
    <s v="Unidade Vieralves (ANEXO)"/>
    <n v="172024"/>
    <m/>
  </r>
  <r>
    <x v="6"/>
    <x v="20"/>
    <s v="Willian da Silva Marques"/>
    <s v="Masculino"/>
    <x v="6"/>
    <x v="0"/>
    <s v="20103484 - Patologia Em Um Membro (R$ 14,16)"/>
    <s v="Fisioterapia"/>
    <n v="171333"/>
    <s v="Finalizado (7/10)"/>
    <n v="12.460800000000001"/>
    <n v="1.6992"/>
    <n v="14.16"/>
    <s v="Sessão a Faturar"/>
    <s v="58201065997798090011"/>
    <n v="58695"/>
    <s v="Unidade Vieralves (ANEXO)"/>
    <n v="171333"/>
    <m/>
  </r>
  <r>
    <x v="6"/>
    <x v="20"/>
    <s v="Willian da Silva Marques"/>
    <s v="Masculino"/>
    <x v="6"/>
    <x v="0"/>
    <s v="31602185 - Estimulação Elétrica Transcutanea (Tens) (R$ 40,00)"/>
    <s v="Fisioterapia"/>
    <n v="171562"/>
    <s v="Finalizado (7/10)"/>
    <n v="35.200000000000003"/>
    <n v="4.8"/>
    <n v="40"/>
    <s v="Sessão a Faturar"/>
    <s v="58201065997798090011"/>
    <n v="58695"/>
    <s v="Unidade Vieralves (ANEXO)"/>
    <n v="171562"/>
    <m/>
  </r>
  <r>
    <x v="6"/>
    <x v="20"/>
    <s v="Kelly Melo Pereira"/>
    <s v="Feminino"/>
    <x v="2"/>
    <x v="0"/>
    <s v="20103484 - Fisioterapia - Patologia Em Um Membro (R$ 12,22)"/>
    <s v="Fisioterapia"/>
    <n v="1716286437"/>
    <s v="Finalizado (2/4)"/>
    <n v="10.7536"/>
    <n v="1.4663999999999999"/>
    <n v="12.22"/>
    <s v="Sessão a Faturar"/>
    <n v="774642004685020"/>
    <n v="47396"/>
    <s v="Unidade Vieralves (ANEXO)"/>
    <n v="1716286437"/>
    <m/>
  </r>
  <r>
    <x v="7"/>
    <x v="0"/>
    <s v="Daniel Botelho Campelo"/>
    <s v="Masculino"/>
    <x v="1"/>
    <x v="0"/>
    <s v="50000144 - Consulta de Fisioterapia (R$ 16,00)"/>
    <s v="Fisioterapia"/>
    <n v="9541486"/>
    <s v="Finalizado (1/1)"/>
    <n v="14.4"/>
    <n v="1.6"/>
    <n v="16"/>
    <s v="Sessão Faturada"/>
    <s v="0601007111970010"/>
    <n v="59760"/>
    <s v="Unidade Vieralves (ANEXO)"/>
    <n v="9541486"/>
    <m/>
  </r>
  <r>
    <x v="7"/>
    <x v="0"/>
    <s v="Caroline Duarte Brighente"/>
    <s v="Feminino"/>
    <x v="1"/>
    <x v="0"/>
    <s v="50000160 - Fisioterapia Ortopédica (R$ 20,00), 98980327 - Taxa de Eletroterapia (Tens) (R$ 15,00)"/>
    <s v="Fisioterapia"/>
    <n v="9161743"/>
    <s v="Finalizado (9/10)"/>
    <n v="30.8"/>
    <n v="4.2"/>
    <n v="35"/>
    <s v="Sessão Faturada"/>
    <s v="0501011606920055"/>
    <n v="59374"/>
    <s v="Unidade Vieralves (ANEXO)"/>
    <n v="9161743"/>
    <m/>
  </r>
  <r>
    <x v="7"/>
    <x v="0"/>
    <s v="Ivanildes Barbosa da Silva"/>
    <s v="Feminino"/>
    <x v="6"/>
    <x v="0"/>
    <s v="20103484 - Patologia Em Um Membro (R$ 14,16)"/>
    <s v="Fisioterapia"/>
    <n v="171669"/>
    <s v="Finalizado (3/5)"/>
    <n v="12.460800000000001"/>
    <n v="1.6992"/>
    <n v="14.16"/>
    <s v="Sessão a Faturar"/>
    <s v="54588888019240100022"/>
    <n v="58583"/>
    <s v="Unidade Vieralves (ANEXO)"/>
    <n v="171669"/>
    <m/>
  </r>
  <r>
    <x v="7"/>
    <x v="1"/>
    <s v="Ivanildes Barbosa da Silva"/>
    <s v="Feminino"/>
    <x v="6"/>
    <x v="0"/>
    <s v="31602185 - Estimulação Elétrica Transcutanea (Tens) (R$ 40,00)"/>
    <s v="Fisioterapia"/>
    <n v="171670"/>
    <s v="Finalizado (3/3)"/>
    <n v="35.200000000000003"/>
    <n v="4.8"/>
    <n v="40"/>
    <s v="Sessão a Faturar"/>
    <s v="54588888019240100022"/>
    <n v="58583"/>
    <s v="Unidade Vieralves (ANEXO)"/>
    <n v="171670"/>
    <m/>
  </r>
  <r>
    <x v="7"/>
    <x v="1"/>
    <s v="Daniel Botelho Campelo"/>
    <s v="Masculino"/>
    <x v="1"/>
    <x v="0"/>
    <s v="50000160 - Fisioterapia Ortopédica (R$ 20,00), 98980327 - Taxa de Eletroterapia (Tens) (R$ 15,00)"/>
    <s v="Fisioterapia"/>
    <n v="9541628"/>
    <s v="Finalizado (1/10)"/>
    <n v="30.8"/>
    <n v="4.2"/>
    <n v="35"/>
    <s v="Sessão a Faturar"/>
    <s v="0601007111970010"/>
    <n v="59760"/>
    <s v="Unidade Vieralves (ANEXO)"/>
    <n v="9541628"/>
    <m/>
  </r>
  <r>
    <x v="7"/>
    <x v="13"/>
    <s v="Ana Clara de Morais Virginio"/>
    <s v="Feminino"/>
    <x v="6"/>
    <x v="0"/>
    <s v="20103506 - Patologia Em Um Segmento da Coluna (R$ 14,16)"/>
    <s v="Fisioterapia"/>
    <n v="171233"/>
    <s v="Finalizado (5/5)"/>
    <n v="12.460800000000001"/>
    <n v="1.6992"/>
    <n v="14.16"/>
    <s v="Sessão a Faturar"/>
    <s v="55788888491532830118"/>
    <n v="59365"/>
    <s v="Unidade Vieralves (ANEXO)"/>
    <n v="171233"/>
    <m/>
  </r>
  <r>
    <x v="7"/>
    <x v="14"/>
    <s v="Ana Clara de Morais Virginio"/>
    <s v="Feminino"/>
    <x v="6"/>
    <x v="0"/>
    <s v="31602185 - Estimulação Elétrica Transcutanea (Tens) (R$ 40,00)"/>
    <s v="Fisioterapia"/>
    <n v="171234"/>
    <s v="Finalizado (5/5)"/>
    <n v="35.200000000000003"/>
    <n v="4.8"/>
    <n v="40"/>
    <s v="Sessão a Faturar"/>
    <s v="55788888491532830118"/>
    <n v="59365"/>
    <s v="Unidade Vieralves (ANEXO)"/>
    <n v="171234"/>
    <m/>
  </r>
  <r>
    <x v="7"/>
    <x v="6"/>
    <s v="Leticia Magalhães Mendes"/>
    <s v="Feminino"/>
    <x v="2"/>
    <x v="0"/>
    <s v="20103484 - Fisioterapia - Patologia Em Um Membro (R$ 12,22)"/>
    <s v="Fisioterapia"/>
    <n v="1710448748"/>
    <s v="Finalizado (7/10)"/>
    <n v="10.7536"/>
    <n v="1.4663999999999999"/>
    <n v="12.22"/>
    <s v="Sessão Faturada"/>
    <n v="775423014966000"/>
    <n v="59594"/>
    <s v="Unidade Vieralves (ANEXO)"/>
    <n v="1710448748"/>
    <m/>
  </r>
  <r>
    <x v="7"/>
    <x v="6"/>
    <s v="Maria de Fatima da Silva Souza"/>
    <s v="Feminino"/>
    <x v="2"/>
    <x v="0"/>
    <s v="20103492 - Fisioterapia - Patologia Em Dois Ou Mais Membros (R$ 14,83)"/>
    <s v="Fisioterapia"/>
    <n v="1710422709"/>
    <s v="Finalizado (4/4)"/>
    <n v="13.0504"/>
    <n v="1.7796000000000001"/>
    <n v="14.83"/>
    <s v="Sessão a Faturar"/>
    <n v="952140115211010"/>
    <n v="23931"/>
    <s v="Unidade Vieralves (ANEXO)"/>
    <n v="1710422709"/>
    <m/>
  </r>
  <r>
    <x v="7"/>
    <x v="6"/>
    <s v="Maria de Fatima da Silva Souza"/>
    <s v="Feminino"/>
    <x v="4"/>
    <x v="0"/>
    <s v="31602185 - Estimulação Elétrica Transcutânea - Removido 13/04/2026 (R$ 40,00)"/>
    <s v="Fisioterapia"/>
    <n v="1714183326"/>
    <s v="Finalizado (2/2)"/>
    <n v="35.200000000000003"/>
    <n v="4.8"/>
    <n v="40"/>
    <s v="Sessão a Faturar"/>
    <n v="952140115211010"/>
    <n v="23931"/>
    <s v="Unidade Vieralves (ANEXO)"/>
    <n v="1714183326"/>
    <m/>
  </r>
  <r>
    <x v="7"/>
    <x v="7"/>
    <s v="Leticia Magalhães Mendes"/>
    <s v="Feminino"/>
    <x v="4"/>
    <x v="0"/>
    <s v="31602185 - Estimulação Elétrica Transcutânea - Removido 13/04/2026 (R$ 40,00)"/>
    <s v="Fisioterapia"/>
    <n v="1712950346"/>
    <s v="Finalizado (5/8)"/>
    <n v="35.200000000000003"/>
    <n v="4.8"/>
    <n v="40"/>
    <s v="Sessão a Faturar"/>
    <n v="775423014966000"/>
    <n v="59594"/>
    <s v="Unidade Vieralves (ANEXO)"/>
    <n v="1712950346"/>
    <m/>
  </r>
  <r>
    <x v="7"/>
    <x v="15"/>
    <s v="Ilda Mara Cardoso Cavalcante"/>
    <s v="Feminino"/>
    <x v="1"/>
    <x v="0"/>
    <s v="50000160 - Fisioterapia Ortopédica (R$ 20,00), 98980327 - Taxa de Eletroterapia (Tens) (R$ 15,00)"/>
    <s v="Fisioterapia"/>
    <n v="9548106"/>
    <s v="Finalizado (1/10)"/>
    <n v="30.8"/>
    <n v="4.2"/>
    <n v="35"/>
    <s v="Sessão a Faturar"/>
    <s v="0901013960410147"/>
    <n v="59703"/>
    <s v="Unidade Vieralves (ANEXO)"/>
    <n v="9548106"/>
    <m/>
  </r>
  <r>
    <x v="7"/>
    <x v="15"/>
    <s v="Flavio Faustino da Silva"/>
    <s v="Masculino"/>
    <x v="11"/>
    <x v="0"/>
    <s v="20103484 - Fisioterapia - Patologia Em Um Membro (R$ 80,33)"/>
    <s v="Fisioterapia"/>
    <n v="3809"/>
    <s v="Finalizado (2/10)"/>
    <n v="70.690399999999997"/>
    <n v="9.6395999999999997"/>
    <n v="80.33"/>
    <s v="Sessão a Faturar"/>
    <s v="01685-C"/>
    <n v="417"/>
    <s v="Unidade Vieralves (ANEXO)"/>
    <n v="3809"/>
    <m/>
  </r>
  <r>
    <x v="7"/>
    <x v="15"/>
    <s v="Ilda Mara Cardoso Cavalcante"/>
    <s v="Feminino"/>
    <x v="1"/>
    <x v="0"/>
    <s v="50000144 - Consulta de Fisioterapia (R$ 16,00)"/>
    <s v="Fisioterapia"/>
    <n v="9547587"/>
    <s v="Finalizado (1/1)"/>
    <n v="14.4"/>
    <n v="1.6"/>
    <n v="16"/>
    <s v="Sessão Faturada"/>
    <s v="0901013960410147"/>
    <n v="59703"/>
    <s v="Unidade Vieralves (ANEXO)"/>
    <n v="9547587"/>
    <m/>
  </r>
  <r>
    <x v="7"/>
    <x v="17"/>
    <s v="Manoel Arcangelo Ribeiro Tavares"/>
    <s v="Masculino"/>
    <x v="6"/>
    <x v="0"/>
    <s v="20103484 - Patologia Em Um Membro (R$ 14,16)"/>
    <s v="Fisioterapia"/>
    <n v="172792"/>
    <s v="Finalizado (2/10)"/>
    <n v="12.460800000000001"/>
    <n v="1.6992"/>
    <n v="14.16"/>
    <s v="Sessão a Faturar"/>
    <s v="54588888011540360016"/>
    <n v="19664"/>
    <s v="Unidade Vieralves (ANEXO)"/>
    <n v="172792"/>
    <m/>
  </r>
  <r>
    <x v="7"/>
    <x v="18"/>
    <s v="Manoel Arcangelo Ribeiro Tavares"/>
    <s v="Masculino"/>
    <x v="6"/>
    <x v="0"/>
    <s v="31602185 - Estimulação Elétrica Transcutanea (Tens) (R$ 40,00)"/>
    <s v="Fisioterapia"/>
    <n v="172793"/>
    <s v="Finalizado (2/5)"/>
    <n v="35.200000000000003"/>
    <n v="4.8"/>
    <n v="40"/>
    <s v="Sessão a Faturar"/>
    <s v="54588888011540360016"/>
    <n v="19664"/>
    <s v="Unidade Vieralves (ANEXO)"/>
    <n v="172793"/>
    <m/>
  </r>
  <r>
    <x v="7"/>
    <x v="10"/>
    <s v="Hugo Bomfim da Silva"/>
    <s v="Masculino"/>
    <x v="6"/>
    <x v="0"/>
    <s v="20103514 - Patologia Em Dois Ou Mais Segmentos da Coluna (R$ 32,82)"/>
    <s v="Fisioterapia"/>
    <n v="172330"/>
    <s v="Não compareceu (4/10)"/>
    <n v="32.82"/>
    <n v="0"/>
    <n v="32.82"/>
    <s v="Sessão a Faturar"/>
    <s v="56788888021641330012"/>
    <n v="59681"/>
    <s v="Unidade Vieralves (ANEXO)"/>
    <n v="172330"/>
    <m/>
  </r>
  <r>
    <x v="7"/>
    <x v="20"/>
    <s v="Cristiane Portilho Nascimento Pardo"/>
    <s v="Feminino"/>
    <x v="5"/>
    <x v="0"/>
    <s v="31602185 - Estimulação Elétrica Transcutânea (Tens) (R$ 125,40)"/>
    <s v="Fisioterapia"/>
    <n v="78157840"/>
    <s v="Finalizado (2/10)"/>
    <n v="110.352"/>
    <n v="15.048"/>
    <n v="125.4"/>
    <s v="Sessão a Faturar"/>
    <s v="010093389000"/>
    <n v="11201"/>
    <s v="Unidade Vieralves (ANEXO)"/>
    <n v="78157840"/>
    <s v="GUIA ASSINADA"/>
  </r>
  <r>
    <x v="7"/>
    <x v="20"/>
    <s v="Kelly Melo Pereira"/>
    <s v="Feminino"/>
    <x v="2"/>
    <x v="0"/>
    <s v="20103484 - Fisioterapia - Patologia Em Um Membro (R$ 12,22)"/>
    <s v="Fisioterapia"/>
    <n v="1716286437"/>
    <s v="Finalizado (3/4)"/>
    <n v="10.7536"/>
    <n v="1.4663999999999999"/>
    <n v="12.22"/>
    <s v="Sessão a Faturar"/>
    <n v="774642004685020"/>
    <n v="47396"/>
    <s v="Unidade Vieralves (ANEXO)"/>
    <n v="1716286437"/>
    <m/>
  </r>
  <r>
    <x v="7"/>
    <x v="20"/>
    <s v="Cristiane Portilho Nascimento Pardo"/>
    <s v="Feminino"/>
    <x v="5"/>
    <x v="0"/>
    <s v="98860011 - Fisioterapia Complexidade 1 (R$ 55,26)"/>
    <s v="Fisioterapia"/>
    <n v="78145750"/>
    <s v="Finalizado (2/10)"/>
    <n v="48.628799999999998"/>
    <n v="6.6311999999999998"/>
    <n v="55.26"/>
    <s v="Sessão Faturada"/>
    <s v="010093389000"/>
    <n v="11201"/>
    <s v="Unidade Vieralves (ANEXO)"/>
    <n v="78145750"/>
    <s v="GUIA ASSINADA!!!!"/>
  </r>
  <r>
    <x v="8"/>
    <x v="0"/>
    <s v="Rosiane Mendes Valente"/>
    <s v="Feminino"/>
    <x v="1"/>
    <x v="0"/>
    <s v="50000160 - Fisioterapia Ortopédica (R$ 20,00), 98980327 - Taxa de Eletroterapia (Tens) (R$ 15,00)"/>
    <s v="Fisioterapia"/>
    <n v="9297961"/>
    <s v="Finalizado (4/8)"/>
    <n v="30.8"/>
    <n v="4.2"/>
    <n v="35"/>
    <s v="Sessão a Faturar"/>
    <n v="1301013577000200"/>
    <n v="55856"/>
    <s v="Unidade Vieralves (ANEXO)"/>
    <n v="9297961"/>
    <m/>
  </r>
  <r>
    <x v="8"/>
    <x v="0"/>
    <s v="Maria de Fatima Chaves Coimbra"/>
    <s v="Feminino"/>
    <x v="6"/>
    <x v="0"/>
    <s v="31602185 - Estimulação Elétrica Transcutanea (Tens) (R$ 40,00)"/>
    <s v="Fisioterapia"/>
    <n v="171993"/>
    <s v="Finalizado (3/10)"/>
    <n v="35.200000000000003"/>
    <n v="4.8"/>
    <n v="40"/>
    <s v="Sessão a Faturar"/>
    <s v="55788888000967700014"/>
    <n v="19051"/>
    <s v="Unidade Vieralves (ANEXO)"/>
    <n v="171993"/>
    <m/>
  </r>
  <r>
    <x v="8"/>
    <x v="0"/>
    <s v="Ana Cristina Medeiros Lima"/>
    <s v="Feminino"/>
    <x v="7"/>
    <x v="0"/>
    <s v="Part Convenio - 10 - Fisioterapia Ortopédica- Pacote (R$ 50,00)"/>
    <s v="Fisioterapia"/>
    <n v="172319"/>
    <s v="Finalizado (2/10)"/>
    <n v="39"/>
    <n v="11"/>
    <n v="50"/>
    <s v="No Prazo"/>
    <s v="0104004021230003"/>
    <n v="59273"/>
    <s v="Unidade Vieralves (ANEXO)"/>
    <n v="172319"/>
    <m/>
  </r>
  <r>
    <x v="8"/>
    <x v="0"/>
    <s v="Caroline Duarte Brighente"/>
    <s v="Feminino"/>
    <x v="1"/>
    <x v="0"/>
    <s v="50000160 - Fisioterapia Ortopédica (R$ 20,00), 98980327 - Taxa de Eletroterapia (Tens) (R$ 15,00)"/>
    <s v="Fisioterapia"/>
    <n v="9161743"/>
    <s v="Finalizado (10/10)"/>
    <n v="30.8"/>
    <n v="4.2"/>
    <n v="35"/>
    <s v="Sessão Faturada"/>
    <s v="0501011606920055"/>
    <n v="59374"/>
    <s v="Unidade Vieralves (ANEXO)"/>
    <n v="9161743"/>
    <m/>
  </r>
  <r>
    <x v="8"/>
    <x v="1"/>
    <s v="Maria de Fatima Chaves Coimbra"/>
    <s v="Feminino"/>
    <x v="6"/>
    <x v="0"/>
    <s v="20103484 - Patologia Em Um Membro (R$ 14,16), 20103506 - Patologia Em Um Segmento da Coluna (R$ 14,16)"/>
    <s v="Fisioterapia"/>
    <n v="171008"/>
    <s v="Finalizado (4/10)"/>
    <n v="24.921600000000002"/>
    <n v="3.3984000000000001"/>
    <n v="28.32"/>
    <s v="Sessão a Faturar"/>
    <s v="55788888000967700014"/>
    <n v="19051"/>
    <s v="Unidade Vieralves (ANEXO)"/>
    <n v="171008"/>
    <m/>
  </r>
  <r>
    <x v="8"/>
    <x v="4"/>
    <s v="Genilza Evaristo Machado Moreira"/>
    <s v="Feminino"/>
    <x v="1"/>
    <x v="0"/>
    <s v="50000160 - Fisioterapia Ortopédica (R$ 20,00), 98980327 - Taxa de Eletroterapia (Tens) (R$ 15,00)"/>
    <s v="Fisioterapia"/>
    <n v="9318751"/>
    <s v="Finalizado (7/10)"/>
    <n v="30.8"/>
    <n v="4.2"/>
    <n v="35"/>
    <s v="Sessão Faturada"/>
    <n v="1901012887600100"/>
    <n v="59599"/>
    <s v="Unidade Vieralves (ANEXO)"/>
    <n v="9318751"/>
    <m/>
  </r>
  <r>
    <x v="8"/>
    <x v="13"/>
    <s v="Laiane Tammy Abati"/>
    <s v="Feminino"/>
    <x v="1"/>
    <x v="0"/>
    <s v="50000160 - Fisioterapia Ortopédica (R$ 20,00), 98980327 - Taxa de Eletroterapia (Tens) (R$ 15,00)"/>
    <s v="Fisioterapia"/>
    <n v="8920855"/>
    <s v="Finalizado (9/10)"/>
    <n v="30.8"/>
    <n v="4.2"/>
    <n v="35"/>
    <s v="Sessão Faturada"/>
    <s v="0901013277860067"/>
    <n v="59363"/>
    <s v="Unidade Vieralves (ANEXO)"/>
    <n v="8920855"/>
    <s v="GUIA ASSINADA!!!!!"/>
  </r>
  <r>
    <x v="8"/>
    <x v="13"/>
    <s v="Sofia Araujo Pereira Ferreira"/>
    <s v="Feminino"/>
    <x v="2"/>
    <x v="0"/>
    <s v="20103514 - Fisioterapia - Patologia Em Diferentes Segmentos da Coluna (R$ 14,83)"/>
    <s v="Fisioterapia"/>
    <n v="1714686879"/>
    <s v="Finalizado (2/5)"/>
    <n v="13.0504"/>
    <n v="1.7796000000000001"/>
    <n v="14.83"/>
    <s v="Sessão a Faturar"/>
    <n v="814438300051020"/>
    <n v="59164"/>
    <s v="Unidade Vieralves (ANEXO)"/>
    <n v="1714686879"/>
    <m/>
  </r>
  <r>
    <x v="8"/>
    <x v="14"/>
    <s v="Sofia Araujo Pereira Ferreira"/>
    <s v="Feminino"/>
    <x v="4"/>
    <x v="0"/>
    <s v="31602185 - Estimulação Elétrica Transcutânea - Removido 13/04/2026 (R$ 40,00)"/>
    <s v="Fisioterapia"/>
    <n v="1710989888"/>
    <s v="Finalizado (3/4)"/>
    <n v="35.200000000000003"/>
    <n v="4.8"/>
    <n v="40"/>
    <s v="Sessão a Faturar"/>
    <n v="814438300051020"/>
    <n v="59164"/>
    <s v="Unidade Vieralves (ANEXO)"/>
    <n v="1710989888"/>
    <m/>
  </r>
  <r>
    <x v="8"/>
    <x v="6"/>
    <s v="Ilda Mara Cardoso Cavalcante"/>
    <s v="Feminino"/>
    <x v="1"/>
    <x v="0"/>
    <s v="50000160 - Fisioterapia Ortopédica (R$ 20,00), 98980327 - Taxa de Eletroterapia (Tens) (R$ 15,00)"/>
    <s v="Fisioterapia"/>
    <n v="9548106"/>
    <s v="Finalizado (2/10)"/>
    <n v="30.8"/>
    <n v="4.2"/>
    <n v="35"/>
    <s v="Sessão a Faturar"/>
    <s v="0901013960410147"/>
    <n v="59703"/>
    <s v="Unidade Vieralves (ANEXO)"/>
    <n v="9548106"/>
    <m/>
  </r>
  <r>
    <x v="8"/>
    <x v="6"/>
    <s v="Lidia Teresa Monteiro Mendes"/>
    <s v="Feminino"/>
    <x v="6"/>
    <x v="0"/>
    <s v="31602185 - Estimulação Elétrica Transcutanea (Tens) (R$ 40,00)"/>
    <s v="Fisioterapia"/>
    <n v="171378"/>
    <s v="Finalizado (7/10)"/>
    <n v="35.200000000000003"/>
    <n v="4.8"/>
    <n v="40"/>
    <s v="Sessão a Faturar"/>
    <s v="54588888004872480010"/>
    <n v="37147"/>
    <s v="Unidade Vieralves (ANEXO)"/>
    <n v="171378"/>
    <m/>
  </r>
  <r>
    <x v="8"/>
    <x v="6"/>
    <s v="Tadeu Sierpinski Neto"/>
    <s v="Masculino"/>
    <x v="6"/>
    <x v="0"/>
    <s v="20103506 - Patologia Em Um Segmento da Coluna (R$ 14,16)"/>
    <s v="Fisioterapia"/>
    <n v="172770"/>
    <s v="Finalizado (2/10)"/>
    <n v="12.460800000000001"/>
    <n v="1.6992"/>
    <n v="14.16"/>
    <s v="Sessão a Faturar"/>
    <s v="55788888491919510013"/>
    <n v="59745"/>
    <s v="Unidade Vieralves (ANEXO)"/>
    <n v="172770"/>
    <m/>
  </r>
  <r>
    <x v="8"/>
    <x v="6"/>
    <s v="Estela Maria Galvao Vidal de Abreu"/>
    <s v="Feminino"/>
    <x v="2"/>
    <x v="0"/>
    <s v="20103484 - Fisioterapia - Patologia Em Um Membro (R$ 12,22), 20103506 - Fisioterapia - Patologia Em Um Segmento da Coluna (R$ 12,22)"/>
    <s v="Fisioterapia"/>
    <n v="1709766067"/>
    <s v="Finalizado (10/10)"/>
    <n v="21.507200000000001"/>
    <n v="2.9327999999999999"/>
    <n v="24.44"/>
    <s v="Sessão Faturada"/>
    <n v="836922200019000"/>
    <n v="45049"/>
    <s v="Unidade Vieralves (ANEXO)"/>
    <n v="1709766067"/>
    <m/>
  </r>
  <r>
    <x v="8"/>
    <x v="7"/>
    <s v="Lidia Teresa Monteiro Mendes"/>
    <s v="Feminino"/>
    <x v="6"/>
    <x v="0"/>
    <s v="20103492 - Patologia Em Dois Ou Mais Membros (R$ 30,26)"/>
    <s v="Fisioterapia"/>
    <n v="171232"/>
    <s v="Finalizado (9/10)"/>
    <n v="26.628799999999998"/>
    <n v="3.6312000000000002"/>
    <n v="30.26"/>
    <s v="Sessão a Faturar"/>
    <s v="54588888004872480010"/>
    <n v="37147"/>
    <s v="Unidade Vieralves (ANEXO)"/>
    <n v="171232"/>
    <m/>
  </r>
  <r>
    <x v="8"/>
    <x v="7"/>
    <s v="Tadeu Sierpinski Neto"/>
    <s v="Masculino"/>
    <x v="6"/>
    <x v="0"/>
    <s v="31602185 - Estimulação Elétrica Transcutanea (Tens) (R$ 40,00)"/>
    <s v="Fisioterapia"/>
    <n v="172773"/>
    <s v="Finalizado (2/2)"/>
    <n v="35.200000000000003"/>
    <n v="4.8"/>
    <n v="40"/>
    <s v="Sessão a Faturar"/>
    <s v="55788888491919510013"/>
    <n v="59745"/>
    <s v="Unidade Vieralves (ANEXO)"/>
    <n v="172773"/>
    <m/>
  </r>
  <r>
    <x v="8"/>
    <x v="7"/>
    <s v="Estela Maria Galvao Vidal de Abreu"/>
    <s v="Feminino"/>
    <x v="4"/>
    <x v="0"/>
    <s v="31602185 - Estimulação Elétrica Transcutânea - Removido 13/04/2026 (R$ 40,00)"/>
    <s v="Fisioterapia"/>
    <n v="1716167490"/>
    <s v="Finalizado (3/3)"/>
    <n v="35.200000000000003"/>
    <n v="4.8"/>
    <n v="40"/>
    <s v="Sessão a Faturar"/>
    <n v="836922200019000"/>
    <n v="45049"/>
    <s v="Unidade Vieralves (ANEXO)"/>
    <n v="1716167490"/>
    <m/>
  </r>
  <r>
    <x v="8"/>
    <x v="15"/>
    <s v="Flavio Faustino da Silva"/>
    <s v="Masculino"/>
    <x v="11"/>
    <x v="0"/>
    <s v="20103484 - Fisioterapia - Patologia Em Um Membro (R$ 80,33)"/>
    <s v="Fisioterapia"/>
    <n v="3809"/>
    <s v="Finalizado (3/10)"/>
    <n v="70.690399999999997"/>
    <n v="9.6395999999999997"/>
    <n v="80.33"/>
    <s v="Sessão a Faturar"/>
    <s v="01685-C"/>
    <n v="417"/>
    <s v="Unidade Vieralves (ANEXO)"/>
    <n v="3809"/>
    <m/>
  </r>
  <r>
    <x v="8"/>
    <x v="15"/>
    <s v="Claudia Maria de Moura Abrahim"/>
    <s v="Feminino"/>
    <x v="1"/>
    <x v="0"/>
    <s v="50000217 - Fisioterapia Pré e Pós Operatória (R$ 25,00), 98980327 - Taxa de Eletroterapia (Tens) (R$ 15,00)"/>
    <s v="Fisioterapia"/>
    <n v="9501935"/>
    <s v="Finalizado (2/10)"/>
    <n v="35.200000000000003"/>
    <n v="4.8"/>
    <n v="40"/>
    <s v="Sessão a Faturar"/>
    <s v="0901001967210050"/>
    <n v="21456"/>
    <s v="Unidade Vieralves (ANEXO)"/>
    <n v="9501935"/>
    <m/>
  </r>
  <r>
    <x v="8"/>
    <x v="15"/>
    <s v="Vinicius de Souza Teixeira"/>
    <s v="Masculino"/>
    <x v="2"/>
    <x v="0"/>
    <s v="20103484 - Fisioterapia - Patologia Em Um Membro (R$ 12,22), 20103514 - Fisioterapia - Patologia Em Diferentes Segmentos da Coluna (R$ 14,83)"/>
    <s v="Fisioterapia"/>
    <n v="1707498450"/>
    <s v="Finalizado (5/7)"/>
    <n v="23.803999999999998"/>
    <n v="3.246"/>
    <n v="27.05"/>
    <s v="Sessão a Faturar"/>
    <n v="774642030686000"/>
    <n v="59192"/>
    <s v="Unidade Vieralves (ANEXO)"/>
    <n v="1707498450"/>
    <m/>
  </r>
  <r>
    <x v="8"/>
    <x v="16"/>
    <s v="Vinicius de Souza Teixeira"/>
    <s v="Masculino"/>
    <x v="4"/>
    <x v="0"/>
    <s v="31602185 - Estimulação Elétrica Transcutânea - Removido 13/04/2026 (R$ 40,00)"/>
    <s v="Fisioterapia"/>
    <n v="1716769562"/>
    <s v="Finalizado (2/4)"/>
    <n v="35.200000000000003"/>
    <n v="4.8"/>
    <n v="40"/>
    <s v="Sessão a Faturar"/>
    <n v="774642030686000"/>
    <n v="59192"/>
    <s v="Unidade Vieralves (ANEXO)"/>
    <n v="1716769562"/>
    <m/>
  </r>
  <r>
    <x v="8"/>
    <x v="17"/>
    <s v="Manoel Arcangelo Ribeiro Tavares"/>
    <s v="Masculino"/>
    <x v="6"/>
    <x v="0"/>
    <s v="20103484 - Patologia Em Um Membro (R$ 14,16)"/>
    <s v="Fisioterapia"/>
    <n v="172792"/>
    <s v="Finalizado (3/10)"/>
    <n v="12.460800000000001"/>
    <n v="1.6992"/>
    <n v="14.16"/>
    <s v="Sessão a Faturar"/>
    <s v="54588888011540360016"/>
    <n v="19664"/>
    <s v="Unidade Vieralves (ANEXO)"/>
    <n v="172792"/>
    <m/>
  </r>
  <r>
    <x v="8"/>
    <x v="17"/>
    <s v="Williams Valerio do Nascimento"/>
    <s v="Masculino"/>
    <x v="2"/>
    <x v="0"/>
    <s v="20103484 - Fisioterapia - Patologia Em Um Membro (R$ 12,22)"/>
    <s v="Fisioterapia"/>
    <n v="1716777046"/>
    <s v="Finalizado (2/2)"/>
    <n v="10.7536"/>
    <n v="1.4663999999999999"/>
    <n v="12.22"/>
    <s v="Sessão a Faturar"/>
    <n v="774438016047000"/>
    <n v="18013"/>
    <s v="Unidade Vieralves (ANEXO)"/>
    <n v="1716777046"/>
    <m/>
  </r>
  <r>
    <x v="8"/>
    <x v="17"/>
    <s v="Hercilio Tenorio de Barros Filho"/>
    <s v="Masculino"/>
    <x v="7"/>
    <x v="0"/>
    <s v="Vieiralves - 1 - Fisioterapia Ortopedica - Pacote (R$ 80,00)"/>
    <s v="Fisioterapia"/>
    <m/>
    <s v="Finalizado (3/10)"/>
    <n v="62.4"/>
    <n v="17.600000000000001"/>
    <n v="80"/>
    <s v="Pago"/>
    <n v="0"/>
    <n v="59673"/>
    <s v="Unidade Vieralves (ANEXO)"/>
    <m/>
    <m/>
  </r>
  <r>
    <x v="8"/>
    <x v="18"/>
    <s v="Manoel Arcangelo Ribeiro Tavares"/>
    <s v="Masculino"/>
    <x v="6"/>
    <x v="0"/>
    <s v="31602185 - Estimulação Elétrica Transcutanea (Tens) (R$ 40,00)"/>
    <s v="Fisioterapia"/>
    <n v="172793"/>
    <s v="Finalizado (3/5)"/>
    <n v="35.200000000000003"/>
    <n v="4.8"/>
    <n v="40"/>
    <s v="Sessão a Faturar"/>
    <s v="54588888011540360016"/>
    <n v="19664"/>
    <s v="Unidade Vieralves (ANEXO)"/>
    <n v="172793"/>
    <m/>
  </r>
  <r>
    <x v="8"/>
    <x v="18"/>
    <s v="Williams Valerio do Nascimento"/>
    <s v="Masculino"/>
    <x v="4"/>
    <x v="0"/>
    <s v="31602185 - Estimulação Elétrica Transcutânea - Removido 13/04/2026 (R$ 40,00)"/>
    <s v="Fisioterapia"/>
    <n v="1716779001"/>
    <s v="Finalizado (2/2)"/>
    <n v="35.200000000000003"/>
    <n v="4.8"/>
    <n v="40"/>
    <s v="Sessão a Faturar"/>
    <n v="774438016047000"/>
    <n v="18013"/>
    <s v="Unidade Vieralves (ANEXO)"/>
    <n v="1716779001"/>
    <m/>
  </r>
  <r>
    <x v="8"/>
    <x v="8"/>
    <s v="Christiane Soares Mourão Vasconcelos"/>
    <s v="Feminino"/>
    <x v="5"/>
    <x v="0"/>
    <s v="98860011 - Fisioterapia Complexidade 1 (R$ 55,26)"/>
    <s v="Fisioterapia"/>
    <n v="77983100"/>
    <s v="Finalizado (1/10)"/>
    <n v="48.628799999999998"/>
    <n v="6.6311999999999998"/>
    <n v="55.26"/>
    <s v="Sessão Faturada"/>
    <s v="0101027366060139"/>
    <n v="58707"/>
    <s v="Unidade Vieralves (ANEXO)"/>
    <n v="77983100"/>
    <m/>
  </r>
  <r>
    <x v="8"/>
    <x v="8"/>
    <s v="Adriana Antonia da Costa Barros"/>
    <s v="Feminino"/>
    <x v="2"/>
    <x v="0"/>
    <s v="20103484 - Fisioterapia - Patologia Em Um Membro (R$ 12,22)"/>
    <s v="Fisioterapia"/>
    <n v="1713637397"/>
    <s v="Finalizado (3/4)"/>
    <n v="10.7536"/>
    <n v="1.4663999999999999"/>
    <n v="12.22"/>
    <s v="Sessão a Faturar"/>
    <n v="774063004316000"/>
    <n v="59624"/>
    <s v="Unidade Vieralves (ANEXO)"/>
    <n v="1713637397"/>
    <m/>
  </r>
  <r>
    <x v="8"/>
    <x v="9"/>
    <s v="Christiane Soares Mourão Vasconcelos"/>
    <s v="Feminino"/>
    <x v="5"/>
    <x v="0"/>
    <s v="31602185 - Estimulação Elétrica Transcutânea (Tens) (R$ 125,40)"/>
    <s v="Fisioterapia"/>
    <n v="77984760"/>
    <s v="Finalizado (1/10)"/>
    <n v="110.352"/>
    <n v="15.048"/>
    <n v="125.4"/>
    <s v="Sessão a Faturar"/>
    <s v="0101027366060139"/>
    <n v="58707"/>
    <s v="Unidade Vieralves (ANEXO)"/>
    <n v="77984760"/>
    <m/>
  </r>
  <r>
    <x v="8"/>
    <x v="9"/>
    <s v="Adriana Antonia da Costa Barros"/>
    <s v="Feminino"/>
    <x v="4"/>
    <x v="0"/>
    <s v="31602185 - Estimulação Elétrica Transcutânea - Removido 13/04/2026 (R$ 40,00)"/>
    <s v="Fisioterapia"/>
    <n v="1716800517"/>
    <s v="Finalizado (2/3)"/>
    <n v="35.200000000000003"/>
    <n v="4.8"/>
    <n v="40"/>
    <s v="Sessão a Faturar"/>
    <n v="774063004316000"/>
    <n v="59624"/>
    <s v="Unidade Vieralves (ANEXO)"/>
    <n v="1716800517"/>
    <m/>
  </r>
  <r>
    <x v="8"/>
    <x v="10"/>
    <s v="Gina Ramos Pinheiro Honda"/>
    <s v="Feminino"/>
    <x v="10"/>
    <x v="0"/>
    <s v="50000160 - Fisioterapia Ortopédica (R$ 15,00)"/>
    <s v="Fisioterapia"/>
    <n v="23002185"/>
    <s v="Finalizado (1/10)"/>
    <n v="13.2"/>
    <n v="1.8"/>
    <n v="15"/>
    <s v="Sessão a Faturar"/>
    <s v="00010064268880001"/>
    <n v="55208"/>
    <s v="Unidade Vieralves (ANEXO)"/>
    <n v="23002185"/>
    <m/>
  </r>
  <r>
    <x v="9"/>
    <x v="0"/>
    <s v="Ana Cristina Medeiros Lima"/>
    <s v="Feminino"/>
    <x v="7"/>
    <x v="0"/>
    <s v="Part Convenio - 10 - Fisioterapia Ortopédica- Pacote (R$ 50,00)"/>
    <s v="Fisioterapia"/>
    <n v="172319"/>
    <s v="Finalizado (3/10)"/>
    <n v="39"/>
    <n v="11"/>
    <n v="50"/>
    <s v="No Prazo"/>
    <s v="0104004021230003"/>
    <n v="59273"/>
    <s v="Unidade Vieralves (ANEXO)"/>
    <n v="172319"/>
    <m/>
  </r>
  <r>
    <x v="9"/>
    <x v="0"/>
    <s v="Isabelly Bacelar Gonçalves"/>
    <s v="Feminino"/>
    <x v="0"/>
    <x v="0"/>
    <s v="50000160 - Fisioterapia Ortopedica (R$ 49,72)"/>
    <s v="Fisioterapia"/>
    <s v="42263120260316483774"/>
    <s v="Finalizado (8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9"/>
    <x v="1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8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9"/>
    <x v="2"/>
    <s v="Cristiane Gomes Barcelar Gonçalves"/>
    <s v="Feminino"/>
    <x v="0"/>
    <x v="0"/>
    <s v="50000160 - Fisioterapia Ortopedica (R$ 49,72)"/>
    <s v="Fisioterapia"/>
    <s v="42263120260305415598"/>
    <s v="Finalizado (10/10)"/>
    <n v="43.753599999999999"/>
    <n v="5.9664000000000001"/>
    <n v="49.72"/>
    <s v="Sessão a Faturar"/>
    <s v="010033652753"/>
    <n v="27217"/>
    <s v="Unidade Vieralves (ANEXO)"/>
    <s v="42263120260305415598"/>
    <m/>
  </r>
  <r>
    <x v="9"/>
    <x v="2"/>
    <s v="Daniel Botelho Campelo"/>
    <s v="Masculino"/>
    <x v="1"/>
    <x v="0"/>
    <s v="50000160 - Fisioterapia Ortopédica (R$ 20,00), 98980327 - Taxa de Eletroterapia (Tens) (R$ 15,00)"/>
    <s v="Fisioterapia"/>
    <n v="9541628"/>
    <s v="Finalizado (2/10)"/>
    <n v="30.8"/>
    <n v="4.2"/>
    <n v="35"/>
    <s v="Sessão a Faturar"/>
    <s v="0601007111970010"/>
    <n v="59760"/>
    <s v="Unidade Vieralves (ANEXO)"/>
    <n v="9541628"/>
    <m/>
  </r>
  <r>
    <x v="9"/>
    <x v="2"/>
    <s v="Richarles de Araújo Sousa"/>
    <s v="Masculino"/>
    <x v="1"/>
    <x v="0"/>
    <s v="50000160 - Fisioterapia Ortopédica (R$ 20,00), 98980327 - Taxa de Eletroterapia (Tens) (R$ 15,00)"/>
    <s v="Fisioterapia"/>
    <n v="9320335"/>
    <s v="Finalizado (4/8)"/>
    <n v="30.8"/>
    <n v="4.2"/>
    <n v="35"/>
    <s v="Sessão a Faturar"/>
    <n v="1301013026380000"/>
    <n v="58337"/>
    <s v="Unidade Vieralves (ANEXO)"/>
    <n v="9320335"/>
    <m/>
  </r>
  <r>
    <x v="9"/>
    <x v="2"/>
    <s v="Natálya da Silva Sampaio"/>
    <s v="Feminino"/>
    <x v="1"/>
    <x v="0"/>
    <s v="50000160 - Fisioterapia Ortopédica (R$ 20,00), 98980327 - Taxa de Eletroterapia (Tens) (R$ 15,00)"/>
    <s v="Fisioterapia"/>
    <n v="9325509"/>
    <s v="Finalizado (4/8)"/>
    <n v="30.8"/>
    <n v="4.2"/>
    <n v="35"/>
    <s v="Sessão a Faturar"/>
    <n v="1301013026380200"/>
    <n v="59331"/>
    <s v="Unidade Vieralves (ANEXO)"/>
    <n v="9325509"/>
    <m/>
  </r>
  <r>
    <x v="9"/>
    <x v="3"/>
    <s v="Cristiane Gomes Barcelar Gonçalves"/>
    <s v="Feminino"/>
    <x v="0"/>
    <x v="0"/>
    <s v="31602185 - Estimulação Elétrica Transcutânea Fisioterapia (Novo - 01/12) (R$ 54,13)"/>
    <s v="Fisioterapia"/>
    <s v="42263120260305415649"/>
    <s v="Finalizado (10/10)"/>
    <n v="47.634399999999999"/>
    <n v="6.4955999999999996"/>
    <n v="54.13"/>
    <s v="Sessão a Faturar"/>
    <s v="010033652753"/>
    <n v="27217"/>
    <s v="Unidade Vieralves (ANEXO)"/>
    <s v="42263120260305415649"/>
    <m/>
  </r>
  <r>
    <x v="9"/>
    <x v="4"/>
    <s v="Flavio Faustino da Silva"/>
    <s v="Masculino"/>
    <x v="11"/>
    <x v="0"/>
    <s v="20103484 - Fisioterapia - Patologia Em Um Membro (R$ 80,33)"/>
    <s v="Fisioterapia"/>
    <n v="3809"/>
    <s v="Finalizado (4/10)"/>
    <n v="70.690399999999997"/>
    <n v="9.6395999999999997"/>
    <n v="80.33"/>
    <s v="Sessão a Faturar"/>
    <s v="01685-C"/>
    <n v="417"/>
    <s v="Unidade Vieralves (ANEXO)"/>
    <n v="3809"/>
    <m/>
  </r>
  <r>
    <x v="9"/>
    <x v="4"/>
    <s v="Claudia Maria de Moura Abrahim"/>
    <s v="Feminino"/>
    <x v="1"/>
    <x v="0"/>
    <s v="50000217 - Fisioterapia Pré e Pós Operatória (R$ 25,00), 98980327 - Taxa de Eletroterapia (Tens) (R$ 15,00)"/>
    <s v="Fisioterapia"/>
    <n v="9501935"/>
    <s v="Finalizado (3/10)"/>
    <n v="35.200000000000003"/>
    <n v="4.8"/>
    <n v="40"/>
    <s v="Sessão a Faturar"/>
    <s v="0901001967210050"/>
    <n v="21456"/>
    <s v="Unidade Vieralves (ANEXO)"/>
    <n v="9501935"/>
    <m/>
  </r>
  <r>
    <x v="9"/>
    <x v="6"/>
    <s v="Laura Irene Villacrez Flores"/>
    <s v="Feminino"/>
    <x v="5"/>
    <x v="0"/>
    <s v="31602185 - Estimulação Elétrica Transcutânea (Tens) (R$ 125,40)"/>
    <s v="Fisioterapia"/>
    <n v="78268770"/>
    <s v="Finalizado (10/10)"/>
    <n v="110.352"/>
    <n v="15.048"/>
    <n v="125.4"/>
    <s v="Sessão Faturada"/>
    <s v="010080860100"/>
    <n v="59130"/>
    <s v="Unidade Vieralves (ANEXO)"/>
    <n v="78268770"/>
    <m/>
  </r>
  <r>
    <x v="9"/>
    <x v="6"/>
    <s v="Lidia Teresa Monteiro Mendes"/>
    <s v="Feminino"/>
    <x v="6"/>
    <x v="0"/>
    <s v="20103492 - Patologia Em Dois Ou Mais Membros (R$ 30,26)"/>
    <s v="Fisioterapia"/>
    <n v="171232"/>
    <s v="Finalizado (10/10)"/>
    <n v="26.628799999999998"/>
    <n v="3.6312000000000002"/>
    <n v="30.26"/>
    <s v="Sessão a Faturar"/>
    <s v="54588888004872480010"/>
    <n v="37147"/>
    <s v="Unidade Vieralves (ANEXO)"/>
    <n v="171232"/>
    <m/>
  </r>
  <r>
    <x v="9"/>
    <x v="7"/>
    <s v="Laura Irene Villacrez Flores"/>
    <s v="Feminino"/>
    <x v="5"/>
    <x v="0"/>
    <s v="98860011 - Fisioterapia Complexidade 1 (R$ 55,26)"/>
    <s v="Fisioterapia"/>
    <n v="79284110"/>
    <s v="Finalizado (2/10)"/>
    <n v="48.628799999999998"/>
    <n v="6.6311999999999998"/>
    <n v="55.26"/>
    <s v="Sessão a Faturar"/>
    <s v="010080860100"/>
    <n v="59130"/>
    <s v="Unidade Vieralves (ANEXO)"/>
    <n v="79284110"/>
    <m/>
  </r>
  <r>
    <x v="9"/>
    <x v="7"/>
    <s v="Lidia Teresa Monteiro Mendes"/>
    <s v="Feminino"/>
    <x v="6"/>
    <x v="0"/>
    <s v="31602185 - Estimulação Elétrica Transcutanea (Tens) (R$ 40,00)"/>
    <s v="Fisioterapia"/>
    <n v="171378"/>
    <s v="Finalizado (8/10)"/>
    <n v="35.200000000000003"/>
    <n v="4.8"/>
    <n v="40"/>
    <s v="Sessão a Faturar"/>
    <s v="54588888004872480010"/>
    <n v="37147"/>
    <s v="Unidade Vieralves (ANEXO)"/>
    <n v="171378"/>
    <m/>
  </r>
  <r>
    <x v="9"/>
    <x v="17"/>
    <s v="Napoleão Cesar Pinheiro Ladim"/>
    <s v="Masculino"/>
    <x v="2"/>
    <x v="0"/>
    <s v="20103506 - Fisioterapia - Patologia Em Um Segmento da Coluna (R$ 12,22)"/>
    <s v="Fisioterapia"/>
    <n v="1710485213"/>
    <s v="Finalizado (3/5)"/>
    <n v="10.7536"/>
    <n v="1.4663999999999999"/>
    <n v="12.22"/>
    <s v="Sessão a Faturar"/>
    <n v="837500800019000"/>
    <n v="58942"/>
    <s v="Unidade Vieralves (ANEXO)"/>
    <n v="1710485213"/>
    <m/>
  </r>
  <r>
    <x v="9"/>
    <x v="17"/>
    <s v="Leticia Magalhães Mendes"/>
    <s v="Feminino"/>
    <x v="2"/>
    <x v="0"/>
    <s v="20103484 - Fisioterapia - Patologia Em Um Membro (R$ 12,22)"/>
    <s v="Fisioterapia"/>
    <n v="1710448748"/>
    <s v="Finalizado (8/10)"/>
    <n v="10.7536"/>
    <n v="1.4663999999999999"/>
    <n v="12.22"/>
    <s v="Sessão Faturada"/>
    <n v="775423014966000"/>
    <n v="59594"/>
    <s v="Unidade Vieralves (ANEXO)"/>
    <n v="1710448748"/>
    <m/>
  </r>
  <r>
    <x v="9"/>
    <x v="18"/>
    <s v="Leticia Magalhães Mendes"/>
    <s v="Feminino"/>
    <x v="4"/>
    <x v="0"/>
    <s v="31602185 - Estimulação Elétrica Transcutânea - Removido 13/04/2026 (R$ 40,00)"/>
    <s v="Fisioterapia"/>
    <n v="1712950346"/>
    <s v="Finalizado (6/8)"/>
    <n v="35.200000000000003"/>
    <n v="4.8"/>
    <n v="40"/>
    <s v="Sessão a Faturar"/>
    <n v="775423014966000"/>
    <n v="59594"/>
    <s v="Unidade Vieralves (ANEXO)"/>
    <n v="1712950346"/>
    <m/>
  </r>
  <r>
    <x v="9"/>
    <x v="18"/>
    <s v="Napoleão Cesar Pinheiro Ladim"/>
    <s v="Masculino"/>
    <x v="4"/>
    <x v="0"/>
    <s v="31602185 - Estimulação Elétrica Transcutânea - Removido 13/04/2026 (R$ 40,00)"/>
    <s v="Fisioterapia"/>
    <n v="1714237305"/>
    <s v="Finalizado (2/4)"/>
    <n v="35.200000000000003"/>
    <n v="4.8"/>
    <n v="40"/>
    <s v="Sessão a Faturar"/>
    <n v="837500800019000"/>
    <n v="58942"/>
    <s v="Unidade Vieralves (ANEXO)"/>
    <n v="1714237305"/>
    <m/>
  </r>
  <r>
    <x v="9"/>
    <x v="8"/>
    <s v="Gisele dos Santos Costa"/>
    <s v="Feminino"/>
    <x v="1"/>
    <x v="0"/>
    <s v="50000160 - Fisioterapia Ortopédica (R$ 20,00), 98980327 - Taxa de Eletroterapia (Tens) (R$ 15,00)"/>
    <s v="Fisioterapia"/>
    <n v="9123592"/>
    <s v="Finalizado (8/8)"/>
    <n v="30.8"/>
    <n v="4.2"/>
    <n v="35"/>
    <s v="Sessão Faturada"/>
    <n v="1901012931170000"/>
    <n v="53642"/>
    <s v="Unidade Vieralves (ANEXO)"/>
    <n v="9123592"/>
    <m/>
  </r>
  <r>
    <x v="9"/>
    <x v="8"/>
    <s v="Erlom André de Matos"/>
    <s v="Masculino"/>
    <x v="2"/>
    <x v="0"/>
    <s v="20103492 - Fisioterapia - Patologia Em Dois Ou Mais Membros (R$ 14,83)"/>
    <s v="Fisioterapia"/>
    <n v="1715458929"/>
    <s v="Finalizado (5/10)"/>
    <n v="13.0504"/>
    <n v="1.7796000000000001"/>
    <n v="14.83"/>
    <s v="Sessão a Faturar"/>
    <n v="893331302089010"/>
    <n v="59095"/>
    <s v="Unidade Vieralves (ANEXO)"/>
    <n v="1715458929"/>
    <m/>
  </r>
  <r>
    <x v="9"/>
    <x v="9"/>
    <s v="Erlom André de Matos"/>
    <s v="Masculino"/>
    <x v="4"/>
    <x v="0"/>
    <s v="31602185 - Estimulação Elétrica Transcutânea - Removido 13/04/2026 (R$ 40,00)"/>
    <s v="Fisioterapia"/>
    <n v="1716043798"/>
    <s v="Finalizado (4/7)"/>
    <n v="35.200000000000003"/>
    <n v="4.8"/>
    <n v="40"/>
    <s v="Sessão a Faturar"/>
    <n v="893331302089010"/>
    <n v="59095"/>
    <s v="Unidade Vieralves (ANEXO)"/>
    <n v="1716043798"/>
    <m/>
  </r>
  <r>
    <x v="9"/>
    <x v="10"/>
    <s v="Antonio Helio Borges Eliziario"/>
    <s v="Masculino"/>
    <x v="2"/>
    <x v="0"/>
    <s v="20103484 - Fisioterapia - Patologia Em Um Membro (R$ 12,22)"/>
    <s v="Fisioterapia"/>
    <n v="1711969905"/>
    <s v="Finalizado (3/5)"/>
    <n v="10.7536"/>
    <n v="1.4663999999999999"/>
    <n v="12.22"/>
    <s v="Sessão a Faturar"/>
    <n v="960016147160000"/>
    <n v="59407"/>
    <s v="Unidade Vieralves (ANEXO)"/>
    <n v="1711969905"/>
    <m/>
  </r>
  <r>
    <x v="9"/>
    <x v="10"/>
    <s v="Nairion Jorge da Silva Cabral"/>
    <s v="Masculino"/>
    <x v="2"/>
    <x v="0"/>
    <s v="20103484 - Fisioterapia - Patologia Em Um Membro (R$ 12,22)"/>
    <s v="Fisioterapia"/>
    <n v="1716803364"/>
    <s v="Finalizado (2/3)"/>
    <n v="10.7536"/>
    <n v="1.4663999999999999"/>
    <n v="12.22"/>
    <s v="Sessão a Faturar"/>
    <n v="774170004421010"/>
    <n v="59731"/>
    <s v="Unidade Vieralves (ANEXO)"/>
    <n v="1716803364"/>
    <m/>
  </r>
  <r>
    <x v="9"/>
    <x v="10"/>
    <s v="Paulo Cesar Silva Santiago"/>
    <s v="Masculino"/>
    <x v="2"/>
    <x v="0"/>
    <s v="20103514 - Fisioterapia - Patologia Em Diferentes Segmentos da Coluna (R$ 14,83)"/>
    <s v="Fisioterapia"/>
    <n v="1709882272"/>
    <s v="Finalizado (7/7)"/>
    <n v="13.0504"/>
    <n v="1.7796000000000001"/>
    <n v="14.83"/>
    <s v="Sessão a Faturar"/>
    <n v="611168920097000"/>
    <n v="19776"/>
    <s v="Unidade Vieralves (ANEXO)"/>
    <n v="1709882272"/>
    <m/>
  </r>
  <r>
    <x v="9"/>
    <x v="11"/>
    <s v="Paulo Cesar Silva Santiago"/>
    <s v="Masculino"/>
    <x v="4"/>
    <x v="0"/>
    <s v="31602185 - Estimulação Elétrica Transcutânea - Removido 13/04/2026 (R$ 40,00)"/>
    <s v="Fisioterapia"/>
    <n v="1710507488"/>
    <s v="Finalizado (6/6)"/>
    <n v="35.200000000000003"/>
    <n v="4.8"/>
    <n v="40"/>
    <s v="Sessão a Faturar"/>
    <n v="611168920097000"/>
    <n v="19776"/>
    <s v="Unidade Vieralves (ANEXO)"/>
    <n v="1710507488"/>
    <m/>
  </r>
  <r>
    <x v="9"/>
    <x v="12"/>
    <s v="Heberton Diego Ramalho Machado"/>
    <s v="Masculino"/>
    <x v="6"/>
    <x v="0"/>
    <s v="20103662 - Pos Operatorio Em Um Membro (R$ 22,53)"/>
    <s v="Fisioterapia"/>
    <n v="172017"/>
    <s v="Finalizado (7/10)"/>
    <n v="19.8264"/>
    <n v="2.7035999999999998"/>
    <n v="22.53"/>
    <s v="Sessão a Faturar"/>
    <s v="55788888491271860019"/>
    <n v="15998"/>
    <s v="Unidade Vieralves (ANEXO)"/>
    <n v="172017"/>
    <m/>
  </r>
  <r>
    <x v="9"/>
    <x v="12"/>
    <s v="Hugo Bomfim da Silva"/>
    <s v="Masculino"/>
    <x v="6"/>
    <x v="0"/>
    <s v="20103514 - Patologia Em Dois Ou Mais Segmentos da Coluna (R$ 32,82)"/>
    <s v="Fisioterapia"/>
    <n v="172330"/>
    <s v="Não compareceu (5/10)"/>
    <n v="32.82"/>
    <n v="0"/>
    <n v="32.82"/>
    <s v="Sessão a Faturar"/>
    <s v="56788888021641330012"/>
    <n v="59681"/>
    <s v="Unidade Vieralves (ANEXO)"/>
    <n v="172330"/>
    <m/>
  </r>
  <r>
    <x v="9"/>
    <x v="12"/>
    <s v="Cristiane Portilho Nascimento Pardo"/>
    <s v="Feminino"/>
    <x v="5"/>
    <x v="0"/>
    <s v="98860011 - Fisioterapia Complexidade 1 (R$ 55,26)"/>
    <s v="Fisioterapia"/>
    <n v="78145750"/>
    <s v="Finalizado (3/10)"/>
    <n v="48.628799999999998"/>
    <n v="6.6311999999999998"/>
    <n v="55.26"/>
    <s v="Sessão Faturada"/>
    <s v="010093389000"/>
    <n v="11201"/>
    <s v="Unidade Vieralves (ANEXO)"/>
    <n v="78145750"/>
    <s v="GUIA ASSINADA!!!!"/>
  </r>
  <r>
    <x v="9"/>
    <x v="19"/>
    <s v="Cristiane Portilho Nascimento Pardo"/>
    <s v="Feminino"/>
    <x v="5"/>
    <x v="0"/>
    <s v="31602185 - Estimulação Elétrica Transcutânea (Tens) (R$ 125,40)"/>
    <s v="Fisioterapia"/>
    <n v="78157840"/>
    <s v="Finalizado (3/10)"/>
    <n v="110.352"/>
    <n v="15.048"/>
    <n v="125.4"/>
    <s v="Sessão a Faturar"/>
    <s v="010093389000"/>
    <n v="11201"/>
    <s v="Unidade Vieralves (ANEXO)"/>
    <n v="78157840"/>
    <s v="GUIA ASSINADA"/>
  </r>
  <r>
    <x v="10"/>
    <x v="0"/>
    <s v="Ana Lucia Medeiros Figliuolo"/>
    <s v="Feminino"/>
    <x v="1"/>
    <x v="0"/>
    <s v="50000160 - Fisioterapia Ortopédica (R$ 20,00), 98980327 - Taxa de Eletroterapia (Tens) (R$ 15,00)"/>
    <s v="Fisioterapia"/>
    <n v="9274224"/>
    <s v="Finalizado (4/10)"/>
    <n v="30.8"/>
    <n v="4.2"/>
    <n v="35"/>
    <s v="Sessão Faturada"/>
    <s v="0901013317940180"/>
    <n v="32208"/>
    <s v="Unidade Vieralves (ANEXO)"/>
    <n v="9274224"/>
    <s v="Guia assinada!"/>
  </r>
  <r>
    <x v="10"/>
    <x v="0"/>
    <s v="Ana Cristina Medeiros Lima"/>
    <s v="Feminino"/>
    <x v="7"/>
    <x v="0"/>
    <s v="Part Convenio - 10 - Fisioterapia Ortopédica- Pacote (R$ 50,00)"/>
    <s v="Fisioterapia"/>
    <n v="172319"/>
    <s v="Finalizado (4/10)"/>
    <n v="39"/>
    <n v="11"/>
    <n v="50"/>
    <s v="No Prazo"/>
    <s v="0104004021230003"/>
    <n v="59273"/>
    <s v="Unidade Vieralves (ANEXO)"/>
    <n v="172319"/>
    <m/>
  </r>
  <r>
    <x v="10"/>
    <x v="0"/>
    <s v="Isabelly Bacelar Gonçalves"/>
    <s v="Feminino"/>
    <x v="0"/>
    <x v="0"/>
    <s v="50000160 - Fisioterapia Ortopedica (R$ 49,72)"/>
    <s v="Fisioterapia"/>
    <s v="42263120260316483774"/>
    <s v="Finalizado (9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10"/>
    <x v="1"/>
    <s v="Isabelly Bacelar Gonçalves"/>
    <s v="Feminino"/>
    <x v="0"/>
    <x v="0"/>
    <s v="31602185 - Estimulação Elétrica Transcutânea Fisioterapia (Novo - 01/12) (R$ 54,13)"/>
    <s v="Fisioterapia"/>
    <s v="42263120260316484069"/>
    <s v="Finalizado (9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10"/>
    <x v="2"/>
    <s v="Daniel Botelho Campelo"/>
    <s v="Masculino"/>
    <x v="1"/>
    <x v="0"/>
    <s v="50000160 - Fisioterapia Ortopédica (R$ 20,00), 98980327 - Taxa de Eletroterapia (Tens) (R$ 15,00)"/>
    <s v="Fisioterapia"/>
    <n v="9541628"/>
    <s v="Finalizado (3/10)"/>
    <n v="30.8"/>
    <n v="4.2"/>
    <n v="35"/>
    <s v="Sessão a Faturar"/>
    <s v="0601007111970010"/>
    <n v="59760"/>
    <s v="Unidade Vieralves (ANEXO)"/>
    <n v="9541628"/>
    <m/>
  </r>
  <r>
    <x v="10"/>
    <x v="2"/>
    <s v="Cristiane Gomes Barcelar Gonçalves"/>
    <s v="Feminino"/>
    <x v="0"/>
    <x v="0"/>
    <s v="50000160 - Fisioterapia Ortopedica (R$ 49,72)"/>
    <s v="Fisioterapia"/>
    <s v="42263120260330591668"/>
    <s v="Finalizado (1/10)"/>
    <n v="43.753599999999999"/>
    <n v="5.9664000000000001"/>
    <n v="49.72"/>
    <s v="Sessão a Faturar"/>
    <s v="010033652753"/>
    <n v="27217"/>
    <s v="Unidade Vieralves (ANEXO)"/>
    <s v="42263120260330591668"/>
    <s v="Guia assinada! 02/04"/>
  </r>
  <r>
    <x v="10"/>
    <x v="3"/>
    <s v="Cristiane Gomes Barcelar Gonçalves"/>
    <s v="Feminino"/>
    <x v="0"/>
    <x v="0"/>
    <s v="31602185 - Estimulação Elétrica Transcutânea Fisioterapia (Novo - 01/12) (R$ 54,13)"/>
    <s v="Fisioterapia"/>
    <s v="42263120260330591710"/>
    <s v="Finalizado (1/10)"/>
    <n v="47.634399999999999"/>
    <n v="6.4955999999999996"/>
    <n v="54.13"/>
    <s v="Sessão a Faturar"/>
    <s v="010033652753"/>
    <n v="27217"/>
    <s v="Unidade Vieralves (ANEXO)"/>
    <s v="42263120260330591710"/>
    <s v="Guia assinada! 02/04"/>
  </r>
  <r>
    <x v="10"/>
    <x v="13"/>
    <s v="Ricardo Soares Lozana"/>
    <s v="Masculino"/>
    <x v="2"/>
    <x v="0"/>
    <s v="20103506 - Fisioterapia - Patologia Em Um Segmento da Coluna (R$ 12,22)"/>
    <s v="Fisioterapia"/>
    <n v="1715211457"/>
    <s v="Finalizado (2/10)"/>
    <n v="10.7536"/>
    <n v="1.4663999999999999"/>
    <n v="12.22"/>
    <s v="Sessão a Faturar"/>
    <n v="774981012963020"/>
    <n v="43591"/>
    <s v="Unidade Vieralves (ANEXO)"/>
    <n v="1715211457"/>
    <m/>
  </r>
  <r>
    <x v="10"/>
    <x v="14"/>
    <s v="Ricardo Soares Lozana"/>
    <s v="Masculino"/>
    <x v="4"/>
    <x v="0"/>
    <s v="31602185 - Estimulação Elétrica Transcutânea - Removido 13/04/2026 (R$ 40,00)"/>
    <s v="Fisioterapia"/>
    <n v="1719120890"/>
    <s v="Finalizado (1/10)"/>
    <n v="35.200000000000003"/>
    <n v="4.8"/>
    <n v="40"/>
    <s v="Sessão a Faturar"/>
    <n v="774981012963020"/>
    <n v="43591"/>
    <s v="Unidade Vieralves (ANEXO)"/>
    <n v="1719120890"/>
    <m/>
  </r>
  <r>
    <x v="10"/>
    <x v="6"/>
    <s v="Laura Irene Villacrez Flores"/>
    <s v="Feminino"/>
    <x v="5"/>
    <x v="0"/>
    <s v="98860011 - Fisioterapia Complexidade 1 (R$ 55,26)"/>
    <s v="Fisioterapia"/>
    <n v="79284110"/>
    <s v="Finalizado (3/10)"/>
    <n v="48.628799999999998"/>
    <n v="6.6311999999999998"/>
    <n v="55.26"/>
    <s v="Sessão a Faturar"/>
    <s v="010080860100"/>
    <n v="59130"/>
    <s v="Unidade Vieralves (ANEXO)"/>
    <n v="79284110"/>
    <m/>
  </r>
  <r>
    <x v="10"/>
    <x v="6"/>
    <s v="Leticia Magalhães Mendes"/>
    <s v="Feminino"/>
    <x v="4"/>
    <x v="0"/>
    <s v="31602185 - Estimulação Elétrica Transcutânea - Removido 13/04/2026 (R$ 40,00)"/>
    <s v="Fisioterapia"/>
    <n v="1712950346"/>
    <s v="Finalizado (7/8)"/>
    <n v="35.200000000000003"/>
    <n v="4.8"/>
    <n v="40"/>
    <s v="Sessão a Faturar"/>
    <n v="775423014966000"/>
    <n v="59594"/>
    <s v="Unidade Vieralves (ANEXO)"/>
    <n v="1712950346"/>
    <m/>
  </r>
  <r>
    <x v="10"/>
    <x v="7"/>
    <s v="Leticia Magalhães Mendes"/>
    <s v="Feminino"/>
    <x v="2"/>
    <x v="0"/>
    <s v="20103484 - Fisioterapia - Patologia Em Um Membro (R$ 12,22)"/>
    <s v="Fisioterapia"/>
    <n v="1710448748"/>
    <s v="Finalizado (9/10)"/>
    <n v="10.7536"/>
    <n v="1.4663999999999999"/>
    <n v="12.22"/>
    <s v="Sessão Faturada"/>
    <n v="775423014966000"/>
    <n v="59594"/>
    <s v="Unidade Vieralves (ANEXO)"/>
    <n v="1710448748"/>
    <m/>
  </r>
  <r>
    <x v="10"/>
    <x v="7"/>
    <s v="Laura Irene Villacrez Flores"/>
    <s v="Feminino"/>
    <x v="5"/>
    <x v="0"/>
    <s v="31602185 - Estimulação Elétrica Transcutânea (Tens) (R$ 125,40)"/>
    <s v="Fisioterapia"/>
    <n v="79284220"/>
    <s v="Finalizado (1/10)"/>
    <n v="110.352"/>
    <n v="15.048"/>
    <n v="125.4"/>
    <s v="Sessão a Faturar"/>
    <s v="010080860100"/>
    <n v="59130"/>
    <s v="Unidade Vieralves (ANEXO)"/>
    <n v="79284220"/>
    <m/>
  </r>
  <r>
    <x v="10"/>
    <x v="15"/>
    <s v="Flavio Faustino da Silva"/>
    <s v="Masculino"/>
    <x v="11"/>
    <x v="0"/>
    <s v="20103484 - Fisioterapia - Patologia Em Um Membro (R$ 80,33)"/>
    <s v="Fisioterapia"/>
    <n v="3809"/>
    <s v="Finalizado (5/10)"/>
    <n v="70.690399999999997"/>
    <n v="9.6395999999999997"/>
    <n v="80.33"/>
    <s v="Sessão a Faturar"/>
    <s v="01685-C"/>
    <n v="417"/>
    <s v="Unidade Vieralves (ANEXO)"/>
    <n v="3809"/>
    <m/>
  </r>
  <r>
    <x v="10"/>
    <x v="8"/>
    <s v="Renata de Aguiar Torres"/>
    <s v="Feminino"/>
    <x v="2"/>
    <x v="0"/>
    <s v="20103492 - Fisioterapia - Patologia Em Dois Ou Mais Membros (R$ 14,83)"/>
    <s v="Fisioterapia"/>
    <n v="1719171301"/>
    <s v="Finalizado (1/1)"/>
    <n v="13.0504"/>
    <n v="1.7796000000000001"/>
    <n v="14.83"/>
    <s v="Sessão a Faturar"/>
    <n v="960019412893000"/>
    <n v="49038"/>
    <s v="Unidade Vieralves (ANEXO)"/>
    <n v="1719171301"/>
    <m/>
  </r>
  <r>
    <x v="10"/>
    <x v="8"/>
    <s v="Christiane Soares Mourão Vasconcelos"/>
    <s v="Feminino"/>
    <x v="5"/>
    <x v="0"/>
    <s v="98860011 - Fisioterapia Complexidade 1 (R$ 55,26)"/>
    <s v="Fisioterapia"/>
    <n v="77983100"/>
    <s v="Finalizado (2/10)"/>
    <n v="48.628799999999998"/>
    <n v="6.6311999999999998"/>
    <n v="55.26"/>
    <s v="Sessão Faturada"/>
    <s v="0101027366060139"/>
    <n v="58707"/>
    <s v="Unidade Vieralves (ANEXO)"/>
    <n v="77983100"/>
    <m/>
  </r>
  <r>
    <x v="10"/>
    <x v="9"/>
    <s v="Christiane Soares Mourão Vasconcelos"/>
    <s v="Feminino"/>
    <x v="5"/>
    <x v="0"/>
    <s v="31602185 - Estimulação Elétrica Transcutânea (Tens) (R$ 125,40)"/>
    <s v="Fisioterapia"/>
    <n v="77984760"/>
    <s v="Finalizado (2/10)"/>
    <n v="110.352"/>
    <n v="15.048"/>
    <n v="125.4"/>
    <s v="Sessão a Faturar"/>
    <s v="0101027366060139"/>
    <n v="58707"/>
    <s v="Unidade Vieralves (ANEXO)"/>
    <n v="77984760"/>
    <m/>
  </r>
  <r>
    <x v="10"/>
    <x v="10"/>
    <s v="Pollyana  Andrade   Maruoka Vieira"/>
    <s v="Feminino"/>
    <x v="5"/>
    <x v="0"/>
    <s v="50000144 - Avaliação de Fisioterapia (R$ 37,63)"/>
    <s v="Fisioterapia"/>
    <n v="172958"/>
    <s v="Finalizado (1/1)"/>
    <n v="33.866999999999997"/>
    <n v="3.7629999999999999"/>
    <n v="37.630000000000003"/>
    <s v="Sessão a Faturar"/>
    <s v="0101192970000302"/>
    <n v="59787"/>
    <s v="Unidade Vieralves (ANEXO)"/>
    <n v="172958"/>
    <m/>
  </r>
  <r>
    <x v="10"/>
    <x v="11"/>
    <s v="Pollyana  Andrade   Maruoka Vieira"/>
    <s v="Feminino"/>
    <x v="5"/>
    <x v="0"/>
    <s v="98860020 - Fisioterapia Complexidade 2 (R$ 73,81)"/>
    <s v="Fisioterapia"/>
    <n v="79819300"/>
    <s v="Finalizado (1/10)"/>
    <n v="64.952799999999996"/>
    <n v="8.8572000000000006"/>
    <n v="73.81"/>
    <s v="Sessão a Faturar"/>
    <s v="0101192970000302"/>
    <n v="59787"/>
    <s v="Unidade Vieralves (ANEXO)"/>
    <n v="79819300"/>
    <m/>
  </r>
  <r>
    <x v="10"/>
    <x v="12"/>
    <s v="Heberton Diego Ramalho Machado"/>
    <s v="Masculino"/>
    <x v="6"/>
    <x v="0"/>
    <s v="31602185 - Estimulação Elétrica Transcutanea (Tens) (R$ 40,00)"/>
    <s v="Fisioterapia"/>
    <n v="172024"/>
    <s v="Finalizado (6/7)"/>
    <n v="35.200000000000003"/>
    <n v="4.8"/>
    <n v="40"/>
    <s v="Sessão a Faturar"/>
    <s v="55788888491271860019"/>
    <n v="15998"/>
    <s v="Unidade Vieralves (ANEXO)"/>
    <n v="172024"/>
    <m/>
  </r>
  <r>
    <x v="10"/>
    <x v="12"/>
    <s v="Cristiane Portilho Nascimento Pardo"/>
    <s v="Feminino"/>
    <x v="5"/>
    <x v="0"/>
    <s v="98860011 - Fisioterapia Complexidade 1 (R$ 55,26)"/>
    <s v="Fisioterapia"/>
    <n v="78145750"/>
    <s v="Finalizado (4/10)"/>
    <n v="48.628799999999998"/>
    <n v="6.6311999999999998"/>
    <n v="55.26"/>
    <s v="Sessão Faturada"/>
    <s v="010093389000"/>
    <n v="11201"/>
    <s v="Unidade Vieralves (ANEXO)"/>
    <n v="78145750"/>
    <s v="GUIA ASSINADA!!!!"/>
  </r>
  <r>
    <x v="10"/>
    <x v="19"/>
    <s v="Heberton Diego Ramalho Machado"/>
    <s v="Masculino"/>
    <x v="6"/>
    <x v="0"/>
    <s v="20103662 - Pos Operatorio Em Um Membro (R$ 22,53)"/>
    <s v="Fisioterapia"/>
    <n v="172017"/>
    <s v="Finalizado (8/10)"/>
    <n v="19.8264"/>
    <n v="2.7035999999999998"/>
    <n v="22.53"/>
    <s v="Sessão a Faturar"/>
    <s v="55788888491271860019"/>
    <n v="15998"/>
    <s v="Unidade Vieralves (ANEXO)"/>
    <n v="172017"/>
    <m/>
  </r>
  <r>
    <x v="10"/>
    <x v="19"/>
    <s v="Cristiane Portilho Nascimento Pardo"/>
    <s v="Feminino"/>
    <x v="5"/>
    <x v="0"/>
    <s v="31602185 - Estimulação Elétrica Transcutânea (Tens) (R$ 125,40)"/>
    <s v="Fisioterapia"/>
    <n v="78157840"/>
    <s v="Finalizado (4/10)"/>
    <n v="110.352"/>
    <n v="15.048"/>
    <n v="125.4"/>
    <s v="Sessão a Faturar"/>
    <s v="010093389000"/>
    <n v="11201"/>
    <s v="Unidade Vieralves (ANEXO)"/>
    <n v="78157840"/>
    <s v="GUIA ASSINADA"/>
  </r>
  <r>
    <x v="11"/>
    <x v="0"/>
    <s v="Rosalba Godinho Cardoso"/>
    <s v="Feminino"/>
    <x v="2"/>
    <x v="0"/>
    <s v="50000144 - Avaliação de Fisioterapia (R$ 51,42)"/>
    <s v="Fisioterapia"/>
    <n v="1719588665"/>
    <s v="Finalizado (1/1)"/>
    <n v="46.277999999999999"/>
    <n v="5.1420000000000003"/>
    <n v="51.42"/>
    <s v="Sessão Faturada"/>
    <n v="831042500027010"/>
    <n v="18878"/>
    <s v="Unidade Vieralves (ANEXO)"/>
    <n v="1719588665"/>
    <m/>
  </r>
  <r>
    <x v="11"/>
    <x v="0"/>
    <s v="Rosiane Mendes Valente"/>
    <s v="Feminino"/>
    <x v="1"/>
    <x v="0"/>
    <s v="50000160 - Fisioterapia Ortopédica (R$ 20,00), 98980327 - Taxa de Eletroterapia (Tens) (R$ 15,00)"/>
    <s v="Fisioterapia"/>
    <n v="9297961"/>
    <s v="Finalizado (5/8)"/>
    <n v="30.8"/>
    <n v="4.2"/>
    <n v="35"/>
    <s v="Sessão a Faturar"/>
    <n v="1301013577000200"/>
    <n v="55856"/>
    <s v="Unidade Vieralves (ANEXO)"/>
    <n v="9297961"/>
    <m/>
  </r>
  <r>
    <x v="11"/>
    <x v="0"/>
    <s v="Sofia Santana Teixeira"/>
    <s v="Feminino"/>
    <x v="4"/>
    <x v="0"/>
    <s v="31602185 - Estimulação Elétrica Transcutânea - Removido 13/04/2026 (R$ 40,00)"/>
    <s v="Fisioterapia"/>
    <n v="1718494518"/>
    <s v="Finalizado (2/10)"/>
    <n v="35.200000000000003"/>
    <n v="4.8"/>
    <n v="40"/>
    <s v="Sessão a Faturar"/>
    <n v="771015056251030"/>
    <n v="58786"/>
    <s v="Unidade Vieralves (ANEXO)"/>
    <n v="1718494518"/>
    <m/>
  </r>
  <r>
    <x v="11"/>
    <x v="1"/>
    <s v="Rosalba Godinho Cardoso"/>
    <s v="Feminino"/>
    <x v="2"/>
    <x v="0"/>
    <s v="20103492 - Fisioterapia - Patologia Em Dois Ou Mais Membros (R$ 14,83)"/>
    <s v="Fisioterapia"/>
    <n v="1719589202"/>
    <s v="Finalizado (1/10)"/>
    <n v="13.0504"/>
    <n v="1.7796000000000001"/>
    <n v="14.83"/>
    <s v="Sessão a Faturar"/>
    <n v="831042500027010"/>
    <n v="18878"/>
    <s v="Unidade Vieralves (ANEXO)"/>
    <n v="1719589202"/>
    <m/>
  </r>
  <r>
    <x v="11"/>
    <x v="1"/>
    <s v="Sofia Santana Teixeira"/>
    <s v="Feminino"/>
    <x v="2"/>
    <x v="0"/>
    <s v="20103484 - Fisioterapia - Patologia Em Um Membro (R$ 12,22)"/>
    <s v="Fisioterapia"/>
    <n v="1716688651"/>
    <s v="Finalizado (3/10)"/>
    <n v="10.7536"/>
    <n v="1.4663999999999999"/>
    <n v="12.22"/>
    <s v="Sessão a Faturar"/>
    <n v="771015056251030"/>
    <n v="58786"/>
    <s v="Unidade Vieralves (ANEXO)"/>
    <n v="1716688651"/>
    <m/>
  </r>
  <r>
    <x v="11"/>
    <x v="4"/>
    <s v="Richarles de Araújo Sousa"/>
    <s v="Masculino"/>
    <x v="1"/>
    <x v="0"/>
    <s v="50000160 - Fisioterapia Ortopédica (R$ 20,00), 98980327 - Taxa de Eletroterapia (Tens) (R$ 15,00)"/>
    <s v="Fisioterapia"/>
    <n v="9320335"/>
    <s v="Finalizado (5/8)"/>
    <n v="30.8"/>
    <n v="4.2"/>
    <n v="35"/>
    <s v="Sessão a Faturar"/>
    <n v="1301013026380000"/>
    <n v="58337"/>
    <s v="Unidade Vieralves (ANEXO)"/>
    <n v="9320335"/>
    <m/>
  </r>
  <r>
    <x v="11"/>
    <x v="4"/>
    <s v="Natálya da Silva Sampaio"/>
    <s v="Feminino"/>
    <x v="1"/>
    <x v="0"/>
    <s v="50000160 - Fisioterapia Ortopédica (R$ 20,00), 98980327 - Taxa de Eletroterapia (Tens) (R$ 15,00)"/>
    <s v="Fisioterapia"/>
    <n v="9325509"/>
    <s v="Finalizado (5/8)"/>
    <n v="30.8"/>
    <n v="4.2"/>
    <n v="35"/>
    <s v="Sessão a Faturar"/>
    <n v="1301013026380200"/>
    <n v="59331"/>
    <s v="Unidade Vieralves (ANEXO)"/>
    <n v="9325509"/>
    <m/>
  </r>
  <r>
    <x v="11"/>
    <x v="4"/>
    <s v="Guilherme Barbosa Fernandes"/>
    <s v="Masculino"/>
    <x v="1"/>
    <x v="0"/>
    <s v="50000144 - Consulta de Fisioterapia (R$ 16,00)"/>
    <s v="Fisioterapia"/>
    <n v="9644312"/>
    <s v="Finalizado (1/1)"/>
    <n v="14.4"/>
    <n v="1.6"/>
    <n v="16"/>
    <s v="Sessão Faturada"/>
    <s v="0902010860920080"/>
    <n v="59817"/>
    <s v="Unidade Vieralves (ANEXO)"/>
    <n v="9644312"/>
    <m/>
  </r>
  <r>
    <x v="11"/>
    <x v="4"/>
    <s v="Guilherme Barbosa Fernandes"/>
    <s v="Masculino"/>
    <x v="1"/>
    <x v="0"/>
    <s v="50000160 - Fisioterapia Ortopédica (R$ 20,00), 98980327 - Taxa de Eletroterapia (Tens) (R$ 15,00)"/>
    <s v="Fisioterapia"/>
    <n v="9644958"/>
    <s v="Finalizado (1/10)"/>
    <n v="30.8"/>
    <n v="4.2"/>
    <n v="35"/>
    <s v="Sessão a Faturar"/>
    <s v="0902010860920080"/>
    <n v="59817"/>
    <s v="Unidade Vieralves (ANEXO)"/>
    <n v="9644958"/>
    <m/>
  </r>
  <r>
    <x v="11"/>
    <x v="13"/>
    <s v="Claudia Maria de Moura Abrahim"/>
    <s v="Feminino"/>
    <x v="1"/>
    <x v="0"/>
    <s v="50000217 - Fisioterapia Pré e Pós Operatória (R$ 25,00), 98980327 - Taxa de Eletroterapia (Tens) (R$ 15,00)"/>
    <s v="Fisioterapia"/>
    <n v="9501935"/>
    <s v="Finalizado (4/10)"/>
    <n v="35.200000000000003"/>
    <n v="4.8"/>
    <n v="40"/>
    <s v="Sessão a Faturar"/>
    <s v="0901001967210050"/>
    <n v="21456"/>
    <s v="Unidade Vieralves (ANEXO)"/>
    <n v="9501935"/>
    <m/>
  </r>
  <r>
    <x v="11"/>
    <x v="6"/>
    <s v="Lidia Teresa Monteiro Mendes"/>
    <s v="Feminino"/>
    <x v="6"/>
    <x v="0"/>
    <s v="20103492 - Patologia Em Dois Ou Mais Membros (R$ 30,26)"/>
    <s v="Fisioterapia"/>
    <n v="173534"/>
    <s v="Finalizado (1/10)"/>
    <n v="26.628799999999998"/>
    <n v="3.6312000000000002"/>
    <n v="30.26"/>
    <s v="Sessão a Faturar"/>
    <s v="54588888004872480010"/>
    <n v="37147"/>
    <s v="Unidade Vieralves (ANEXO)"/>
    <n v="173534"/>
    <m/>
  </r>
  <r>
    <x v="11"/>
    <x v="7"/>
    <s v="Lidia Teresa Monteiro Mendes"/>
    <s v="Feminino"/>
    <x v="6"/>
    <x v="0"/>
    <s v="31602185 - Estimulação Elétrica Transcutanea (Tens) (R$ 40,00)"/>
    <s v="Fisioterapia"/>
    <n v="171378"/>
    <s v="Finalizado (9/10)"/>
    <n v="35.200000000000003"/>
    <n v="4.8"/>
    <n v="40"/>
    <s v="Sessão a Faturar"/>
    <s v="54588888004872480010"/>
    <n v="37147"/>
    <s v="Unidade Vieralves (ANEXO)"/>
    <n v="171378"/>
    <m/>
  </r>
  <r>
    <x v="11"/>
    <x v="15"/>
    <s v="Laiane Tammy Abati"/>
    <s v="Feminino"/>
    <x v="1"/>
    <x v="0"/>
    <s v="50000160 - Fisioterapia Ortopédica (R$ 20,00), 98980327 - Taxa de Eletroterapia (Tens) (R$ 15,00)"/>
    <s v="Fisioterapia"/>
    <n v="8920855"/>
    <s v="Finalizado (10/10)"/>
    <n v="30.8"/>
    <n v="4.2"/>
    <n v="35"/>
    <s v="Sessão Faturada"/>
    <s v="0901013277860067"/>
    <n v="59363"/>
    <s v="Unidade Vieralves (ANEXO)"/>
    <n v="8920855"/>
    <s v="GUIA ASSINADA!!!!!"/>
  </r>
  <r>
    <x v="11"/>
    <x v="17"/>
    <s v="Hercilio Tenorio de Barros Filho"/>
    <s v="Masculino"/>
    <x v="7"/>
    <x v="0"/>
    <s v="Vieiralves - 1 - Fisioterapia Ortopedica - Pacote (R$ 80,00)"/>
    <s v="Fisioterapia"/>
    <m/>
    <s v="Finalizado (4/10)"/>
    <n v="62.4"/>
    <n v="17.600000000000001"/>
    <n v="80"/>
    <s v="Pago"/>
    <n v="0"/>
    <n v="59673"/>
    <s v="Unidade Vieralves (ANEXO)"/>
    <m/>
    <m/>
  </r>
  <r>
    <x v="11"/>
    <x v="17"/>
    <s v="Kaíny Medeiros Maciel"/>
    <s v="Feminino"/>
    <x v="2"/>
    <x v="0"/>
    <s v="20103514 - Fisioterapia - Patologia Em Diferentes Segmentos da Coluna (R$ 14,83)"/>
    <s v="Fisioterapia"/>
    <n v="1718410247"/>
    <s v="Finalizado (2/10)"/>
    <n v="13.0504"/>
    <n v="1.7796000000000001"/>
    <n v="14.83"/>
    <s v="Sessão a Faturar"/>
    <n v="774642015580010"/>
    <n v="59326"/>
    <s v="Unidade Vieralves (ANEXO)"/>
    <n v="1718410247"/>
    <m/>
  </r>
  <r>
    <x v="11"/>
    <x v="17"/>
    <s v="Manoel Arcangelo Ribeiro Tavares"/>
    <s v="Masculino"/>
    <x v="6"/>
    <x v="0"/>
    <s v="20103484 - Patologia Em Um Membro (R$ 14,16)"/>
    <s v="Fisioterapia"/>
    <n v="172792"/>
    <s v="Finalizado (4/10)"/>
    <n v="12.460800000000001"/>
    <n v="1.6992"/>
    <n v="14.16"/>
    <s v="Sessão a Faturar"/>
    <s v="54588888011540360016"/>
    <n v="19664"/>
    <s v="Unidade Vieralves (ANEXO)"/>
    <n v="172792"/>
    <m/>
  </r>
  <r>
    <x v="11"/>
    <x v="18"/>
    <s v="Manoel Arcangelo Ribeiro Tavares"/>
    <s v="Masculino"/>
    <x v="6"/>
    <x v="0"/>
    <s v="31602185 - Estimulação Elétrica Transcutanea (Tens) (R$ 40,00)"/>
    <s v="Fisioterapia"/>
    <n v="172793"/>
    <s v="Finalizado (4/5)"/>
    <n v="35.200000000000003"/>
    <n v="4.8"/>
    <n v="40"/>
    <s v="Sessão a Faturar"/>
    <s v="54588888011540360016"/>
    <n v="19664"/>
    <s v="Unidade Vieralves (ANEXO)"/>
    <n v="172793"/>
    <m/>
  </r>
  <r>
    <x v="11"/>
    <x v="10"/>
    <s v="Ted Wilson Lima Galvão"/>
    <s v="Masculino"/>
    <x v="6"/>
    <x v="0"/>
    <s v="20103484 - Patologia Em Um Membro (R$ 14,16)"/>
    <s v="Fisioterapia"/>
    <n v="173418"/>
    <s v="Finalizado (1/10)"/>
    <n v="12.460800000000001"/>
    <n v="1.6992"/>
    <n v="14.16"/>
    <s v="Sessão a Faturar"/>
    <s v="54588888491779750017"/>
    <n v="59218"/>
    <s v="Unidade Vieralves (ANEXO)"/>
    <n v="173418"/>
    <m/>
  </r>
  <r>
    <x v="11"/>
    <x v="10"/>
    <s v="Adriana Antonia da Costa Barros"/>
    <s v="Feminino"/>
    <x v="2"/>
    <x v="0"/>
    <s v="20103484 - Fisioterapia - Patologia Em Um Membro (R$ 12,22)"/>
    <s v="Fisioterapia"/>
    <n v="1713637397"/>
    <s v="Finalizado (4/4)"/>
    <n v="10.7536"/>
    <n v="1.4663999999999999"/>
    <n v="12.22"/>
    <s v="Sessão a Faturar"/>
    <n v="774063004316000"/>
    <n v="59624"/>
    <s v="Unidade Vieralves (ANEXO)"/>
    <n v="1713637397"/>
    <m/>
  </r>
  <r>
    <x v="11"/>
    <x v="10"/>
    <s v="Gina Ramos Pinheiro Honda"/>
    <s v="Feminino"/>
    <x v="10"/>
    <x v="0"/>
    <s v="50000160 - Fisioterapia Ortopédica (R$ 15,00)"/>
    <s v="Fisioterapia"/>
    <n v="23002185"/>
    <s v="Finalizado (2/10)"/>
    <n v="13.2"/>
    <n v="1.8"/>
    <n v="15"/>
    <s v="Sessão a Faturar"/>
    <s v="00010064268880001"/>
    <n v="55208"/>
    <s v="Unidade Vieralves (ANEXO)"/>
    <n v="23002185"/>
    <m/>
  </r>
  <r>
    <x v="11"/>
    <x v="11"/>
    <s v="Adriana Antonia da Costa Barros"/>
    <s v="Feminino"/>
    <x v="4"/>
    <x v="0"/>
    <s v="31602185 - Estimulação Elétrica Transcutânea - Removido 13/04/2026 (R$ 40,00)"/>
    <s v="Fisioterapia"/>
    <n v="1716800517"/>
    <s v="Finalizado (3/3)"/>
    <n v="35.200000000000003"/>
    <n v="4.8"/>
    <n v="40"/>
    <s v="Sessão a Faturar"/>
    <n v="774063004316000"/>
    <n v="59624"/>
    <s v="Unidade Vieralves (ANEXO)"/>
    <n v="1716800517"/>
    <m/>
  </r>
  <r>
    <x v="11"/>
    <x v="12"/>
    <s v="Heberton Diego Ramalho Machado"/>
    <s v="Masculino"/>
    <x v="6"/>
    <x v="0"/>
    <s v="31602185 - Estimulação Elétrica Transcutanea (Tens) (R$ 40,00)"/>
    <s v="Fisioterapia"/>
    <n v="172024"/>
    <s v="Finalizado (7/7)"/>
    <n v="35.200000000000003"/>
    <n v="4.8"/>
    <n v="40"/>
    <s v="Sessão a Faturar"/>
    <s v="55788888491271860019"/>
    <n v="15998"/>
    <s v="Unidade Vieralves (ANEXO)"/>
    <n v="172024"/>
    <m/>
  </r>
  <r>
    <x v="11"/>
    <x v="12"/>
    <s v="Kelly Melo Pereira"/>
    <s v="Feminino"/>
    <x v="2"/>
    <x v="0"/>
    <s v="20103484 - Fisioterapia - Patologia Em Um Membro (R$ 12,22)"/>
    <s v="Fisioterapia"/>
    <n v="1716286437"/>
    <s v="Finalizado (4/4)"/>
    <n v="10.7536"/>
    <n v="1.4663999999999999"/>
    <n v="12.22"/>
    <s v="Sessão a Faturar"/>
    <n v="774642004685020"/>
    <n v="47396"/>
    <s v="Unidade Vieralves (ANEXO)"/>
    <n v="1716286437"/>
    <m/>
  </r>
  <r>
    <x v="11"/>
    <x v="19"/>
    <s v="Heberton Diego Ramalho Machado"/>
    <s v="Masculino"/>
    <x v="6"/>
    <x v="0"/>
    <s v="20103662 - Pos Operatorio Em Um Membro (R$ 22,53)"/>
    <s v="Fisioterapia"/>
    <n v="172017"/>
    <s v="Finalizado (9/10)"/>
    <n v="19.8264"/>
    <n v="2.7035999999999998"/>
    <n v="22.53"/>
    <s v="Sessão a Faturar"/>
    <s v="55788888491271860019"/>
    <n v="15998"/>
    <s v="Unidade Vieralves (ANEXO)"/>
    <n v="172017"/>
    <m/>
  </r>
  <r>
    <x v="11"/>
    <x v="20"/>
    <s v="Monique Sousa Silva"/>
    <s v="Feminino"/>
    <x v="4"/>
    <x v="0"/>
    <s v="31602185 - Estimulação Elétrica Transcutânea - Removido 13/04/2026 (R$ 40,00)"/>
    <s v="Fisioterapia"/>
    <n v="1718309618"/>
    <s v="Finalizado (2/10)"/>
    <n v="35.200000000000003"/>
    <n v="4.8"/>
    <n v="40"/>
    <s v="Sessão a Faturar"/>
    <n v="774642004405000"/>
    <n v="21707"/>
    <s v="Unidade Vieralves (ANEXO)"/>
    <n v="1718309618"/>
    <m/>
  </r>
  <r>
    <x v="11"/>
    <x v="20"/>
    <s v="Monique Sousa Silva"/>
    <s v="Feminino"/>
    <x v="2"/>
    <x v="0"/>
    <s v="20103484 - Fisioterapia - Patologia Em Um Membro (R$ 12,22)"/>
    <s v="Fisioterapia"/>
    <n v="1716284750"/>
    <s v="Finalizado (3/10)"/>
    <n v="10.7536"/>
    <n v="1.4663999999999999"/>
    <n v="12.22"/>
    <s v="Sessão a Faturar"/>
    <n v="774642004405000"/>
    <n v="21707"/>
    <s v="Unidade Vieralves (ANEXO)"/>
    <n v="1716284750"/>
    <m/>
  </r>
  <r>
    <x v="0"/>
    <x v="2"/>
    <s v="Claudia Ferreira de Souza Cutar"/>
    <s v="Feminino"/>
    <x v="6"/>
    <x v="1"/>
    <s v="31601014 - Acupuntura (R$ 51,33)"/>
    <s v="Acupuntura"/>
    <n v="171324"/>
    <s v="Finalizado (1/4)"/>
    <n v="43.117199999999997"/>
    <n v="8.2127999999999997"/>
    <n v="51.33"/>
    <s v="Sessão a Faturar"/>
    <s v="54588888010050710012"/>
    <n v="9658"/>
    <s v="Unidade Vieralves (ANEXO)"/>
    <n v="171324"/>
    <m/>
  </r>
  <r>
    <x v="0"/>
    <x v="4"/>
    <s v="Omer Yurtsever Guerra"/>
    <s v="Masculino"/>
    <x v="4"/>
    <x v="1"/>
    <s v="31601014 - Acupuntura (R$ 54,56)"/>
    <s v="Acupuntura"/>
    <n v="1712897802"/>
    <s v="Finalizado (1/3)"/>
    <n v="45.830399999999997"/>
    <n v="8.7295999999999996"/>
    <n v="54.56"/>
    <s v="Sessão Faturada"/>
    <n v="897569300019020"/>
    <n v="59658"/>
    <s v="Unidade Vieralves (ANEXO)"/>
    <n v="1712897802"/>
    <m/>
  </r>
  <r>
    <x v="0"/>
    <x v="17"/>
    <s v="Eudima Fonseca Rocha Briglia da Cunha"/>
    <s v="Feminino"/>
    <x v="12"/>
    <x v="1"/>
    <s v="31601014 - Acupuntura (R$ 54,56)"/>
    <s v="Acupuntura"/>
    <n v="10342324"/>
    <s v="Finalizado (1/8)"/>
    <n v="45.830399999999997"/>
    <n v="8.7295999999999996"/>
    <n v="54.56"/>
    <s v="Sessão a Faturar"/>
    <s v="000743661911200901"/>
    <n v="40339"/>
    <s v="Unidade Vieralves (ANEXO)"/>
    <n v="10342324"/>
    <m/>
  </r>
  <r>
    <x v="0"/>
    <x v="17"/>
    <s v="Carmen Hosana Ramirez Sapucaia"/>
    <m/>
    <x v="6"/>
    <x v="1"/>
    <s v="10101012 - Consulta Médica (R$ 121,28)"/>
    <s v="Acupuntura"/>
    <n v="7700047246"/>
    <s v="Finalizado (1/1)"/>
    <n v="121.28"/>
    <n v="0"/>
    <n v="121.28"/>
    <s v="Sessão Faturada"/>
    <s v="55788888491385280127"/>
    <n v="58232"/>
    <s v="Unidade Vieralves (ANEXO)"/>
    <n v="7700047246"/>
    <m/>
  </r>
  <r>
    <x v="0"/>
    <x v="17"/>
    <s v="Dayanne Torres da Silva"/>
    <s v="Feminino"/>
    <x v="6"/>
    <x v="1"/>
    <s v="31601014 - Acupuntura (R$ 51,33)"/>
    <s v="Acupuntura"/>
    <n v="171878"/>
    <s v="Finalizado (1/4)"/>
    <n v="43.117199999999997"/>
    <n v="8.2127999999999997"/>
    <n v="51.33"/>
    <s v="Sessão a Faturar"/>
    <s v="54588888021709000020"/>
    <n v="59506"/>
    <s v="Unidade Vieralves (ANEXO)"/>
    <n v="171878"/>
    <m/>
  </r>
  <r>
    <x v="0"/>
    <x v="18"/>
    <s v="Carmen Hosana Ramirez Sapucaia"/>
    <m/>
    <x v="6"/>
    <x v="1"/>
    <s v="31601014 - Acupuntura (R$ 51,33)"/>
    <s v="Acupuntura"/>
    <n v="171852"/>
    <s v="Finalizado (1/2)"/>
    <n v="43.117199999999997"/>
    <n v="8.2127999999999997"/>
    <n v="51.33"/>
    <s v="Sessão a Faturar"/>
    <s v="55788888491385280127"/>
    <n v="58232"/>
    <s v="Unidade Vieralves (ANEXO)"/>
    <n v="171852"/>
    <m/>
  </r>
  <r>
    <x v="0"/>
    <x v="18"/>
    <s v="Eudima Fonseca Rocha Briglia da Cunha"/>
    <s v="Feminino"/>
    <x v="12"/>
    <x v="1"/>
    <s v="31601014 - Avaliação de Acupuntura (R$ 54,56)"/>
    <s v="Acupuntura"/>
    <n v="10347559"/>
    <s v="Finalizado (1/1)"/>
    <n v="54.56"/>
    <n v="0"/>
    <n v="54.56"/>
    <s v="Sessão Faturada"/>
    <s v="000743661911200901"/>
    <n v="40339"/>
    <s v="Unidade Vieralves (ANEXO)"/>
    <n v="10347559"/>
    <m/>
  </r>
  <r>
    <x v="0"/>
    <x v="10"/>
    <s v="Paulo Cesar Silva Santiago"/>
    <s v="Masculino"/>
    <x v="4"/>
    <x v="1"/>
    <s v="31601014 - Acupuntura (R$ 54,56)"/>
    <s v="Acupuntura"/>
    <n v="1711662078"/>
    <s v="Finalizado (2/5)"/>
    <n v="45.830399999999997"/>
    <n v="8.7295999999999996"/>
    <n v="54.56"/>
    <s v="Sessão Faturada"/>
    <n v="611168920097000"/>
    <n v="19776"/>
    <s v="Unidade Vieralves (ANEXO)"/>
    <n v="1711662078"/>
    <m/>
  </r>
  <r>
    <x v="0"/>
    <x v="12"/>
    <s v="Edmundo dos Santos Freitas"/>
    <s v="Masculino"/>
    <x v="10"/>
    <x v="1"/>
    <s v="31601014 - Acupuntura Por Sessão (R$ 25,00)"/>
    <s v="Acupuntura"/>
    <n v="21123859"/>
    <s v="Finalizado (1/8)"/>
    <n v="21"/>
    <n v="4"/>
    <n v="25"/>
    <s v="Sessão a Faturar"/>
    <s v="00010064289222002"/>
    <n v="59546"/>
    <s v="Unidade Vieralves (ANEXO)"/>
    <n v="21123859"/>
    <m/>
  </r>
  <r>
    <x v="0"/>
    <x v="12"/>
    <s v="Renata de Aguiar Torres"/>
    <s v="Feminino"/>
    <x v="4"/>
    <x v="1"/>
    <s v="31601014 - Acupuntura (R$ 54,56)"/>
    <s v="Acupuntura"/>
    <n v="1702977075"/>
    <s v="Finalizado (4/4)"/>
    <n v="45.830399999999997"/>
    <n v="8.7295999999999996"/>
    <n v="54.56"/>
    <s v="Sessão Faturada"/>
    <n v="960019412893000"/>
    <n v="49038"/>
    <s v="Unidade Vieralves (ANEXO)"/>
    <n v="1702977075"/>
    <m/>
  </r>
  <r>
    <x v="0"/>
    <x v="20"/>
    <s v="Sabrina Frota Miranda"/>
    <s v="Feminino"/>
    <x v="4"/>
    <x v="1"/>
    <s v="31601014 - Acupuntura (R$ 54,56)"/>
    <s v="Acupuntura"/>
    <n v="1721983805"/>
    <s v="Finalizado (1/1)"/>
    <n v="45.830399999999997"/>
    <n v="8.7295999999999996"/>
    <n v="54.56"/>
    <s v="Sessão a Faturar"/>
    <n v="774170004260000"/>
    <n v="58714"/>
    <s v="Unidade Vieralves (ANEXO)"/>
    <n v="1721983805"/>
    <m/>
  </r>
  <r>
    <x v="1"/>
    <x v="0"/>
    <s v="Omer Yurtsever Guerra"/>
    <s v="Masculino"/>
    <x v="4"/>
    <x v="1"/>
    <s v="31601014 - Acupuntura (R$ 54,56)"/>
    <s v="Acupuntura"/>
    <n v="1712897802"/>
    <s v="Finalizado (2/3)"/>
    <n v="45.830399999999997"/>
    <n v="8.7295999999999996"/>
    <n v="54.56"/>
    <s v="Sessão Faturada"/>
    <n v="897569300019020"/>
    <n v="59658"/>
    <s v="Unidade Vieralves (ANEXO)"/>
    <n v="1712897802"/>
    <m/>
  </r>
  <r>
    <x v="1"/>
    <x v="0"/>
    <s v="Glenio Anisio Santos"/>
    <s v="Masculino"/>
    <x v="7"/>
    <x v="1"/>
    <s v="Vieiralves - 6 - Avaliação de Acupuntura (R$ 200,00)"/>
    <s v="Acupuntura"/>
    <m/>
    <s v="Finalizado (1/1)"/>
    <n v="156"/>
    <n v="44"/>
    <n v="200"/>
    <s v="Pago"/>
    <n v="0"/>
    <n v="59674"/>
    <s v="Unidade Vieralves (ANEXO)"/>
    <m/>
    <m/>
  </r>
  <r>
    <x v="1"/>
    <x v="6"/>
    <s v="Ladyane Moreno Rosa de Almeida"/>
    <s v="Feminino"/>
    <x v="6"/>
    <x v="1"/>
    <s v="31601014 - Acupuntura (R$ 51,33)"/>
    <s v="Acupuntura"/>
    <n v="172002"/>
    <s v="Finalizado (1/3)"/>
    <n v="43.117199999999997"/>
    <n v="8.2127999999999997"/>
    <n v="51.33"/>
    <s v="Sessão a Faturar"/>
    <s v="56788888487957080014"/>
    <n v="56246"/>
    <s v="Unidade Vieralves (ANEXO)"/>
    <n v="172002"/>
    <m/>
  </r>
  <r>
    <x v="1"/>
    <x v="8"/>
    <s v="Alexsandro de Pierri Camara Frangos"/>
    <s v="Masculino"/>
    <x v="6"/>
    <x v="1"/>
    <s v="31601014 - Acupuntura (R$ 51,33)"/>
    <s v="Acupuntura"/>
    <n v="171699"/>
    <s v="Finalizado (1/3)"/>
    <n v="43.117199999999997"/>
    <n v="8.2127999999999997"/>
    <n v="51.33"/>
    <s v="Sessão a Faturar"/>
    <s v="44520813095886520010"/>
    <n v="59453"/>
    <s v="Unidade Vieralves (ANEXO)"/>
    <n v="171699"/>
    <m/>
  </r>
  <r>
    <x v="1"/>
    <x v="12"/>
    <s v="Edmundo dos Santos Freitas"/>
    <s v="Masculino"/>
    <x v="10"/>
    <x v="1"/>
    <s v="31601014 - Acupuntura Por Sessão (R$ 25,00)"/>
    <s v="Acupuntura"/>
    <n v="21123859"/>
    <s v="Finalizado (2/8)"/>
    <n v="21"/>
    <n v="4"/>
    <n v="25"/>
    <s v="Sessão a Faturar"/>
    <s v="00010064289222002"/>
    <n v="59546"/>
    <s v="Unidade Vieralves (ANEXO)"/>
    <n v="21123859"/>
    <m/>
  </r>
  <r>
    <x v="1"/>
    <x v="20"/>
    <s v="Paulo Cesar Silva Santiago"/>
    <s v="Masculino"/>
    <x v="4"/>
    <x v="1"/>
    <s v="31601014 - Acupuntura (R$ 54,56)"/>
    <s v="Acupuntura"/>
    <n v="1711662078"/>
    <s v="Finalizado (3/5)"/>
    <n v="45.830399999999997"/>
    <n v="8.7295999999999996"/>
    <n v="54.56"/>
    <s v="Sessão Faturada"/>
    <n v="611168920097000"/>
    <n v="19776"/>
    <s v="Unidade Vieralves (ANEXO)"/>
    <n v="1711662078"/>
    <m/>
  </r>
  <r>
    <x v="2"/>
    <x v="0"/>
    <s v="Omer Yurtsever Guerra"/>
    <s v="Masculino"/>
    <x v="4"/>
    <x v="1"/>
    <s v="31601014 - Acupuntura (R$ 54,56)"/>
    <s v="Acupuntura"/>
    <n v="1712897802"/>
    <s v="Finalizado (3/3)"/>
    <n v="45.830399999999997"/>
    <n v="8.7295999999999996"/>
    <n v="54.56"/>
    <s v="Sessão Faturada"/>
    <n v="897569300019020"/>
    <n v="59658"/>
    <s v="Unidade Vieralves (ANEXO)"/>
    <n v="1712897802"/>
    <m/>
  </r>
  <r>
    <x v="2"/>
    <x v="2"/>
    <s v="Claudia Ferreira de Souza Cutar"/>
    <s v="Feminino"/>
    <x v="6"/>
    <x v="1"/>
    <s v="31601014 - Acupuntura (R$ 51,33)"/>
    <s v="Acupuntura"/>
    <n v="171324"/>
    <s v="Finalizado (2/4)"/>
    <n v="43.117199999999997"/>
    <n v="8.2127999999999997"/>
    <n v="51.33"/>
    <s v="Sessão a Faturar"/>
    <s v="54588888010050710012"/>
    <n v="9658"/>
    <s v="Unidade Vieralves (ANEXO)"/>
    <n v="171324"/>
    <m/>
  </r>
  <r>
    <x v="2"/>
    <x v="13"/>
    <s v="Anne Karynne Almeida Castelo Branco"/>
    <s v="Feminino"/>
    <x v="13"/>
    <x v="1"/>
    <s v="31601014 - Acupuntura (R$ 42,00)"/>
    <s v="Acupuntura"/>
    <n v="13757446"/>
    <s v="Finalizado (1/10)"/>
    <n v="35.28"/>
    <n v="6.72"/>
    <n v="42"/>
    <s v="Sessão a Faturar"/>
    <s v="00010300039824008"/>
    <n v="55604"/>
    <s v="Unidade Vieralves (ANEXO)"/>
    <n v="13757446"/>
    <m/>
  </r>
  <r>
    <x v="2"/>
    <x v="13"/>
    <s v="Willian da Silva Marques"/>
    <s v="Masculino"/>
    <x v="6"/>
    <x v="1"/>
    <s v="31601014 - Acupuntura (R$ 51,33)"/>
    <s v="Acupuntura"/>
    <n v="171337"/>
    <s v="Finalizado (3/3)"/>
    <n v="43.117199999999997"/>
    <n v="8.2127999999999997"/>
    <n v="51.33"/>
    <s v="Sessão a Faturar"/>
    <s v="58201065997798090011"/>
    <n v="58695"/>
    <s v="Unidade Vieralves (ANEXO)"/>
    <n v="171337"/>
    <m/>
  </r>
  <r>
    <x v="2"/>
    <x v="13"/>
    <s v="Maria de Fatima da Silva Souza"/>
    <s v="Feminino"/>
    <x v="4"/>
    <x v="1"/>
    <s v="31601014 - Acupuntura (R$ 54,56)"/>
    <s v="Acupuntura"/>
    <n v="1704912901"/>
    <s v="Finalizado (5/5)"/>
    <n v="45.830399999999997"/>
    <n v="8.7295999999999996"/>
    <n v="54.56"/>
    <s v="Sessão Faturada"/>
    <n v="952140115211010"/>
    <n v="23931"/>
    <s v="Unidade Vieralves (ANEXO)"/>
    <n v="1704912901"/>
    <m/>
  </r>
  <r>
    <x v="2"/>
    <x v="17"/>
    <s v="Lidia Teresa Monteiro Mendes"/>
    <s v="Feminino"/>
    <x v="6"/>
    <x v="1"/>
    <s v="31601014 - Acupuntura (R$ 51,33)"/>
    <s v="Acupuntura"/>
    <n v="172204"/>
    <s v="Finalizado (1/4)"/>
    <n v="43.117199999999997"/>
    <n v="8.2127999999999997"/>
    <n v="51.33"/>
    <s v="Sessão a Faturar"/>
    <s v="54588888004872480010"/>
    <n v="37147"/>
    <s v="Unidade Vieralves (ANEXO)"/>
    <n v="172204"/>
    <m/>
  </r>
  <r>
    <x v="2"/>
    <x v="12"/>
    <s v="Napoleão Cesar Pinheiro Ladim"/>
    <s v="Masculino"/>
    <x v="4"/>
    <x v="1"/>
    <s v="31601014 - Acupuntura (R$ 54,56)"/>
    <s v="Acupuntura"/>
    <n v="1710486476"/>
    <s v="Finalizado (2/4)"/>
    <n v="45.830399999999997"/>
    <n v="8.7295999999999996"/>
    <n v="54.56"/>
    <s v="Sessão a Faturar"/>
    <n v="837500800019000"/>
    <n v="58942"/>
    <s v="Unidade Vieralves (ANEXO)"/>
    <n v="1710486476"/>
    <m/>
  </r>
  <r>
    <x v="2"/>
    <x v="12"/>
    <s v="Edmundo dos Santos Freitas"/>
    <s v="Masculino"/>
    <x v="10"/>
    <x v="1"/>
    <s v="31601014 - Acupuntura Por Sessão (R$ 25,00)"/>
    <s v="Acupuntura"/>
    <n v="21123859"/>
    <s v="Finalizado (3/8)"/>
    <n v="21"/>
    <n v="4"/>
    <n v="25"/>
    <s v="Sessão a Faturar"/>
    <s v="00010064289222002"/>
    <n v="59546"/>
    <s v="Unidade Vieralves (ANEXO)"/>
    <n v="21123859"/>
    <m/>
  </r>
  <r>
    <x v="2"/>
    <x v="20"/>
    <s v="Simone Carvalho da Silva Grijo"/>
    <s v="Feminino"/>
    <x v="5"/>
    <x v="1"/>
    <s v="31601014 - Acupuntura (R$ 90,51)"/>
    <s v="Acupuntura"/>
    <n v="78597730"/>
    <s v="Finalizado (2/10)"/>
    <n v="76.028400000000005"/>
    <n v="14.4816"/>
    <n v="90.51"/>
    <s v="Sessão a Faturar"/>
    <s v="0101072415010378"/>
    <n v="11558"/>
    <s v="Unidade Vieralves (ANEXO)"/>
    <n v="78597730"/>
    <s v="GUIA ASSINADA "/>
  </r>
  <r>
    <x v="3"/>
    <x v="2"/>
    <s v="Warloney da Silva e Silva"/>
    <s v="Masculino"/>
    <x v="4"/>
    <x v="1"/>
    <s v="31601014 - Acupuntura (R$ 54,56)"/>
    <s v="Acupuntura"/>
    <n v="1714654818"/>
    <s v="Finalizado (1/1)"/>
    <n v="45.830399999999997"/>
    <n v="8.7295999999999996"/>
    <n v="54.56"/>
    <s v="Sessão Faturada"/>
    <n v="775072003107000"/>
    <n v="44222"/>
    <s v="Unidade Vieralves (ANEXO)"/>
    <n v="1714654818"/>
    <m/>
  </r>
  <r>
    <x v="3"/>
    <x v="2"/>
    <s v="Eudima Fonseca Rocha Briglia da Cunha"/>
    <s v="Feminino"/>
    <x v="12"/>
    <x v="1"/>
    <s v="31601014 - Acupuntura (R$ 54,56)"/>
    <s v="Acupuntura"/>
    <n v="10342324"/>
    <s v="Finalizado (3/8)"/>
    <n v="45.830399999999997"/>
    <n v="8.7295999999999996"/>
    <n v="54.56"/>
    <s v="Sessão a Faturar"/>
    <s v="000743661911200901"/>
    <n v="40339"/>
    <s v="Unidade Vieralves (ANEXO)"/>
    <n v="10342324"/>
    <m/>
  </r>
  <r>
    <x v="3"/>
    <x v="6"/>
    <s v="Ladyane Moreno Rosa de Almeida"/>
    <s v="Feminino"/>
    <x v="6"/>
    <x v="1"/>
    <s v="31601014 - Acupuntura (R$ 51,33)"/>
    <s v="Acupuntura"/>
    <n v="172002"/>
    <s v="Finalizado (2/3)"/>
    <n v="43.117199999999997"/>
    <n v="8.2127999999999997"/>
    <n v="51.33"/>
    <s v="Sessão a Faturar"/>
    <s v="56788888487957080014"/>
    <n v="56246"/>
    <s v="Unidade Vieralves (ANEXO)"/>
    <n v="172002"/>
    <m/>
  </r>
  <r>
    <x v="3"/>
    <x v="10"/>
    <s v="Hugo Bomfim da Silva"/>
    <s v="Masculino"/>
    <x v="6"/>
    <x v="1"/>
    <s v="31601014 - Acupuntura (R$ 51,33)"/>
    <s v="Acupuntura"/>
    <n v="172333"/>
    <s v="Finalizado (1/4)"/>
    <n v="43.117199999999997"/>
    <n v="8.2127999999999997"/>
    <n v="51.33"/>
    <s v="Sessão a Faturar"/>
    <s v="56788888021641330012"/>
    <n v="59681"/>
    <s v="Unidade Vieralves (ANEXO)"/>
    <n v="172333"/>
    <m/>
  </r>
  <r>
    <x v="3"/>
    <x v="20"/>
    <s v="Alexsandro de Pierri Camara Frangos"/>
    <s v="Masculino"/>
    <x v="6"/>
    <x v="1"/>
    <s v="31601014 - Acupuntura (R$ 51,33)"/>
    <s v="Acupuntura"/>
    <n v="171699"/>
    <s v="Finalizado (2/3)"/>
    <n v="43.117199999999997"/>
    <n v="8.2127999999999997"/>
    <n v="51.33"/>
    <s v="Sessão a Faturar"/>
    <s v="44520813095886520010"/>
    <n v="59453"/>
    <s v="Unidade Vieralves (ANEXO)"/>
    <n v="171699"/>
    <m/>
  </r>
  <r>
    <x v="4"/>
    <x v="6"/>
    <s v="Dayanne Torres da Silva"/>
    <s v="Feminino"/>
    <x v="6"/>
    <x v="1"/>
    <s v="31601014 - Acupuntura (R$ 51,33)"/>
    <s v="Acupuntura"/>
    <n v="171878"/>
    <s v="Finalizado (2/4)"/>
    <n v="43.117199999999997"/>
    <n v="8.2127999999999997"/>
    <n v="51.33"/>
    <s v="Sessão a Faturar"/>
    <s v="54588888021709000020"/>
    <n v="59506"/>
    <s v="Unidade Vieralves (ANEXO)"/>
    <n v="171878"/>
    <m/>
  </r>
  <r>
    <x v="4"/>
    <x v="15"/>
    <s v="Pedro Brito Motta"/>
    <s v="Masculino"/>
    <x v="6"/>
    <x v="1"/>
    <s v="10101012 - Consulta Médica (R$ 121,28)"/>
    <s v="Acupuntura"/>
    <m/>
    <s v="Não compareceu (1/1)"/>
    <n v="121.28"/>
    <n v="0"/>
    <n v="121.28"/>
    <s v="Sessão a Faturar"/>
    <m/>
    <n v="59696"/>
    <s v="Unidade Vieralves (ANEXO)"/>
    <m/>
    <m/>
  </r>
  <r>
    <x v="4"/>
    <x v="16"/>
    <s v="Pedro Brito Motta"/>
    <s v="Masculino"/>
    <x v="6"/>
    <x v="1"/>
    <s v="31601014 - Acupuntura (R$ 51,33)"/>
    <s v="Acupuntura"/>
    <m/>
    <s v="Não compareceu (1/4)"/>
    <n v="51.33"/>
    <n v="0"/>
    <n v="51.33"/>
    <s v="Sessão a Faturar"/>
    <m/>
    <n v="59696"/>
    <s v="Unidade Vieralves (ANEXO)"/>
    <m/>
    <m/>
  </r>
  <r>
    <x v="4"/>
    <x v="17"/>
    <s v="Lidia Teresa Monteiro Mendes"/>
    <s v="Feminino"/>
    <x v="6"/>
    <x v="1"/>
    <s v="31601014 - Acupuntura (R$ 51,33)"/>
    <s v="Acupuntura"/>
    <n v="172204"/>
    <s v="Finalizado (2/4)"/>
    <n v="43.117199999999997"/>
    <n v="8.2127999999999997"/>
    <n v="51.33"/>
    <s v="Sessão a Faturar"/>
    <s v="54588888004872480010"/>
    <n v="37147"/>
    <s v="Unidade Vieralves (ANEXO)"/>
    <n v="172204"/>
    <m/>
  </r>
  <r>
    <x v="4"/>
    <x v="12"/>
    <s v="Edmundo dos Santos Freitas"/>
    <s v="Masculino"/>
    <x v="10"/>
    <x v="1"/>
    <s v="31601014 - Acupuntura Por Sessão (R$ 25,00)"/>
    <s v="Acupuntura"/>
    <n v="21123859"/>
    <s v="Finalizado (4/8)"/>
    <n v="21"/>
    <n v="4"/>
    <n v="25"/>
    <s v="Sessão a Faturar"/>
    <s v="00010064289222002"/>
    <n v="59546"/>
    <s v="Unidade Vieralves (ANEXO)"/>
    <n v="21123859"/>
    <m/>
  </r>
  <r>
    <x v="4"/>
    <x v="12"/>
    <s v="Caio Felipe Soares da Cruz"/>
    <s v="Masculino"/>
    <x v="4"/>
    <x v="1"/>
    <s v="31601014 - Acupuntura (R$ 54,56)"/>
    <s v="Acupuntura"/>
    <n v="1710494452"/>
    <s v="Finalizado (5/5)"/>
    <n v="45.830399999999997"/>
    <n v="8.7295999999999996"/>
    <n v="54.56"/>
    <s v="Sessão a Faturar"/>
    <n v="889414100973000"/>
    <n v="57595"/>
    <s v="Unidade Vieralves (ANEXO)"/>
    <n v="1710494452"/>
    <m/>
  </r>
  <r>
    <x v="4"/>
    <x v="20"/>
    <s v="Hugo Bomfim da Silva"/>
    <s v="Masculino"/>
    <x v="6"/>
    <x v="1"/>
    <s v="31601014 - Acupuntura (R$ 51,33)"/>
    <s v="Acupuntura"/>
    <n v="172333"/>
    <s v="Finalizado (2/4)"/>
    <n v="43.117199999999997"/>
    <n v="8.2127999999999997"/>
    <n v="51.33"/>
    <s v="Sessão a Faturar"/>
    <s v="56788888021641330012"/>
    <n v="59681"/>
    <s v="Unidade Vieralves (ANEXO)"/>
    <n v="172333"/>
    <m/>
  </r>
  <r>
    <x v="5"/>
    <x v="2"/>
    <s v="Eudima Fonseca Rocha Briglia da Cunha"/>
    <s v="Feminino"/>
    <x v="12"/>
    <x v="1"/>
    <s v="31601014 - Acupuntura (R$ 54,56)"/>
    <s v="Acupuntura"/>
    <n v="10342324"/>
    <s v="Finalizado (5/8)"/>
    <n v="45.830399999999997"/>
    <n v="8.7295999999999996"/>
    <n v="54.56"/>
    <s v="Sessão a Faturar"/>
    <s v="000743661911200901"/>
    <n v="40339"/>
    <s v="Unidade Vieralves (ANEXO)"/>
    <n v="10342324"/>
    <m/>
  </r>
  <r>
    <x v="5"/>
    <x v="13"/>
    <s v="Dayanne Torres da Silva"/>
    <s v="Feminino"/>
    <x v="6"/>
    <x v="1"/>
    <s v="31601014 - Acupuntura (R$ 51,33)"/>
    <s v="Acupuntura"/>
    <n v="171878"/>
    <s v="Finalizado (3/4)"/>
    <n v="43.117199999999997"/>
    <n v="8.2127999999999997"/>
    <n v="51.33"/>
    <s v="Sessão a Faturar"/>
    <s v="54588888021709000020"/>
    <n v="59506"/>
    <s v="Unidade Vieralves (ANEXO)"/>
    <n v="171878"/>
    <m/>
  </r>
  <r>
    <x v="5"/>
    <x v="13"/>
    <s v="Claudia Ferreira de Souza Cutar"/>
    <s v="Feminino"/>
    <x v="6"/>
    <x v="1"/>
    <s v="31601014 - Acupuntura (R$ 51,33)"/>
    <s v="Acupuntura"/>
    <n v="171324"/>
    <s v="Finalizado (3/4)"/>
    <n v="43.117199999999997"/>
    <n v="8.2127999999999997"/>
    <n v="51.33"/>
    <s v="Sessão a Faturar"/>
    <s v="54588888010050710012"/>
    <n v="9658"/>
    <s v="Unidade Vieralves (ANEXO)"/>
    <n v="171324"/>
    <m/>
  </r>
  <r>
    <x v="5"/>
    <x v="17"/>
    <s v="Suellem Cristian Oliveira Epifânio"/>
    <s v="Feminino"/>
    <x v="4"/>
    <x v="1"/>
    <s v="31601014 - Acupuntura (R$ 54,56)"/>
    <s v="Acupuntura"/>
    <n v="1716219667"/>
    <s v="Finalizado (1/5)"/>
    <n v="45.830399999999997"/>
    <n v="8.7295999999999996"/>
    <n v="54.56"/>
    <s v="Sessão a Faturar"/>
    <n v="775340003336000"/>
    <n v="55780"/>
    <s v="Unidade Vieralves (ANEXO)"/>
    <n v="1716219667"/>
    <m/>
  </r>
  <r>
    <x v="5"/>
    <x v="12"/>
    <s v="Edmundo dos Santos Freitas"/>
    <s v="Masculino"/>
    <x v="10"/>
    <x v="1"/>
    <s v="31601014 - Acupuntura Por Sessão (R$ 25,00)"/>
    <s v="Acupuntura"/>
    <n v="21123859"/>
    <s v="Finalizado (5/8)"/>
    <n v="21"/>
    <n v="4"/>
    <n v="25"/>
    <s v="Sessão a Faturar"/>
    <s v="00010064289222002"/>
    <n v="59546"/>
    <s v="Unidade Vieralves (ANEXO)"/>
    <n v="21123859"/>
    <m/>
  </r>
  <r>
    <x v="5"/>
    <x v="12"/>
    <s v="Caio Felipe Soares da Cruz"/>
    <s v="Masculino"/>
    <x v="4"/>
    <x v="1"/>
    <s v="31601014 - Acupuntura (R$ 54,56)"/>
    <s v="Acupuntura"/>
    <n v="1716265343"/>
    <s v="Finalizado (1/4)"/>
    <n v="45.830399999999997"/>
    <n v="8.7295999999999996"/>
    <n v="54.56"/>
    <s v="Sessão a Faturar"/>
    <n v="889414100973000"/>
    <n v="57595"/>
    <s v="Unidade Vieralves (ANEXO)"/>
    <n v="1716265343"/>
    <m/>
  </r>
  <r>
    <x v="5"/>
    <x v="20"/>
    <s v="Simone Carvalho da Silva Grijo"/>
    <s v="Feminino"/>
    <x v="5"/>
    <x v="1"/>
    <s v="31601014 - Acupuntura (R$ 90,51)"/>
    <s v="Acupuntura"/>
    <n v="78597730"/>
    <s v="Finalizado (3/10)"/>
    <n v="76.028400000000005"/>
    <n v="14.4816"/>
    <n v="90.51"/>
    <s v="Sessão a Faturar"/>
    <s v="0101072415010378"/>
    <n v="11558"/>
    <s v="Unidade Vieralves (ANEXO)"/>
    <n v="78597730"/>
    <s v="GUIA ASSINADA "/>
  </r>
  <r>
    <x v="5"/>
    <x v="20"/>
    <s v="Paulo Cesar Silva Santiago"/>
    <s v="Masculino"/>
    <x v="4"/>
    <x v="1"/>
    <s v="31601014 - Acupuntura (R$ 54,56)"/>
    <s v="Acupuntura"/>
    <n v="1711662078"/>
    <s v="Finalizado (4/5)"/>
    <n v="45.830399999999997"/>
    <n v="8.7295999999999996"/>
    <n v="54.56"/>
    <s v="Sessão Faturada"/>
    <n v="611168920097000"/>
    <n v="19776"/>
    <s v="Unidade Vieralves (ANEXO)"/>
    <n v="1711662078"/>
    <m/>
  </r>
  <r>
    <x v="5"/>
    <x v="28"/>
    <s v="Bruna Kerolaine Praia Neves"/>
    <s v="Feminino"/>
    <x v="4"/>
    <x v="1"/>
    <s v="31601014 - Acupuntura (R$ 54,56)"/>
    <s v="Acupuntura"/>
    <n v="1716286305"/>
    <s v="Finalizado (1/5)"/>
    <n v="45.830399999999997"/>
    <n v="8.7295999999999996"/>
    <n v="54.56"/>
    <s v="Sessão a Faturar"/>
    <n v="833941000264010"/>
    <n v="51300"/>
    <s v="Unidade Vieralves (ANEXO)"/>
    <n v="1716286305"/>
    <m/>
  </r>
  <r>
    <x v="5"/>
    <x v="28"/>
    <s v="Cristiane Portilho Nascimento Pardo"/>
    <s v="Feminino"/>
    <x v="5"/>
    <x v="1"/>
    <s v="31601014 - Acupuntura - 04/03/2026 (R$ 86,81)"/>
    <s v="Acupuntura"/>
    <n v="78598080"/>
    <s v="Finalizado (2/10)"/>
    <n v="72.920400000000001"/>
    <n v="13.8896"/>
    <n v="86.81"/>
    <s v="Sessão a Faturar"/>
    <s v="010093389000"/>
    <n v="11201"/>
    <s v="Unidade Vieralves (ANEXO)"/>
    <n v="78598080"/>
    <m/>
  </r>
  <r>
    <x v="6"/>
    <x v="0"/>
    <s v="Eudima Fonseca Rocha Briglia da Cunha"/>
    <s v="Feminino"/>
    <x v="12"/>
    <x v="1"/>
    <s v="31601014 - Acupuntura (R$ 54,56)"/>
    <s v="Acupuntura"/>
    <n v="10342324"/>
    <s v="Finalizado (6/8)"/>
    <n v="45.830399999999997"/>
    <n v="8.7295999999999996"/>
    <n v="54.56"/>
    <s v="Sessão a Faturar"/>
    <s v="000743661911200901"/>
    <n v="40339"/>
    <s v="Unidade Vieralves (ANEXO)"/>
    <n v="10342324"/>
    <m/>
  </r>
  <r>
    <x v="6"/>
    <x v="15"/>
    <s v="Marcelo Aderito Motta Veimrober"/>
    <s v="Masculino"/>
    <x v="6"/>
    <x v="1"/>
    <s v="31601014 - Acupuntura (R$ 51,33)"/>
    <s v="Acupuntura"/>
    <n v="172574"/>
    <s v="Finalizado (1/1)"/>
    <n v="43.117199999999997"/>
    <n v="8.2127999999999997"/>
    <n v="51.33"/>
    <s v="Sessão a Faturar"/>
    <s v="56788888487957030017"/>
    <n v="59742"/>
    <s v="Unidade Vieralves (ANEXO)"/>
    <n v="172574"/>
    <m/>
  </r>
  <r>
    <x v="6"/>
    <x v="17"/>
    <s v="Lidia Teresa Monteiro Mendes"/>
    <s v="Feminino"/>
    <x v="6"/>
    <x v="1"/>
    <s v="31601014 - Acupuntura (R$ 51,33)"/>
    <s v="Acupuntura"/>
    <n v="172204"/>
    <s v="Finalizado (3/4)"/>
    <n v="43.117199999999997"/>
    <n v="8.2127999999999997"/>
    <n v="51.33"/>
    <s v="Sessão a Faturar"/>
    <s v="54588888004872480010"/>
    <n v="37147"/>
    <s v="Unidade Vieralves (ANEXO)"/>
    <n v="172204"/>
    <m/>
  </r>
  <r>
    <x v="6"/>
    <x v="20"/>
    <s v="Karen Cristina Rocha dos Santos"/>
    <s v="Feminino"/>
    <x v="4"/>
    <x v="1"/>
    <s v="31601014 - Acupuntura (R$ 54,56)"/>
    <s v="Acupuntura"/>
    <n v="1716806275"/>
    <s v="Finalizado (1/1)"/>
    <n v="45.830399999999997"/>
    <n v="8.7295999999999996"/>
    <n v="54.56"/>
    <s v="Sessão a Faturar"/>
    <n v="774063014265010"/>
    <n v="59739"/>
    <s v="Unidade Vieralves (ANEXO)"/>
    <n v="1716806275"/>
    <m/>
  </r>
  <r>
    <x v="6"/>
    <x v="20"/>
    <s v="Paulo Cesar Silva Santiago"/>
    <s v="Masculino"/>
    <x v="4"/>
    <x v="1"/>
    <s v="31601014 - Acupuntura (R$ 54,56)"/>
    <s v="Acupuntura"/>
    <n v="1711662078"/>
    <s v="Finalizado (5/5)"/>
    <n v="45.830399999999997"/>
    <n v="8.7295999999999996"/>
    <n v="54.56"/>
    <s v="Sessão Faturada"/>
    <n v="611168920097000"/>
    <n v="19776"/>
    <s v="Unidade Vieralves (ANEXO)"/>
    <n v="1711662078"/>
    <m/>
  </r>
  <r>
    <x v="6"/>
    <x v="28"/>
    <s v="Hugo Bomfim da Silva"/>
    <s v="Masculino"/>
    <x v="6"/>
    <x v="1"/>
    <s v="31601014 - Acupuntura (R$ 51,33)"/>
    <s v="Acupuntura"/>
    <n v="172333"/>
    <s v="Finalizado (3/4)"/>
    <n v="43.117199999999997"/>
    <n v="8.2127999999999997"/>
    <n v="51.33"/>
    <s v="Sessão a Faturar"/>
    <s v="56788888021641330012"/>
    <n v="59681"/>
    <s v="Unidade Vieralves (ANEXO)"/>
    <n v="172333"/>
    <m/>
  </r>
  <r>
    <x v="6"/>
    <x v="28"/>
    <s v="Alexsandro de Pierri Camara Frangos"/>
    <s v="Masculino"/>
    <x v="6"/>
    <x v="1"/>
    <s v="31601014 - Acupuntura (R$ 51,33)"/>
    <s v="Acupuntura"/>
    <n v="171699"/>
    <s v="Finalizado (3/3)"/>
    <n v="43.117199999999997"/>
    <n v="8.2127999999999997"/>
    <n v="51.33"/>
    <s v="Sessão a Faturar"/>
    <s v="44520813095886520010"/>
    <n v="59453"/>
    <s v="Unidade Vieralves (ANEXO)"/>
    <n v="171699"/>
    <m/>
  </r>
  <r>
    <x v="7"/>
    <x v="13"/>
    <s v="Maria de Fatima da Silva Souza"/>
    <s v="Feminino"/>
    <x v="4"/>
    <x v="1"/>
    <s v="31601014 - Acupuntura (R$ 54,56)"/>
    <s v="Acupuntura"/>
    <n v="1715409635"/>
    <s v="Finalizado (2/2)"/>
    <n v="45.830399999999997"/>
    <n v="8.7295999999999996"/>
    <n v="54.56"/>
    <s v="Sessão a Faturar"/>
    <n v="952140115211010"/>
    <n v="23931"/>
    <s v="Unidade Vieralves (ANEXO)"/>
    <n v="1715409635"/>
    <m/>
  </r>
  <r>
    <x v="7"/>
    <x v="10"/>
    <s v="Manoel Arcangelo Ribeiro Tavares"/>
    <s v="Masculino"/>
    <x v="6"/>
    <x v="1"/>
    <s v="31601014 - Acupuntura (R$ 51,33)"/>
    <s v="Acupuntura"/>
    <n v="172353"/>
    <s v="Finalizado (1/4)"/>
    <n v="43.117199999999997"/>
    <n v="8.2127999999999997"/>
    <n v="51.33"/>
    <s v="Sessão a Faturar"/>
    <s v="54588888011540360016"/>
    <n v="19664"/>
    <s v="Unidade Vieralves (ANEXO)"/>
    <n v="172353"/>
    <m/>
  </r>
  <r>
    <x v="7"/>
    <x v="12"/>
    <s v="Caio Felipe Soares da Cruz"/>
    <s v="Masculino"/>
    <x v="4"/>
    <x v="1"/>
    <s v="31601014 - Acupuntura (R$ 54,56)"/>
    <s v="Acupuntura"/>
    <n v="1716265343"/>
    <s v="Finalizado (2/4)"/>
    <n v="45.830399999999997"/>
    <n v="8.7295999999999996"/>
    <n v="54.56"/>
    <s v="Sessão a Faturar"/>
    <n v="889414100973000"/>
    <n v="57595"/>
    <s v="Unidade Vieralves (ANEXO)"/>
    <n v="1716265343"/>
    <m/>
  </r>
  <r>
    <x v="7"/>
    <x v="28"/>
    <s v="Cristiane Portilho Nascimento Pardo"/>
    <s v="Feminino"/>
    <x v="5"/>
    <x v="1"/>
    <s v="31601014 - Acupuntura - 04/03/2026 (R$ 86,81)"/>
    <s v="Acupuntura"/>
    <n v="78598080"/>
    <s v="Finalizado (3/10)"/>
    <n v="72.920400000000001"/>
    <n v="13.8896"/>
    <n v="86.81"/>
    <s v="Sessão a Faturar"/>
    <s v="010093389000"/>
    <n v="11201"/>
    <s v="Unidade Vieralves (ANEXO)"/>
    <n v="78598080"/>
    <m/>
  </r>
  <r>
    <x v="8"/>
    <x v="0"/>
    <s v="Anne Karynne Almeida Castelo Branco"/>
    <s v="Feminino"/>
    <x v="13"/>
    <x v="1"/>
    <s v="31601014 - Acupuntura (R$ 42,00)"/>
    <s v="Acupuntura"/>
    <n v="13757446"/>
    <s v="Não compareceu (2/10)"/>
    <n v="42"/>
    <n v="0"/>
    <n v="42"/>
    <s v="Sessão a Faturar"/>
    <s v="00010300039824008"/>
    <n v="55604"/>
    <s v="Unidade Vieralves (ANEXO)"/>
    <n v="13757446"/>
    <m/>
  </r>
  <r>
    <x v="8"/>
    <x v="2"/>
    <s v="Claudia Ferreira de Souza Cutar"/>
    <s v="Feminino"/>
    <x v="6"/>
    <x v="1"/>
    <s v="31601014 - Acupuntura (R$ 51,33)"/>
    <s v="Acupuntura"/>
    <n v="171324"/>
    <s v="Finalizado (4/4)"/>
    <n v="43.117199999999997"/>
    <n v="8.2127999999999997"/>
    <n v="51.33"/>
    <s v="Sessão a Faturar"/>
    <s v="54588888010050710012"/>
    <n v="9658"/>
    <s v="Unidade Vieralves (ANEXO)"/>
    <n v="171324"/>
    <m/>
  </r>
  <r>
    <x v="8"/>
    <x v="13"/>
    <s v="Luana Luisa Mota de Almeida"/>
    <s v="Feminino"/>
    <x v="9"/>
    <x v="1"/>
    <s v="31601014 - Acupuntura (R$ 54,56)"/>
    <s v="Acupuntura"/>
    <n v="1717771313"/>
    <s v="Finalizado (1/1)"/>
    <n v="45.830399999999997"/>
    <n v="8.7295999999999996"/>
    <n v="54.56"/>
    <s v="Sessão a Faturar"/>
    <n v="954440001449050"/>
    <n v="47740"/>
    <s v="Unidade Vieralves (ANEXO)"/>
    <n v="1717771313"/>
    <m/>
  </r>
  <r>
    <x v="8"/>
    <x v="6"/>
    <s v="Ladyane Moreno Rosa de Almeida"/>
    <s v="Feminino"/>
    <x v="6"/>
    <x v="1"/>
    <s v="31601014 - Acupuntura (R$ 51,33)"/>
    <s v="Acupuntura"/>
    <n v="172002"/>
    <s v="Finalizado (3/3)"/>
    <n v="43.117199999999997"/>
    <n v="8.2127999999999997"/>
    <n v="51.33"/>
    <s v="Sessão a Faturar"/>
    <s v="56788888487957080014"/>
    <n v="56246"/>
    <s v="Unidade Vieralves (ANEXO)"/>
    <n v="172002"/>
    <m/>
  </r>
  <r>
    <x v="8"/>
    <x v="17"/>
    <s v="Tadeu Sierpinski Neto"/>
    <s v="Masculino"/>
    <x v="6"/>
    <x v="1"/>
    <s v="31601014 - Acupuntura (R$ 51,33)"/>
    <s v="Acupuntura"/>
    <m/>
    <s v="Finalizado (1/4)"/>
    <n v="43.117199999999997"/>
    <n v="8.2127999999999997"/>
    <n v="51.33"/>
    <s v="Sessão a Faturar"/>
    <s v="55788888491919510013"/>
    <n v="59745"/>
    <s v="Unidade Vieralves (ANEXO)"/>
    <m/>
    <m/>
  </r>
  <r>
    <x v="8"/>
    <x v="17"/>
    <s v="Lidia Teresa Monteiro Mendes"/>
    <s v="Feminino"/>
    <x v="6"/>
    <x v="1"/>
    <s v="31601014 - Acupuntura (R$ 51,33)"/>
    <s v="Acupuntura"/>
    <n v="172204"/>
    <s v="Finalizado (4/4)"/>
    <n v="43.117199999999997"/>
    <n v="8.2127999999999997"/>
    <n v="51.33"/>
    <s v="Sessão a Faturar"/>
    <s v="54588888004872480010"/>
    <n v="37147"/>
    <s v="Unidade Vieralves (ANEXO)"/>
    <n v="172204"/>
    <m/>
  </r>
  <r>
    <x v="8"/>
    <x v="10"/>
    <s v="Manoel Arcangelo Ribeiro Tavares"/>
    <s v="Masculino"/>
    <x v="6"/>
    <x v="1"/>
    <s v="31601014 - Acupuntura (R$ 51,33)"/>
    <s v="Acupuntura"/>
    <n v="172353"/>
    <s v="Finalizado (2/4)"/>
    <n v="43.117199999999997"/>
    <n v="8.2127999999999997"/>
    <n v="51.33"/>
    <s v="Sessão a Faturar"/>
    <s v="54588888011540360016"/>
    <n v="19664"/>
    <s v="Unidade Vieralves (ANEXO)"/>
    <n v="172353"/>
    <m/>
  </r>
  <r>
    <x v="8"/>
    <x v="12"/>
    <s v="Nilcilene Matias dos Santos"/>
    <s v="Masculino"/>
    <x v="6"/>
    <x v="1"/>
    <s v="31601014 - Acupuntura (R$ 51,33)"/>
    <s v="Acupuntura"/>
    <n v="172661"/>
    <s v="Finalizado (1/1)"/>
    <n v="43.117199999999997"/>
    <n v="8.2127999999999997"/>
    <n v="51.33"/>
    <s v="Sessão a Faturar"/>
    <s v="54588888490019950019"/>
    <n v="49908"/>
    <s v="Unidade Vieralves (ANEXO)"/>
    <n v="172661"/>
    <m/>
  </r>
  <r>
    <x v="8"/>
    <x v="12"/>
    <s v="Hugo Bomfim da Silva"/>
    <s v="Masculino"/>
    <x v="6"/>
    <x v="1"/>
    <s v="31601014 - Acupuntura (R$ 51,33)"/>
    <s v="Acupuntura"/>
    <n v="172333"/>
    <s v="Finalizado (4/4)"/>
    <n v="43.117199999999997"/>
    <n v="8.2127999999999997"/>
    <n v="51.33"/>
    <s v="Sessão a Faturar"/>
    <s v="56788888021641330012"/>
    <n v="59681"/>
    <s v="Unidade Vieralves (ANEXO)"/>
    <n v="172333"/>
    <m/>
  </r>
  <r>
    <x v="8"/>
    <x v="12"/>
    <s v="Ayumi de Senna Silva"/>
    <s v="Feminino"/>
    <x v="6"/>
    <x v="1"/>
    <s v="31601014 - Acupuntura (R$ 51,33)"/>
    <s v="Acupuntura"/>
    <n v="171543"/>
    <s v="Finalizado (2/4)"/>
    <n v="43.117199999999997"/>
    <n v="8.2127999999999997"/>
    <n v="51.33"/>
    <s v="Sessão a Faturar"/>
    <s v="51588888463858150017"/>
    <n v="22238"/>
    <s v="Unidade Vieralves (ANEXO)"/>
    <n v="171543"/>
    <m/>
  </r>
  <r>
    <x v="8"/>
    <x v="28"/>
    <s v="Josicleide Nunes Santos"/>
    <s v="Feminino"/>
    <x v="4"/>
    <x v="1"/>
    <s v="31601014 - Acupuntura (R$ 54,56)"/>
    <s v="Acupuntura"/>
    <n v="1711861322"/>
    <s v="Finalizado (3/4)"/>
    <n v="45.830399999999997"/>
    <n v="8.7295999999999996"/>
    <n v="54.56"/>
    <s v="Sessão a Faturar"/>
    <n v="774981001279000"/>
    <n v="20120"/>
    <s v="Unidade Vieralves (ANEXO)"/>
    <n v="1711861322"/>
    <m/>
  </r>
  <r>
    <x v="8"/>
    <x v="28"/>
    <s v="Bruna Kerolaine Praia Neves"/>
    <s v="Feminino"/>
    <x v="4"/>
    <x v="1"/>
    <s v="31601014 - Acupuntura (R$ 54,56)"/>
    <s v="Acupuntura"/>
    <n v="1716286305"/>
    <s v="Finalizado (2/5)"/>
    <n v="45.830399999999997"/>
    <n v="8.7295999999999996"/>
    <n v="54.56"/>
    <s v="Sessão a Faturar"/>
    <n v="833941000264010"/>
    <n v="51300"/>
    <s v="Unidade Vieralves (ANEXO)"/>
    <n v="1716286305"/>
    <m/>
  </r>
  <r>
    <x v="9"/>
    <x v="4"/>
    <s v="Ana Claudia Ribeiro"/>
    <s v="Feminino"/>
    <x v="7"/>
    <x v="1"/>
    <s v="Vieiralves - 6 - Avaliação de Acupuntura (R$ 200,00)"/>
    <s v="Acupuntura"/>
    <m/>
    <s v="Finalizado (1/1)"/>
    <n v="156"/>
    <n v="44"/>
    <n v="200"/>
    <s v="Pago"/>
    <n v="0"/>
    <n v="59808"/>
    <s v="Unidade Vieralves (ANEXO)"/>
    <m/>
    <m/>
  </r>
  <r>
    <x v="9"/>
    <x v="17"/>
    <s v="Rebekah de Morais Sabá"/>
    <s v="Feminino"/>
    <x v="6"/>
    <x v="1"/>
    <s v="31601014 - Acupuntura (R$ 51,33)"/>
    <s v="Acupuntura"/>
    <n v="173240"/>
    <s v="Finalizado (1/1)"/>
    <n v="43.117199999999997"/>
    <n v="8.2127999999999997"/>
    <n v="51.33"/>
    <s v="Sessão a Faturar"/>
    <s v="55788888494381330116"/>
    <n v="44109"/>
    <s v="Unidade Vieralves (ANEXO)"/>
    <n v="173240"/>
    <m/>
  </r>
  <r>
    <x v="9"/>
    <x v="17"/>
    <s v="Dayanne Torres da Silva"/>
    <s v="Feminino"/>
    <x v="6"/>
    <x v="1"/>
    <s v="31601014 - Acupuntura (R$ 51,33)"/>
    <s v="Acupuntura"/>
    <n v="171878"/>
    <s v="Finalizado (4/4)"/>
    <n v="43.117199999999997"/>
    <n v="8.2127999999999997"/>
    <n v="51.33"/>
    <s v="Sessão a Faturar"/>
    <s v="54588888021709000020"/>
    <n v="59506"/>
    <s v="Unidade Vieralves (ANEXO)"/>
    <n v="171878"/>
    <m/>
  </r>
  <r>
    <x v="9"/>
    <x v="8"/>
    <s v="Marcus Eduardo Melo Alencar"/>
    <s v="Masculino"/>
    <x v="4"/>
    <x v="1"/>
    <s v="31601014 - Acupuntura (R$ 54,56)"/>
    <s v="Acupuntura"/>
    <n v="1718290006"/>
    <s v="Finalizado (1/1)"/>
    <n v="45.830399999999997"/>
    <n v="8.7295999999999996"/>
    <n v="54.56"/>
    <s v="Sessão a Faturar"/>
    <n v="843901700019060"/>
    <n v="44110"/>
    <s v="Unidade Vieralves (ANEXO)"/>
    <n v="1718290006"/>
    <m/>
  </r>
  <r>
    <x v="9"/>
    <x v="10"/>
    <s v="Napoleão Cesar Pinheiro Ladim"/>
    <s v="Masculino"/>
    <x v="4"/>
    <x v="1"/>
    <s v="31601014 - Acupuntura (R$ 54,56)"/>
    <s v="Acupuntura"/>
    <n v="1710486476"/>
    <s v="Finalizado (3/4)"/>
    <n v="45.830399999999997"/>
    <n v="8.7295999999999996"/>
    <n v="54.56"/>
    <s v="Sessão a Faturar"/>
    <n v="837500800019000"/>
    <n v="58942"/>
    <s v="Unidade Vieralves (ANEXO)"/>
    <n v="1710486476"/>
    <m/>
  </r>
  <r>
    <x v="9"/>
    <x v="12"/>
    <s v="Caio Felipe Soares da Cruz"/>
    <s v="Masculino"/>
    <x v="4"/>
    <x v="1"/>
    <s v="31601014 - Acupuntura (R$ 54,56)"/>
    <s v="Acupuntura"/>
    <n v="1716265343"/>
    <s v="Finalizado (3/4)"/>
    <n v="45.830399999999997"/>
    <n v="8.7295999999999996"/>
    <n v="54.56"/>
    <s v="Sessão a Faturar"/>
    <n v="889414100973000"/>
    <n v="57595"/>
    <s v="Unidade Vieralves (ANEXO)"/>
    <n v="1716265343"/>
    <m/>
  </r>
  <r>
    <x v="9"/>
    <x v="12"/>
    <s v="Erlom André de Matos"/>
    <s v="Masculino"/>
    <x v="4"/>
    <x v="1"/>
    <s v="31601014 - Acupuntura (R$ 54,56)"/>
    <s v="Acupuntura"/>
    <n v="1716597707"/>
    <s v="Finalizado (2/5)"/>
    <n v="45.830399999999997"/>
    <n v="8.7295999999999996"/>
    <n v="54.56"/>
    <s v="Sessão a Faturar"/>
    <n v="893331302089010"/>
    <n v="59095"/>
    <s v="Unidade Vieralves (ANEXO)"/>
    <n v="1716597707"/>
    <m/>
  </r>
  <r>
    <x v="9"/>
    <x v="12"/>
    <s v="Edmundo dos Santos Freitas"/>
    <s v="Masculino"/>
    <x v="10"/>
    <x v="1"/>
    <s v="31601014 - Acupuntura Por Sessão (R$ 25,00)"/>
    <s v="Acupuntura"/>
    <n v="21123859"/>
    <s v="Finalizado (6/8)"/>
    <n v="21"/>
    <n v="4"/>
    <n v="25"/>
    <s v="Sessão a Faturar"/>
    <s v="00010064289222002"/>
    <n v="59546"/>
    <s v="Unidade Vieralves (ANEXO)"/>
    <n v="21123859"/>
    <m/>
  </r>
  <r>
    <x v="9"/>
    <x v="20"/>
    <s v="Paulo Cesar Silva Santiago"/>
    <s v="Masculino"/>
    <x v="4"/>
    <x v="1"/>
    <s v="31601014 - Acupuntura (R$ 54,56)"/>
    <s v="Acupuntura"/>
    <n v="1718301942"/>
    <s v="Finalizado (1/1)"/>
    <n v="45.830399999999997"/>
    <n v="8.7295999999999996"/>
    <n v="54.56"/>
    <s v="Sessão a Faturar"/>
    <n v="611168920097000"/>
    <n v="19776"/>
    <s v="Unidade Vieralves (ANEXO)"/>
    <n v="1718301942"/>
    <m/>
  </r>
  <r>
    <x v="9"/>
    <x v="20"/>
    <s v="Simone Carvalho da Silva Grijo"/>
    <s v="Feminino"/>
    <x v="5"/>
    <x v="1"/>
    <s v="31601014 - Acupuntura (R$ 90,51)"/>
    <s v="Acupuntura"/>
    <n v="78597730"/>
    <s v="Finalizado (4/10)"/>
    <n v="76.028400000000005"/>
    <n v="14.4816"/>
    <n v="90.51"/>
    <s v="Sessão a Faturar"/>
    <s v="0101072415010378"/>
    <n v="11558"/>
    <s v="Unidade Vieralves (ANEXO)"/>
    <n v="78597730"/>
    <s v="GUIA ASSINADA "/>
  </r>
  <r>
    <x v="9"/>
    <x v="20"/>
    <s v="Bruna Kerolaine Praia Neves"/>
    <s v="Feminino"/>
    <x v="4"/>
    <x v="1"/>
    <s v="31601014 - Acupuntura (R$ 54,56)"/>
    <s v="Acupuntura"/>
    <n v="1716286305"/>
    <s v="Finalizado (3/5)"/>
    <n v="45.830399999999997"/>
    <n v="8.7295999999999996"/>
    <n v="54.56"/>
    <s v="Sessão a Faturar"/>
    <n v="833941000264010"/>
    <n v="51300"/>
    <s v="Unidade Vieralves (ANEXO)"/>
    <n v="1716286305"/>
    <m/>
  </r>
  <r>
    <x v="9"/>
    <x v="28"/>
    <s v="Cristiane Portilho Nascimento Pardo"/>
    <s v="Feminino"/>
    <x v="5"/>
    <x v="1"/>
    <s v="31601014 - Acupuntura - 04/03/2026 (R$ 86,81)"/>
    <s v="Acupuntura"/>
    <n v="78598080"/>
    <s v="Finalizado (4/10)"/>
    <n v="72.920400000000001"/>
    <n v="13.8896"/>
    <n v="86.81"/>
    <s v="Sessão a Faturar"/>
    <s v="010093389000"/>
    <n v="11201"/>
    <s v="Unidade Vieralves (ANEXO)"/>
    <n v="78598080"/>
    <m/>
  </r>
  <r>
    <x v="10"/>
    <x v="4"/>
    <s v="Bruna Renata de Oliveira Carvalho"/>
    <s v="Feminino"/>
    <x v="7"/>
    <x v="1"/>
    <s v="Part Convenio - 3 - Acupuntura - Sessão (R$ 80,00)"/>
    <s v="Acupuntura"/>
    <m/>
    <s v="Finalizado (1/1)"/>
    <n v="62.4"/>
    <n v="17.600000000000001"/>
    <n v="80"/>
    <s v="Sem Lançamento"/>
    <s v="51588888494341550034"/>
    <n v="59820"/>
    <s v="Unidade Vieralves (ANEXO)"/>
    <m/>
    <m/>
  </r>
  <r>
    <x v="10"/>
    <x v="13"/>
    <s v="Rosalinda Pereira Brito"/>
    <s v="Feminino"/>
    <x v="4"/>
    <x v="1"/>
    <s v="31601014 - Acupuntura (R$ 54,56)"/>
    <s v="Acupuntura"/>
    <n v="1719036293"/>
    <s v="Finalizado (1/5)"/>
    <n v="45.830399999999997"/>
    <n v="8.7295999999999996"/>
    <n v="54.56"/>
    <s v="Sessão a Faturar"/>
    <s v="010544100907015"/>
    <n v="13886"/>
    <s v="Unidade Vieralves (ANEXO)"/>
    <n v="1719036293"/>
    <m/>
  </r>
  <r>
    <x v="10"/>
    <x v="15"/>
    <s v="Ricardo Soares Lozana"/>
    <s v="Masculino"/>
    <x v="4"/>
    <x v="1"/>
    <s v="31601014 - Acupuntura (R$ 54,56)"/>
    <s v="Acupuntura"/>
    <n v="1714084428"/>
    <s v="Finalizado (3/4)"/>
    <n v="45.830399999999997"/>
    <n v="8.7295999999999996"/>
    <n v="54.56"/>
    <s v="Sessão a Faturar"/>
    <n v="774981012963020"/>
    <n v="43591"/>
    <s v="Unidade Vieralves (ANEXO)"/>
    <n v="1714084428"/>
    <m/>
  </r>
  <r>
    <x v="10"/>
    <x v="8"/>
    <s v="Giovanna Pimentel Archanjo de Oliveira"/>
    <s v="Feminino"/>
    <x v="4"/>
    <x v="1"/>
    <s v="31601014 - Acupuntura (R$ 54,56)"/>
    <s v="Acupuntura"/>
    <n v="1716961769"/>
    <s v="Finalizado (2/5)"/>
    <n v="45.830399999999997"/>
    <n v="8.7295999999999996"/>
    <n v="54.56"/>
    <s v="Sessão a Faturar"/>
    <n v="611008290002020"/>
    <n v="56721"/>
    <s v="Unidade Vieralves (ANEXO)"/>
    <n v="1716961769"/>
    <m/>
  </r>
  <r>
    <x v="10"/>
    <x v="10"/>
    <s v="Caio Felipe Soares da Cruz"/>
    <s v="Masculino"/>
    <x v="4"/>
    <x v="1"/>
    <s v="31601014 - Acupuntura (R$ 54,56)"/>
    <s v="Acupuntura"/>
    <n v="1716265343"/>
    <s v="Finalizado (4/4)"/>
    <n v="45.830399999999997"/>
    <n v="8.7295999999999996"/>
    <n v="54.56"/>
    <s v="Sessão a Faturar"/>
    <n v="889414100973000"/>
    <n v="57595"/>
    <s v="Unidade Vieralves (ANEXO)"/>
    <n v="1716265343"/>
    <m/>
  </r>
  <r>
    <x v="10"/>
    <x v="12"/>
    <s v="Renata de Aguiar Torres"/>
    <s v="Feminino"/>
    <x v="4"/>
    <x v="1"/>
    <s v="31601014 - Acupuntura (R$ 54,56)"/>
    <s v="Acupuntura"/>
    <n v="1719172195"/>
    <s v="Finalizado (1/1)"/>
    <n v="45.830399999999997"/>
    <n v="8.7295999999999996"/>
    <n v="54.56"/>
    <s v="Sessão a Faturar"/>
    <n v="960019412893000"/>
    <n v="49038"/>
    <s v="Unidade Vieralves (ANEXO)"/>
    <n v="1719172195"/>
    <m/>
  </r>
  <r>
    <x v="10"/>
    <x v="20"/>
    <s v="Simone Carvalho da Silva Grijo"/>
    <s v="Feminino"/>
    <x v="5"/>
    <x v="1"/>
    <s v="31601014 - Acupuntura (R$ 90,51)"/>
    <s v="Acupuntura"/>
    <n v="78597730"/>
    <s v="Finalizado (5/10)"/>
    <n v="76.028400000000005"/>
    <n v="14.4816"/>
    <n v="90.51"/>
    <s v="Sessão a Faturar"/>
    <s v="0101072415010378"/>
    <n v="11558"/>
    <s v="Unidade Vieralves (ANEXO)"/>
    <n v="78597730"/>
    <s v="GUIA ASSINADA "/>
  </r>
  <r>
    <x v="10"/>
    <x v="28"/>
    <s v="Cristiane Portilho Nascimento Pardo"/>
    <s v="Feminino"/>
    <x v="5"/>
    <x v="1"/>
    <s v="31601014 - Acupuntura - 04/03/2026 (R$ 86,81)"/>
    <s v="Acupuntura"/>
    <n v="78598080"/>
    <s v="Finalizado (5/10)"/>
    <n v="72.920400000000001"/>
    <n v="13.8896"/>
    <n v="86.81"/>
    <s v="Sessão a Faturar"/>
    <s v="010093389000"/>
    <n v="11201"/>
    <s v="Unidade Vieralves (ANEXO)"/>
    <n v="78598080"/>
    <m/>
  </r>
  <r>
    <x v="11"/>
    <x v="2"/>
    <s v="Paula Bueno Maas"/>
    <s v="Feminino"/>
    <x v="5"/>
    <x v="1"/>
    <s v="31601014 - Acupuntura (R$ 90,51)"/>
    <s v="Acupuntura"/>
    <n v="80203090"/>
    <s v="Finalizado (1/5)"/>
    <n v="76.028400000000005"/>
    <n v="14.4816"/>
    <n v="90.51"/>
    <s v="Sessão a Faturar"/>
    <s v="0100928498010290"/>
    <n v="59829"/>
    <s v="Unidade Vieralves (ANEXO)"/>
    <n v="80203090"/>
    <m/>
  </r>
  <r>
    <x v="11"/>
    <x v="10"/>
    <s v="Manoel Arcangelo Ribeiro Tavares"/>
    <s v="Masculino"/>
    <x v="6"/>
    <x v="1"/>
    <s v="31601014 - Acupuntura (R$ 51,33)"/>
    <s v="Acupuntura"/>
    <n v="172353"/>
    <s v="Finalizado (3/4)"/>
    <n v="43.117199999999997"/>
    <n v="8.2127999999999997"/>
    <n v="51.33"/>
    <s v="Sessão a Faturar"/>
    <s v="54588888011540360016"/>
    <n v="19664"/>
    <s v="Unidade Vieralves (ANEXO)"/>
    <n v="172353"/>
    <m/>
  </r>
  <r>
    <x v="11"/>
    <x v="12"/>
    <s v="Edmundo dos Santos Freitas"/>
    <s v="Masculino"/>
    <x v="10"/>
    <x v="1"/>
    <s v="31601014 - Acupuntura Por Sessão (R$ 25,00)"/>
    <s v="Acupuntura"/>
    <n v="21123859"/>
    <s v="Finalizado (8/8)"/>
    <n v="21"/>
    <n v="4"/>
    <n v="25"/>
    <s v="Sessão a Faturar"/>
    <s v="00010064289222002"/>
    <n v="59546"/>
    <s v="Unidade Vieralves (ANEXO)"/>
    <n v="21123859"/>
    <m/>
  </r>
  <r>
    <x v="12"/>
    <x v="22"/>
    <s v="Maria de Nazare Frota de Oliveira"/>
    <s v="Feminino"/>
    <x v="1"/>
    <x v="2"/>
    <s v="50000160 - Fisioterapia Ortopédica (R$ 20,00), 98980327 - Taxa de Eletroterapia (Tens) (R$ 15,00)"/>
    <s v="Fisioterapia"/>
    <n v="8750113"/>
    <s v="Finalizado (8/10)"/>
    <n v="30.8"/>
    <n v="4.2"/>
    <n v="35"/>
    <s v="Sessão Faturada"/>
    <s v="0501013884910089"/>
    <n v="59237"/>
    <s v="Unidade Vieiralves"/>
    <n v="8750113"/>
    <s v="Guia assinada!"/>
  </r>
  <r>
    <x v="12"/>
    <x v="0"/>
    <s v="Suely Borges da Silva"/>
    <s v="Feminino"/>
    <x v="6"/>
    <x v="2"/>
    <s v="20103492 - Patologia Em Dois Ou Mais Membros (R$ 30,26)"/>
    <s v="Fisioterapia"/>
    <n v="169532"/>
    <s v="Não compareceu (2/5)"/>
    <n v="30.26"/>
    <n v="0"/>
    <n v="30.26"/>
    <s v="Sessão a Faturar"/>
    <s v="55788888489898650014"/>
    <n v="59150"/>
    <s v="Unidade Vieiralves"/>
    <n v="169532"/>
    <m/>
  </r>
  <r>
    <x v="12"/>
    <x v="1"/>
    <s v="Suely Borges da Silva"/>
    <s v="Feminino"/>
    <x v="6"/>
    <x v="2"/>
    <s v="31602185 - Estimulação Elétrica Transcutanea (Tens) (R$ 40,00)"/>
    <s v="Fisioterapia"/>
    <n v="169847"/>
    <s v="Não compareceu (2/5)"/>
    <n v="40"/>
    <n v="0"/>
    <n v="40"/>
    <s v="Sessão a Faturar"/>
    <s v="55788888489898650014"/>
    <n v="59150"/>
    <s v="Unidade Vieiralves"/>
    <n v="169847"/>
    <m/>
  </r>
  <r>
    <x v="12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05854680"/>
    <s v="Finalizado (1/5)"/>
    <n v="21.507200000000001"/>
    <n v="2.9327999999999999"/>
    <n v="24.44"/>
    <s v="Sessão Faturada"/>
    <n v="774063007471000"/>
    <n v="58683"/>
    <s v="Unidade Vieiralves"/>
    <n v="1705854680"/>
    <m/>
  </r>
  <r>
    <x v="12"/>
    <x v="2"/>
    <s v="Daniel de Moura Alves"/>
    <s v="Masculino"/>
    <x v="2"/>
    <x v="2"/>
    <s v="20103115 - Atividade Reflexa Cinesioterápica (R$ 20,81)"/>
    <s v="Fisioterapia"/>
    <n v="1705856972"/>
    <s v="Finalizado (1/5)"/>
    <n v="18.312799999999999"/>
    <n v="2.4971999999999999"/>
    <n v="20.81"/>
    <s v="Sessão Faturada"/>
    <n v="774063007471000"/>
    <n v="58683"/>
    <s v="Unidade Vieiralves"/>
    <n v="1705856972"/>
    <m/>
  </r>
  <r>
    <x v="12"/>
    <x v="4"/>
    <s v="Ivison Melo Nunes"/>
    <s v="Masculino"/>
    <x v="2"/>
    <x v="2"/>
    <s v="50000144 - Avaliação de Fisioterapia (R$ 51,42)"/>
    <s v="Fisioterapia"/>
    <n v="1705837769"/>
    <s v="Finalizado (1/1)"/>
    <n v="46.277999999999999"/>
    <n v="5.1420000000000003"/>
    <n v="51.42"/>
    <s v="Sessão Faturada"/>
    <n v="774063009652000"/>
    <n v="59417"/>
    <s v="Unidade Vieiralves"/>
    <n v="1705837769"/>
    <m/>
  </r>
  <r>
    <x v="12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1/10)"/>
    <n v="30.8"/>
    <n v="4.2"/>
    <n v="35"/>
    <s v="Sessão Faturada"/>
    <s v="0501012567250102"/>
    <n v="59272"/>
    <s v="Unidade Vieiralves"/>
    <n v="9086970"/>
    <m/>
  </r>
  <r>
    <x v="12"/>
    <x v="29"/>
    <s v="Ivison Melo Nunes"/>
    <s v="Masculino"/>
    <x v="2"/>
    <x v="2"/>
    <s v="20103492 - Fisioterapia - Patologia Em Dois Ou Mais Membros (R$ 14,83)"/>
    <s v="Fisioterapia"/>
    <n v="1705839551"/>
    <s v="Finalizado (1/3)"/>
    <n v="13.0504"/>
    <n v="1.7796000000000001"/>
    <n v="14.83"/>
    <s v="Sessão Faturada"/>
    <n v="774063009652000"/>
    <n v="59417"/>
    <s v="Unidade Vieiralves"/>
    <n v="1705839551"/>
    <m/>
  </r>
  <r>
    <x v="12"/>
    <x v="30"/>
    <s v="Ivison Melo Nunes"/>
    <s v="Masculino"/>
    <x v="2"/>
    <x v="2"/>
    <s v="20103115 - Atividade Reflexa Cinesioterápica (R$ 20,81)"/>
    <s v="Fisioterapia"/>
    <n v="1705840309"/>
    <s v="Finalizado (1/3)"/>
    <n v="18.312799999999999"/>
    <n v="2.4971999999999999"/>
    <n v="20.81"/>
    <s v="Sessão Faturada"/>
    <n v="774063009652000"/>
    <n v="59417"/>
    <s v="Unidade Vieiralves"/>
    <n v="1705840309"/>
    <m/>
  </r>
  <r>
    <x v="12"/>
    <x v="13"/>
    <s v="Ivagna Maria Cantanhede Brandão"/>
    <s v="Feminino"/>
    <x v="1"/>
    <x v="2"/>
    <s v="50000160 - Fisioterapia Ortopédica (R$ 20,00), 98980327 - Taxa de Eletroterapia (Tens) (R$ 15,00)"/>
    <s v="Fisioterapia"/>
    <n v="8995441"/>
    <s v="Não compareceu (4/10)"/>
    <n v="35"/>
    <n v="0"/>
    <n v="35"/>
    <s v="Sessão Faturada"/>
    <n v="1901012995210000"/>
    <n v="59129"/>
    <s v="Unidade Vieiralves"/>
    <n v="8995441"/>
    <m/>
  </r>
  <r>
    <x v="12"/>
    <x v="6"/>
    <s v="Valério Ladeira Luniere"/>
    <s v="Masculino"/>
    <x v="1"/>
    <x v="2"/>
    <s v="50000160 - Fisioterapia Ortopédica (R$ 20,00), 98980327 - Taxa de Eletroterapia (Tens) (R$ 15,00)"/>
    <s v="Fisioterapia"/>
    <n v="8942286"/>
    <s v="Finalizado (5/10)"/>
    <n v="30.8"/>
    <n v="4.2"/>
    <n v="35"/>
    <s v="Sessão Faturada"/>
    <s v="0901013476020085"/>
    <n v="4590"/>
    <s v="Unidade Vieiralves"/>
    <n v="8942286"/>
    <m/>
  </r>
  <r>
    <x v="12"/>
    <x v="6"/>
    <s v="Felipe Lunieri dos Santos"/>
    <s v="Masculino"/>
    <x v="2"/>
    <x v="2"/>
    <s v="20103484 - Fisioterapia - Patologia Em Um Membro (R$ 12,22)"/>
    <s v="Fisioterapia"/>
    <n v="1701446726"/>
    <s v="Finalizado (5/5)"/>
    <n v="10.7536"/>
    <n v="1.4663999999999999"/>
    <n v="12.22"/>
    <s v="Sessão Faturada"/>
    <n v="774642009164010"/>
    <n v="43924"/>
    <s v="Unidade Vieiralves"/>
    <n v="1701446726"/>
    <m/>
  </r>
  <r>
    <x v="12"/>
    <x v="6"/>
    <s v="Felipe Lunieri dos Santos"/>
    <s v="Masculino"/>
    <x v="2"/>
    <x v="2"/>
    <s v="20103115 - Atividade Reflexa Cinesioterápica (R$ 20,81)"/>
    <s v="Fisioterapia"/>
    <n v="1701448005"/>
    <s v="Finalizado (5/5)"/>
    <n v="18.312799999999999"/>
    <n v="2.4971999999999999"/>
    <n v="20.81"/>
    <s v="Sessão Faturada"/>
    <n v="774642009164010"/>
    <n v="43924"/>
    <s v="Unidade Vieiralves"/>
    <n v="1701448005"/>
    <m/>
  </r>
  <r>
    <x v="12"/>
    <x v="15"/>
    <s v="Larissa dos Santos Lima"/>
    <s v="Feminino"/>
    <x v="1"/>
    <x v="2"/>
    <s v="50000160 - Fisioterapia Ortopédica (R$ 20,00), 98980327 - Taxa de Eletroterapia (Tens) (R$ 15,00)"/>
    <s v="Fisioterapia"/>
    <n v="8747212"/>
    <s v="Finalizado (10/10)"/>
    <n v="30.8"/>
    <n v="4.2"/>
    <n v="35"/>
    <s v="Sessão Faturada"/>
    <n v="1101013497270200"/>
    <n v="59317"/>
    <s v="Unidade Vieiralves"/>
    <n v="8747212"/>
    <m/>
  </r>
  <r>
    <x v="12"/>
    <x v="17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3/9)"/>
    <n v="26.1008"/>
    <n v="3.5592000000000001"/>
    <n v="29.66"/>
    <s v="Sessão Faturada"/>
    <n v="775216013765020"/>
    <n v="59283"/>
    <s v="Unidade Vieiralves"/>
    <n v="1703978801"/>
    <m/>
  </r>
  <r>
    <x v="12"/>
    <x v="17"/>
    <s v="Alcirene Ferreira de Souza"/>
    <s v="Feminino"/>
    <x v="2"/>
    <x v="2"/>
    <s v="20103115 - Atividade Reflexa Cinesioterápica (R$ 20,81)"/>
    <s v="Fisioterapia"/>
    <n v="1702855101"/>
    <s v="Finalizado (5/5)"/>
    <n v="18.312799999999999"/>
    <n v="2.4971999999999999"/>
    <n v="20.81"/>
    <s v="Sessão Faturada"/>
    <n v="892201300027010"/>
    <n v="20762"/>
    <s v="Unidade Vieiralves"/>
    <n v="1702855101"/>
    <m/>
  </r>
  <r>
    <x v="12"/>
    <x v="17"/>
    <s v="Alcirene Ferreira de Souza"/>
    <s v="Feminino"/>
    <x v="2"/>
    <x v="2"/>
    <s v="20103514 - Fisioterapia - Patologia Em Diferentes Segmentos da Coluna (R$ 14,83)"/>
    <s v="Fisioterapia"/>
    <n v="1702853854"/>
    <s v="Finalizado (5/5)"/>
    <n v="13.0504"/>
    <n v="1.7796000000000001"/>
    <n v="14.83"/>
    <s v="Sessão Faturada"/>
    <n v="892201300027010"/>
    <n v="20762"/>
    <s v="Unidade Vieiralves"/>
    <n v="1702853854"/>
    <m/>
  </r>
  <r>
    <x v="12"/>
    <x v="17"/>
    <s v="Francisco Lima da Silva"/>
    <s v="Masculino"/>
    <x v="2"/>
    <x v="2"/>
    <s v="20103492 - Fisioterapia - Patologia Em Dois Ou Mais Membros (R$ 14,83)"/>
    <s v="Fisioterapia"/>
    <n v="1704442222"/>
    <s v="Finalizado (3/5)"/>
    <n v="13.0504"/>
    <n v="1.7796000000000001"/>
    <n v="14.83"/>
    <s v="Sessão Faturada"/>
    <n v="774981007706010"/>
    <n v="52427"/>
    <s v="Unidade Vieiralves"/>
    <n v="1704442222"/>
    <m/>
  </r>
  <r>
    <x v="12"/>
    <x v="18"/>
    <s v="Simone Gouveia Góes"/>
    <s v="Feminino"/>
    <x v="2"/>
    <x v="2"/>
    <s v="20103115 - Atividade Reflexa Cinesioterápica (R$ 20,81)"/>
    <s v="Fisioterapia"/>
    <n v="1703979813"/>
    <s v="Finalizado (3/5)"/>
    <n v="18.312799999999999"/>
    <n v="2.4971999999999999"/>
    <n v="20.81"/>
    <s v="Sessão Faturada"/>
    <n v="775216013765020"/>
    <n v="59283"/>
    <s v="Unidade Vieiralves"/>
    <n v="1703979813"/>
    <m/>
  </r>
  <r>
    <x v="12"/>
    <x v="18"/>
    <s v="Francisco Lima da Silva"/>
    <s v="Masculino"/>
    <x v="2"/>
    <x v="2"/>
    <s v="20103115 - Atividade Reflexa Cinesioterápica (R$ 20,81)"/>
    <s v="Fisioterapia"/>
    <n v="1704443587"/>
    <s v="Finalizado (3/5)"/>
    <n v="18.312799999999999"/>
    <n v="2.4971999999999999"/>
    <n v="20.81"/>
    <s v="Sessão Faturada"/>
    <n v="774981007706010"/>
    <n v="52427"/>
    <s v="Unidade Vieiralves"/>
    <n v="1704443587"/>
    <m/>
  </r>
  <r>
    <x v="12"/>
    <x v="8"/>
    <s v="Franciane de Souza Gomes"/>
    <s v="Feminino"/>
    <x v="2"/>
    <x v="2"/>
    <s v="20103492 - Fisioterapia - Patologia Em Dois Ou Mais Membros (R$ 14,83)"/>
    <s v="Fisioterapia"/>
    <n v="1704932630"/>
    <s v="Finalizado (3/5)"/>
    <n v="13.0504"/>
    <n v="1.7796000000000001"/>
    <n v="14.83"/>
    <s v="Sessão Faturada"/>
    <n v="973700009598000"/>
    <n v="16642"/>
    <s v="Unidade Vieiralves"/>
    <n v="1704932630"/>
    <m/>
  </r>
  <r>
    <x v="12"/>
    <x v="8"/>
    <s v="Paulo Jose Monteiro da Silva"/>
    <s v="Masculino"/>
    <x v="2"/>
    <x v="2"/>
    <s v="20103484 - Fisioterapia - Patologia Em Um Membro (R$ 12,22)"/>
    <s v="Fisioterapia"/>
    <n v="1704960780"/>
    <s v="Finalizado (2/5)"/>
    <n v="10.7536"/>
    <n v="1.4663999999999999"/>
    <n v="12.22"/>
    <s v="Sessão Faturada"/>
    <n v="610421660031000"/>
    <n v="18016"/>
    <s v="Unidade Vieiralves"/>
    <n v="1704960780"/>
    <m/>
  </r>
  <r>
    <x v="12"/>
    <x v="8"/>
    <s v="Jonathan Campos Damasceno"/>
    <s v="Feminino"/>
    <x v="2"/>
    <x v="2"/>
    <s v="20103484 - Fisioterapia - Patologia Em Um Membro (R$ 12,22), 20103506 - Fisioterapia - Patologia Em Um Segmento da Coluna (R$ 12,22)"/>
    <s v="Fisioterapia"/>
    <n v="1705976856"/>
    <s v="Finalizado (1/3)"/>
    <n v="21.507200000000001"/>
    <n v="2.9327999999999999"/>
    <n v="24.44"/>
    <s v="Sessão Faturada"/>
    <n v="771015058220000"/>
    <n v="38316"/>
    <s v="Unidade Vieiralves"/>
    <n v="1705976856"/>
    <m/>
  </r>
  <r>
    <x v="12"/>
    <x v="9"/>
    <s v="Jonathan Campos Damasceno"/>
    <s v="Feminino"/>
    <x v="2"/>
    <x v="2"/>
    <s v="20103115 - Atividade Reflexa Cinesioterápica (R$ 20,81)"/>
    <s v="Fisioterapia"/>
    <n v="1705962528"/>
    <s v="Finalizado (1/3)"/>
    <n v="18.312799999999999"/>
    <n v="2.4971999999999999"/>
    <n v="20.81"/>
    <s v="Sessão Faturada"/>
    <n v="771015058220000"/>
    <n v="38316"/>
    <s v="Unidade Vieiralves"/>
    <n v="1705962528"/>
    <m/>
  </r>
  <r>
    <x v="12"/>
    <x v="9"/>
    <s v="Franciane de Souza Gomes"/>
    <s v="Feminino"/>
    <x v="2"/>
    <x v="2"/>
    <s v="20103115 - Atividade Reflexa Cinesioterápica (R$ 20,81)"/>
    <s v="Fisioterapia"/>
    <n v="1704933473"/>
    <s v="Finalizado (3/5)"/>
    <n v="18.312799999999999"/>
    <n v="2.4971999999999999"/>
    <n v="20.81"/>
    <s v="Sessão Faturada"/>
    <n v="973700009598000"/>
    <n v="16642"/>
    <s v="Unidade Vieiralves"/>
    <n v="1704933473"/>
    <m/>
  </r>
  <r>
    <x v="12"/>
    <x v="10"/>
    <s v="Willian Jean Silva Colares"/>
    <s v="Masculino"/>
    <x v="2"/>
    <x v="2"/>
    <s v="20103484 - Fisioterapia - Patologia Em Um Membro (R$ 12,22)"/>
    <s v="Fisioterapia"/>
    <n v="1704495607"/>
    <s v="Finalizado (3/5)"/>
    <n v="10.7536"/>
    <n v="1.4663999999999999"/>
    <n v="12.22"/>
    <s v="Sessão Faturada"/>
    <n v="775219005800000"/>
    <n v="59277"/>
    <s v="Unidade Vieiralves"/>
    <n v="1704495607"/>
    <m/>
  </r>
  <r>
    <x v="12"/>
    <x v="10"/>
    <s v="Mcluhan Teixeira Grijo"/>
    <s v="Masculino"/>
    <x v="5"/>
    <x v="2"/>
    <s v="98860011 - Fisioterapia Complexidade 1 - 04/03/2026 (R$ 53,00)"/>
    <s v="Fisioterapia"/>
    <n v="76664020"/>
    <s v="Finalizado (2/10)"/>
    <n v="46.64"/>
    <n v="6.36"/>
    <n v="53"/>
    <s v="Sessão Faturada"/>
    <s v="0101072415000314"/>
    <n v="51264"/>
    <s v="Unidade Vieiralves"/>
    <n v="76664020"/>
    <m/>
  </r>
  <r>
    <x v="12"/>
    <x v="10"/>
    <s v="Ana Georgina Viga Lacorte"/>
    <s v="Feminino"/>
    <x v="2"/>
    <x v="2"/>
    <s v="20103492 - Fisioterapia - Patologia Em Dois Ou Mais Membros (R$ 14,83)"/>
    <s v="Fisioterapia"/>
    <n v="1703511777"/>
    <s v="Finalizado (3/5)"/>
    <n v="13.0504"/>
    <n v="1.7796000000000001"/>
    <n v="14.83"/>
    <s v="Sessão Faturada"/>
    <n v="882749100043010"/>
    <n v="50823"/>
    <s v="Unidade Vieiralves"/>
    <n v="1703511777"/>
    <m/>
  </r>
  <r>
    <x v="12"/>
    <x v="11"/>
    <s v="Mcluhan Teixeira Grijo"/>
    <s v="Masculino"/>
    <x v="5"/>
    <x v="2"/>
    <s v="31602185 - Estimulação Elétrica Transcutânea (Tens) - 04/03/2026 (R$ 120,28)"/>
    <s v="Fisioterapia"/>
    <n v="76665250"/>
    <s v="Finalizado (1/10)"/>
    <n v="105.8464"/>
    <n v="14.4336"/>
    <n v="120.28"/>
    <s v="Sessão Faturada"/>
    <s v="0101072415000314"/>
    <n v="51264"/>
    <s v="Unidade Vieiralves"/>
    <n v="76665250"/>
    <m/>
  </r>
  <r>
    <x v="12"/>
    <x v="11"/>
    <s v="Ana Georgina Viga Lacorte"/>
    <s v="Feminino"/>
    <x v="2"/>
    <x v="2"/>
    <s v="20103115 - Atividade Reflexa Cinesioterápica (R$ 20,81)"/>
    <s v="Fisioterapia"/>
    <n v="1703512061"/>
    <s v="Finalizado (3/5)"/>
    <n v="18.312799999999999"/>
    <n v="2.4971999999999999"/>
    <n v="20.81"/>
    <s v="Sessão Faturada"/>
    <n v="882749100043010"/>
    <n v="50823"/>
    <s v="Unidade Vieiralves"/>
    <n v="1703512061"/>
    <m/>
  </r>
  <r>
    <x v="12"/>
    <x v="11"/>
    <s v="Willian Jean Silva Colares"/>
    <s v="Masculino"/>
    <x v="2"/>
    <x v="2"/>
    <s v="20103115 - Atividade Reflexa Cinesioterápica (R$ 20,81)"/>
    <s v="Fisioterapia"/>
    <n v="1704495959"/>
    <s v="Finalizado (3/5)"/>
    <n v="18.312799999999999"/>
    <n v="2.4971999999999999"/>
    <n v="20.81"/>
    <s v="Sessão Faturada"/>
    <n v="775219005800000"/>
    <n v="59277"/>
    <s v="Unidade Vieiralves"/>
    <n v="1704495959"/>
    <m/>
  </r>
  <r>
    <x v="12"/>
    <x v="12"/>
    <s v="Pedro Balsini Peixoto Porto"/>
    <s v="Masculino"/>
    <x v="2"/>
    <x v="2"/>
    <s v="20103492 - Fisioterapia - Patologia Em Dois Ou Mais Membros (R$ 14,83)"/>
    <s v="Fisioterapia"/>
    <n v="1703877097"/>
    <s v="Finalizado (3/5)"/>
    <n v="13.0504"/>
    <n v="1.7796000000000001"/>
    <n v="14.83"/>
    <s v="Sessão a Faturar"/>
    <n v="893331300736020"/>
    <n v="59321"/>
    <s v="Unidade Vieiralves"/>
    <n v="1703877097"/>
    <m/>
  </r>
  <r>
    <x v="12"/>
    <x v="12"/>
    <s v="Pedro Balsini Peixoto Porto"/>
    <s v="Masculino"/>
    <x v="2"/>
    <x v="2"/>
    <s v="20103492 - Fisioterapia - Patologia Em Dois Ou Mais Membros (R$ 14,83)"/>
    <s v="Fisioterapia"/>
    <n v="1703876743"/>
    <s v="Finalizado (3/5)"/>
    <n v="13.0504"/>
    <n v="1.7796000000000001"/>
    <n v="14.83"/>
    <s v="Sessão a Faturar"/>
    <n v="893331300736020"/>
    <n v="59321"/>
    <s v="Unidade Vieiralves"/>
    <n v="1703876743"/>
    <m/>
  </r>
  <r>
    <x v="12"/>
    <x v="12"/>
    <s v="Lucas Pereira de Menezes"/>
    <m/>
    <x v="2"/>
    <x v="2"/>
    <s v="20103484 - Fisioterapia - Patologia Em Um Membro (R$ 12,22)"/>
    <s v="Fisioterapia"/>
    <n v="1705965683"/>
    <s v="Finalizado (1/2)"/>
    <n v="10.7536"/>
    <n v="1.4663999999999999"/>
    <n v="12.22"/>
    <s v="Sessão Faturada"/>
    <n v="774170003662010"/>
    <n v="53266"/>
    <s v="Unidade Vieiralves"/>
    <n v="1705965683"/>
    <m/>
  </r>
  <r>
    <x v="12"/>
    <x v="19"/>
    <s v="Lucas Pereira de Menezes"/>
    <m/>
    <x v="2"/>
    <x v="2"/>
    <s v="20103115 - Atividade Reflexa Cinesioterápica (R$ 20,81)"/>
    <s v="Fisioterapia"/>
    <n v="1705966142"/>
    <s v="Finalizado (1/2)"/>
    <n v="18.312799999999999"/>
    <n v="2.4971999999999999"/>
    <n v="20.81"/>
    <s v="Sessão Faturada"/>
    <n v="774170003662010"/>
    <n v="53266"/>
    <s v="Unidade Vieiralves"/>
    <n v="1705966142"/>
    <m/>
  </r>
  <r>
    <x v="13"/>
    <x v="22"/>
    <s v="Larissa Maciel de Souza"/>
    <m/>
    <x v="8"/>
    <x v="2"/>
    <s v="20103484 - Patologia Em Um Membro (R$ 12,22)"/>
    <s v="Fisioterapia"/>
    <n v="1701531003"/>
    <s v="Finalizado (5/5)"/>
    <n v="10.7536"/>
    <n v="1.4663999999999999"/>
    <n v="12.22"/>
    <s v="Sessão Faturada"/>
    <n v="954510161900010"/>
    <n v="59253"/>
    <s v="Unidade Vieiralves"/>
    <n v="1701531003"/>
    <m/>
  </r>
  <r>
    <x v="13"/>
    <x v="22"/>
    <s v="Jandui Diniz Araujo"/>
    <s v="Masculino"/>
    <x v="2"/>
    <x v="2"/>
    <s v="20103492 - Fisioterapia - Patologia Em Dois Ou Mais Membros (R$ 14,83)"/>
    <s v="Fisioterapia"/>
    <n v="1706378880"/>
    <s v="Finalizado (1/10)"/>
    <n v="13.0504"/>
    <n v="1.7796000000000001"/>
    <n v="14.83"/>
    <s v="Sessão Faturada"/>
    <n v="836407200035000"/>
    <n v="42187"/>
    <s v="Unidade Vieiralves"/>
    <n v="1706378880"/>
    <m/>
  </r>
  <r>
    <x v="13"/>
    <x v="22"/>
    <s v="Jandui Diniz Araujo"/>
    <s v="Masculino"/>
    <x v="2"/>
    <x v="2"/>
    <s v="50000144 - Avaliação de Fisioterapia (R$ 51,42)"/>
    <s v="Fisioterapia"/>
    <n v="1706380942"/>
    <s v="Finalizado (1/1)"/>
    <n v="46.277999999999999"/>
    <n v="5.1420000000000003"/>
    <n v="51.42"/>
    <s v="Sessão Faturada"/>
    <n v="836407200035000"/>
    <n v="42187"/>
    <s v="Unidade Vieiralves"/>
    <n v="1706380942"/>
    <m/>
  </r>
  <r>
    <x v="13"/>
    <x v="22"/>
    <s v="Jandui Diniz Araujo"/>
    <s v="Masculino"/>
    <x v="2"/>
    <x v="2"/>
    <s v="20103115 - Atividade Reflexa Cinesioterápica (R$ 20,81)"/>
    <s v="Fisioterapia"/>
    <n v="1706379513"/>
    <s v="Finalizado (1/3)"/>
    <n v="18.312799999999999"/>
    <n v="2.4971999999999999"/>
    <n v="20.81"/>
    <s v="Sessão Faturada"/>
    <n v="836407200035000"/>
    <n v="42187"/>
    <s v="Unidade Vieiralves"/>
    <n v="1706379513"/>
    <m/>
  </r>
  <r>
    <x v="13"/>
    <x v="22"/>
    <s v="Larissa Maciel de Souza"/>
    <m/>
    <x v="8"/>
    <x v="2"/>
    <s v="20103115 - Atividade Reflexa Cinesioterápica (R$ 20,81)"/>
    <s v="Fisioterapia"/>
    <n v="1701531477"/>
    <s v="Finalizado (5/5)"/>
    <n v="18.312799999999999"/>
    <n v="2.4971999999999999"/>
    <n v="20.81"/>
    <s v="Sessão Faturada"/>
    <n v="954510161900010"/>
    <n v="59253"/>
    <s v="Unidade Vieiralves"/>
    <n v="1701531477"/>
    <m/>
  </r>
  <r>
    <x v="13"/>
    <x v="0"/>
    <s v="Ivison Melo Nunes"/>
    <s v="Masculino"/>
    <x v="2"/>
    <x v="2"/>
    <s v="20103492 - Fisioterapia - Patologia Em Dois Ou Mais Membros (R$ 14,83)"/>
    <s v="Fisioterapia"/>
    <n v="1705839551"/>
    <s v="Finalizado (2/3)"/>
    <n v="13.0504"/>
    <n v="1.7796000000000001"/>
    <n v="14.83"/>
    <s v="Sessão Faturada"/>
    <n v="774063009652000"/>
    <n v="59417"/>
    <s v="Unidade Vieiralves"/>
    <n v="1705839551"/>
    <m/>
  </r>
  <r>
    <x v="13"/>
    <x v="0"/>
    <s v="Ivison Melo Nunes"/>
    <s v="Masculino"/>
    <x v="2"/>
    <x v="2"/>
    <s v="20103115 - Atividade Reflexa Cinesioterápica (R$ 20,81)"/>
    <s v="Fisioterapia"/>
    <n v="1705840309"/>
    <s v="Finalizado (2/3)"/>
    <n v="18.312799999999999"/>
    <n v="2.4971999999999999"/>
    <n v="20.81"/>
    <s v="Sessão Faturada"/>
    <n v="774063009652000"/>
    <n v="59417"/>
    <s v="Unidade Vieiralves"/>
    <n v="1705840309"/>
    <m/>
  </r>
  <r>
    <x v="13"/>
    <x v="0"/>
    <s v="Katia Rodrigues Freitas"/>
    <s v="Feminino"/>
    <x v="6"/>
    <x v="2"/>
    <s v="20103492 - Patologia Em Dois Ou Mais Membros (R$ 30,26), 20103506 - Patologia Em Um Segmento da Coluna (R$ 14,16)"/>
    <s v="Fisioterapia"/>
    <n v="167764"/>
    <s v="Finalizado (5/5)"/>
    <n v="39.089599999999997"/>
    <n v="5.3304"/>
    <n v="44.42"/>
    <s v="Sessão Faturada"/>
    <s v="54588888004873140018"/>
    <n v="58935"/>
    <s v="Unidade Vieiralves"/>
    <n v="167764"/>
    <m/>
  </r>
  <r>
    <x v="13"/>
    <x v="1"/>
    <s v="Katia Rodrigues Freitas"/>
    <s v="Feminino"/>
    <x v="6"/>
    <x v="2"/>
    <s v="31602185 - Estimulação Elétrica Transcutanea (Tens) (R$ 40,00)"/>
    <s v="Fisioterapia"/>
    <n v="168363"/>
    <s v="Finalizado (5/5)"/>
    <n v="35.200000000000003"/>
    <n v="4.8"/>
    <n v="40"/>
    <s v="Sessão Faturada"/>
    <s v="54588888004873140018"/>
    <n v="58935"/>
    <s v="Unidade Vieiralves"/>
    <n v="168363"/>
    <m/>
  </r>
  <r>
    <x v="13"/>
    <x v="4"/>
    <s v="Fernanda Santos Fachinello"/>
    <s v="Feminino"/>
    <x v="1"/>
    <x v="2"/>
    <s v="50000160 - Fisioterapia Ortopédica (R$ 20,00), 98980327 - Taxa de Eletroterapia (Tens) (R$ 15,00)"/>
    <s v="Fisioterapia"/>
    <n v="8846294"/>
    <s v="Finalizado (10/10)"/>
    <n v="30.8"/>
    <n v="4.2"/>
    <n v="35"/>
    <s v="Sessão Faturada"/>
    <n v="1301014095850300"/>
    <n v="21927"/>
    <s v="Unidade Vieiralves"/>
    <n v="8846294"/>
    <m/>
  </r>
  <r>
    <x v="13"/>
    <x v="4"/>
    <s v="Anna Danielle Oliveira dos Santos Cardozo"/>
    <s v="Feminino"/>
    <x v="2"/>
    <x v="2"/>
    <s v="50000144 - Avaliação de Fisioterapia (R$ 51,42)"/>
    <s v="Fisioterapia"/>
    <n v="1706455703"/>
    <s v="Finalizado (1/1)"/>
    <n v="46.277999999999999"/>
    <n v="5.1420000000000003"/>
    <n v="51.42"/>
    <s v="Sessão Faturada"/>
    <n v="830416700230010"/>
    <n v="57193"/>
    <s v="Unidade Vieiralves"/>
    <n v="1706455703"/>
    <m/>
  </r>
  <r>
    <x v="13"/>
    <x v="4"/>
    <s v="Larissa dos Santos Lima"/>
    <s v="Feminino"/>
    <x v="1"/>
    <x v="2"/>
    <s v="50000160 - Fisioterapia Ortopédica (R$ 20,00), 98980327 - Taxa de Eletroterapia (Tens) (R$ 15,00)"/>
    <s v="Fisioterapia"/>
    <n v="9118187"/>
    <s v="Finalizado (1/3)"/>
    <n v="30.8"/>
    <n v="4.2"/>
    <n v="35"/>
    <s v="Sessão Faturada"/>
    <n v="1101013497270200"/>
    <n v="59317"/>
    <s v="Unidade Vieiralves"/>
    <n v="9118187"/>
    <m/>
  </r>
  <r>
    <x v="13"/>
    <x v="4"/>
    <s v="Larissa Bastos Nunes"/>
    <s v="Feminino"/>
    <x v="2"/>
    <x v="2"/>
    <s v="20103484 - Fisioterapia - Patologia Em Um Membro (R$ 12,22)"/>
    <s v="Fisioterapia"/>
    <n v="1705186719"/>
    <s v="Finalizado (2/5)"/>
    <n v="10.7536"/>
    <n v="1.4663999999999999"/>
    <n v="12.22"/>
    <s v="Sessão Faturada"/>
    <n v="610821790001010"/>
    <n v="59312"/>
    <s v="Unidade Vieiralves"/>
    <n v="1705186719"/>
    <m/>
  </r>
  <r>
    <x v="13"/>
    <x v="4"/>
    <s v="Joziane Lira dos Santos Pereira"/>
    <s v="Feminino"/>
    <x v="14"/>
    <x v="2"/>
    <s v="20103492 - Fisioterapia - Patologia Em Dois Ou Mais Membros (R$ 14,83)"/>
    <s v="Fisioterapia"/>
    <n v="1705185849"/>
    <s v="Finalizado (2/5)"/>
    <n v="13.0504"/>
    <n v="1.7796000000000001"/>
    <n v="14.83"/>
    <s v="Sessão a Faturar"/>
    <n v="954600002739000"/>
    <n v="35514"/>
    <s v="Unidade Vieiralves"/>
    <n v="1705185849"/>
    <m/>
  </r>
  <r>
    <x v="13"/>
    <x v="4"/>
    <s v="Anna Danielle Oliveira dos Santos Cardozo"/>
    <s v="Feminino"/>
    <x v="2"/>
    <x v="2"/>
    <s v="20103492 - Fisioterapia - Patologia Em Dois Ou Mais Membros (R$ 14,83)"/>
    <s v="Fisioterapia"/>
    <n v="1706457872"/>
    <s v="Finalizado (1/10)"/>
    <n v="13.0504"/>
    <n v="1.7796000000000001"/>
    <n v="14.83"/>
    <s v="Sessão a Faturar"/>
    <n v="830416700230010"/>
    <n v="57193"/>
    <s v="Unidade Vieiralves"/>
    <n v="1706457872"/>
    <m/>
  </r>
  <r>
    <x v="13"/>
    <x v="4"/>
    <s v="Anna Danielle Oliveira dos Santos Cardozo"/>
    <s v="Feminino"/>
    <x v="2"/>
    <x v="2"/>
    <s v="20103115 - Atividade Reflexa Cinesioterápica (R$ 20,81)"/>
    <s v="Fisioterapia"/>
    <n v="1706458614"/>
    <s v="Finalizado (1/3)"/>
    <n v="18.312799999999999"/>
    <n v="2.4971999999999999"/>
    <n v="20.81"/>
    <s v="Sessão Faturada"/>
    <n v="830416700230010"/>
    <n v="57193"/>
    <s v="Unidade Vieiralves"/>
    <n v="1706458614"/>
    <m/>
  </r>
  <r>
    <x v="13"/>
    <x v="5"/>
    <s v="Joziane Lira dos Santos Pereira"/>
    <s v="Feminino"/>
    <x v="8"/>
    <x v="2"/>
    <s v="20103115 - Atividade Reflexa Cinesioterápica (R$ 20,81)"/>
    <s v="Fisioterapia"/>
    <n v="1705187592"/>
    <s v="Finalizado (2/5)"/>
    <n v="18.312799999999999"/>
    <n v="2.4971999999999999"/>
    <n v="20.81"/>
    <s v="Sessão Faturada"/>
    <n v="954600002739000"/>
    <n v="35514"/>
    <s v="Unidade Vieiralves"/>
    <n v="1705187592"/>
    <m/>
  </r>
  <r>
    <x v="13"/>
    <x v="13"/>
    <s v="Ivagna Maria Cantanhede Brandão"/>
    <s v="Feminino"/>
    <x v="1"/>
    <x v="2"/>
    <s v="50000160 - Fisioterapia Ortopédica (R$ 20,00), 98980327 - Taxa de Eletroterapia (Tens) (R$ 15,00)"/>
    <s v="Fisioterapia"/>
    <n v="8995441"/>
    <s v="Finalizado (5/10)"/>
    <n v="30.8"/>
    <n v="4.2"/>
    <n v="35"/>
    <s v="Sessão Faturada"/>
    <n v="1901012995210000"/>
    <n v="59129"/>
    <s v="Unidade Vieiralves"/>
    <n v="8995441"/>
    <m/>
  </r>
  <r>
    <x v="13"/>
    <x v="13"/>
    <s v="Ricardo Marques de Abreu"/>
    <s v="Masculino"/>
    <x v="1"/>
    <x v="2"/>
    <s v="50000160 - Fisioterapia Ortopédica (R$ 20,00), 98980327 - Taxa de Eletroterapia (Tens) (R$ 15,00)"/>
    <s v="Fisioterapia"/>
    <n v="8922131"/>
    <s v="Finalizado (7/10)"/>
    <n v="30.8"/>
    <n v="4.2"/>
    <n v="35"/>
    <s v="Sessão Faturada"/>
    <n v="2001013216580000"/>
    <n v="43902"/>
    <s v="Unidade Vieiralves"/>
    <n v="8922131"/>
    <m/>
  </r>
  <r>
    <x v="13"/>
    <x v="6"/>
    <s v="Isadora Vitorino Grana"/>
    <s v="Feminino"/>
    <x v="13"/>
    <x v="2"/>
    <s v="50000144 - Avaliação de Fisioterapia (R$ 25,89)"/>
    <s v="Fisioterapia"/>
    <n v="13581285"/>
    <s v="Finalizado (1/1)"/>
    <n v="23.300999999999998"/>
    <n v="2.589"/>
    <n v="25.89"/>
    <s v="Sessão Faturada"/>
    <s v="00010300035963020"/>
    <n v="56556"/>
    <s v="Unidade Vieiralves"/>
    <n v="13581285"/>
    <m/>
  </r>
  <r>
    <x v="13"/>
    <x v="6"/>
    <s v="Isadora Vitorino Grana"/>
    <s v="Feminino"/>
    <x v="13"/>
    <x v="2"/>
    <s v="20103514 - Patologia Em Diferentes Segmentos da Coluna (R$ 41,45)"/>
    <s v="Fisioterapia"/>
    <n v="13593606"/>
    <s v="Finalizado (1/10)"/>
    <n v="36.475999999999999"/>
    <n v="4.9740000000000002"/>
    <n v="41.45"/>
    <s v="Sessão Faturada"/>
    <s v="00010300035963020"/>
    <n v="56556"/>
    <s v="Unidade Vieiralves"/>
    <n v="13593606"/>
    <m/>
  </r>
  <r>
    <x v="13"/>
    <x v="15"/>
    <s v="Nauber de Castro Guimarães"/>
    <s v="Masculino"/>
    <x v="1"/>
    <x v="2"/>
    <s v="50000160 - Fisioterapia Ortopédica (R$ 20,00), 98980327 - Taxa de Eletroterapia (Tens) (R$ 15,00)"/>
    <s v="Fisioterapia"/>
    <n v="8712526"/>
    <s v="Finalizado (8/9)"/>
    <n v="30.8"/>
    <n v="4.2"/>
    <n v="35"/>
    <s v="Sessão Faturada"/>
    <n v="1901012887750100"/>
    <n v="44369"/>
    <s v="Unidade Vieiralves"/>
    <n v="8712526"/>
    <m/>
  </r>
  <r>
    <x v="13"/>
    <x v="17"/>
    <s v="Anthony Jesus Farias Villarroel"/>
    <s v="Masculino"/>
    <x v="8"/>
    <x v="2"/>
    <s v="20103484 - Patologia Em Um Membro (R$ 12,22)"/>
    <s v="Fisioterapia"/>
    <n v="1706507316"/>
    <s v="Finalizado (1/5)"/>
    <n v="10.7536"/>
    <n v="1.4663999999999999"/>
    <n v="12.22"/>
    <s v="Sessão Faturada"/>
    <n v="954600016969020"/>
    <n v="53566"/>
    <s v="Unidade Vieiralves"/>
    <n v="1706507316"/>
    <m/>
  </r>
  <r>
    <x v="13"/>
    <x v="17"/>
    <s v="Anthony Jesus Farias Villarroel"/>
    <s v="Masculino"/>
    <x v="8"/>
    <x v="2"/>
    <s v="20103115 - Atividade Reflexa Cinesioterápica (R$ 20,81)"/>
    <s v="Fisioterapia"/>
    <n v="1706508148"/>
    <s v="Finalizado (1/4)"/>
    <n v="18.312799999999999"/>
    <n v="2.4971999999999999"/>
    <n v="20.81"/>
    <s v="Sessão Faturada"/>
    <n v="954600016969020"/>
    <n v="53566"/>
    <s v="Unidade Vieiralves"/>
    <n v="1706508148"/>
    <m/>
  </r>
  <r>
    <x v="13"/>
    <x v="8"/>
    <s v="Paulo Jose Monteiro da Silva"/>
    <s v="Masculino"/>
    <x v="2"/>
    <x v="2"/>
    <s v="20103484 - Fisioterapia - Patologia Em Um Membro (R$ 12,22)"/>
    <s v="Fisioterapia"/>
    <n v="1704960780"/>
    <s v="Finalizado (3/5)"/>
    <n v="10.7536"/>
    <n v="1.4663999999999999"/>
    <n v="12.22"/>
    <s v="Sessão Faturada"/>
    <n v="610421660031000"/>
    <n v="18016"/>
    <s v="Unidade Vieiralves"/>
    <n v="1704960780"/>
    <m/>
  </r>
  <r>
    <x v="13"/>
    <x v="8"/>
    <s v="James Alcantara de Lima"/>
    <s v="Masculino"/>
    <x v="6"/>
    <x v="2"/>
    <s v="20103492 - Patologia Em Dois Ou Mais Membros (R$ 30,26), 20103514 - Patologia Em Dois Ou Mais Segmentos da Coluna (R$ 32,82)"/>
    <s v="Fisioterapia"/>
    <n v="168823"/>
    <s v="Finalizado (5/5)"/>
    <n v="55.510399999999997"/>
    <n v="7.5696000000000003"/>
    <n v="63.08"/>
    <s v="Sessão Faturada"/>
    <s v="54588888018315590015"/>
    <n v="59229"/>
    <s v="Unidade Vieiralves"/>
    <n v="168823"/>
    <m/>
  </r>
  <r>
    <x v="13"/>
    <x v="10"/>
    <s v="Jonathan Campos Damasceno"/>
    <s v="Feminino"/>
    <x v="2"/>
    <x v="2"/>
    <s v="20103115 - Atividade Reflexa Cinesioterápica (R$ 20,81)"/>
    <s v="Fisioterapia"/>
    <n v="1705962528"/>
    <s v="Finalizado (2/3)"/>
    <n v="18.312799999999999"/>
    <n v="2.4971999999999999"/>
    <n v="20.81"/>
    <s v="Sessão Faturada"/>
    <n v="771015058220000"/>
    <n v="38316"/>
    <s v="Unidade Vieiralves"/>
    <n v="1705962528"/>
    <m/>
  </r>
  <r>
    <x v="13"/>
    <x v="10"/>
    <s v="Ana Cristina Belarmino de Oliveira"/>
    <s v="Feminino"/>
    <x v="15"/>
    <x v="2"/>
    <s v="50000144 - Avaliação de Fisioterapia (R$ 40,00)"/>
    <s v="Fisioterapia"/>
    <n v="238463688"/>
    <s v="Finalizado (1/1)"/>
    <n v="36"/>
    <n v="4"/>
    <n v="40"/>
    <s v="Sessão a Faturar"/>
    <s v="012616100102004"/>
    <n v="59505"/>
    <s v="Unidade Vieiralves"/>
    <n v="238463688"/>
    <m/>
  </r>
  <r>
    <x v="13"/>
    <x v="10"/>
    <s v="Elen Cristina Ferreira Botelho"/>
    <s v="Feminino"/>
    <x v="8"/>
    <x v="2"/>
    <s v="20103484 - Patologia Em Um Membro (R$ 12,22)"/>
    <s v="Fisioterapia"/>
    <n v="1703991493"/>
    <s v="Finalizado (4/5)"/>
    <n v="10.7536"/>
    <n v="1.4663999999999999"/>
    <n v="12.22"/>
    <s v="Sessão Faturada"/>
    <n v="954440000647010"/>
    <n v="15871"/>
    <s v="Unidade Vieiralves"/>
    <n v="1703991493"/>
    <m/>
  </r>
  <r>
    <x v="13"/>
    <x v="11"/>
    <s v="Elen Cristina Ferreira Botelho"/>
    <s v="Feminino"/>
    <x v="8"/>
    <x v="2"/>
    <s v="20103115 - Atividade Reflexa Cinesioterápica (R$ 20,81)"/>
    <s v="Fisioterapia"/>
    <n v="1703992091"/>
    <s v="Finalizado (4/5)"/>
    <n v="18.312799999999999"/>
    <n v="2.4971999999999999"/>
    <n v="20.81"/>
    <s v="Sessão Faturada"/>
    <n v="954440000647010"/>
    <n v="15871"/>
    <s v="Unidade Vieiralves"/>
    <n v="1703992091"/>
    <m/>
  </r>
  <r>
    <x v="13"/>
    <x v="11"/>
    <s v="Ana Cristina Belarmino de Oliveira"/>
    <s v="Feminino"/>
    <x v="15"/>
    <x v="2"/>
    <s v="20103514 - Patologia Em Diferentes Segmentos da Coluna (R$ 60,72)"/>
    <s v="Fisioterapia"/>
    <n v="238463711"/>
    <s v="Finalizado (1/10)"/>
    <n v="53.433599999999998"/>
    <n v="7.2864000000000004"/>
    <n v="60.72"/>
    <s v="Sessão a Faturar"/>
    <s v="012616100102004"/>
    <n v="59505"/>
    <s v="Unidade Vieiralves"/>
    <n v="238463711"/>
    <m/>
  </r>
  <r>
    <x v="13"/>
    <x v="11"/>
    <s v="Jonathan Campos Damasceno"/>
    <s v="Feminino"/>
    <x v="2"/>
    <x v="2"/>
    <s v="20103484 - Fisioterapia - Patologia Em Um Membro (R$ 12,22), 20103506 - Fisioterapia - Patologia Em Um Segmento da Coluna (R$ 12,22)"/>
    <s v="Fisioterapia"/>
    <n v="1705976856"/>
    <s v="Finalizado (2/3)"/>
    <n v="21.507200000000001"/>
    <n v="2.9327999999999999"/>
    <n v="24.44"/>
    <s v="Sessão Faturada"/>
    <n v="771015058220000"/>
    <n v="38316"/>
    <s v="Unidade Vieiralves"/>
    <n v="1705976856"/>
    <m/>
  </r>
  <r>
    <x v="13"/>
    <x v="12"/>
    <s v="José Antônio da Costa Almeida"/>
    <s v="Masculino"/>
    <x v="8"/>
    <x v="2"/>
    <s v="20103484 - Patologia Em Um Membro (R$ 12,22)"/>
    <s v="Fisioterapia"/>
    <n v="1703515772"/>
    <s v="Finalizado (2/2)"/>
    <n v="10.7536"/>
    <n v="1.4663999999999999"/>
    <n v="12.22"/>
    <s v="Sessão Faturada"/>
    <n v="954600022659020"/>
    <n v="53177"/>
    <s v="Unidade Vieiralves"/>
    <n v="1703515772"/>
    <m/>
  </r>
  <r>
    <x v="13"/>
    <x v="12"/>
    <s v="Zoma Araújo"/>
    <s v="Masculino"/>
    <x v="12"/>
    <x v="2"/>
    <s v="20103484 - Patologia Em Um Membro (R$ 12,22)"/>
    <s v="Fisioterapia"/>
    <n v="167908"/>
    <s v="Finalizado (9/10)"/>
    <n v="10.7536"/>
    <n v="1.4663999999999999"/>
    <n v="12.22"/>
    <s v="Sessão Faturada"/>
    <n v="9.5056587232713997E+17"/>
    <n v="52491"/>
    <s v="Unidade Vieiralves"/>
    <n v="167908"/>
    <m/>
  </r>
  <r>
    <x v="13"/>
    <x v="12"/>
    <s v="Zoma Araújo"/>
    <s v="Masculino"/>
    <x v="12"/>
    <x v="2"/>
    <s v="31602185 - Estimulação Elétrica Transcutânea (Tens) (R$ 49,00)"/>
    <s v="Fisioterapia"/>
    <n v="10267695"/>
    <s v="Finalizado (9/10)"/>
    <n v="43.12"/>
    <n v="5.88"/>
    <n v="49"/>
    <s v="Sessão Faturada"/>
    <n v="9.5056587232713997E+17"/>
    <n v="52491"/>
    <s v="Unidade Vieiralves"/>
    <n v="10267695"/>
    <m/>
  </r>
  <r>
    <x v="13"/>
    <x v="19"/>
    <s v="José Antônio da Costa Almeida"/>
    <s v="Masculino"/>
    <x v="8"/>
    <x v="2"/>
    <s v="20103115 - Atividade Reflexa Cinesioterápica (R$ 20,81)"/>
    <s v="Fisioterapia"/>
    <n v="1703516874"/>
    <s v="Finalizado (2/2)"/>
    <n v="18.312799999999999"/>
    <n v="2.4971999999999999"/>
    <n v="20.81"/>
    <s v="Sessão Faturada"/>
    <n v="954600022659020"/>
    <n v="53177"/>
    <s v="Unidade Vieiralves"/>
    <n v="1703516874"/>
    <m/>
  </r>
  <r>
    <x v="14"/>
    <x v="22"/>
    <s v="Suely Borges da Silva"/>
    <s v="Feminino"/>
    <x v="6"/>
    <x v="2"/>
    <s v="20103492 - Patologia Em Dois Ou Mais Membros (R$ 30,26)"/>
    <s v="Fisioterapia"/>
    <n v="169532"/>
    <s v="Finalizado (3/5)"/>
    <n v="26.628799999999998"/>
    <n v="3.6312000000000002"/>
    <n v="30.26"/>
    <s v="Sessão a Faturar"/>
    <s v="55788888489898650014"/>
    <n v="59150"/>
    <s v="Unidade Vieiralves"/>
    <n v="169532"/>
    <m/>
  </r>
  <r>
    <x v="14"/>
    <x v="22"/>
    <s v="Joziane Lira dos Santos Pereira"/>
    <s v="Feminino"/>
    <x v="14"/>
    <x v="2"/>
    <s v="20103492 - Fisioterapia - Patologia Em Dois Ou Mais Membros (R$ 14,83)"/>
    <s v="Fisioterapia"/>
    <n v="1705185849"/>
    <s v="Finalizado (3/5)"/>
    <n v="13.0504"/>
    <n v="1.7796000000000001"/>
    <n v="14.83"/>
    <s v="Sessão a Faturar"/>
    <n v="954600002739000"/>
    <n v="35514"/>
    <s v="Unidade Vieiralves"/>
    <n v="1705185849"/>
    <m/>
  </r>
  <r>
    <x v="14"/>
    <x v="22"/>
    <s v="Maria de Nazare Frota de Oliveira"/>
    <s v="Feminino"/>
    <x v="1"/>
    <x v="2"/>
    <s v="50000160 - Fisioterapia Ortopédica (R$ 20,00), 98980327 - Taxa de Eletroterapia (Tens) (R$ 15,00)"/>
    <s v="Fisioterapia"/>
    <n v="8750113"/>
    <s v="Finalizado (9/10)"/>
    <n v="30.8"/>
    <n v="4.2"/>
    <n v="35"/>
    <s v="Sessão Faturada"/>
    <s v="0501013884910089"/>
    <n v="59237"/>
    <s v="Unidade Vieiralves"/>
    <n v="8750113"/>
    <s v="Guia assinada!"/>
  </r>
  <r>
    <x v="14"/>
    <x v="23"/>
    <s v="Joziane Lira dos Santos Pereira"/>
    <s v="Feminino"/>
    <x v="8"/>
    <x v="2"/>
    <s v="20103115 - Atividade Reflexa Cinesioterápica (R$ 20,81)"/>
    <s v="Fisioterapia"/>
    <n v="1705187592"/>
    <s v="Finalizado (3/5)"/>
    <n v="18.312799999999999"/>
    <n v="2.4971999999999999"/>
    <n v="20.81"/>
    <s v="Sessão Faturada"/>
    <n v="954600002739000"/>
    <n v="35514"/>
    <s v="Unidade Vieiralves"/>
    <n v="1705187592"/>
    <m/>
  </r>
  <r>
    <x v="14"/>
    <x v="23"/>
    <s v="Suely Borges da Silva"/>
    <s v="Feminino"/>
    <x v="6"/>
    <x v="2"/>
    <s v="31602185 - Estimulação Elétrica Transcutanea (Tens) (R$ 40,00)"/>
    <s v="Fisioterapia"/>
    <n v="169847"/>
    <s v="Finalizado (3/5)"/>
    <n v="35.200000000000003"/>
    <n v="4.8"/>
    <n v="40"/>
    <s v="Sessão a Faturar"/>
    <s v="55788888489898650014"/>
    <n v="59150"/>
    <s v="Unidade Vieiralves"/>
    <n v="169847"/>
    <m/>
  </r>
  <r>
    <x v="14"/>
    <x v="0"/>
    <s v="Anna Danielle Oliveira dos Santos Cardozo"/>
    <s v="Feminino"/>
    <x v="2"/>
    <x v="2"/>
    <s v="20103115 - Atividade Reflexa Cinesioterápica (R$ 20,81)"/>
    <s v="Fisioterapia"/>
    <n v="1706458614"/>
    <s v="Finalizado (2/3)"/>
    <n v="18.312799999999999"/>
    <n v="2.4971999999999999"/>
    <n v="20.81"/>
    <s v="Sessão Faturada"/>
    <n v="830416700230010"/>
    <n v="57193"/>
    <s v="Unidade Vieiralves"/>
    <n v="1706458614"/>
    <m/>
  </r>
  <r>
    <x v="14"/>
    <x v="0"/>
    <s v="Anna Danielle Oliveira dos Santos Cardozo"/>
    <s v="Feminino"/>
    <x v="2"/>
    <x v="2"/>
    <s v="20103492 - Fisioterapia - Patologia Em Dois Ou Mais Membros (R$ 14,83)"/>
    <s v="Fisioterapia"/>
    <n v="1706457872"/>
    <s v="Finalizado (2/10)"/>
    <n v="13.0504"/>
    <n v="1.7796000000000001"/>
    <n v="14.83"/>
    <s v="Sessão a Faturar"/>
    <n v="830416700230010"/>
    <n v="57193"/>
    <s v="Unidade Vieiralves"/>
    <n v="1706457872"/>
    <m/>
  </r>
  <r>
    <x v="14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05854680"/>
    <s v="Finalizado (2/5)"/>
    <n v="21.507200000000001"/>
    <n v="2.9327999999999999"/>
    <n v="24.44"/>
    <s v="Sessão Faturada"/>
    <n v="774063007471000"/>
    <n v="58683"/>
    <s v="Unidade Vieiralves"/>
    <n v="1705854680"/>
    <m/>
  </r>
  <r>
    <x v="14"/>
    <x v="2"/>
    <s v="Fabiana Nunes de Souza"/>
    <s v="Feminino"/>
    <x v="10"/>
    <x v="2"/>
    <s v="50000160 - Fisioterapia Ortopédica (R$ 15,00)"/>
    <s v="Fisioterapia"/>
    <n v="15095050"/>
    <s v="Finalizado (1/10)"/>
    <n v="13.2"/>
    <n v="1.8"/>
    <n v="15"/>
    <s v="Sessão Faturada"/>
    <s v="00010064268224006"/>
    <n v="50502"/>
    <s v="Unidade Vieiralves"/>
    <n v="15095050"/>
    <m/>
  </r>
  <r>
    <x v="14"/>
    <x v="3"/>
    <s v="Daniel de Moura Alves"/>
    <s v="Masculino"/>
    <x v="2"/>
    <x v="2"/>
    <s v="20103115 - Atividade Reflexa Cinesioterápica (R$ 20,81)"/>
    <s v="Fisioterapia"/>
    <n v="1705856972"/>
    <s v="Finalizado (2/5)"/>
    <n v="18.312799999999999"/>
    <n v="2.4971999999999999"/>
    <n v="20.81"/>
    <s v="Sessão Faturada"/>
    <n v="774063007471000"/>
    <n v="58683"/>
    <s v="Unidade Vieiralves"/>
    <n v="1705856972"/>
    <m/>
  </r>
  <r>
    <x v="14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2/10)"/>
    <n v="30.8"/>
    <n v="4.2"/>
    <n v="35"/>
    <s v="Sessão Faturada"/>
    <s v="0501012567250102"/>
    <n v="59272"/>
    <s v="Unidade Vieiralves"/>
    <n v="9086970"/>
    <m/>
  </r>
  <r>
    <x v="14"/>
    <x v="13"/>
    <s v="Fernanda Santos Fachinello"/>
    <s v="Feminino"/>
    <x v="1"/>
    <x v="2"/>
    <s v="50000160 - Fisioterapia Ortopédica (R$ 20,00), 98980327 - Taxa de Eletroterapia (Tens) (R$ 15,00)"/>
    <s v="Fisioterapia"/>
    <n v="9167027"/>
    <s v="Finalizado (1/10)"/>
    <n v="30.8"/>
    <n v="4.2"/>
    <n v="35"/>
    <s v="Sessão Faturada"/>
    <n v="1301014095850300"/>
    <n v="21927"/>
    <s v="Unidade Vieiralves"/>
    <n v="9167027"/>
    <m/>
  </r>
  <r>
    <x v="14"/>
    <x v="6"/>
    <s v="Felipe Lunieri dos Santos"/>
    <s v="Masculino"/>
    <x v="2"/>
    <x v="2"/>
    <s v="20103484 - Fisioterapia - Patologia Em Um Membro (R$ 12,22)"/>
    <s v="Fisioterapia"/>
    <n v="1706986367"/>
    <s v="Finalizado (1/5)"/>
    <n v="10.7536"/>
    <n v="1.4663999999999999"/>
    <n v="12.22"/>
    <s v="Sessão Faturada"/>
    <n v="774642009164010"/>
    <n v="43924"/>
    <s v="Unidade Vieiralves"/>
    <n v="1706986367"/>
    <m/>
  </r>
  <r>
    <x v="14"/>
    <x v="6"/>
    <s v="Ivison Melo Nunes"/>
    <s v="Masculino"/>
    <x v="2"/>
    <x v="2"/>
    <s v="20103492 - Fisioterapia - Patologia Em Dois Ou Mais Membros (R$ 14,83)"/>
    <s v="Fisioterapia"/>
    <n v="1705839551"/>
    <s v="Finalizado (3/3)"/>
    <n v="13.0504"/>
    <n v="1.7796000000000001"/>
    <n v="14.83"/>
    <s v="Sessão Faturada"/>
    <n v="774063009652000"/>
    <n v="59417"/>
    <s v="Unidade Vieiralves"/>
    <n v="1705839551"/>
    <m/>
  </r>
  <r>
    <x v="14"/>
    <x v="6"/>
    <s v="Maria da Conceição Melo Nunes"/>
    <s v="Feminino"/>
    <x v="7"/>
    <x v="2"/>
    <s v="Part Convenio - 9 - Fisioterapia Ortopédica- Sessão (R$ 60,00)"/>
    <s v="Fisioterapia"/>
    <m/>
    <s v="Finalizado (1/1)"/>
    <n v="46.8"/>
    <n v="13.2"/>
    <n v="60"/>
    <s v="Pago"/>
    <s v="00"/>
    <n v="59514"/>
    <s v="Unidade Vieiralves"/>
    <m/>
    <m/>
  </r>
  <r>
    <x v="14"/>
    <x v="7"/>
    <s v="Felipe Lunieri dos Santos"/>
    <s v="Masculino"/>
    <x v="2"/>
    <x v="2"/>
    <s v="20103115 - Atividade Reflexa Cinesioterápica (R$ 20,81)"/>
    <s v="Fisioterapia"/>
    <n v="1706987494"/>
    <s v="Finalizado (1/2)"/>
    <n v="18.312799999999999"/>
    <n v="2.4971999999999999"/>
    <n v="20.81"/>
    <s v="Sessão Faturada"/>
    <n v="774642009164010"/>
    <n v="43924"/>
    <s v="Unidade Vieiralves"/>
    <n v="1706987494"/>
    <m/>
  </r>
  <r>
    <x v="14"/>
    <x v="7"/>
    <s v="Ivison Melo Nunes"/>
    <s v="Masculino"/>
    <x v="2"/>
    <x v="2"/>
    <s v="20103115 - Atividade Reflexa Cinesioterápica (R$ 20,81)"/>
    <s v="Fisioterapia"/>
    <n v="1705840309"/>
    <s v="Finalizado (3/3)"/>
    <n v="18.312799999999999"/>
    <n v="2.4971999999999999"/>
    <n v="20.81"/>
    <s v="Sessão Faturada"/>
    <n v="774063009652000"/>
    <n v="59417"/>
    <s v="Unidade Vieiralves"/>
    <n v="1705840309"/>
    <m/>
  </r>
  <r>
    <x v="14"/>
    <x v="15"/>
    <s v="Larissa dos Santos Lima"/>
    <s v="Feminino"/>
    <x v="1"/>
    <x v="2"/>
    <s v="50000160 - Fisioterapia Ortopédica (R$ 20,00), 98980327 - Taxa de Eletroterapia (Tens) (R$ 15,00)"/>
    <s v="Fisioterapia"/>
    <n v="9118187"/>
    <s v="Finalizado (2/3)"/>
    <n v="30.8"/>
    <n v="4.2"/>
    <n v="35"/>
    <s v="Sessão Faturada"/>
    <n v="1101013497270200"/>
    <n v="59317"/>
    <s v="Unidade Vieiralves"/>
    <n v="9118187"/>
    <m/>
  </r>
  <r>
    <x v="14"/>
    <x v="17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4/9)"/>
    <n v="26.1008"/>
    <n v="3.5592000000000001"/>
    <n v="29.66"/>
    <s v="Sessão Faturada"/>
    <n v="775216013765020"/>
    <n v="59283"/>
    <s v="Unidade Vieiralves"/>
    <n v="1703978801"/>
    <m/>
  </r>
  <r>
    <x v="14"/>
    <x v="17"/>
    <s v="Maria do Carmo Soares Filgueiras de Menezes"/>
    <s v="Feminino"/>
    <x v="1"/>
    <x v="2"/>
    <s v="50000160 - Fisioterapia Ortopédica (R$ 20,00), 98980327 - Taxa de Eletroterapia (Tens) (R$ 15,00)"/>
    <s v="Fisioterapia"/>
    <n v="8748990"/>
    <s v="Finalizado (9/10)"/>
    <n v="30.8"/>
    <n v="4.2"/>
    <n v="35"/>
    <s v="Sessão Faturada"/>
    <s v="0201013918220089"/>
    <n v="58907"/>
    <s v="Unidade Vieiralves"/>
    <n v="8748990"/>
    <m/>
  </r>
  <r>
    <x v="14"/>
    <x v="17"/>
    <s v="Franciane de Souza Gomes"/>
    <s v="Feminino"/>
    <x v="2"/>
    <x v="2"/>
    <s v="20103492 - Fisioterapia - Patologia Em Dois Ou Mais Membros (R$ 14,83)"/>
    <s v="Fisioterapia"/>
    <n v="1704932630"/>
    <s v="Finalizado (4/5)"/>
    <n v="13.0504"/>
    <n v="1.7796000000000001"/>
    <n v="14.83"/>
    <s v="Sessão Faturada"/>
    <n v="973700009598000"/>
    <n v="16642"/>
    <s v="Unidade Vieiralves"/>
    <n v="1704932630"/>
    <m/>
  </r>
  <r>
    <x v="14"/>
    <x v="17"/>
    <s v="Valério Ladeira Luniere"/>
    <s v="Masculino"/>
    <x v="1"/>
    <x v="2"/>
    <s v="50000160 - Fisioterapia Ortopédica (R$ 20,00), 98980327 - Taxa de Eletroterapia (Tens) (R$ 15,00)"/>
    <s v="Fisioterapia"/>
    <n v="8942286"/>
    <s v="Finalizado (6/10)"/>
    <n v="30.8"/>
    <n v="4.2"/>
    <n v="35"/>
    <s v="Sessão Faturada"/>
    <s v="0901013476020085"/>
    <n v="4590"/>
    <s v="Unidade Vieiralves"/>
    <n v="8942286"/>
    <m/>
  </r>
  <r>
    <x v="14"/>
    <x v="18"/>
    <s v="Franciane de Souza Gomes"/>
    <s v="Feminino"/>
    <x v="2"/>
    <x v="2"/>
    <s v="20103115 - Atividade Reflexa Cinesioterápica (R$ 20,81)"/>
    <s v="Fisioterapia"/>
    <n v="1704933473"/>
    <s v="Finalizado (4/5)"/>
    <n v="18.312799999999999"/>
    <n v="2.4971999999999999"/>
    <n v="20.81"/>
    <s v="Sessão Faturada"/>
    <n v="973700009598000"/>
    <n v="16642"/>
    <s v="Unidade Vieiralves"/>
    <n v="1704933473"/>
    <m/>
  </r>
  <r>
    <x v="14"/>
    <x v="18"/>
    <s v="Simone Gouveia Góes"/>
    <s v="Feminino"/>
    <x v="2"/>
    <x v="2"/>
    <s v="20103115 - Atividade Reflexa Cinesioterápica (R$ 20,81)"/>
    <s v="Fisioterapia"/>
    <n v="1703979813"/>
    <s v="Finalizado (4/5)"/>
    <n v="18.312799999999999"/>
    <n v="2.4971999999999999"/>
    <n v="20.81"/>
    <s v="Sessão Faturada"/>
    <n v="775216013765020"/>
    <n v="59283"/>
    <s v="Unidade Vieiralves"/>
    <n v="1703979813"/>
    <m/>
  </r>
  <r>
    <x v="14"/>
    <x v="8"/>
    <s v="Paulo Jose Monteiro da Silva"/>
    <s v="Masculino"/>
    <x v="2"/>
    <x v="2"/>
    <s v="20103484 - Fisioterapia - Patologia Em Um Membro (R$ 12,22)"/>
    <s v="Fisioterapia"/>
    <n v="1704960780"/>
    <s v="Finalizado (4/5)"/>
    <n v="10.7536"/>
    <n v="1.4663999999999999"/>
    <n v="12.22"/>
    <s v="Sessão Faturada"/>
    <n v="610421660031000"/>
    <n v="18016"/>
    <s v="Unidade Vieiralves"/>
    <n v="1704960780"/>
    <m/>
  </r>
  <r>
    <x v="14"/>
    <x v="8"/>
    <s v="Cizia Freitas de Silva Costa"/>
    <s v="Feminino"/>
    <x v="2"/>
    <x v="2"/>
    <s v="20103492 - Fisioterapia - Patologia Em Dois Ou Mais Membros (R$ 14,83)"/>
    <s v="Fisioterapia"/>
    <n v="1700946986"/>
    <s v="Finalizado (3/4)"/>
    <n v="13.0504"/>
    <n v="1.7796000000000001"/>
    <n v="14.83"/>
    <s v="Sessão Faturada"/>
    <n v="960016147089050"/>
    <n v="46973"/>
    <s v="Unidade Vieiralves"/>
    <n v="1700946986"/>
    <m/>
  </r>
  <r>
    <x v="14"/>
    <x v="8"/>
    <s v="Elen Cristina Ferreira Botelho"/>
    <s v="Feminino"/>
    <x v="8"/>
    <x v="2"/>
    <s v="20103484 - Patologia Em Um Membro (R$ 12,22)"/>
    <s v="Fisioterapia"/>
    <n v="1703991493"/>
    <s v="Finalizado (5/5)"/>
    <n v="10.7536"/>
    <n v="1.4663999999999999"/>
    <n v="12.22"/>
    <s v="Sessão Faturada"/>
    <n v="954440000647010"/>
    <n v="15871"/>
    <s v="Unidade Vieiralves"/>
    <n v="1703991493"/>
    <m/>
  </r>
  <r>
    <x v="14"/>
    <x v="8"/>
    <s v="Cizia Freitas de Silva Costa"/>
    <s v="Feminino"/>
    <x v="2"/>
    <x v="2"/>
    <s v="20103115 - Atividade Reflexa Cinesioterápica (R$ 20,81)"/>
    <s v="Fisioterapia"/>
    <n v="1700947486"/>
    <s v="Finalizado (3/4)"/>
    <n v="18.312799999999999"/>
    <n v="2.4971999999999999"/>
    <n v="20.81"/>
    <s v="Sessão Faturada"/>
    <n v="960016147089050"/>
    <n v="46973"/>
    <s v="Unidade Vieiralves"/>
    <n v="1700947486"/>
    <m/>
  </r>
  <r>
    <x v="14"/>
    <x v="8"/>
    <s v="Elen Cristina Ferreira Botelho"/>
    <s v="Feminino"/>
    <x v="8"/>
    <x v="2"/>
    <s v="20103115 - Atividade Reflexa Cinesioterápica (R$ 20,81)"/>
    <s v="Fisioterapia"/>
    <n v="1703992091"/>
    <s v="Finalizado (5/5)"/>
    <n v="18.312799999999999"/>
    <n v="2.4971999999999999"/>
    <n v="20.81"/>
    <s v="Sessão Faturada"/>
    <n v="954440000647010"/>
    <n v="15871"/>
    <s v="Unidade Vieiralves"/>
    <n v="1703992091"/>
    <m/>
  </r>
  <r>
    <x v="14"/>
    <x v="8"/>
    <s v="Anthony Jesus Farias Villarroel"/>
    <s v="Masculino"/>
    <x v="8"/>
    <x v="2"/>
    <s v="20103484 - Patologia Em Um Membro (R$ 12,22)"/>
    <s v="Fisioterapia"/>
    <n v="1706507316"/>
    <s v="Finalizado (2/5)"/>
    <n v="10.7536"/>
    <n v="1.4663999999999999"/>
    <n v="12.22"/>
    <s v="Sessão Faturada"/>
    <n v="954600016969020"/>
    <n v="53566"/>
    <s v="Unidade Vieiralves"/>
    <n v="1706507316"/>
    <m/>
  </r>
  <r>
    <x v="14"/>
    <x v="9"/>
    <s v="Anthony Jesus Farias Villarroel"/>
    <s v="Masculino"/>
    <x v="8"/>
    <x v="2"/>
    <s v="20103115 - Atividade Reflexa Cinesioterápica (R$ 20,81)"/>
    <s v="Fisioterapia"/>
    <n v="1706508148"/>
    <s v="Finalizado (2/4)"/>
    <n v="18.312799999999999"/>
    <n v="2.4971999999999999"/>
    <n v="20.81"/>
    <s v="Sessão Faturada"/>
    <n v="954600016969020"/>
    <n v="53566"/>
    <s v="Unidade Vieiralves"/>
    <n v="1706508148"/>
    <m/>
  </r>
  <r>
    <x v="14"/>
    <x v="10"/>
    <s v="Lucas Pereira de Menezes"/>
    <m/>
    <x v="2"/>
    <x v="2"/>
    <s v="20103484 - Fisioterapia - Patologia Em Um Membro (R$ 12,22)"/>
    <s v="Fisioterapia"/>
    <n v="1705965683"/>
    <s v="Finalizado (2/2)"/>
    <n v="10.7536"/>
    <n v="1.4663999999999999"/>
    <n v="12.22"/>
    <s v="Sessão Faturada"/>
    <n v="774170003662010"/>
    <n v="53266"/>
    <s v="Unidade Vieiralves"/>
    <n v="1705965683"/>
    <m/>
  </r>
  <r>
    <x v="14"/>
    <x v="10"/>
    <s v="Mcluhan Teixeira Grijo"/>
    <s v="Masculino"/>
    <x v="5"/>
    <x v="2"/>
    <s v="98860011 - Fisioterapia Complexidade 1 - 04/03/2026 (R$ 53,00)"/>
    <s v="Fisioterapia"/>
    <n v="76664020"/>
    <s v="Finalizado (3/10)"/>
    <n v="46.64"/>
    <n v="6.36"/>
    <n v="53"/>
    <s v="Sessão Faturada"/>
    <s v="0101072415000314"/>
    <n v="51264"/>
    <s v="Unidade Vieiralves"/>
    <n v="76664020"/>
    <m/>
  </r>
  <r>
    <x v="14"/>
    <x v="10"/>
    <s v="Ana Georgina Viga Lacorte"/>
    <s v="Feminino"/>
    <x v="2"/>
    <x v="2"/>
    <s v="20103492 - Fisioterapia - Patologia Em Dois Ou Mais Membros (R$ 14,83)"/>
    <s v="Fisioterapia"/>
    <n v="1703511777"/>
    <s v="Finalizado (4/5)"/>
    <n v="13.0504"/>
    <n v="1.7796000000000001"/>
    <n v="14.83"/>
    <s v="Sessão Faturada"/>
    <n v="882749100043010"/>
    <n v="50823"/>
    <s v="Unidade Vieiralves"/>
    <n v="1703511777"/>
    <m/>
  </r>
  <r>
    <x v="14"/>
    <x v="11"/>
    <s v="Ana Georgina Viga Lacorte"/>
    <s v="Feminino"/>
    <x v="2"/>
    <x v="2"/>
    <s v="20103115 - Atividade Reflexa Cinesioterápica (R$ 20,81)"/>
    <s v="Fisioterapia"/>
    <n v="1703512061"/>
    <s v="Finalizado (4/5)"/>
    <n v="18.312799999999999"/>
    <n v="2.4971999999999999"/>
    <n v="20.81"/>
    <s v="Sessão Faturada"/>
    <n v="882749100043010"/>
    <n v="50823"/>
    <s v="Unidade Vieiralves"/>
    <n v="1703512061"/>
    <m/>
  </r>
  <r>
    <x v="14"/>
    <x v="11"/>
    <s v="Lucas Pereira de Menezes"/>
    <m/>
    <x v="2"/>
    <x v="2"/>
    <s v="20103115 - Atividade Reflexa Cinesioterápica (R$ 20,81)"/>
    <s v="Fisioterapia"/>
    <n v="1705966142"/>
    <s v="Finalizado (2/2)"/>
    <n v="18.312799999999999"/>
    <n v="2.4971999999999999"/>
    <n v="20.81"/>
    <s v="Sessão Faturada"/>
    <n v="774170003662010"/>
    <n v="53266"/>
    <s v="Unidade Vieiralves"/>
    <n v="1705966142"/>
    <m/>
  </r>
  <r>
    <x v="14"/>
    <x v="11"/>
    <s v="Mcluhan Teixeira Grijo"/>
    <s v="Masculino"/>
    <x v="5"/>
    <x v="2"/>
    <s v="31602185 - Estimulação Elétrica Transcutânea (Tens) - 04/03/2026 (R$ 120,28)"/>
    <s v="Fisioterapia"/>
    <n v="76665250"/>
    <s v="Finalizado (2/10)"/>
    <n v="105.8464"/>
    <n v="14.4336"/>
    <n v="120.28"/>
    <s v="Sessão Faturada"/>
    <s v="0101072415000314"/>
    <n v="51264"/>
    <s v="Unidade Vieiralves"/>
    <n v="76665250"/>
    <m/>
  </r>
  <r>
    <x v="14"/>
    <x v="11"/>
    <s v="Mcluhan Teixeira Grijo"/>
    <s v="Masculino"/>
    <x v="5"/>
    <x v="2"/>
    <s v="31602185 - Estimulação Elétrica Transcutânea (Tens) - 04/03/2026 (R$ 120,28)"/>
    <s v="Fisioterapia"/>
    <n v="76665250"/>
    <s v="Finalizado (3/10)"/>
    <n v="105.8464"/>
    <n v="14.4336"/>
    <n v="120.28"/>
    <s v="Sessão Faturada"/>
    <s v="0101072415000314"/>
    <n v="51264"/>
    <s v="Unidade Vieiralves"/>
    <n v="76665250"/>
    <m/>
  </r>
  <r>
    <x v="14"/>
    <x v="12"/>
    <s v="Antonio Jorge Martins de Queiroz"/>
    <s v="Masculino"/>
    <x v="10"/>
    <x v="2"/>
    <s v="50000160 - Fisioterapia Ortopédica (R$ 15,00)"/>
    <s v="Fisioterapia"/>
    <n v="15098530"/>
    <s v="Finalizado (1/10)"/>
    <n v="13.2"/>
    <n v="1.8"/>
    <n v="15"/>
    <s v="Sessão Faturada"/>
    <s v="00010064268023001"/>
    <n v="59517"/>
    <s v="Unidade Vieiralves"/>
    <n v="15098530"/>
    <m/>
  </r>
  <r>
    <x v="14"/>
    <x v="12"/>
    <s v="Pedro Balsini Peixoto Porto"/>
    <s v="Masculino"/>
    <x v="2"/>
    <x v="2"/>
    <s v="20103492 - Fisioterapia - Patologia Em Dois Ou Mais Membros (R$ 14,83)"/>
    <s v="Fisioterapia"/>
    <n v="1703876743"/>
    <s v="Finalizado (4/5)"/>
    <n v="13.0504"/>
    <n v="1.7796000000000001"/>
    <n v="14.83"/>
    <s v="Sessão a Faturar"/>
    <n v="893331300736020"/>
    <n v="59321"/>
    <s v="Unidade Vieiralves"/>
    <n v="1703876743"/>
    <m/>
  </r>
  <r>
    <x v="14"/>
    <x v="12"/>
    <s v="Jamilson Oliveira dos Santos"/>
    <s v="Masculino"/>
    <x v="6"/>
    <x v="2"/>
    <s v="20103484 - Patologia Em Um Membro (R$ 14,16)"/>
    <s v="Fisioterapia"/>
    <n v="169825"/>
    <s v="Finalizado (1/10)"/>
    <n v="12.460800000000001"/>
    <n v="1.6992"/>
    <n v="14.16"/>
    <s v="Sessão a Faturar"/>
    <s v="55788888488869430020"/>
    <n v="48962"/>
    <s v="Unidade Vieiralves"/>
    <n v="169825"/>
    <m/>
  </r>
  <r>
    <x v="14"/>
    <x v="12"/>
    <s v="Pedro Balsini Peixoto Porto"/>
    <s v="Masculino"/>
    <x v="2"/>
    <x v="2"/>
    <s v="20103492 - Fisioterapia - Patologia Em Dois Ou Mais Membros (R$ 14,83)"/>
    <s v="Fisioterapia"/>
    <n v="1703877097"/>
    <s v="Finalizado (4/5)"/>
    <n v="13.0504"/>
    <n v="1.7796000000000001"/>
    <n v="14.83"/>
    <s v="Sessão a Faturar"/>
    <n v="893331300736020"/>
    <n v="59321"/>
    <s v="Unidade Vieiralves"/>
    <n v="1703877097"/>
    <m/>
  </r>
  <r>
    <x v="14"/>
    <x v="19"/>
    <s v="Jamilson Oliveira dos Santos"/>
    <s v="Masculino"/>
    <x v="6"/>
    <x v="2"/>
    <s v="31602185 - Estimulação Elétrica Transcutanea (Tens) (R$ 40,00)"/>
    <s v="Fisioterapia"/>
    <n v="169827"/>
    <s v="Finalizado (1/10)"/>
    <n v="35.200000000000003"/>
    <n v="4.8"/>
    <n v="40"/>
    <s v="Sessão a Faturar"/>
    <s v="55788888488869430020"/>
    <n v="48962"/>
    <s v="Unidade Vieiralves"/>
    <n v="169827"/>
    <m/>
  </r>
  <r>
    <x v="15"/>
    <x v="22"/>
    <s v="Jandui Diniz Araujo"/>
    <s v="Masculino"/>
    <x v="2"/>
    <x v="2"/>
    <s v="20103492 - Fisioterapia - Patologia Em Dois Ou Mais Membros (R$ 14,83)"/>
    <s v="Fisioterapia"/>
    <n v="1706378880"/>
    <s v="Finalizado (2/10)"/>
    <n v="13.0504"/>
    <n v="1.7796000000000001"/>
    <n v="14.83"/>
    <s v="Sessão Faturada"/>
    <n v="836407200035000"/>
    <n v="42187"/>
    <s v="Unidade Vieiralves"/>
    <n v="1706378880"/>
    <m/>
  </r>
  <r>
    <x v="15"/>
    <x v="22"/>
    <s v="Jandui Diniz Araujo"/>
    <s v="Masculino"/>
    <x v="2"/>
    <x v="2"/>
    <s v="20103115 - Atividade Reflexa Cinesioterápica (R$ 20,81)"/>
    <s v="Fisioterapia"/>
    <n v="1706379513"/>
    <s v="Finalizado (2/3)"/>
    <n v="18.312799999999999"/>
    <n v="2.4971999999999999"/>
    <n v="20.81"/>
    <s v="Sessão Faturada"/>
    <n v="836407200035000"/>
    <n v="42187"/>
    <s v="Unidade Vieiralves"/>
    <n v="1706379513"/>
    <m/>
  </r>
  <r>
    <x v="15"/>
    <x v="0"/>
    <s v="Suely Borges da Silva"/>
    <s v="Feminino"/>
    <x v="6"/>
    <x v="2"/>
    <s v="20103492 - Patologia Em Dois Ou Mais Membros (R$ 30,26)"/>
    <s v="Fisioterapia"/>
    <n v="169532"/>
    <s v="Finalizado (4/5)"/>
    <n v="26.628799999999998"/>
    <n v="3.6312000000000002"/>
    <n v="30.26"/>
    <s v="Sessão a Faturar"/>
    <s v="55788888489898650014"/>
    <n v="59150"/>
    <s v="Unidade Vieiralves"/>
    <n v="169532"/>
    <m/>
  </r>
  <r>
    <x v="15"/>
    <x v="1"/>
    <s v="Suely Borges da Silva"/>
    <s v="Feminino"/>
    <x v="6"/>
    <x v="2"/>
    <s v="31602185 - Estimulação Elétrica Transcutanea (Tens) (R$ 40,00)"/>
    <s v="Fisioterapia"/>
    <n v="169847"/>
    <s v="Finalizado (4/5)"/>
    <n v="35.200000000000003"/>
    <n v="4.8"/>
    <n v="40"/>
    <s v="Sessão a Faturar"/>
    <s v="55788888489898650014"/>
    <n v="59150"/>
    <s v="Unidade Vieiralves"/>
    <n v="169847"/>
    <m/>
  </r>
  <r>
    <x v="15"/>
    <x v="2"/>
    <s v="Larissa dos Santos Lima"/>
    <s v="Feminino"/>
    <x v="1"/>
    <x v="2"/>
    <s v="50000160 - Fisioterapia Ortopédica (R$ 20,00), 98980327 - Taxa de Eletroterapia (Tens) (R$ 15,00)"/>
    <s v="Fisioterapia"/>
    <n v="9118187"/>
    <s v="Finalizado (3/3)"/>
    <n v="30.8"/>
    <n v="4.2"/>
    <n v="35"/>
    <s v="Sessão Faturada"/>
    <n v="1101013497270200"/>
    <n v="59317"/>
    <s v="Unidade Vieiralves"/>
    <n v="9118187"/>
    <m/>
  </r>
  <r>
    <x v="15"/>
    <x v="2"/>
    <s v="Joziane Lira dos Santos Pereira"/>
    <s v="Feminino"/>
    <x v="14"/>
    <x v="2"/>
    <s v="20103492 - Fisioterapia - Patologia Em Dois Ou Mais Membros (R$ 14,83)"/>
    <s v="Fisioterapia"/>
    <n v="1705185849"/>
    <s v="Finalizado (4/5)"/>
    <n v="13.0504"/>
    <n v="1.7796000000000001"/>
    <n v="14.83"/>
    <s v="Sessão a Faturar"/>
    <n v="954600002739000"/>
    <n v="35514"/>
    <s v="Unidade Vieiralves"/>
    <n v="1705185849"/>
    <m/>
  </r>
  <r>
    <x v="15"/>
    <x v="3"/>
    <s v="Joziane Lira dos Santos Pereira"/>
    <s v="Feminino"/>
    <x v="8"/>
    <x v="2"/>
    <s v="20103115 - Atividade Reflexa Cinesioterápica (R$ 20,81)"/>
    <s v="Fisioterapia"/>
    <n v="1705187592"/>
    <s v="Finalizado (4/5)"/>
    <n v="18.312799999999999"/>
    <n v="2.4971999999999999"/>
    <n v="20.81"/>
    <s v="Sessão Faturada"/>
    <n v="954600002739000"/>
    <n v="35514"/>
    <s v="Unidade Vieiralves"/>
    <n v="1705187592"/>
    <m/>
  </r>
  <r>
    <x v="15"/>
    <x v="4"/>
    <s v="Fernanda Santos Fachinello"/>
    <s v="Feminino"/>
    <x v="1"/>
    <x v="2"/>
    <s v="50000160 - Fisioterapia Ortopédica (R$ 20,00), 98980327 - Taxa de Eletroterapia (Tens) (R$ 15,00)"/>
    <s v="Fisioterapia"/>
    <n v="9167027"/>
    <s v="Finalizado (2/10)"/>
    <n v="30.8"/>
    <n v="4.2"/>
    <n v="35"/>
    <s v="Sessão Faturada"/>
    <n v="1301014095850300"/>
    <n v="21927"/>
    <s v="Unidade Vieiralves"/>
    <n v="9167027"/>
    <m/>
  </r>
  <r>
    <x v="15"/>
    <x v="13"/>
    <s v="Ricardo Marques de Abreu"/>
    <s v="Masculino"/>
    <x v="1"/>
    <x v="2"/>
    <s v="50000160 - Fisioterapia Ortopédica (R$ 20,00), 98980327 - Taxa de Eletroterapia (Tens) (R$ 15,00)"/>
    <s v="Fisioterapia"/>
    <n v="8922131"/>
    <s v="Finalizado (9/10)"/>
    <n v="30.8"/>
    <n v="4.2"/>
    <n v="35"/>
    <s v="Sessão Faturada"/>
    <n v="2001013216580000"/>
    <n v="43902"/>
    <s v="Unidade Vieiralves"/>
    <n v="8922131"/>
    <m/>
  </r>
  <r>
    <x v="15"/>
    <x v="6"/>
    <s v="Francisco Lima da Silva"/>
    <s v="Masculino"/>
    <x v="2"/>
    <x v="2"/>
    <s v="20103492 - Fisioterapia - Patologia Em Dois Ou Mais Membros (R$ 14,83)"/>
    <s v="Fisioterapia"/>
    <n v="1704442222"/>
    <s v="Finalizado (4/5)"/>
    <n v="13.0504"/>
    <n v="1.7796000000000001"/>
    <n v="14.83"/>
    <s v="Sessão Faturada"/>
    <n v="774981007706010"/>
    <n v="52427"/>
    <s v="Unidade Vieiralves"/>
    <n v="1704442222"/>
    <m/>
  </r>
  <r>
    <x v="15"/>
    <x v="6"/>
    <s v="Francisco Lima da Silva"/>
    <s v="Masculino"/>
    <x v="2"/>
    <x v="2"/>
    <s v="20103115 - Atividade Reflexa Cinesioterápica (R$ 20,81)"/>
    <s v="Fisioterapia"/>
    <n v="1704443587"/>
    <s v="Finalizado (4/5)"/>
    <n v="18.312799999999999"/>
    <n v="2.4971999999999999"/>
    <n v="20.81"/>
    <s v="Sessão Faturada"/>
    <n v="774981007706010"/>
    <n v="52427"/>
    <s v="Unidade Vieiralves"/>
    <n v="1704443587"/>
    <m/>
  </r>
  <r>
    <x v="15"/>
    <x v="15"/>
    <s v="Erica de Araujo Macedo"/>
    <s v="Feminino"/>
    <x v="1"/>
    <x v="2"/>
    <s v="50000160 - Fisioterapia Ortopédica (R$ 20,00), 98980327 - Taxa de Eletroterapia (Tens) (R$ 15,00)"/>
    <s v="Fisioterapia"/>
    <n v="9192843"/>
    <s v="Finalizado (1/10)"/>
    <n v="30.8"/>
    <n v="4.2"/>
    <n v="35"/>
    <s v="Sessão a Faturar"/>
    <s v="0901013081250088"/>
    <n v="16948"/>
    <s v="Unidade Vieiralves"/>
    <n v="9192843"/>
    <m/>
  </r>
  <r>
    <x v="15"/>
    <x v="15"/>
    <s v="Olga Amelia Souza do Nascimento"/>
    <s v="Feminino"/>
    <x v="16"/>
    <x v="2"/>
    <s v="50000160 - Fisioterapia Ortopedica (R$ 25,00)"/>
    <s v="Fisioterapia"/>
    <n v="170011"/>
    <s v="Finalizado (1/4)"/>
    <n v="22"/>
    <n v="3"/>
    <n v="25"/>
    <s v="Sessão a Faturar"/>
    <s v="000"/>
    <n v="57592"/>
    <s v="Unidade Vieiralves"/>
    <n v="170011"/>
    <m/>
  </r>
  <r>
    <x v="15"/>
    <x v="15"/>
    <s v="Raimundo Mesquita do Nascimento"/>
    <m/>
    <x v="16"/>
    <x v="2"/>
    <s v="50000160 - Fisioterapia Ortopedica (R$ 25,00)"/>
    <s v="Fisioterapia"/>
    <n v="170012"/>
    <s v="Finalizado (1/4)"/>
    <n v="22"/>
    <n v="3"/>
    <n v="25"/>
    <s v="Sessão a Faturar"/>
    <m/>
    <n v="59488"/>
    <s v="Unidade Vieiralves"/>
    <n v="170012"/>
    <m/>
  </r>
  <r>
    <x v="15"/>
    <x v="15"/>
    <s v="Isadora Vitorino Grana"/>
    <s v="Feminino"/>
    <x v="13"/>
    <x v="2"/>
    <s v="20103514 - Patologia Em Diferentes Segmentos da Coluna (R$ 41,45)"/>
    <s v="Fisioterapia"/>
    <n v="13593606"/>
    <s v="Finalizado (2/10)"/>
    <n v="36.475999999999999"/>
    <n v="4.9740000000000002"/>
    <n v="41.45"/>
    <s v="Sessão Faturada"/>
    <s v="00010300035963020"/>
    <n v="56556"/>
    <s v="Unidade Vieiralves"/>
    <n v="13593606"/>
    <m/>
  </r>
  <r>
    <x v="15"/>
    <x v="8"/>
    <s v="Ivan Duarte Arcanjo"/>
    <s v="Masculino"/>
    <x v="17"/>
    <x v="2"/>
    <s v="50000144 - Avaliação de Fisioterapia (R$ 45,00)"/>
    <s v="Fisioterapia"/>
    <n v="3988310"/>
    <s v="Finalizado (1/1)"/>
    <n v="40.5"/>
    <n v="4.5"/>
    <n v="45"/>
    <s v="Sessão Faturada"/>
    <s v="001669119606300"/>
    <n v="59527"/>
    <s v="Unidade Vieiralves"/>
    <n v="3988310"/>
    <m/>
  </r>
  <r>
    <x v="15"/>
    <x v="8"/>
    <s v="Paulo Jose Monteiro da Silva"/>
    <s v="Masculino"/>
    <x v="2"/>
    <x v="2"/>
    <s v="20103484 - Fisioterapia - Patologia Em Um Membro (R$ 12,22)"/>
    <s v="Fisioterapia"/>
    <n v="1704960780"/>
    <s v="Finalizado (5/5)"/>
    <n v="10.7536"/>
    <n v="1.4663999999999999"/>
    <n v="12.22"/>
    <s v="Sessão Faturada"/>
    <n v="610421660031000"/>
    <n v="18016"/>
    <s v="Unidade Vieiralves"/>
    <n v="1704960780"/>
    <m/>
  </r>
  <r>
    <x v="15"/>
    <x v="9"/>
    <s v="Ivan Duarte Arcanjo"/>
    <s v="Masculino"/>
    <x v="17"/>
    <x v="2"/>
    <s v="50000160 - Fisioterapia Ortopedica (R$ 45,00)"/>
    <s v="Fisioterapia"/>
    <n v="3988318"/>
    <s v="Finalizado (1/10)"/>
    <n v="39.6"/>
    <n v="5.4"/>
    <n v="45"/>
    <s v="Sessão a Faturar"/>
    <s v="001669119606300"/>
    <n v="59527"/>
    <s v="Unidade Vieiralves"/>
    <n v="3988318"/>
    <m/>
  </r>
  <r>
    <x v="15"/>
    <x v="10"/>
    <s v="Zoma Araújo"/>
    <s v="Masculino"/>
    <x v="12"/>
    <x v="2"/>
    <s v="20103484 - Patologia Em Um Membro (R$ 12,22)"/>
    <s v="Fisioterapia"/>
    <n v="167908"/>
    <s v="Finalizado (10/10)"/>
    <n v="10.7536"/>
    <n v="1.4663999999999999"/>
    <n v="12.22"/>
    <s v="Sessão Faturada"/>
    <n v="9.5056587232713997E+17"/>
    <n v="52491"/>
    <s v="Unidade Vieiralves"/>
    <n v="167908"/>
    <m/>
  </r>
  <r>
    <x v="15"/>
    <x v="10"/>
    <s v="Ana Georgina Viga Lacorte"/>
    <s v="Feminino"/>
    <x v="2"/>
    <x v="2"/>
    <s v="20103492 - Fisioterapia - Patologia Em Dois Ou Mais Membros (R$ 14,83)"/>
    <s v="Fisioterapia"/>
    <n v="1703511777"/>
    <s v="Finalizado (5/5)"/>
    <n v="13.0504"/>
    <n v="1.7796000000000001"/>
    <n v="14.83"/>
    <s v="Sessão Faturada"/>
    <n v="882749100043010"/>
    <n v="50823"/>
    <s v="Unidade Vieiralves"/>
    <n v="1703511777"/>
    <m/>
  </r>
  <r>
    <x v="15"/>
    <x v="10"/>
    <s v="Anthony Jesus Farias Villarroel"/>
    <s v="Masculino"/>
    <x v="8"/>
    <x v="2"/>
    <s v="20103484 - Patologia Em Um Membro (R$ 12,22)"/>
    <s v="Fisioterapia"/>
    <n v="1706507316"/>
    <s v="Finalizado (3/5)"/>
    <n v="10.7536"/>
    <n v="1.4663999999999999"/>
    <n v="12.22"/>
    <s v="Sessão Faturada"/>
    <n v="954600016969020"/>
    <n v="53566"/>
    <s v="Unidade Vieiralves"/>
    <n v="1706507316"/>
    <m/>
  </r>
  <r>
    <x v="15"/>
    <x v="11"/>
    <s v="Anthony Jesus Farias Villarroel"/>
    <s v="Masculino"/>
    <x v="8"/>
    <x v="2"/>
    <s v="20103115 - Atividade Reflexa Cinesioterápica (R$ 20,81)"/>
    <s v="Fisioterapia"/>
    <n v="1706508148"/>
    <s v="Finalizado (3/4)"/>
    <n v="18.312799999999999"/>
    <n v="2.4971999999999999"/>
    <n v="20.81"/>
    <s v="Sessão Faturada"/>
    <n v="954600016969020"/>
    <n v="53566"/>
    <s v="Unidade Vieiralves"/>
    <n v="1706508148"/>
    <m/>
  </r>
  <r>
    <x v="15"/>
    <x v="11"/>
    <s v="Ana Georgina Viga Lacorte"/>
    <s v="Feminino"/>
    <x v="2"/>
    <x v="2"/>
    <s v="20103115 - Atividade Reflexa Cinesioterápica (R$ 20,81)"/>
    <s v="Fisioterapia"/>
    <n v="1703512061"/>
    <s v="Finalizado (5/5)"/>
    <n v="18.312799999999999"/>
    <n v="2.4971999999999999"/>
    <n v="20.81"/>
    <s v="Sessão Faturada"/>
    <n v="882749100043010"/>
    <n v="50823"/>
    <s v="Unidade Vieiralves"/>
    <n v="1703512061"/>
    <m/>
  </r>
  <r>
    <x v="15"/>
    <x v="11"/>
    <s v="Zoma Araújo"/>
    <s v="Masculino"/>
    <x v="12"/>
    <x v="2"/>
    <s v="31602185 - Estimulação Elétrica Transcutânea (Tens) (R$ 49,00)"/>
    <s v="Fisioterapia"/>
    <n v="10267695"/>
    <s v="Finalizado (10/10)"/>
    <n v="43.12"/>
    <n v="5.88"/>
    <n v="49"/>
    <s v="Sessão Faturada"/>
    <n v="9.5056587232713997E+17"/>
    <n v="52491"/>
    <s v="Unidade Vieiralves"/>
    <n v="10267695"/>
    <m/>
  </r>
  <r>
    <x v="15"/>
    <x v="12"/>
    <s v="Larissa Maciel de Souza"/>
    <m/>
    <x v="8"/>
    <x v="2"/>
    <s v="20103115 - Atividade Reflexa Cinesioterápica (R$ 20,81)"/>
    <s v="Fisioterapia"/>
    <n v="1707548590"/>
    <s v="Finalizado (1/5)"/>
    <n v="18.312799999999999"/>
    <n v="2.4971999999999999"/>
    <n v="20.81"/>
    <s v="Sessão a Faturar"/>
    <n v="954510161900010"/>
    <n v="59253"/>
    <s v="Unidade Vieiralves"/>
    <n v="1707548590"/>
    <m/>
  </r>
  <r>
    <x v="15"/>
    <x v="12"/>
    <s v="Larissa Maciel de Souza"/>
    <m/>
    <x v="8"/>
    <x v="2"/>
    <s v="20103484 - Patologia Em Um Membro (R$ 12,22)"/>
    <s v="Fisioterapia"/>
    <n v="1707548250"/>
    <s v="Finalizado (1/5)"/>
    <n v="10.7536"/>
    <n v="1.4663999999999999"/>
    <n v="12.22"/>
    <s v="Sessão a Faturar"/>
    <n v="954510161900010"/>
    <n v="59253"/>
    <s v="Unidade Vieiralves"/>
    <n v="1707548250"/>
    <m/>
  </r>
  <r>
    <x v="16"/>
    <x v="22"/>
    <s v="Maria de Nazare Frota de Oliveira"/>
    <s v="Feminino"/>
    <x v="1"/>
    <x v="2"/>
    <s v="50000160 - Fisioterapia Ortopédica (R$ 20,00), 98980327 - Taxa de Eletroterapia (Tens) (R$ 15,00)"/>
    <s v="Fisioterapia"/>
    <n v="8750113"/>
    <s v="Finalizado (10/10)"/>
    <n v="30.8"/>
    <n v="4.2"/>
    <n v="35"/>
    <s v="Sessão Faturada"/>
    <s v="0501013884910089"/>
    <n v="59237"/>
    <s v="Unidade Vieiralves"/>
    <n v="8750113"/>
    <s v="Guia assinada!"/>
  </r>
  <r>
    <x v="16"/>
    <x v="22"/>
    <s v="Paulo Roberto Pires de Sousa"/>
    <s v="Masculino"/>
    <x v="18"/>
    <x v="2"/>
    <s v="50000160 - Fisioterapia Ortopedica - Pacote (R$ 25,00)"/>
    <s v="Fisioterapia"/>
    <n v="170798"/>
    <s v="Finalizado (1/10)"/>
    <n v="22"/>
    <n v="3"/>
    <n v="25"/>
    <s v="Sessão a Faturar"/>
    <s v="00"/>
    <n v="59565"/>
    <s v="Unidade Vieiralves"/>
    <n v="170798"/>
    <m/>
  </r>
  <r>
    <x v="16"/>
    <x v="0"/>
    <s v="Katia Rodrigues Freitas"/>
    <s v="Feminino"/>
    <x v="6"/>
    <x v="2"/>
    <s v="20103492 - Patologia Em Dois Ou Mais Membros (R$ 30,26), 20103506 - Patologia Em Um Segmento da Coluna (R$ 14,16)"/>
    <s v="Fisioterapia"/>
    <n v="170343"/>
    <s v="Finalizado (1/10)"/>
    <n v="39.089599999999997"/>
    <n v="5.3304"/>
    <n v="44.42"/>
    <s v="Sessão a Faturar"/>
    <s v="54588888004873140018"/>
    <n v="58935"/>
    <s v="Unidade Vieiralves"/>
    <n v="170343"/>
    <m/>
  </r>
  <r>
    <x v="16"/>
    <x v="1"/>
    <s v="Katia Rodrigues Freitas"/>
    <s v="Feminino"/>
    <x v="6"/>
    <x v="2"/>
    <s v="31602185 - Estimulação Elétrica Transcutanea (Tens) (R$ 40,00)"/>
    <s v="Fisioterapia"/>
    <n v="170819"/>
    <s v="Finalizado (1/10)"/>
    <n v="35.200000000000003"/>
    <n v="4.8"/>
    <n v="40"/>
    <s v="Sessão a Faturar"/>
    <s v="54588888004873140018"/>
    <n v="58935"/>
    <s v="Unidade Vieiralves"/>
    <n v="170819"/>
    <m/>
  </r>
  <r>
    <x v="16"/>
    <x v="4"/>
    <s v="Jefferson Castro Simplicio"/>
    <s v="Masculino"/>
    <x v="2"/>
    <x v="2"/>
    <s v="20103115 - Atividade Reflexa Cinesioterápica (R$ 20,81)"/>
    <s v="Fisioterapia"/>
    <n v="1707990687"/>
    <s v="Finalizado (1/2)"/>
    <n v="18.312799999999999"/>
    <n v="2.4971999999999999"/>
    <n v="20.81"/>
    <s v="Sessão Faturada"/>
    <n v="960130225177000"/>
    <n v="43518"/>
    <s v="Unidade Vieiralves"/>
    <n v="1707990687"/>
    <m/>
  </r>
  <r>
    <x v="16"/>
    <x v="4"/>
    <s v="Daniel de Moura Alves"/>
    <s v="Masculino"/>
    <x v="2"/>
    <x v="2"/>
    <s v="20103484 - Fisioterapia - Patologia Em Um Membro (R$ 12,22), 20103506 - Fisioterapia - Patologia Em Um Segmento da Coluna (R$ 12,22)"/>
    <s v="Fisioterapia"/>
    <n v="1705854680"/>
    <s v="Finalizado (3/5)"/>
    <n v="21.507200000000001"/>
    <n v="2.9327999999999999"/>
    <n v="24.44"/>
    <s v="Sessão Faturada"/>
    <n v="774063007471000"/>
    <n v="58683"/>
    <s v="Unidade Vieiralves"/>
    <n v="1705854680"/>
    <m/>
  </r>
  <r>
    <x v="16"/>
    <x v="4"/>
    <s v="Jefferson Castro Simplicio"/>
    <s v="Masculino"/>
    <x v="2"/>
    <x v="2"/>
    <s v="20103514 - Fisioterapia - Patologia Em Diferentes Segmentos da Coluna (R$ 14,83)"/>
    <s v="Fisioterapia"/>
    <n v="1707989374"/>
    <s v="Finalizado (1/5)"/>
    <n v="13.0504"/>
    <n v="1.7796000000000001"/>
    <n v="14.83"/>
    <s v="Sessão Faturada"/>
    <n v="960130225177000"/>
    <n v="43518"/>
    <s v="Unidade Vieiralves"/>
    <n v="1707989374"/>
    <m/>
  </r>
  <r>
    <x v="16"/>
    <x v="4"/>
    <s v="Fernanda Santos Fachinello"/>
    <s v="Feminino"/>
    <x v="1"/>
    <x v="2"/>
    <s v="50000160 - Fisioterapia Ortopédica (R$ 20,00), 98980327 - Taxa de Eletroterapia (Tens) (R$ 15,00)"/>
    <s v="Fisioterapia"/>
    <n v="9167027"/>
    <s v="Finalizado (3/10)"/>
    <n v="30.8"/>
    <n v="4.2"/>
    <n v="35"/>
    <s v="Sessão Faturada"/>
    <n v="1301014095850300"/>
    <n v="21927"/>
    <s v="Unidade Vieiralves"/>
    <n v="9167027"/>
    <m/>
  </r>
  <r>
    <x v="16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3/10)"/>
    <n v="30.8"/>
    <n v="4.2"/>
    <n v="35"/>
    <s v="Sessão Faturada"/>
    <s v="0501012567250102"/>
    <n v="59272"/>
    <s v="Unidade Vieiralves"/>
    <n v="9086970"/>
    <m/>
  </r>
  <r>
    <x v="16"/>
    <x v="5"/>
    <s v="Daniel de Moura Alves"/>
    <s v="Masculino"/>
    <x v="2"/>
    <x v="2"/>
    <s v="20103115 - Atividade Reflexa Cinesioterápica (R$ 20,81)"/>
    <s v="Fisioterapia"/>
    <n v="1705856972"/>
    <s v="Finalizado (3/5)"/>
    <n v="18.312799999999999"/>
    <n v="2.4971999999999999"/>
    <n v="20.81"/>
    <s v="Sessão Faturada"/>
    <n v="774063007471000"/>
    <n v="58683"/>
    <s v="Unidade Vieiralves"/>
    <n v="1705856972"/>
    <m/>
  </r>
  <r>
    <x v="16"/>
    <x v="6"/>
    <s v="Valério Ladeira Luniere"/>
    <s v="Masculino"/>
    <x v="1"/>
    <x v="2"/>
    <s v="50000160 - Fisioterapia Ortopédica (R$ 20,00), 98980327 - Taxa de Eletroterapia (Tens) (R$ 15,00)"/>
    <s v="Fisioterapia"/>
    <n v="8942286"/>
    <s v="Finalizado (7/10)"/>
    <n v="30.8"/>
    <n v="4.2"/>
    <n v="35"/>
    <s v="Sessão Faturada"/>
    <s v="0901013476020085"/>
    <n v="4590"/>
    <s v="Unidade Vieiralves"/>
    <n v="8942286"/>
    <m/>
  </r>
  <r>
    <x v="16"/>
    <x v="6"/>
    <s v="Felipe Lunieri dos Santos"/>
    <s v="Masculino"/>
    <x v="2"/>
    <x v="2"/>
    <s v="20103484 - Fisioterapia - Patologia Em Um Membro (R$ 12,22)"/>
    <s v="Fisioterapia"/>
    <n v="1706986367"/>
    <s v="Finalizado (2/5)"/>
    <n v="10.7536"/>
    <n v="1.4663999999999999"/>
    <n v="12.22"/>
    <s v="Sessão Faturada"/>
    <n v="774642009164010"/>
    <n v="43924"/>
    <s v="Unidade Vieiralves"/>
    <n v="1706986367"/>
    <m/>
  </r>
  <r>
    <x v="16"/>
    <x v="7"/>
    <s v="Felipe Lunieri dos Santos"/>
    <s v="Masculino"/>
    <x v="2"/>
    <x v="2"/>
    <s v="20103115 - Atividade Reflexa Cinesioterápica (R$ 20,81)"/>
    <s v="Fisioterapia"/>
    <n v="1706987494"/>
    <s v="Finalizado (2/2)"/>
    <n v="18.312799999999999"/>
    <n v="2.4971999999999999"/>
    <n v="20.81"/>
    <s v="Sessão Faturada"/>
    <n v="774642009164010"/>
    <n v="43924"/>
    <s v="Unidade Vieiralves"/>
    <n v="1706987494"/>
    <m/>
  </r>
  <r>
    <x v="16"/>
    <x v="15"/>
    <s v="Nauber de Castro Guimarães"/>
    <s v="Masculino"/>
    <x v="1"/>
    <x v="2"/>
    <s v="50000160 - Fisioterapia Ortopédica (R$ 20,00), 98980327 - Taxa de Eletroterapia (Tens) (R$ 15,00)"/>
    <s v="Fisioterapia"/>
    <n v="8712526"/>
    <s v="Finalizado (9/9)"/>
    <n v="30.8"/>
    <n v="4.2"/>
    <n v="35"/>
    <s v="Sessão Faturada"/>
    <n v="1901012887750100"/>
    <n v="44369"/>
    <s v="Unidade Vieiralves"/>
    <n v="8712526"/>
    <m/>
  </r>
  <r>
    <x v="16"/>
    <x v="17"/>
    <s v="Franciane de Souza Gomes"/>
    <s v="Feminino"/>
    <x v="2"/>
    <x v="2"/>
    <s v="20103492 - Fisioterapia - Patologia Em Dois Ou Mais Membros (R$ 14,83)"/>
    <s v="Fisioterapia"/>
    <n v="1704932630"/>
    <s v="Finalizado (5/5)"/>
    <n v="13.0504"/>
    <n v="1.7796000000000001"/>
    <n v="14.83"/>
    <s v="Sessão Faturada"/>
    <n v="973700009598000"/>
    <n v="16642"/>
    <s v="Unidade Vieiralves"/>
    <n v="1704932630"/>
    <m/>
  </r>
  <r>
    <x v="16"/>
    <x v="17"/>
    <s v="Jamilson Oliveira dos Santos"/>
    <s v="Masculino"/>
    <x v="6"/>
    <x v="2"/>
    <s v="20103484 - Patologia Em Um Membro (R$ 14,16)"/>
    <s v="Fisioterapia"/>
    <n v="169825"/>
    <s v="Finalizado (2/10)"/>
    <n v="12.460800000000001"/>
    <n v="1.6992"/>
    <n v="14.16"/>
    <s v="Sessão a Faturar"/>
    <s v="55788888488869430020"/>
    <n v="48962"/>
    <s v="Unidade Vieiralves"/>
    <n v="169825"/>
    <m/>
  </r>
  <r>
    <x v="16"/>
    <x v="18"/>
    <s v="Jamilson Oliveira dos Santos"/>
    <s v="Masculino"/>
    <x v="6"/>
    <x v="2"/>
    <s v="31602185 - Estimulação Elétrica Transcutanea (Tens) (R$ 40,00)"/>
    <s v="Fisioterapia"/>
    <n v="169827"/>
    <s v="Finalizado (2/10)"/>
    <n v="35.200000000000003"/>
    <n v="4.8"/>
    <n v="40"/>
    <s v="Sessão a Faturar"/>
    <s v="55788888488869430020"/>
    <n v="48962"/>
    <s v="Unidade Vieiralves"/>
    <n v="169827"/>
    <m/>
  </r>
  <r>
    <x v="16"/>
    <x v="18"/>
    <s v="Franciane de Souza Gomes"/>
    <s v="Feminino"/>
    <x v="2"/>
    <x v="2"/>
    <s v="20103115 - Atividade Reflexa Cinesioterápica (R$ 20,81)"/>
    <s v="Fisioterapia"/>
    <n v="1704933473"/>
    <s v="Finalizado (5/5)"/>
    <n v="18.312799999999999"/>
    <n v="2.4971999999999999"/>
    <n v="20.81"/>
    <s v="Sessão Faturada"/>
    <n v="973700009598000"/>
    <n v="16642"/>
    <s v="Unidade Vieiralves"/>
    <n v="1704933473"/>
    <m/>
  </r>
  <r>
    <x v="16"/>
    <x v="8"/>
    <s v="Antonio Jorge Martins de Queiroz"/>
    <s v="Masculino"/>
    <x v="10"/>
    <x v="2"/>
    <s v="50000160 - Fisioterapia Ortopédica (R$ 15,00)"/>
    <s v="Fisioterapia"/>
    <n v="15098530"/>
    <s v="Finalizado (2/10)"/>
    <n v="13.2"/>
    <n v="1.8"/>
    <n v="15"/>
    <s v="Sessão Faturada"/>
    <s v="00010064268023001"/>
    <n v="59517"/>
    <s v="Unidade Vieiralves"/>
    <n v="15098530"/>
    <m/>
  </r>
  <r>
    <x v="16"/>
    <x v="12"/>
    <s v="Jonathan Campos Damasceno"/>
    <s v="Feminino"/>
    <x v="2"/>
    <x v="2"/>
    <s v="20103484 - Fisioterapia - Patologia Em Um Membro (R$ 12,22), 20103506 - Fisioterapia - Patologia Em Um Segmento da Coluna (R$ 12,22)"/>
    <s v="Fisioterapia"/>
    <n v="1705976856"/>
    <s v="Finalizado (3/3)"/>
    <n v="21.507200000000001"/>
    <n v="2.9327999999999999"/>
    <n v="24.44"/>
    <s v="Sessão Faturada"/>
    <n v="771015058220000"/>
    <n v="38316"/>
    <s v="Unidade Vieiralves"/>
    <n v="1705976856"/>
    <m/>
  </r>
  <r>
    <x v="16"/>
    <x v="19"/>
    <s v="Jonathan Campos Damasceno"/>
    <s v="Feminino"/>
    <x v="2"/>
    <x v="2"/>
    <s v="20103115 - Atividade Reflexa Cinesioterápica (R$ 20,81)"/>
    <s v="Fisioterapia"/>
    <n v="1705962528"/>
    <s v="Finalizado (3/3)"/>
    <n v="18.312799999999999"/>
    <n v="2.4971999999999999"/>
    <n v="20.81"/>
    <s v="Sessão Faturada"/>
    <n v="771015058220000"/>
    <n v="38316"/>
    <s v="Unidade Vieiralves"/>
    <n v="1705962528"/>
    <m/>
  </r>
  <r>
    <x v="17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1/10)"/>
    <n v="30.8"/>
    <n v="4.2"/>
    <n v="35"/>
    <s v="Sessão Faturada"/>
    <s v="0501013884910089"/>
    <n v="59237"/>
    <s v="Unidade Vieiralves"/>
    <n v="9245426"/>
    <m/>
  </r>
  <r>
    <x v="17"/>
    <x v="22"/>
    <s v="Larissa Bastos Nunes"/>
    <s v="Feminino"/>
    <x v="2"/>
    <x v="2"/>
    <s v="20103484 - Fisioterapia - Patologia Em Um Membro (R$ 12,22)"/>
    <s v="Fisioterapia"/>
    <n v="1705186719"/>
    <s v="Finalizado (4/5)"/>
    <n v="10.7536"/>
    <n v="1.4663999999999999"/>
    <n v="12.22"/>
    <s v="Sessão Faturada"/>
    <n v="610821790001010"/>
    <n v="59312"/>
    <s v="Unidade Vieiralves"/>
    <n v="1705186719"/>
    <m/>
  </r>
  <r>
    <x v="17"/>
    <x v="22"/>
    <s v="José Lucas Araújo Félix"/>
    <s v="Masculino"/>
    <x v="1"/>
    <x v="2"/>
    <s v="50000144 - Consulta de Fisioterapia (R$ 16,00)"/>
    <s v="Fisioterapia"/>
    <n v="9240671"/>
    <s v="Finalizado (1/1)"/>
    <n v="14.4"/>
    <n v="1.6"/>
    <n v="16"/>
    <s v="Sessão Faturada"/>
    <s v="0901013995630119"/>
    <n v="59576"/>
    <s v="Unidade Vieiralves"/>
    <n v="9240671"/>
    <m/>
  </r>
  <r>
    <x v="17"/>
    <x v="22"/>
    <s v="Jandui Diniz Araujo"/>
    <s v="Masculino"/>
    <x v="2"/>
    <x v="2"/>
    <s v="20103492 - Fisioterapia - Patologia Em Dois Ou Mais Membros (R$ 14,83)"/>
    <s v="Fisioterapia"/>
    <n v="1706378880"/>
    <s v="Finalizado (3/10)"/>
    <n v="13.0504"/>
    <n v="1.7796000000000001"/>
    <n v="14.83"/>
    <s v="Sessão Faturada"/>
    <n v="836407200035000"/>
    <n v="42187"/>
    <s v="Unidade Vieiralves"/>
    <n v="1706378880"/>
    <m/>
  </r>
  <r>
    <x v="17"/>
    <x v="22"/>
    <s v="Jandui Diniz Araujo"/>
    <s v="Masculino"/>
    <x v="2"/>
    <x v="2"/>
    <s v="20103115 - Atividade Reflexa Cinesioterápica (R$ 20,81)"/>
    <s v="Fisioterapia"/>
    <n v="1706379513"/>
    <s v="Finalizado (3/3)"/>
    <n v="18.312799999999999"/>
    <n v="2.4971999999999999"/>
    <n v="20.81"/>
    <s v="Sessão Faturada"/>
    <n v="836407200035000"/>
    <n v="42187"/>
    <s v="Unidade Vieiralves"/>
    <n v="1706379513"/>
    <m/>
  </r>
  <r>
    <x v="17"/>
    <x v="23"/>
    <s v="José Lucas Araújo Félix"/>
    <s v="Masculino"/>
    <x v="1"/>
    <x v="2"/>
    <s v="50000160 - Fisioterapia Ortopédica (R$ 20,00), 98980327 - Taxa de Eletroterapia (Tens) (R$ 15,00)"/>
    <s v="Fisioterapia"/>
    <n v="9249456"/>
    <s v="Finalizado (1/1)"/>
    <n v="30.8"/>
    <n v="4.2"/>
    <n v="35"/>
    <s v="Sessão Faturada"/>
    <s v="0901013995630119"/>
    <n v="59576"/>
    <s v="Unidade Vieiralves"/>
    <n v="9249456"/>
    <m/>
  </r>
  <r>
    <x v="17"/>
    <x v="0"/>
    <s v="Anna Danielle Oliveira dos Santos Cardozo"/>
    <s v="Feminino"/>
    <x v="2"/>
    <x v="2"/>
    <s v="20103115 - Atividade Reflexa Cinesioterápica (R$ 20,81)"/>
    <s v="Fisioterapia"/>
    <n v="1706458614"/>
    <s v="Finalizado (3/3)"/>
    <n v="18.312799999999999"/>
    <n v="2.4971999999999999"/>
    <n v="20.81"/>
    <s v="Sessão Faturada"/>
    <n v="830416700230010"/>
    <n v="57193"/>
    <s v="Unidade Vieiralves"/>
    <n v="1706458614"/>
    <m/>
  </r>
  <r>
    <x v="17"/>
    <x v="0"/>
    <s v="Anna Danielle Oliveira dos Santos Cardozo"/>
    <s v="Feminino"/>
    <x v="2"/>
    <x v="2"/>
    <s v="20103492 - Fisioterapia - Patologia Em Dois Ou Mais Membros (R$ 14,83)"/>
    <s v="Fisioterapia"/>
    <n v="1706457872"/>
    <s v="Finalizado (3/10)"/>
    <n v="13.0504"/>
    <n v="1.7796000000000001"/>
    <n v="14.83"/>
    <s v="Sessão a Faturar"/>
    <n v="830416700230010"/>
    <n v="57193"/>
    <s v="Unidade Vieiralves"/>
    <n v="1706457872"/>
    <m/>
  </r>
  <r>
    <x v="17"/>
    <x v="2"/>
    <s v="Ruan Sayone Braga e Silva"/>
    <s v="Masculino"/>
    <x v="19"/>
    <x v="2"/>
    <s v="20103484 - Patol. Em Um Membro (R$ 58,02)"/>
    <s v="Fisioterapia"/>
    <n v="5923220"/>
    <s v="Finalizado (1/4)"/>
    <n v="51.057600000000001"/>
    <n v="6.9623999999999997"/>
    <n v="58.02"/>
    <s v="Sessão Faturada"/>
    <s v="0001000129480069"/>
    <n v="50056"/>
    <s v="Unidade Vieiralves"/>
    <n v="5923220"/>
    <m/>
  </r>
  <r>
    <x v="17"/>
    <x v="2"/>
    <s v="Mara Regina Kossoski Felix"/>
    <s v="Feminino"/>
    <x v="18"/>
    <x v="2"/>
    <s v="50000160 - Fisioterapia Ortopedica - Pacote (R$ 25,00)"/>
    <s v="Fisioterapia"/>
    <n v="169568"/>
    <s v="Não compareceu (2/10)"/>
    <n v="25"/>
    <n v="0"/>
    <n v="25"/>
    <s v="Sessão a Faturar"/>
    <s v="000004622"/>
    <n v="59446"/>
    <s v="Unidade Vieiralves"/>
    <n v="169568"/>
    <m/>
  </r>
  <r>
    <x v="17"/>
    <x v="2"/>
    <s v="Ruan Sayone Braga e Silva"/>
    <s v="Masculino"/>
    <x v="19"/>
    <x v="2"/>
    <s v="90050215 - Avaliação de Fisioterapia (R$ 121,33)"/>
    <s v="Fisioterapia"/>
    <n v="5923140"/>
    <s v="Finalizado (1/1)"/>
    <n v="109.197"/>
    <n v="12.132999999999999"/>
    <n v="121.33"/>
    <s v="Sessão Faturada"/>
    <s v="0001000129480069"/>
    <n v="50056"/>
    <s v="Unidade Vieiralves"/>
    <n v="5923140"/>
    <m/>
  </r>
  <r>
    <x v="17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4/10)"/>
    <n v="30.8"/>
    <n v="4.2"/>
    <n v="35"/>
    <s v="Sessão Faturada"/>
    <s v="0501012567250102"/>
    <n v="59272"/>
    <s v="Unidade Vieiralves"/>
    <n v="9086970"/>
    <m/>
  </r>
  <r>
    <x v="17"/>
    <x v="13"/>
    <s v="Fernanda Santos Fachinello"/>
    <s v="Feminino"/>
    <x v="1"/>
    <x v="2"/>
    <s v="50000160 - Fisioterapia Ortopédica (R$ 20,00), 98980327 - Taxa de Eletroterapia (Tens) (R$ 15,00)"/>
    <s v="Fisioterapia"/>
    <n v="9167027"/>
    <s v="Finalizado (4/10)"/>
    <n v="30.8"/>
    <n v="4.2"/>
    <n v="35"/>
    <s v="Sessão Faturada"/>
    <n v="1301014095850300"/>
    <n v="21927"/>
    <s v="Unidade Vieiralves"/>
    <n v="9167027"/>
    <m/>
  </r>
  <r>
    <x v="17"/>
    <x v="13"/>
    <s v="Frank Figueiredo Cesar"/>
    <s v="Feminino"/>
    <x v="2"/>
    <x v="2"/>
    <s v="50000144 - Avaliação de Fisioterapia (R$ 51,42)"/>
    <s v="Fisioterapia"/>
    <n v="1709179483"/>
    <s v="Finalizado (1/1)"/>
    <n v="46.277999999999999"/>
    <n v="5.1420000000000003"/>
    <n v="51.42"/>
    <s v="Sessão Faturada"/>
    <n v="840382100019010"/>
    <n v="59567"/>
    <s v="Unidade Vieiralves"/>
    <n v="1709179483"/>
    <m/>
  </r>
  <r>
    <x v="17"/>
    <x v="31"/>
    <s v="Frank Figueiredo Cesar"/>
    <s v="Feminino"/>
    <x v="2"/>
    <x v="2"/>
    <s v="20103514 - Fisioterapia - Patologia Em Diferentes Segmentos da Coluna (R$ 14,83)"/>
    <s v="Fisioterapia"/>
    <n v="1709180301"/>
    <s v="Finalizado (1/4)"/>
    <n v="13.0504"/>
    <n v="1.7796000000000001"/>
    <n v="14.83"/>
    <s v="Sessão Faturada"/>
    <n v="840382100019010"/>
    <n v="59567"/>
    <s v="Unidade Vieiralves"/>
    <n v="1709180301"/>
    <m/>
  </r>
  <r>
    <x v="17"/>
    <x v="32"/>
    <s v="Frank Figueiredo Cesar"/>
    <s v="Feminino"/>
    <x v="2"/>
    <x v="2"/>
    <s v="20103115 - Atividade Reflexa Cinesioterápica (R$ 20,81)"/>
    <s v="Fisioterapia"/>
    <n v="1709181154"/>
    <s v="Finalizado (1/2)"/>
    <n v="18.312799999999999"/>
    <n v="2.4971999999999999"/>
    <n v="20.81"/>
    <s v="Sessão Faturada"/>
    <n v="840382100019010"/>
    <n v="59567"/>
    <s v="Unidade Vieiralves"/>
    <n v="1709181154"/>
    <m/>
  </r>
  <r>
    <x v="17"/>
    <x v="15"/>
    <s v="Francisco Lima da Silva"/>
    <s v="Masculino"/>
    <x v="2"/>
    <x v="2"/>
    <s v="20103492 - Fisioterapia - Patologia Em Dois Ou Mais Membros (R$ 14,83)"/>
    <s v="Fisioterapia"/>
    <n v="1709177993"/>
    <s v="Finalizado (1/5)"/>
    <n v="13.0504"/>
    <n v="1.7796000000000001"/>
    <n v="14.83"/>
    <s v="Sessão Faturada"/>
    <n v="774981007706010"/>
    <n v="52427"/>
    <s v="Unidade Vieiralves"/>
    <n v="1709177993"/>
    <m/>
  </r>
  <r>
    <x v="17"/>
    <x v="16"/>
    <s v="Francisco Lima da Silva"/>
    <s v="Masculino"/>
    <x v="2"/>
    <x v="2"/>
    <s v="20103115 - Atividade Reflexa Cinesioterápica (R$ 20,81)"/>
    <s v="Fisioterapia"/>
    <n v="1709179098"/>
    <s v="Finalizado (1/2)"/>
    <n v="18.312799999999999"/>
    <n v="2.4971999999999999"/>
    <n v="20.81"/>
    <s v="Sessão Faturada"/>
    <n v="774981007706010"/>
    <n v="52427"/>
    <s v="Unidade Vieiralves"/>
    <n v="1709179098"/>
    <m/>
  </r>
  <r>
    <x v="17"/>
    <x v="17"/>
    <s v="Anthony Jesus Farias Villarroel"/>
    <s v="Masculino"/>
    <x v="8"/>
    <x v="2"/>
    <s v="20103484 - Patologia Em Um Membro (R$ 12,22)"/>
    <s v="Fisioterapia"/>
    <n v="1706507316"/>
    <s v="Finalizado (4/5)"/>
    <n v="10.7536"/>
    <n v="1.4663999999999999"/>
    <n v="12.22"/>
    <s v="Sessão Faturada"/>
    <n v="954600016969020"/>
    <n v="53566"/>
    <s v="Unidade Vieiralves"/>
    <n v="1706507316"/>
    <m/>
  </r>
  <r>
    <x v="17"/>
    <x v="24"/>
    <s v="Anthony Jesus Farias Villarroel"/>
    <s v="Masculino"/>
    <x v="8"/>
    <x v="2"/>
    <s v="20103115 - Atividade Reflexa Cinesioterápica (R$ 20,81)"/>
    <s v="Fisioterapia"/>
    <n v="1706508148"/>
    <s v="Finalizado (4/4)"/>
    <n v="18.312799999999999"/>
    <n v="2.4971999999999999"/>
    <n v="20.81"/>
    <s v="Sessão Faturada"/>
    <n v="954600016969020"/>
    <n v="53566"/>
    <s v="Unidade Vieiralves"/>
    <n v="1706508148"/>
    <m/>
  </r>
  <r>
    <x v="17"/>
    <x v="25"/>
    <s v="Anthony Jesus Farias Villarroel"/>
    <s v="Masculino"/>
    <x v="9"/>
    <x v="2"/>
    <s v="31602185 - Estimulação Elétrica Transcutânea (Tens) - Removido 13/04/2026 (R$ 40,00)"/>
    <s v="Fisioterapia"/>
    <n v="1709227578"/>
    <s v="Finalizado (1/5)"/>
    <n v="35.200000000000003"/>
    <n v="4.8"/>
    <n v="40"/>
    <s v="Sessão Faturada"/>
    <n v="954600016969020"/>
    <n v="53566"/>
    <s v="Unidade Vieiralves"/>
    <n v="1709227578"/>
    <m/>
  </r>
  <r>
    <x v="17"/>
    <x v="8"/>
    <s v="Jamilson Oliveira dos Santos"/>
    <s v="Masculino"/>
    <x v="6"/>
    <x v="2"/>
    <s v="20103484 - Patologia Em Um Membro (R$ 14,16)"/>
    <s v="Fisioterapia"/>
    <n v="169825"/>
    <s v="Finalizado (3/10)"/>
    <n v="12.460800000000001"/>
    <n v="1.6992"/>
    <n v="14.16"/>
    <s v="Sessão a Faturar"/>
    <s v="55788888488869430020"/>
    <n v="48962"/>
    <s v="Unidade Vieiralves"/>
    <n v="169825"/>
    <m/>
  </r>
  <r>
    <x v="17"/>
    <x v="8"/>
    <s v="Jamilson Oliveira dos Santos"/>
    <s v="Masculino"/>
    <x v="6"/>
    <x v="2"/>
    <s v="31602185 - Estimulação Elétrica Transcutanea (Tens) (R$ 40,00)"/>
    <s v="Fisioterapia"/>
    <n v="169827"/>
    <s v="Finalizado (3/10)"/>
    <n v="35.200000000000003"/>
    <n v="4.8"/>
    <n v="40"/>
    <s v="Sessão a Faturar"/>
    <s v="55788888488869430020"/>
    <n v="48962"/>
    <s v="Unidade Vieiralves"/>
    <n v="169827"/>
    <m/>
  </r>
  <r>
    <x v="17"/>
    <x v="8"/>
    <s v="Cizia Freitas de Silva Costa"/>
    <s v="Feminino"/>
    <x v="2"/>
    <x v="2"/>
    <s v="20103492 - Fisioterapia - Patologia Em Dois Ou Mais Membros (R$ 14,83)"/>
    <s v="Fisioterapia"/>
    <n v="1709241178"/>
    <s v="Finalizado (1/6)"/>
    <n v="13.0504"/>
    <n v="1.7796000000000001"/>
    <n v="14.83"/>
    <s v="Sessão a Faturar"/>
    <n v="960016147089050"/>
    <n v="46973"/>
    <s v="Unidade Vieiralves"/>
    <n v="1709241178"/>
    <m/>
  </r>
  <r>
    <x v="17"/>
    <x v="10"/>
    <s v="Mcluhan Teixeira Grijo"/>
    <s v="Masculino"/>
    <x v="5"/>
    <x v="2"/>
    <s v="98860011 - Fisioterapia Complexidade 1 - 04/03/2026 (R$ 53,00)"/>
    <s v="Fisioterapia"/>
    <n v="76664020"/>
    <s v="Finalizado (4/10)"/>
    <n v="46.64"/>
    <n v="6.36"/>
    <n v="53"/>
    <s v="Sessão Faturada"/>
    <s v="0101072415000314"/>
    <n v="51264"/>
    <s v="Unidade Vieiralves"/>
    <n v="76664020"/>
    <m/>
  </r>
  <r>
    <x v="17"/>
    <x v="10"/>
    <s v="Ana Georgina Viga Lacorte"/>
    <s v="Feminino"/>
    <x v="4"/>
    <x v="2"/>
    <s v="31602185 - Estimulação Elétrica Transcutânea - Removido 13/04/2026 (R$ 40,00)"/>
    <s v="Fisioterapia"/>
    <n v="1709250183"/>
    <s v="Finalizado (1/5)"/>
    <n v="35.200000000000003"/>
    <n v="4.8"/>
    <n v="40"/>
    <s v="Sessão Faturada"/>
    <n v="882749100043010"/>
    <n v="50823"/>
    <s v="Unidade Vieiralves"/>
    <n v="1709250183"/>
    <m/>
  </r>
  <r>
    <x v="17"/>
    <x v="10"/>
    <s v="Ana Georgina Viga Lacorte"/>
    <s v="Feminino"/>
    <x v="2"/>
    <x v="2"/>
    <s v="20103492 - Fisioterapia - Patologia Em Dois Ou Mais Membros (R$ 14,83)"/>
    <s v="Fisioterapia"/>
    <n v="1709244820"/>
    <s v="Finalizado (1/10)"/>
    <n v="13.0504"/>
    <n v="1.7796000000000001"/>
    <n v="14.83"/>
    <s v="Sessão Faturada"/>
    <n v="882749100043010"/>
    <n v="50823"/>
    <s v="Unidade Vieiralves"/>
    <n v="1709244820"/>
    <m/>
  </r>
  <r>
    <x v="17"/>
    <x v="10"/>
    <s v="Antonio Jorge Martins de Queiroz"/>
    <s v="Masculino"/>
    <x v="10"/>
    <x v="2"/>
    <s v="50000160 - Fisioterapia Ortopédica (R$ 15,00)"/>
    <s v="Fisioterapia"/>
    <n v="15098530"/>
    <s v="Finalizado (3/10)"/>
    <n v="13.2"/>
    <n v="1.8"/>
    <n v="15"/>
    <s v="Sessão Faturada"/>
    <s v="00010064268023001"/>
    <n v="59517"/>
    <s v="Unidade Vieiralves"/>
    <n v="15098530"/>
    <m/>
  </r>
  <r>
    <x v="17"/>
    <x v="11"/>
    <s v="Mcluhan Teixeira Grijo"/>
    <s v="Masculino"/>
    <x v="5"/>
    <x v="2"/>
    <s v="31602185 - Estimulação Elétrica Transcutânea (Tens) - 04/03/2026 (R$ 120,28)"/>
    <s v="Fisioterapia"/>
    <n v="76665250"/>
    <s v="Finalizado (4/10)"/>
    <n v="105.8464"/>
    <n v="14.4336"/>
    <n v="120.28"/>
    <s v="Sessão Faturada"/>
    <s v="0101072415000314"/>
    <n v="51264"/>
    <s v="Unidade Vieiralves"/>
    <n v="76665250"/>
    <m/>
  </r>
  <r>
    <x v="17"/>
    <x v="11"/>
    <s v="Ana Georgina Viga Lacorte"/>
    <s v="Feminino"/>
    <x v="2"/>
    <x v="2"/>
    <s v="20103115 - Atividade Reflexa Cinesioterápica (R$ 20,81)"/>
    <s v="Fisioterapia"/>
    <n v="1709245247"/>
    <s v="Finalizado (1/1)"/>
    <n v="18.312799999999999"/>
    <n v="2.4971999999999999"/>
    <n v="20.81"/>
    <s v="Sessão Faturada"/>
    <n v="882749100043010"/>
    <n v="50823"/>
    <s v="Unidade Vieiralves"/>
    <n v="1709245247"/>
    <m/>
  </r>
  <r>
    <x v="17"/>
    <x v="12"/>
    <s v="Vanderson de Lima Silva"/>
    <s v="Masculino"/>
    <x v="0"/>
    <x v="2"/>
    <s v="50000160 - Fisioterapia Ortopedica (R$ 49,72)"/>
    <s v="Fisioterapia"/>
    <s v="42263120260227372403"/>
    <s v="Finalizado (2/10)"/>
    <n v="43.753599999999999"/>
    <n v="5.9664000000000001"/>
    <n v="49.72"/>
    <s v="Sessão Faturada"/>
    <s v="010245156200"/>
    <n v="42714"/>
    <s v="Unidade Vieiralves"/>
    <s v="42263120260227372403"/>
    <m/>
  </r>
  <r>
    <x v="17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2/10)"/>
    <n v="47.634399999999999"/>
    <n v="6.4955999999999996"/>
    <n v="54.13"/>
    <s v="Sessão Faturada"/>
    <s v="010245156200"/>
    <n v="42714"/>
    <s v="Unidade Vieiralves"/>
    <s v="42263120260227372449"/>
    <m/>
  </r>
  <r>
    <x v="18"/>
    <x v="22"/>
    <s v="Jandui Diniz Araujo"/>
    <s v="Masculino"/>
    <x v="2"/>
    <x v="2"/>
    <s v="20103492 - Fisioterapia - Patologia Em Dois Ou Mais Membros (R$ 14,83)"/>
    <s v="Fisioterapia"/>
    <n v="1706378880"/>
    <s v="Finalizado (4/10)"/>
    <n v="13.0504"/>
    <n v="1.7796000000000001"/>
    <n v="14.83"/>
    <s v="Sessão Faturada"/>
    <n v="836407200035000"/>
    <n v="42187"/>
    <s v="Unidade Vieiralves"/>
    <n v="1706378880"/>
    <m/>
  </r>
  <r>
    <x v="18"/>
    <x v="22"/>
    <s v="Jefferson Castro Simplicio"/>
    <s v="Masculino"/>
    <x v="2"/>
    <x v="2"/>
    <s v="20103514 - Fisioterapia - Patologia Em Diferentes Segmentos da Coluna (R$ 14,83)"/>
    <s v="Fisioterapia"/>
    <n v="1707989374"/>
    <s v="Finalizado (2/5)"/>
    <n v="13.0504"/>
    <n v="1.7796000000000001"/>
    <n v="14.83"/>
    <s v="Sessão Faturada"/>
    <n v="960130225177000"/>
    <n v="43518"/>
    <s v="Unidade Vieiralves"/>
    <n v="1707989374"/>
    <m/>
  </r>
  <r>
    <x v="18"/>
    <x v="22"/>
    <s v="Paulo Roberto Pires de Sousa"/>
    <s v="Masculino"/>
    <x v="18"/>
    <x v="2"/>
    <s v="50000160 - Fisioterapia Ortopedica - Pacote (R$ 25,00)"/>
    <s v="Fisioterapia"/>
    <n v="170798"/>
    <s v="Finalizado (2/10)"/>
    <n v="22"/>
    <n v="3"/>
    <n v="25"/>
    <s v="Sessão a Faturar"/>
    <s v="00"/>
    <n v="59565"/>
    <s v="Unidade Vieiralves"/>
    <n v="170798"/>
    <m/>
  </r>
  <r>
    <x v="18"/>
    <x v="23"/>
    <s v="Jefferson Castro Simplicio"/>
    <s v="Masculino"/>
    <x v="2"/>
    <x v="2"/>
    <s v="20103115 - Atividade Reflexa Cinesioterápica (R$ 20,81)"/>
    <s v="Fisioterapia"/>
    <n v="1707990687"/>
    <s v="Finalizado (2/2)"/>
    <n v="18.312799999999999"/>
    <n v="2.4971999999999999"/>
    <n v="20.81"/>
    <s v="Sessão Faturada"/>
    <n v="960130225177000"/>
    <n v="43518"/>
    <s v="Unidade Vieiralves"/>
    <n v="1707990687"/>
    <m/>
  </r>
  <r>
    <x v="18"/>
    <x v="0"/>
    <s v="Anna Danielle Oliveira dos Santos Cardozo"/>
    <s v="Feminino"/>
    <x v="2"/>
    <x v="2"/>
    <s v="20103492 - Fisioterapia - Patologia Em Dois Ou Mais Membros (R$ 14,83)"/>
    <s v="Fisioterapia"/>
    <n v="1706457872"/>
    <s v="Finalizado (4/10)"/>
    <n v="13.0504"/>
    <n v="1.7796000000000001"/>
    <n v="14.83"/>
    <s v="Sessão a Faturar"/>
    <n v="830416700230010"/>
    <n v="57193"/>
    <s v="Unidade Vieiralves"/>
    <n v="1706457872"/>
    <m/>
  </r>
  <r>
    <x v="18"/>
    <x v="0"/>
    <s v="Suely Borges da Silva"/>
    <s v="Feminino"/>
    <x v="6"/>
    <x v="2"/>
    <s v="20103492 - Patologia Em Dois Ou Mais Membros (R$ 30,26)"/>
    <s v="Fisioterapia"/>
    <n v="169532"/>
    <s v="Finalizado (5/5)"/>
    <n v="26.628799999999998"/>
    <n v="3.6312000000000002"/>
    <n v="30.26"/>
    <s v="Sessão a Faturar"/>
    <s v="55788888489898650014"/>
    <n v="59150"/>
    <s v="Unidade Vieiralves"/>
    <n v="169532"/>
    <m/>
  </r>
  <r>
    <x v="18"/>
    <x v="1"/>
    <s v="Suely Borges da Silva"/>
    <s v="Feminino"/>
    <x v="6"/>
    <x v="2"/>
    <s v="31602185 - Estimulação Elétrica Transcutanea (Tens) (R$ 40,00)"/>
    <s v="Fisioterapia"/>
    <n v="169847"/>
    <s v="Finalizado (5/5)"/>
    <n v="35.200000000000003"/>
    <n v="4.8"/>
    <n v="40"/>
    <s v="Sessão a Faturar"/>
    <s v="55788888489898650014"/>
    <n v="59150"/>
    <s v="Unidade Vieiralves"/>
    <n v="169847"/>
    <m/>
  </r>
  <r>
    <x v="18"/>
    <x v="2"/>
    <s v="Joziane Lira dos Santos Pereira"/>
    <s v="Feminino"/>
    <x v="8"/>
    <x v="2"/>
    <s v="20103492 - Patologia Em Dois Ou Mais Membros (R$ 14,83)"/>
    <s v="Fisioterapia"/>
    <n v="1709727952"/>
    <s v="Finalizado (1/8)"/>
    <n v="13.0504"/>
    <n v="1.7796000000000001"/>
    <n v="14.83"/>
    <s v="Sessão a Faturar"/>
    <n v="954600002739000"/>
    <n v="35514"/>
    <s v="Unidade Vieiralves"/>
    <n v="1709727952"/>
    <m/>
  </r>
  <r>
    <x v="18"/>
    <x v="2"/>
    <s v="Katia Rodrigues Freitas"/>
    <s v="Feminino"/>
    <x v="6"/>
    <x v="2"/>
    <s v="20103492 - Patologia Em Dois Ou Mais Membros (R$ 30,26), 20103506 - Patologia Em Um Segmento da Coluna (R$ 14,16)"/>
    <s v="Fisioterapia"/>
    <n v="170343"/>
    <s v="Finalizado (2/10)"/>
    <n v="39.089599999999997"/>
    <n v="5.3304"/>
    <n v="44.42"/>
    <s v="Sessão a Faturar"/>
    <s v="54588888004873140018"/>
    <n v="58935"/>
    <s v="Unidade Vieiralves"/>
    <n v="170343"/>
    <m/>
  </r>
  <r>
    <x v="18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05854680"/>
    <s v="Finalizado (4/5)"/>
    <n v="21.507200000000001"/>
    <n v="2.9327999999999999"/>
    <n v="24.44"/>
    <s v="Sessão Faturada"/>
    <n v="774063007471000"/>
    <n v="58683"/>
    <s v="Unidade Vieiralves"/>
    <n v="1705854680"/>
    <m/>
  </r>
  <r>
    <x v="18"/>
    <x v="3"/>
    <s v="Katia Rodrigues Freitas"/>
    <s v="Feminino"/>
    <x v="6"/>
    <x v="2"/>
    <s v="31602185 - Estimulação Elétrica Transcutanea (Tens) (R$ 40,00)"/>
    <s v="Fisioterapia"/>
    <n v="170819"/>
    <s v="Finalizado (2/10)"/>
    <n v="35.200000000000003"/>
    <n v="4.8"/>
    <n v="40"/>
    <s v="Sessão a Faturar"/>
    <s v="54588888004873140018"/>
    <n v="58935"/>
    <s v="Unidade Vieiralves"/>
    <n v="170819"/>
    <m/>
  </r>
  <r>
    <x v="18"/>
    <x v="3"/>
    <s v="Daniel de Moura Alves"/>
    <s v="Masculino"/>
    <x v="2"/>
    <x v="2"/>
    <s v="20103115 - Atividade Reflexa Cinesioterápica (R$ 20,81)"/>
    <s v="Fisioterapia"/>
    <n v="1705856972"/>
    <s v="Finalizado (4/5)"/>
    <n v="18.312799999999999"/>
    <n v="2.4971999999999999"/>
    <n v="20.81"/>
    <s v="Sessão Faturada"/>
    <n v="774063007471000"/>
    <n v="58683"/>
    <s v="Unidade Vieiralves"/>
    <n v="1705856972"/>
    <m/>
  </r>
  <r>
    <x v="18"/>
    <x v="4"/>
    <s v="Fabiana Nunes de Souza"/>
    <s v="Feminino"/>
    <x v="10"/>
    <x v="2"/>
    <s v="50000160 - Fisioterapia Ortopédica (R$ 15,00)"/>
    <s v="Fisioterapia"/>
    <n v="15095050"/>
    <s v="Finalizado (5/10)"/>
    <n v="13.2"/>
    <n v="1.8"/>
    <n v="15"/>
    <s v="Sessão Faturada"/>
    <s v="00010064268224006"/>
    <n v="50502"/>
    <s v="Unidade Vieiralves"/>
    <n v="15095050"/>
    <m/>
  </r>
  <r>
    <x v="18"/>
    <x v="6"/>
    <s v="Valério Ladeira Luniere"/>
    <s v="Masculino"/>
    <x v="1"/>
    <x v="2"/>
    <s v="50000160 - Fisioterapia Ortopédica (R$ 20,00), 98980327 - Taxa de Eletroterapia (Tens) (R$ 15,00)"/>
    <s v="Fisioterapia"/>
    <n v="8942286"/>
    <s v="Finalizado (8/10)"/>
    <n v="30.8"/>
    <n v="4.2"/>
    <n v="35"/>
    <s v="Sessão Faturada"/>
    <s v="0901013476020085"/>
    <n v="4590"/>
    <s v="Unidade Vieiralves"/>
    <n v="8942286"/>
    <m/>
  </r>
  <r>
    <x v="18"/>
    <x v="15"/>
    <s v="Isadora Vitorino Grana"/>
    <s v="Feminino"/>
    <x v="13"/>
    <x v="2"/>
    <s v="20103514 - Patologia Em Diferentes Segmentos da Coluna (R$ 41,45)"/>
    <s v="Fisioterapia"/>
    <n v="13593606"/>
    <s v="Finalizado (4/10)"/>
    <n v="36.475999999999999"/>
    <n v="4.9740000000000002"/>
    <n v="41.45"/>
    <s v="Sessão Faturada"/>
    <s v="00010300035963020"/>
    <n v="56556"/>
    <s v="Unidade Vieiralves"/>
    <n v="13593606"/>
    <m/>
  </r>
  <r>
    <x v="18"/>
    <x v="17"/>
    <s v="Anthony Jesus Farias Villarroel"/>
    <s v="Masculino"/>
    <x v="8"/>
    <x v="2"/>
    <s v="20103484 - Patologia Em Um Membro (R$ 12,22)"/>
    <s v="Fisioterapia"/>
    <n v="1706507316"/>
    <s v="Finalizado (5/5)"/>
    <n v="10.7536"/>
    <n v="1.4663999999999999"/>
    <n v="12.22"/>
    <s v="Sessão Faturada"/>
    <n v="954600016969020"/>
    <n v="53566"/>
    <s v="Unidade Vieiralves"/>
    <n v="1706507316"/>
    <m/>
  </r>
  <r>
    <x v="18"/>
    <x v="18"/>
    <s v="Anthony Jesus Farias Villarroel"/>
    <s v="Masculino"/>
    <x v="9"/>
    <x v="2"/>
    <s v="31602185 - Estimulação Elétrica Transcutânea (Tens) - Removido 13/04/2026 (R$ 40,00)"/>
    <s v="Fisioterapia"/>
    <n v="1709227578"/>
    <s v="Finalizado (2/5)"/>
    <n v="35.200000000000003"/>
    <n v="4.8"/>
    <n v="40"/>
    <s v="Sessão Faturada"/>
    <n v="954600016969020"/>
    <n v="53566"/>
    <s v="Unidade Vieiralves"/>
    <n v="1709227578"/>
    <m/>
  </r>
  <r>
    <x v="18"/>
    <x v="8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5/9)"/>
    <n v="26.1008"/>
    <n v="3.5592000000000001"/>
    <n v="29.66"/>
    <s v="Sessão Faturada"/>
    <n v="775216013765020"/>
    <n v="59283"/>
    <s v="Unidade Vieiralves"/>
    <n v="1703978801"/>
    <m/>
  </r>
  <r>
    <x v="18"/>
    <x v="8"/>
    <s v="James Alcantara de Lima"/>
    <s v="Masculino"/>
    <x v="6"/>
    <x v="2"/>
    <s v="20103514 - Patologia Em Dois Ou Mais Segmentos da Coluna (R$ 32,82)"/>
    <s v="Fisioterapia"/>
    <n v="171167"/>
    <s v="Finalizado (1/10)"/>
    <n v="28.881599999999999"/>
    <n v="3.9384000000000001"/>
    <n v="32.82"/>
    <s v="Sessão a Faturar"/>
    <s v="54588888018315590015"/>
    <n v="59229"/>
    <s v="Unidade Vieiralves"/>
    <n v="171167"/>
    <m/>
  </r>
  <r>
    <x v="18"/>
    <x v="9"/>
    <s v="Simone Gouveia Góes"/>
    <s v="Feminino"/>
    <x v="2"/>
    <x v="2"/>
    <s v="20103115 - Atividade Reflexa Cinesioterápica (R$ 20,81)"/>
    <s v="Fisioterapia"/>
    <n v="1703979813"/>
    <s v="Finalizado (5/5)"/>
    <n v="18.312799999999999"/>
    <n v="2.4971999999999999"/>
    <n v="20.81"/>
    <s v="Sessão Faturada"/>
    <n v="775216013765020"/>
    <n v="59283"/>
    <s v="Unidade Vieiralves"/>
    <n v="1703979813"/>
    <m/>
  </r>
  <r>
    <x v="18"/>
    <x v="9"/>
    <s v="James Alcantara de Lima"/>
    <s v="Masculino"/>
    <x v="6"/>
    <x v="2"/>
    <s v="31602185 - Estimulação Elétrica Transcutanea (Tens) (R$ 40,00)"/>
    <s v="Fisioterapia"/>
    <n v="171251"/>
    <s v="Finalizado (1/10)"/>
    <n v="35.200000000000003"/>
    <n v="4.8"/>
    <n v="40"/>
    <s v="Sessão a Faturar"/>
    <s v="54588888018315590015"/>
    <n v="59229"/>
    <s v="Unidade Vieiralves"/>
    <n v="171251"/>
    <m/>
  </r>
  <r>
    <x v="18"/>
    <x v="10"/>
    <s v="Ana Georgina Viga Lacorte"/>
    <s v="Feminino"/>
    <x v="4"/>
    <x v="2"/>
    <s v="31602185 - Estimulação Elétrica Transcutânea - Removido 13/04/2026 (R$ 40,00)"/>
    <s v="Fisioterapia"/>
    <n v="1709250183"/>
    <s v="Finalizado (2/5)"/>
    <n v="35.200000000000003"/>
    <n v="4.8"/>
    <n v="40"/>
    <s v="Sessão Faturada"/>
    <n v="882749100043010"/>
    <n v="50823"/>
    <s v="Unidade Vieiralves"/>
    <n v="1709250183"/>
    <m/>
  </r>
  <r>
    <x v="18"/>
    <x v="10"/>
    <s v="Ana Georgina Viga Lacorte"/>
    <s v="Feminino"/>
    <x v="2"/>
    <x v="2"/>
    <s v="20103492 - Fisioterapia - Patologia Em Dois Ou Mais Membros (R$ 14,83)"/>
    <s v="Fisioterapia"/>
    <n v="1709244820"/>
    <s v="Finalizado (2/10)"/>
    <n v="13.0504"/>
    <n v="1.7796000000000001"/>
    <n v="14.83"/>
    <s v="Sessão Faturada"/>
    <n v="882749100043010"/>
    <n v="50823"/>
    <s v="Unidade Vieiralves"/>
    <n v="1709244820"/>
    <m/>
  </r>
  <r>
    <x v="18"/>
    <x v="12"/>
    <s v="Adriana Fideles Lima Gomes"/>
    <s v="Feminino"/>
    <x v="2"/>
    <x v="2"/>
    <s v="50000144 - Avaliação de Fisioterapia (R$ 51,42)"/>
    <s v="Fisioterapia"/>
    <n v="1709878615"/>
    <s v="Finalizado (1/1)"/>
    <n v="46.277999999999999"/>
    <n v="5.1420000000000003"/>
    <n v="51.42"/>
    <s v="Sessão Faturada"/>
    <n v="774239001350050"/>
    <n v="59556"/>
    <s v="Unidade Vieiralves"/>
    <n v="1709878615"/>
    <m/>
  </r>
  <r>
    <x v="18"/>
    <x v="12"/>
    <s v="Vanderson de Lima Silva"/>
    <s v="Masculino"/>
    <x v="0"/>
    <x v="2"/>
    <s v="50000160 - Fisioterapia Ortopedica (R$ 49,72)"/>
    <s v="Fisioterapia"/>
    <s v="42263120260227372403"/>
    <s v="Finalizado (3/10)"/>
    <n v="43.753599999999999"/>
    <n v="5.9664000000000001"/>
    <n v="49.72"/>
    <s v="Sessão Faturada"/>
    <s v="010245156200"/>
    <n v="42714"/>
    <s v="Unidade Vieiralves"/>
    <s v="42263120260227372403"/>
    <m/>
  </r>
  <r>
    <x v="18"/>
    <x v="12"/>
    <s v="Adriana Fideles Lima Gomes"/>
    <s v="Feminino"/>
    <x v="2"/>
    <x v="2"/>
    <s v="20103484 - Fisioterapia - Patologia Em Um Membro (R$ 12,22)"/>
    <s v="Fisioterapia"/>
    <n v="1709879015"/>
    <s v="Finalizado (1/2)"/>
    <n v="10.7536"/>
    <n v="1.4663999999999999"/>
    <n v="12.22"/>
    <s v="Sessão Faturada"/>
    <n v="774239001350050"/>
    <n v="59556"/>
    <s v="Unidade Vieiralves"/>
    <n v="1709879015"/>
    <m/>
  </r>
  <r>
    <x v="18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3/10)"/>
    <n v="47.634399999999999"/>
    <n v="6.4955999999999996"/>
    <n v="54.13"/>
    <s v="Sessão Faturada"/>
    <s v="010245156200"/>
    <n v="42714"/>
    <s v="Unidade Vieiralves"/>
    <s v="42263120260227372449"/>
    <m/>
  </r>
  <r>
    <x v="19"/>
    <x v="0"/>
    <s v="Chirly Ribeiro de Souza Lira"/>
    <s v="Feminino"/>
    <x v="2"/>
    <x v="2"/>
    <s v="50000144 - Avaliação de Fisioterapia (R$ 51,42)"/>
    <s v="Fisioterapia"/>
    <n v="1710961002"/>
    <s v="Finalizado (1/1)"/>
    <n v="46.277999999999999"/>
    <n v="5.1420000000000003"/>
    <n v="51.42"/>
    <s v="Sessão Faturada"/>
    <n v="771015039004010"/>
    <n v="47661"/>
    <s v="Unidade Vieiralves"/>
    <n v="1710961002"/>
    <m/>
  </r>
  <r>
    <x v="19"/>
    <x v="0"/>
    <s v="Suely Borges da Silva"/>
    <s v="Feminino"/>
    <x v="6"/>
    <x v="2"/>
    <s v="20103492 - Patologia Em Dois Ou Mais Membros (R$ 30,26)"/>
    <s v="Fisioterapia"/>
    <n v="171356"/>
    <s v="Finalizado (2/5)"/>
    <n v="26.628799999999998"/>
    <n v="3.6312000000000002"/>
    <n v="30.26"/>
    <s v="Sessão a Faturar"/>
    <s v="55788888489898650014"/>
    <n v="59150"/>
    <s v="Unidade Vieiralves"/>
    <n v="171356"/>
    <m/>
  </r>
  <r>
    <x v="19"/>
    <x v="0"/>
    <s v="Ruan Sayone Braga e Silva"/>
    <s v="Masculino"/>
    <x v="19"/>
    <x v="2"/>
    <s v="20103484 - Patol. Em Um Membro (R$ 58,02)"/>
    <s v="Fisioterapia"/>
    <n v="5923220"/>
    <s v="Finalizado (3/4)"/>
    <n v="51.057600000000001"/>
    <n v="6.9623999999999997"/>
    <n v="58.02"/>
    <s v="Sessão Faturada"/>
    <s v="0001000129480069"/>
    <n v="50056"/>
    <s v="Unidade Vieiralves"/>
    <n v="5923220"/>
    <m/>
  </r>
  <r>
    <x v="19"/>
    <x v="1"/>
    <s v="Chirly Ribeiro de Souza Lira"/>
    <s v="Feminino"/>
    <x v="2"/>
    <x v="2"/>
    <s v="20103484 - Fisioterapia - Patologia Em Um Membro (R$ 12,22), 20103514 - Fisioterapia - Patologia Em Diferentes Segmentos da Coluna (R$ 14,83)"/>
    <s v="Fisioterapia"/>
    <n v="1710963718"/>
    <s v="Finalizado (1/3)"/>
    <n v="23.803999999999998"/>
    <n v="3.246"/>
    <n v="27.05"/>
    <s v="Sessão Faturada"/>
    <n v="771015039004010"/>
    <n v="47661"/>
    <s v="Unidade Vieiralves"/>
    <n v="1710963718"/>
    <m/>
  </r>
  <r>
    <x v="19"/>
    <x v="1"/>
    <s v="Suely Borges da Silva"/>
    <s v="Feminino"/>
    <x v="6"/>
    <x v="2"/>
    <s v="31602185 - Estimulação Elétrica Transcutanea (Tens) (R$ 40,00)"/>
    <s v="Fisioterapia"/>
    <n v="171361"/>
    <s v="Finalizado (2/5)"/>
    <n v="35.200000000000003"/>
    <n v="4.8"/>
    <n v="40"/>
    <s v="Sessão a Faturar"/>
    <s v="55788888489898650014"/>
    <n v="59150"/>
    <s v="Unidade Vieiralves"/>
    <n v="171361"/>
    <m/>
  </r>
  <r>
    <x v="19"/>
    <x v="2"/>
    <s v="Vania Maria Lima da Silva Aracaty"/>
    <s v="Feminino"/>
    <x v="5"/>
    <x v="2"/>
    <s v="98860011 - Fisioterapia Complexidade 1 (R$ 55,26)"/>
    <s v="Fisioterapia"/>
    <n v="79185120"/>
    <s v="Finalizado (2/10)"/>
    <n v="48.628799999999998"/>
    <n v="6.6311999999999998"/>
    <n v="55.26"/>
    <s v="Sessão a Faturar"/>
    <s v="0100275211060174"/>
    <n v="56455"/>
    <s v="Unidade Vieiralves"/>
    <n v="79185120"/>
    <m/>
  </r>
  <r>
    <x v="19"/>
    <x v="2"/>
    <s v="Joziane Lira dos Santos Pereira"/>
    <s v="Feminino"/>
    <x v="8"/>
    <x v="2"/>
    <s v="20103492 - Patologia Em Dois Ou Mais Membros (R$ 14,83)"/>
    <s v="Fisioterapia"/>
    <n v="1709727952"/>
    <s v="Finalizado (2/8)"/>
    <n v="13.0504"/>
    <n v="1.7796000000000001"/>
    <n v="14.83"/>
    <s v="Sessão a Faturar"/>
    <n v="954600002739000"/>
    <n v="35514"/>
    <s v="Unidade Vieiralves"/>
    <n v="1709727952"/>
    <m/>
  </r>
  <r>
    <x v="19"/>
    <x v="3"/>
    <s v="Vania Maria Lima da Silva Aracaty"/>
    <s v="Feminino"/>
    <x v="5"/>
    <x v="2"/>
    <s v="31602185 - Estimulação Elétrica Transcutânea (Tens) (R$ 125,40)"/>
    <s v="Fisioterapia"/>
    <n v="79185170"/>
    <s v="Finalizado (2/10)"/>
    <n v="110.352"/>
    <n v="15.048"/>
    <n v="125.4"/>
    <s v="Sessão a Faturar"/>
    <s v="0100275211060174"/>
    <n v="56455"/>
    <s v="Unidade Vieiralves"/>
    <n v="79185170"/>
    <m/>
  </r>
  <r>
    <x v="19"/>
    <x v="4"/>
    <s v="Ana Georgina Viga Lacorte"/>
    <s v="Feminino"/>
    <x v="4"/>
    <x v="2"/>
    <s v="31602185 - Estimulação Elétrica Transcutânea - Removido 13/04/2026 (R$ 40,00)"/>
    <s v="Fisioterapia"/>
    <n v="1709250183"/>
    <s v="Finalizado (3/5)"/>
    <n v="35.200000000000003"/>
    <n v="4.8"/>
    <n v="40"/>
    <s v="Sessão Faturada"/>
    <n v="882749100043010"/>
    <n v="50823"/>
    <s v="Unidade Vieiralves"/>
    <n v="1709250183"/>
    <m/>
  </r>
  <r>
    <x v="19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Finalizado (2/10)"/>
    <n v="30.8"/>
    <n v="4.2"/>
    <n v="35"/>
    <s v="Sessão Faturada"/>
    <n v="1301013043650000"/>
    <n v="57993"/>
    <s v="Unidade Vieiralves"/>
    <n v="9317870"/>
    <s v="Guia assinada!"/>
  </r>
  <r>
    <x v="19"/>
    <x v="4"/>
    <s v="Ana Georgina Viga Lacorte"/>
    <s v="Feminino"/>
    <x v="2"/>
    <x v="2"/>
    <s v="20103492 - Fisioterapia - Patologia Em Dois Ou Mais Membros (R$ 14,83)"/>
    <s v="Fisioterapia"/>
    <n v="1709244820"/>
    <s v="Finalizado (3/10)"/>
    <n v="13.0504"/>
    <n v="1.7796000000000001"/>
    <n v="14.83"/>
    <s v="Sessão Faturada"/>
    <n v="882749100043010"/>
    <n v="50823"/>
    <s v="Unidade Vieiralves"/>
    <n v="1709244820"/>
    <m/>
  </r>
  <r>
    <x v="19"/>
    <x v="4"/>
    <s v="Daniel de Moura Alves"/>
    <s v="Masculino"/>
    <x v="2"/>
    <x v="2"/>
    <s v="20103484 - Fisioterapia - Patologia Em Um Membro (R$ 12,22), 20103506 - Fisioterapia - Patologia Em Um Segmento da Coluna (R$ 12,22)"/>
    <s v="Fisioterapia"/>
    <n v="1705854680"/>
    <s v="Finalizado (5/5)"/>
    <n v="21.507200000000001"/>
    <n v="2.9327999999999999"/>
    <n v="24.44"/>
    <s v="Sessão Faturada"/>
    <n v="774063007471000"/>
    <n v="58683"/>
    <s v="Unidade Vieiralves"/>
    <n v="1705854680"/>
    <m/>
  </r>
  <r>
    <x v="19"/>
    <x v="5"/>
    <s v="Daniel de Moura Alves"/>
    <s v="Masculino"/>
    <x v="2"/>
    <x v="2"/>
    <s v="20103115 - Atividade Reflexa Cinesioterápica (R$ 20,81)"/>
    <s v="Fisioterapia"/>
    <n v="1705856972"/>
    <s v="Finalizado (5/5)"/>
    <n v="18.312799999999999"/>
    <n v="2.4971999999999999"/>
    <n v="20.81"/>
    <s v="Sessão Faturada"/>
    <n v="774063007471000"/>
    <n v="58683"/>
    <s v="Unidade Vieiralves"/>
    <n v="1705856972"/>
    <m/>
  </r>
  <r>
    <x v="19"/>
    <x v="6"/>
    <s v="Erica de Araujo Macedo"/>
    <s v="Feminino"/>
    <x v="1"/>
    <x v="2"/>
    <s v="50000160 - Fisioterapia Ortopédica (R$ 20,00), 98980327 - Taxa de Eletroterapia (Tens) (R$ 15,00)"/>
    <s v="Fisioterapia"/>
    <n v="9192843"/>
    <s v="Finalizado (2/10)"/>
    <n v="30.8"/>
    <n v="4.2"/>
    <n v="35"/>
    <s v="Sessão a Faturar"/>
    <s v="0901013081250088"/>
    <n v="16948"/>
    <s v="Unidade Vieiralves"/>
    <n v="9192843"/>
    <m/>
  </r>
  <r>
    <x v="19"/>
    <x v="15"/>
    <s v="Isadora Vitorino Grana"/>
    <s v="Feminino"/>
    <x v="13"/>
    <x v="2"/>
    <s v="20103514 - Patologia Em Diferentes Segmentos da Coluna (R$ 41,45)"/>
    <s v="Fisioterapia"/>
    <n v="13593606"/>
    <s v="Finalizado (5/10)"/>
    <n v="36.475999999999999"/>
    <n v="4.9740000000000002"/>
    <n v="41.45"/>
    <s v="Sessão Faturada"/>
    <s v="00010300035963020"/>
    <n v="56556"/>
    <s v="Unidade Vieiralves"/>
    <n v="13593606"/>
    <m/>
  </r>
  <r>
    <x v="19"/>
    <x v="17"/>
    <s v="Anthony Jesus Farias Villarroel"/>
    <s v="Masculino"/>
    <x v="8"/>
    <x v="2"/>
    <s v="20103484 - Patologia Em Um Membro (R$ 12,22)"/>
    <s v="Fisioterapia"/>
    <n v="1710475319"/>
    <s v="Finalizado (2/5)"/>
    <n v="10.7536"/>
    <n v="1.4663999999999999"/>
    <n v="12.22"/>
    <s v="Sessão a Faturar"/>
    <n v="954600016969020"/>
    <n v="53566"/>
    <s v="Unidade Vieiralves"/>
    <n v="1710475319"/>
    <m/>
  </r>
  <r>
    <x v="19"/>
    <x v="17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6/9)"/>
    <n v="26.1008"/>
    <n v="3.5592000000000001"/>
    <n v="29.66"/>
    <s v="Sessão Faturada"/>
    <n v="775216013765020"/>
    <n v="59283"/>
    <s v="Unidade Vieiralves"/>
    <n v="1703978801"/>
    <m/>
  </r>
  <r>
    <x v="19"/>
    <x v="17"/>
    <s v="Luis Carlos Pucu de Araujo"/>
    <s v="Masculino"/>
    <x v="2"/>
    <x v="2"/>
    <s v="50000144 - Avaliação de Fisioterapia (R$ 51,42)"/>
    <s v="Fisioterapia"/>
    <n v="1711048122"/>
    <s v="Finalizado (1/1)"/>
    <n v="46.277999999999999"/>
    <n v="5.1420000000000003"/>
    <n v="51.42"/>
    <s v="Sessão Faturada"/>
    <n v="896194000019010"/>
    <n v="59612"/>
    <s v="Unidade Vieiralves"/>
    <n v="1711048122"/>
    <m/>
  </r>
  <r>
    <x v="19"/>
    <x v="18"/>
    <s v="Luis Carlos Pucu de Araujo"/>
    <s v="Masculino"/>
    <x v="2"/>
    <x v="2"/>
    <s v="20103484 - Fisioterapia - Patologia Em Um Membro (R$ 12,22)"/>
    <s v="Fisioterapia"/>
    <n v="1711049248"/>
    <s v="Finalizado (1/5)"/>
    <n v="10.7536"/>
    <n v="1.4663999999999999"/>
    <n v="12.22"/>
    <s v="Sessão Faturada"/>
    <n v="896194000019010"/>
    <n v="59612"/>
    <s v="Unidade Vieiralves"/>
    <n v="1711049248"/>
    <m/>
  </r>
  <r>
    <x v="19"/>
    <x v="18"/>
    <s v="Anthony Jesus Farias Villarroel"/>
    <s v="Masculino"/>
    <x v="9"/>
    <x v="2"/>
    <s v="31602185 - Estimulação Elétrica Transcutânea (Tens) - Removido 13/04/2026 (R$ 40,00)"/>
    <s v="Fisioterapia"/>
    <n v="1709227578"/>
    <s v="Finalizado (4/5)"/>
    <n v="35.200000000000003"/>
    <n v="4.8"/>
    <n v="40"/>
    <s v="Sessão Faturada"/>
    <n v="954600016969020"/>
    <n v="53566"/>
    <s v="Unidade Vieiralves"/>
    <n v="1709227578"/>
    <m/>
  </r>
  <r>
    <x v="19"/>
    <x v="8"/>
    <s v="Jamilson Oliveira dos Santos"/>
    <s v="Masculino"/>
    <x v="6"/>
    <x v="2"/>
    <s v="20103484 - Patologia Em Um Membro (R$ 14,16)"/>
    <s v="Fisioterapia"/>
    <n v="169825"/>
    <s v="Finalizado (4/10)"/>
    <n v="12.460800000000001"/>
    <n v="1.6992"/>
    <n v="14.16"/>
    <s v="Sessão a Faturar"/>
    <s v="55788888488869430020"/>
    <n v="48962"/>
    <s v="Unidade Vieiralves"/>
    <n v="169825"/>
    <m/>
  </r>
  <r>
    <x v="19"/>
    <x v="9"/>
    <s v="Jamilson Oliveira dos Santos"/>
    <s v="Masculino"/>
    <x v="6"/>
    <x v="2"/>
    <s v="31602185 - Estimulação Elétrica Transcutanea (Tens) (R$ 40,00)"/>
    <s v="Fisioterapia"/>
    <n v="169827"/>
    <s v="Finalizado (4/10)"/>
    <n v="35.200000000000003"/>
    <n v="4.8"/>
    <n v="40"/>
    <s v="Sessão a Faturar"/>
    <s v="55788888488869430020"/>
    <n v="48962"/>
    <s v="Unidade Vieiralves"/>
    <n v="169827"/>
    <m/>
  </r>
  <r>
    <x v="19"/>
    <x v="10"/>
    <s v="Francisco Lima da Silva"/>
    <s v="Masculino"/>
    <x v="2"/>
    <x v="2"/>
    <s v="20103492 - Fisioterapia - Patologia Em Dois Ou Mais Membros (R$ 14,83)"/>
    <s v="Fisioterapia"/>
    <n v="1709177993"/>
    <s v="Finalizado (2/5)"/>
    <n v="13.0504"/>
    <n v="1.7796000000000001"/>
    <n v="14.83"/>
    <s v="Sessão Faturada"/>
    <n v="774981007706010"/>
    <n v="52427"/>
    <s v="Unidade Vieiralves"/>
    <n v="1709177993"/>
    <m/>
  </r>
  <r>
    <x v="19"/>
    <x v="11"/>
    <s v="Francisco Lima da Silva"/>
    <s v="Masculino"/>
    <x v="2"/>
    <x v="2"/>
    <s v="20103115 - Atividade Reflexa Cinesioterápica (R$ 20,81)"/>
    <s v="Fisioterapia"/>
    <n v="1709179098"/>
    <s v="Finalizado (2/2)"/>
    <n v="18.312799999999999"/>
    <n v="2.4971999999999999"/>
    <n v="20.81"/>
    <s v="Sessão Faturada"/>
    <n v="774981007706010"/>
    <n v="52427"/>
    <s v="Unidade Vieiralves"/>
    <n v="1709179098"/>
    <m/>
  </r>
  <r>
    <x v="19"/>
    <x v="12"/>
    <s v="Vanderson de Lima Silva"/>
    <s v="Masculino"/>
    <x v="0"/>
    <x v="2"/>
    <s v="50000160 - Fisioterapia Ortopedica (R$ 49,72)"/>
    <s v="Fisioterapia"/>
    <s v="42263120260227372403"/>
    <s v="Finalizado (5/10)"/>
    <n v="43.753599999999999"/>
    <n v="5.9664000000000001"/>
    <n v="49.72"/>
    <s v="Sessão Faturada"/>
    <s v="010245156200"/>
    <n v="42714"/>
    <s v="Unidade Vieiralves"/>
    <s v="42263120260227372403"/>
    <m/>
  </r>
  <r>
    <x v="19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5/10)"/>
    <n v="47.634399999999999"/>
    <n v="6.4955999999999996"/>
    <n v="54.13"/>
    <s v="Sessão Faturada"/>
    <s v="010245156200"/>
    <n v="42714"/>
    <s v="Unidade Vieiralves"/>
    <s v="42263120260227372449"/>
    <m/>
  </r>
  <r>
    <x v="20"/>
    <x v="22"/>
    <s v="Paulo Victor Gomes de Lima"/>
    <s v="Masculino"/>
    <x v="6"/>
    <x v="2"/>
    <s v="50000144 - Avaliação de Fisioterapia (R$ 56,52)"/>
    <s v="Fisioterapia"/>
    <n v="7700047225"/>
    <s v="Finalizado (1/1)"/>
    <n v="50.868000000000002"/>
    <n v="5.6520000000000001"/>
    <n v="56.52"/>
    <s v="Sessão Faturada"/>
    <s v="56788888486747620014"/>
    <n v="59590"/>
    <s v="Unidade Vieiralves"/>
    <n v="7700047225"/>
    <m/>
  </r>
  <r>
    <x v="20"/>
    <x v="22"/>
    <s v="Minervina Lucia Marques Fonseca"/>
    <s v="Feminino"/>
    <x v="0"/>
    <x v="2"/>
    <s v="50000160 - Fisioterapia Ortopedica (R$ 49,72)"/>
    <s v="Fisioterapia"/>
    <s v="42263120260227375135"/>
    <s v="Finalizado (8/10)"/>
    <n v="43.753599999999999"/>
    <n v="5.9664000000000001"/>
    <n v="49.72"/>
    <s v="Sessão Faturada"/>
    <s v="010650809004"/>
    <n v="40041"/>
    <s v="Unidade Vieiralves"/>
    <s v="42263120260227375135"/>
    <m/>
  </r>
  <r>
    <x v="20"/>
    <x v="22"/>
    <s v="Paulo Victor Gomes de Lima"/>
    <s v="Masculino"/>
    <x v="6"/>
    <x v="2"/>
    <s v="20103514 - Patologia Em Dois Ou Mais Segmentos da Coluna (R$ 32,82)"/>
    <s v="Fisioterapia"/>
    <n v="171656"/>
    <s v="Finalizado (1/1)"/>
    <n v="28.881599999999999"/>
    <n v="3.9384000000000001"/>
    <n v="32.82"/>
    <s v="Sessão a Faturar"/>
    <s v="56788888486747620014"/>
    <n v="59590"/>
    <s v="Unidade Vieiralves"/>
    <n v="171656"/>
    <m/>
  </r>
  <r>
    <x v="20"/>
    <x v="22"/>
    <s v="Paulo Victor Gomes de Lima"/>
    <s v="Masculino"/>
    <x v="6"/>
    <x v="2"/>
    <s v="31602185 - Estimulação Elétrica Transcutanea (Tens) (R$ 40,00)"/>
    <s v="Fisioterapia"/>
    <n v="171658"/>
    <s v="Finalizado (1/1)"/>
    <n v="35.200000000000003"/>
    <n v="4.8"/>
    <n v="40"/>
    <s v="Sessão a Faturar"/>
    <s v="56788888486747620014"/>
    <n v="59590"/>
    <s v="Unidade Vieiralves"/>
    <n v="171658"/>
    <m/>
  </r>
  <r>
    <x v="20"/>
    <x v="22"/>
    <s v="Paulo Roberto Pires de Sousa"/>
    <s v="Masculino"/>
    <x v="18"/>
    <x v="2"/>
    <s v="50000160 - Fisioterapia Ortopedica - Pacote (R$ 25,00)"/>
    <s v="Fisioterapia"/>
    <n v="170798"/>
    <s v="Finalizado (3/10)"/>
    <n v="22"/>
    <n v="3"/>
    <n v="25"/>
    <s v="Sessão a Faturar"/>
    <s v="00"/>
    <n v="59565"/>
    <s v="Unidade Vieiralves"/>
    <n v="170798"/>
    <m/>
  </r>
  <r>
    <x v="20"/>
    <x v="23"/>
    <s v="Minervina Lucia Marques Fonseca"/>
    <s v="Feminino"/>
    <x v="0"/>
    <x v="2"/>
    <s v="31602185 - Estimulação Elétrica Transcutânea Fisioterapia (Novo - 01/12) (R$ 54,13)"/>
    <s v="Fisioterapia"/>
    <n v="4.2263120227375E+16"/>
    <s v="Finalizado (8/10)"/>
    <n v="47.634399999999999"/>
    <n v="6.4955999999999996"/>
    <n v="54.13"/>
    <s v="Sessão Faturada"/>
    <s v="010650809004"/>
    <n v="40041"/>
    <s v="Unidade Vieiralves"/>
    <n v="4.2263120227375E+16"/>
    <m/>
  </r>
  <r>
    <x v="20"/>
    <x v="0"/>
    <s v="Chirly Ribeiro de Souza Lira"/>
    <s v="Feminino"/>
    <x v="2"/>
    <x v="2"/>
    <s v="20103484 - Fisioterapia - Patologia Em Um Membro (R$ 12,22), 20103514 - Fisioterapia - Patologia Em Diferentes Segmentos da Coluna (R$ 14,83)"/>
    <s v="Fisioterapia"/>
    <n v="1710963718"/>
    <s v="Finalizado (2/3)"/>
    <n v="23.803999999999998"/>
    <n v="3.246"/>
    <n v="27.05"/>
    <s v="Sessão Faturada"/>
    <n v="771015039004010"/>
    <n v="47661"/>
    <s v="Unidade Vieiralves"/>
    <n v="1710963718"/>
    <m/>
  </r>
  <r>
    <x v="20"/>
    <x v="0"/>
    <s v="Jandui Diniz Araujo"/>
    <s v="Masculino"/>
    <x v="4"/>
    <x v="2"/>
    <s v="31602185 - Estimulação Elétrica Transcutânea - Removido 13/04/2026 (R$ 40,00)"/>
    <s v="Fisioterapia"/>
    <n v="1711555972"/>
    <s v="Finalizado (1/5)"/>
    <n v="35.200000000000003"/>
    <n v="4.8"/>
    <n v="40"/>
    <s v="Sessão a Faturar"/>
    <n v="836407200035000"/>
    <n v="42187"/>
    <s v="Unidade Vieiralves"/>
    <n v="1711555972"/>
    <m/>
  </r>
  <r>
    <x v="20"/>
    <x v="0"/>
    <s v="Jandui Diniz Araujo"/>
    <s v="Masculino"/>
    <x v="2"/>
    <x v="2"/>
    <s v="20103492 - Fisioterapia - Patologia Em Dois Ou Mais Membros (R$ 14,83)"/>
    <s v="Fisioterapia"/>
    <n v="1706378880"/>
    <s v="Finalizado (6/10)"/>
    <n v="13.0504"/>
    <n v="1.7796000000000001"/>
    <n v="14.83"/>
    <s v="Sessão Faturada"/>
    <n v="836407200035000"/>
    <n v="42187"/>
    <s v="Unidade Vieiralves"/>
    <n v="1706378880"/>
    <m/>
  </r>
  <r>
    <x v="20"/>
    <x v="2"/>
    <s v="Mara Regina Kossoski Felix"/>
    <s v="Feminino"/>
    <x v="18"/>
    <x v="2"/>
    <s v="50000160 - Fisioterapia Ortopedica - Pacote (R$ 25,00)"/>
    <s v="Fisioterapia"/>
    <n v="169568"/>
    <s v="Finalizado (3/10)"/>
    <n v="22"/>
    <n v="3"/>
    <n v="25"/>
    <s v="Sessão a Faturar"/>
    <s v="000004622"/>
    <n v="59446"/>
    <s v="Unidade Vieiralves"/>
    <n v="169568"/>
    <m/>
  </r>
  <r>
    <x v="20"/>
    <x v="2"/>
    <s v="Davi Ferreira Gadelha"/>
    <s v="Masculino"/>
    <x v="2"/>
    <x v="2"/>
    <s v="20103514 - Fisioterapia - Patologia Em Diferentes Segmentos da Coluna (R$ 14,83)"/>
    <s v="Fisioterapia"/>
    <n v="1711540478"/>
    <s v="Finalizado (1/6)"/>
    <n v="13.0504"/>
    <n v="1.7796000000000001"/>
    <n v="14.83"/>
    <s v="Sessão a Faturar"/>
    <n v="896128600019030"/>
    <n v="51103"/>
    <s v="Unidade Vieiralves"/>
    <n v="1711540478"/>
    <m/>
  </r>
  <r>
    <x v="20"/>
    <x v="4"/>
    <s v="Virgínia Ketlen dos Santos Xavier"/>
    <s v="Feminino"/>
    <x v="2"/>
    <x v="2"/>
    <s v="50000144 - Avaliação de Fisioterapia (R$ 51,42)"/>
    <s v="Fisioterapia"/>
    <n v="1711594223"/>
    <s v="Finalizado (1/1)"/>
    <n v="46.277999999999999"/>
    <n v="5.1420000000000003"/>
    <n v="51.42"/>
    <s v="Sessão Faturada"/>
    <n v="772901027731010"/>
    <n v="47393"/>
    <s v="Unidade Vieiralves"/>
    <n v="1711594223"/>
    <m/>
  </r>
  <r>
    <x v="20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6/10)"/>
    <n v="30.8"/>
    <n v="4.2"/>
    <n v="35"/>
    <s v="Sessão Faturada"/>
    <s v="0501012567250102"/>
    <n v="59272"/>
    <s v="Unidade Vieiralves"/>
    <n v="9086970"/>
    <m/>
  </r>
  <r>
    <x v="20"/>
    <x v="5"/>
    <s v="Virgínia Ketlen dos Santos Xavier"/>
    <s v="Feminino"/>
    <x v="2"/>
    <x v="2"/>
    <s v="20103514 - Fisioterapia - Patologia Em Diferentes Segmentos da Coluna (R$ 14,83)"/>
    <s v="Fisioterapia"/>
    <n v="1711596901"/>
    <s v="Finalizado (1/10)"/>
    <n v="13.0504"/>
    <n v="1.7796000000000001"/>
    <n v="14.83"/>
    <s v="Sessão a Faturar"/>
    <n v="772901027731010"/>
    <n v="47393"/>
    <s v="Unidade Vieiralves"/>
    <n v="1711596901"/>
    <m/>
  </r>
  <r>
    <x v="20"/>
    <x v="13"/>
    <s v="Jefferson Castro Simplicio"/>
    <s v="Masculino"/>
    <x v="2"/>
    <x v="2"/>
    <s v="20103514 - Fisioterapia - Patologia Em Diferentes Segmentos da Coluna (R$ 14,83)"/>
    <s v="Fisioterapia"/>
    <n v="1707989374"/>
    <s v="Finalizado (3/5)"/>
    <n v="13.0504"/>
    <n v="1.7796000000000001"/>
    <n v="14.83"/>
    <s v="Sessão Faturada"/>
    <n v="960130225177000"/>
    <n v="43518"/>
    <s v="Unidade Vieiralves"/>
    <n v="1707989374"/>
    <m/>
  </r>
  <r>
    <x v="20"/>
    <x v="6"/>
    <s v="Valério Ladeira Luniere"/>
    <s v="Masculino"/>
    <x v="1"/>
    <x v="2"/>
    <s v="50000160 - Fisioterapia Ortopédica (R$ 20,00), 98980327 - Taxa de Eletroterapia (Tens) (R$ 15,00)"/>
    <s v="Fisioterapia"/>
    <n v="8942286"/>
    <s v="Finalizado (9/10)"/>
    <n v="30.8"/>
    <n v="4.2"/>
    <n v="35"/>
    <s v="Sessão Faturada"/>
    <s v="0901013476020085"/>
    <n v="4590"/>
    <s v="Unidade Vieiralves"/>
    <n v="8942286"/>
    <m/>
  </r>
  <r>
    <x v="20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Finalizado (2/7)"/>
    <n v="30.8"/>
    <n v="4.2"/>
    <n v="35"/>
    <s v="Sessão Faturada"/>
    <n v="1901012887750100"/>
    <n v="44369"/>
    <s v="Unidade Vieiralves"/>
    <n v="9299524"/>
    <m/>
  </r>
  <r>
    <x v="20"/>
    <x v="17"/>
    <s v="Luis Carlos Pucu de Araujo"/>
    <s v="Masculino"/>
    <x v="2"/>
    <x v="2"/>
    <s v="20103484 - Fisioterapia - Patologia Em Um Membro (R$ 12,22)"/>
    <s v="Fisioterapia"/>
    <n v="1711049248"/>
    <s v="Finalizado (2/5)"/>
    <n v="10.7536"/>
    <n v="1.4663999999999999"/>
    <n v="12.22"/>
    <s v="Sessão Faturada"/>
    <n v="896194000019010"/>
    <n v="59612"/>
    <s v="Unidade Vieiralves"/>
    <n v="1711049248"/>
    <m/>
  </r>
  <r>
    <x v="20"/>
    <x v="10"/>
    <s v="Antonio Jorge Martins de Queiroz"/>
    <s v="Masculino"/>
    <x v="10"/>
    <x v="2"/>
    <s v="50000160 - Fisioterapia Ortopédica (R$ 15,00)"/>
    <s v="Fisioterapia"/>
    <n v="15098530"/>
    <s v="Finalizado (5/10)"/>
    <n v="13.2"/>
    <n v="1.8"/>
    <n v="15"/>
    <s v="Sessão Faturada"/>
    <s v="00010064268023001"/>
    <n v="59517"/>
    <s v="Unidade Vieiralves"/>
    <n v="15098530"/>
    <m/>
  </r>
  <r>
    <x v="20"/>
    <x v="12"/>
    <s v="Vanderson de Lima Silva"/>
    <s v="Masculino"/>
    <x v="0"/>
    <x v="2"/>
    <s v="50000160 - Fisioterapia Ortopedica (R$ 49,72)"/>
    <s v="Fisioterapia"/>
    <s v="42263120260227372403"/>
    <s v="Finalizado (6/10)"/>
    <n v="43.753599999999999"/>
    <n v="5.9664000000000001"/>
    <n v="49.72"/>
    <s v="Sessão Faturada"/>
    <s v="010245156200"/>
    <n v="42714"/>
    <s v="Unidade Vieiralves"/>
    <s v="42263120260227372403"/>
    <m/>
  </r>
  <r>
    <x v="20"/>
    <x v="12"/>
    <s v="Pedro Balsini Peixoto Porto"/>
    <s v="Masculino"/>
    <x v="2"/>
    <x v="2"/>
    <s v="20103492 - Fisioterapia - Patologia Em Dois Ou Mais Membros (R$ 14,83)"/>
    <s v="Fisioterapia"/>
    <n v="1711686290"/>
    <s v="Finalizado (1/6)"/>
    <n v="13.0504"/>
    <n v="1.7796000000000001"/>
    <n v="14.83"/>
    <s v="Sessão a Faturar"/>
    <n v="893331300736020"/>
    <n v="59321"/>
    <s v="Unidade Vieiralves"/>
    <n v="1711686290"/>
    <m/>
  </r>
  <r>
    <x v="20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6/10)"/>
    <n v="47.634399999999999"/>
    <n v="6.4955999999999996"/>
    <n v="54.13"/>
    <s v="Sessão Faturada"/>
    <s v="010245156200"/>
    <n v="42714"/>
    <s v="Unidade Vieiralves"/>
    <s v="42263120260227372449"/>
    <m/>
  </r>
  <r>
    <x v="0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3/10)"/>
    <n v="30.8"/>
    <n v="4.2"/>
    <n v="35"/>
    <s v="Sessão Faturada"/>
    <s v="0501013884910089"/>
    <n v="59237"/>
    <s v="Unidade Vieiralves"/>
    <n v="9245426"/>
    <m/>
  </r>
  <r>
    <x v="0"/>
    <x v="22"/>
    <s v="Minervina Lucia Marques Fonseca"/>
    <s v="Feminino"/>
    <x v="0"/>
    <x v="2"/>
    <s v="50000160 - Fisioterapia Ortopedica (R$ 49,72)"/>
    <s v="Fisioterapia"/>
    <s v="42263120260227375135"/>
    <s v="Finalizado (9/10)"/>
    <n v="43.753599999999999"/>
    <n v="5.9664000000000001"/>
    <n v="49.72"/>
    <s v="Sessão Faturada"/>
    <s v="010650809004"/>
    <n v="40041"/>
    <s v="Unidade Vieiralves"/>
    <s v="42263120260227375135"/>
    <m/>
  </r>
  <r>
    <x v="0"/>
    <x v="23"/>
    <s v="Minervina Lucia Marques Fonseca"/>
    <s v="Feminino"/>
    <x v="0"/>
    <x v="2"/>
    <s v="31602185 - Estimulação Elétrica Transcutânea Fisioterapia (Novo - 01/12) (R$ 54,13)"/>
    <s v="Fisioterapia"/>
    <n v="4.2263120227375E+16"/>
    <s v="Finalizado (9/10)"/>
    <n v="47.634399999999999"/>
    <n v="6.4955999999999996"/>
    <n v="54.13"/>
    <s v="Sessão Faturada"/>
    <s v="010650809004"/>
    <n v="40041"/>
    <s v="Unidade Vieiralves"/>
    <n v="4.2263120227375E+16"/>
    <m/>
  </r>
  <r>
    <x v="0"/>
    <x v="0"/>
    <s v="Vania Maria Lima da Silva Aracaty"/>
    <s v="Feminino"/>
    <x v="5"/>
    <x v="2"/>
    <s v="98860011 - Fisioterapia Complexidade 1 (R$ 55,26)"/>
    <s v="Fisioterapia"/>
    <n v="79185120"/>
    <s v="Não compareceu (3/10)"/>
    <n v="55.26"/>
    <n v="0"/>
    <n v="55.26"/>
    <s v="Sessão a Faturar"/>
    <s v="0100275211060174"/>
    <n v="56455"/>
    <s v="Unidade Vieiralves"/>
    <n v="79185120"/>
    <m/>
  </r>
  <r>
    <x v="0"/>
    <x v="1"/>
    <s v="Vania Maria Lima da Silva Aracaty"/>
    <s v="Feminino"/>
    <x v="5"/>
    <x v="2"/>
    <s v="31602185 - Estimulação Elétrica Transcutânea (Tens) (R$ 125,40)"/>
    <s v="Fisioterapia"/>
    <n v="79185170"/>
    <s v="Não compareceu (3/10)"/>
    <n v="125.4"/>
    <n v="0"/>
    <n v="125.4"/>
    <s v="Sessão a Faturar"/>
    <s v="0100275211060174"/>
    <n v="56455"/>
    <s v="Unidade Vieiralves"/>
    <n v="79185170"/>
    <m/>
  </r>
  <r>
    <x v="0"/>
    <x v="2"/>
    <s v="Daniel de Moura Alves"/>
    <s v="Masculino"/>
    <x v="4"/>
    <x v="2"/>
    <s v="31602185 - Estimulação Elétrica Transcutânea - Removido 13/04/2026 (R$ 40,00)"/>
    <s v="Fisioterapia"/>
    <n v="1712894560"/>
    <s v="Finalizado (1/6)"/>
    <n v="35.200000000000003"/>
    <n v="4.8"/>
    <n v="40"/>
    <s v="Sessão a Faturar"/>
    <n v="774063007471000"/>
    <n v="58683"/>
    <s v="Unidade Vieiralves"/>
    <n v="1712894560"/>
    <m/>
  </r>
  <r>
    <x v="0"/>
    <x v="2"/>
    <s v="Anna Danielle Oliveira dos Santos Cardozo"/>
    <s v="Feminino"/>
    <x v="2"/>
    <x v="2"/>
    <s v="20103492 - Fisioterapia - Patologia Em Dois Ou Mais Membros (R$ 14,83)"/>
    <s v="Fisioterapia"/>
    <n v="1706457872"/>
    <s v="Finalizado (6/10)"/>
    <n v="13.0504"/>
    <n v="1.7796000000000001"/>
    <n v="14.83"/>
    <s v="Sessão a Faturar"/>
    <n v="830416700230010"/>
    <n v="57193"/>
    <s v="Unidade Vieiralves"/>
    <n v="1706457872"/>
    <m/>
  </r>
  <r>
    <x v="0"/>
    <x v="3"/>
    <s v="Daniel de Moura Alves"/>
    <s v="Masculino"/>
    <x v="2"/>
    <x v="2"/>
    <s v="20103484 - Fisioterapia - Patologia Em Um Membro (R$ 12,22), 20103506 - Fisioterapia - Patologia Em Um Segmento da Coluna (R$ 12,22)"/>
    <s v="Fisioterapia"/>
    <n v="1712893261"/>
    <s v="Finalizado (1/5)"/>
    <n v="21.507200000000001"/>
    <n v="2.9327999999999999"/>
    <n v="24.44"/>
    <s v="Sessão a Faturar"/>
    <n v="774063007471000"/>
    <n v="58683"/>
    <s v="Unidade Vieiralves"/>
    <n v="1712893261"/>
    <m/>
  </r>
  <r>
    <x v="0"/>
    <x v="4"/>
    <s v="Joziane Lira dos Santos Pereira"/>
    <s v="Feminino"/>
    <x v="8"/>
    <x v="2"/>
    <s v="20103492 - Patologia Em Dois Ou Mais Membros (R$ 14,83)"/>
    <s v="Fisioterapia"/>
    <n v="1709727952"/>
    <s v="Finalizado (4/8)"/>
    <n v="13.0504"/>
    <n v="1.7796000000000001"/>
    <n v="14.83"/>
    <s v="Sessão a Faturar"/>
    <n v="954600002739000"/>
    <n v="35514"/>
    <s v="Unidade Vieiralves"/>
    <n v="1709727952"/>
    <m/>
  </r>
  <r>
    <x v="0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Finalizado (3/10)"/>
    <n v="30.8"/>
    <n v="4.2"/>
    <n v="35"/>
    <s v="Sessão Faturada"/>
    <n v="1301013043650000"/>
    <n v="57993"/>
    <s v="Unidade Vieiralves"/>
    <n v="9317870"/>
    <s v="Guia assinada!"/>
  </r>
  <r>
    <x v="0"/>
    <x v="13"/>
    <s v="Elisa Marinho França"/>
    <s v="Feminino"/>
    <x v="1"/>
    <x v="2"/>
    <s v="50000160 - Fisioterapia Ortopédica (R$ 20,00), 98980327 - Taxa de Eletroterapia (Tens) (R$ 15,00)"/>
    <s v="Fisioterapia"/>
    <n v="9297956"/>
    <s v="Finalizado (2/10)"/>
    <n v="30.8"/>
    <n v="4.2"/>
    <n v="35"/>
    <s v="Sessão Faturada"/>
    <s v="0701013703740256"/>
    <n v="56443"/>
    <s v="Unidade Vieiralves"/>
    <n v="9297956"/>
    <m/>
  </r>
  <r>
    <x v="0"/>
    <x v="13"/>
    <s v="Ivagna Maria Cantanhede Brandão"/>
    <s v="Feminino"/>
    <x v="1"/>
    <x v="2"/>
    <s v="50000160 - Fisioterapia Ortopédica (R$ 20,00), 98980327 - Taxa de Eletroterapia (Tens) (R$ 15,00)"/>
    <s v="Fisioterapia"/>
    <n v="8995441"/>
    <s v="Finalizado (6/10)"/>
    <n v="30.8"/>
    <n v="4.2"/>
    <n v="35"/>
    <s v="Sessão Faturada"/>
    <n v="1901012995210000"/>
    <n v="59129"/>
    <s v="Unidade Vieiralves"/>
    <n v="8995441"/>
    <m/>
  </r>
  <r>
    <x v="0"/>
    <x v="13"/>
    <s v="Francisca Lima de Araújo"/>
    <s v="Feminino"/>
    <x v="1"/>
    <x v="2"/>
    <s v="50000160 - Fisioterapia Ortopédica (R$ 20,00), 98980327 - Taxa de Eletroterapia (Tens) (R$ 15,00)"/>
    <s v="Fisioterapia"/>
    <n v="9192147"/>
    <s v="Não compareceu (3/7)"/>
    <n v="35"/>
    <n v="0"/>
    <n v="35"/>
    <s v="Sessão Faturada"/>
    <n v="1901013081250400"/>
    <n v="59462"/>
    <s v="Unidade Vieiralves"/>
    <n v="9192147"/>
    <m/>
  </r>
  <r>
    <x v="0"/>
    <x v="6"/>
    <s v="Fernanda Santos Fachinello"/>
    <s v="Feminino"/>
    <x v="1"/>
    <x v="2"/>
    <s v="50000160 - Fisioterapia Ortopédica (R$ 20,00), 98980327 - Taxa de Eletroterapia (Tens) (R$ 15,00)"/>
    <s v="Fisioterapia"/>
    <n v="9167027"/>
    <s v="Finalizado (6/10)"/>
    <n v="30.8"/>
    <n v="4.2"/>
    <n v="35"/>
    <s v="Sessão Faturada"/>
    <n v="1301014095850300"/>
    <n v="21927"/>
    <s v="Unidade Vieiralves"/>
    <n v="9167027"/>
    <m/>
  </r>
  <r>
    <x v="0"/>
    <x v="6"/>
    <s v="Victoria de Moraes Martins Pereira"/>
    <s v="Masculino"/>
    <x v="6"/>
    <x v="2"/>
    <s v="20103662 - Pos Operatorio Em Um Membro (R$ 22,53)"/>
    <s v="Fisioterapia"/>
    <n v="171245"/>
    <s v="Finalizado (4/10)"/>
    <n v="19.8264"/>
    <n v="2.7035999999999998"/>
    <n v="22.53"/>
    <s v="Sessão a Faturar"/>
    <s v="55788888488381350015"/>
    <n v="48970"/>
    <s v="Unidade Vieiralves"/>
    <n v="171245"/>
    <m/>
  </r>
  <r>
    <x v="0"/>
    <x v="7"/>
    <s v="Victoria de Moraes Martins Pereira"/>
    <s v="Masculino"/>
    <x v="6"/>
    <x v="2"/>
    <s v="31602185 - Estimulação Elétrica Transcutanea (Tens) (R$ 40,00)"/>
    <s v="Fisioterapia"/>
    <n v="171247"/>
    <s v="Finalizado (4/10)"/>
    <n v="35.200000000000003"/>
    <n v="4.8"/>
    <n v="40"/>
    <s v="Sessão a Faturar"/>
    <s v="55788888488381350015"/>
    <n v="48970"/>
    <s v="Unidade Vieiralves"/>
    <n v="171247"/>
    <m/>
  </r>
  <r>
    <x v="0"/>
    <x v="15"/>
    <s v="Francisco Lima da Silva"/>
    <s v="Masculino"/>
    <x v="2"/>
    <x v="2"/>
    <s v="20103492 - Fisioterapia - Patologia Em Dois Ou Mais Membros (R$ 14,83)"/>
    <s v="Fisioterapia"/>
    <n v="1709177993"/>
    <s v="Finalizado (3/5)"/>
    <n v="13.0504"/>
    <n v="1.7796000000000001"/>
    <n v="14.83"/>
    <s v="Sessão Faturada"/>
    <n v="774981007706010"/>
    <n v="52427"/>
    <s v="Unidade Vieiralves"/>
    <n v="1709177993"/>
    <m/>
  </r>
  <r>
    <x v="0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Não compareceu (3/7)"/>
    <n v="35"/>
    <n v="0"/>
    <n v="35"/>
    <s v="Sessão Faturada"/>
    <n v="1901012887750100"/>
    <n v="44369"/>
    <s v="Unidade Vieiralves"/>
    <n v="9299524"/>
    <m/>
  </r>
  <r>
    <x v="0"/>
    <x v="15"/>
    <s v="Valério Ladeira Luniere"/>
    <s v="Masculino"/>
    <x v="1"/>
    <x v="2"/>
    <s v="50000160 - Fisioterapia Ortopédica (R$ 20,00), 98980327 - Taxa de Eletroterapia (Tens) (R$ 15,00)"/>
    <s v="Fisioterapia"/>
    <n v="8942286"/>
    <s v="Finalizado (10/10)"/>
    <n v="30.8"/>
    <n v="4.2"/>
    <n v="35"/>
    <s v="Sessão Faturada"/>
    <s v="0901013476020085"/>
    <n v="4590"/>
    <s v="Unidade Vieiralves"/>
    <n v="8942286"/>
    <m/>
  </r>
  <r>
    <x v="0"/>
    <x v="15"/>
    <s v="Erica de Araujo Macedo"/>
    <s v="Feminino"/>
    <x v="1"/>
    <x v="2"/>
    <s v="50000160 - Fisioterapia Ortopédica (R$ 20,00), 98980327 - Taxa de Eletroterapia (Tens) (R$ 15,00)"/>
    <s v="Fisioterapia"/>
    <n v="9192843"/>
    <s v="Finalizado (3/10)"/>
    <n v="30.8"/>
    <n v="4.2"/>
    <n v="35"/>
    <s v="Sessão a Faturar"/>
    <s v="0901013081250088"/>
    <n v="16948"/>
    <s v="Unidade Vieiralves"/>
    <n v="9192843"/>
    <m/>
  </r>
  <r>
    <x v="0"/>
    <x v="17"/>
    <s v="Luis Carlos Pucu de Araujo"/>
    <s v="Masculino"/>
    <x v="2"/>
    <x v="2"/>
    <s v="20103484 - Fisioterapia - Patologia Em Um Membro (R$ 12,22)"/>
    <s v="Fisioterapia"/>
    <n v="1711049248"/>
    <s v="Finalizado (4/5)"/>
    <n v="10.7536"/>
    <n v="1.4663999999999999"/>
    <n v="12.22"/>
    <s v="Sessão Faturada"/>
    <n v="896194000019010"/>
    <n v="59612"/>
    <s v="Unidade Vieiralves"/>
    <n v="1711049248"/>
    <m/>
  </r>
  <r>
    <x v="0"/>
    <x v="17"/>
    <s v="Anthony Jesus Farias Villarroel"/>
    <s v="Masculino"/>
    <x v="9"/>
    <x v="2"/>
    <s v="31602185 - Estimulação Elétrica Transcutânea (Tens) - Removido 13/04/2026 (R$ 40,00)"/>
    <s v="Fisioterapia"/>
    <n v="1709227578"/>
    <s v="Finalizado (5/5)"/>
    <n v="35.200000000000003"/>
    <n v="4.8"/>
    <n v="40"/>
    <s v="Sessão Faturada"/>
    <n v="954600016969020"/>
    <n v="53566"/>
    <s v="Unidade Vieiralves"/>
    <n v="1709227578"/>
    <m/>
  </r>
  <r>
    <x v="0"/>
    <x v="17"/>
    <s v="Anthony Jesus Farias Villarroel"/>
    <s v="Masculino"/>
    <x v="8"/>
    <x v="2"/>
    <s v="20103484 - Patologia Em Um Membro (R$ 12,22)"/>
    <s v="Fisioterapia"/>
    <n v="1710475319"/>
    <s v="Finalizado (3/5)"/>
    <n v="10.7536"/>
    <n v="1.4663999999999999"/>
    <n v="12.22"/>
    <s v="Sessão a Faturar"/>
    <n v="954600016969020"/>
    <n v="53566"/>
    <s v="Unidade Vieiralves"/>
    <n v="1710475319"/>
    <m/>
  </r>
  <r>
    <x v="0"/>
    <x v="17"/>
    <s v="Jefferson Castro Simplicio"/>
    <s v="Masculino"/>
    <x v="2"/>
    <x v="2"/>
    <s v="20103514 - Fisioterapia - Patologia Em Diferentes Segmentos da Coluna (R$ 14,83)"/>
    <s v="Fisioterapia"/>
    <n v="1707989374"/>
    <s v="Finalizado (4/5)"/>
    <n v="13.0504"/>
    <n v="1.7796000000000001"/>
    <n v="14.83"/>
    <s v="Sessão Faturada"/>
    <n v="960130225177000"/>
    <n v="43518"/>
    <s v="Unidade Vieiralves"/>
    <n v="1707989374"/>
    <m/>
  </r>
  <r>
    <x v="0"/>
    <x v="17"/>
    <s v="Maria do Carmo Soares Filgueiras de Menezes"/>
    <s v="Feminino"/>
    <x v="1"/>
    <x v="2"/>
    <s v="50000160 - Fisioterapia Ortopédica (R$ 20,00), 98980327 - Taxa de Eletroterapia (Tens) (R$ 15,00)"/>
    <s v="Fisioterapia"/>
    <n v="9265016"/>
    <s v="Finalizado (2/10)"/>
    <n v="30.8"/>
    <n v="4.2"/>
    <n v="35"/>
    <s v="Sessão a Faturar"/>
    <s v="0201013918220089"/>
    <n v="58907"/>
    <s v="Unidade Vieiralves"/>
    <n v="9265016"/>
    <m/>
  </r>
  <r>
    <x v="0"/>
    <x v="18"/>
    <s v="Luis Carlos Pucu de Araujo"/>
    <s v="Masculino"/>
    <x v="4"/>
    <x v="2"/>
    <s v="31602185 - Estimulação Elétrica Transcutânea - Removido 13/04/2026 (R$ 40,00)"/>
    <s v="Fisioterapia"/>
    <n v="1711923112"/>
    <s v="Finalizado (2/3)"/>
    <n v="35.200000000000003"/>
    <n v="4.8"/>
    <n v="40"/>
    <s v="Sessão Faturada"/>
    <n v="896194000019010"/>
    <n v="59612"/>
    <s v="Unidade Vieiralves"/>
    <n v="1711923112"/>
    <m/>
  </r>
  <r>
    <x v="0"/>
    <x v="10"/>
    <s v="Mcluhan Teixeira Grijo"/>
    <s v="Masculino"/>
    <x v="5"/>
    <x v="2"/>
    <s v="98860011 - Fisioterapia Complexidade 1 - 04/03/2026 (R$ 53,00)"/>
    <s v="Fisioterapia"/>
    <n v="76664020"/>
    <s v="Finalizado (5/10)"/>
    <n v="46.64"/>
    <n v="6.36"/>
    <n v="53"/>
    <s v="Sessão Faturada"/>
    <s v="0101072415000314"/>
    <n v="51264"/>
    <s v="Unidade Vieiralves"/>
    <n v="76664020"/>
    <m/>
  </r>
  <r>
    <x v="0"/>
    <x v="10"/>
    <s v="Ana Georgina Viga Lacorte"/>
    <s v="Feminino"/>
    <x v="2"/>
    <x v="2"/>
    <s v="20103492 - Fisioterapia - Patologia Em Dois Ou Mais Membros (R$ 14,83)"/>
    <s v="Fisioterapia"/>
    <n v="1709244820"/>
    <s v="Finalizado (4/10)"/>
    <n v="13.0504"/>
    <n v="1.7796000000000001"/>
    <n v="14.83"/>
    <s v="Sessão Faturada"/>
    <n v="882749100043010"/>
    <n v="50823"/>
    <s v="Unidade Vieiralves"/>
    <n v="1709244820"/>
    <m/>
  </r>
  <r>
    <x v="0"/>
    <x v="11"/>
    <s v="Mcluhan Teixeira Grijo"/>
    <s v="Masculino"/>
    <x v="5"/>
    <x v="2"/>
    <s v="31602185 - Estimulação Elétrica Transcutânea (Tens) - 04/03/2026 (R$ 120,28)"/>
    <s v="Fisioterapia"/>
    <n v="76665250"/>
    <s v="Finalizado (5/10)"/>
    <n v="105.8464"/>
    <n v="14.4336"/>
    <n v="120.28"/>
    <s v="Sessão Faturada"/>
    <s v="0101072415000314"/>
    <n v="51264"/>
    <s v="Unidade Vieiralves"/>
    <n v="76665250"/>
    <m/>
  </r>
  <r>
    <x v="0"/>
    <x v="11"/>
    <s v="Ana Georgina Viga Lacorte"/>
    <s v="Feminino"/>
    <x v="4"/>
    <x v="2"/>
    <s v="31602185 - Estimulação Elétrica Transcutânea - Removido 13/04/2026 (R$ 40,00)"/>
    <s v="Fisioterapia"/>
    <n v="1709250183"/>
    <s v="Finalizado (4/5)"/>
    <n v="35.200000000000003"/>
    <n v="4.8"/>
    <n v="40"/>
    <s v="Sessão Faturada"/>
    <n v="882749100043010"/>
    <n v="50823"/>
    <s v="Unidade Vieiralves"/>
    <n v="1709250183"/>
    <m/>
  </r>
  <r>
    <x v="0"/>
    <x v="12"/>
    <s v="Willian Jean Silva Colares"/>
    <s v="Masculino"/>
    <x v="2"/>
    <x v="2"/>
    <s v="20103484 - Fisioterapia - Patologia Em Um Membro (R$ 12,22)"/>
    <s v="Fisioterapia"/>
    <n v="1707540722"/>
    <s v="Finalizado (8/9)"/>
    <n v="10.7536"/>
    <n v="1.4663999999999999"/>
    <n v="12.22"/>
    <s v="Sessão Faturada"/>
    <n v="775219005800000"/>
    <n v="59277"/>
    <s v="Unidade Vieiralves"/>
    <n v="1707540722"/>
    <m/>
  </r>
  <r>
    <x v="0"/>
    <x v="12"/>
    <s v="Vanderson de Lima Silva"/>
    <s v="Masculino"/>
    <x v="0"/>
    <x v="2"/>
    <s v="50000160 - Fisioterapia Ortopedica (R$ 49,72)"/>
    <s v="Fisioterapia"/>
    <s v="42263120260227372403"/>
    <s v="Finalizado (7/10)"/>
    <n v="43.753599999999999"/>
    <n v="5.9664000000000001"/>
    <n v="49.72"/>
    <s v="Sessão Faturada"/>
    <s v="010245156200"/>
    <n v="42714"/>
    <s v="Unidade Vieiralves"/>
    <s v="42263120260227372403"/>
    <m/>
  </r>
  <r>
    <x v="0"/>
    <x v="12"/>
    <s v="Antonio Jorge Martins de Queiroz"/>
    <s v="Masculino"/>
    <x v="10"/>
    <x v="2"/>
    <s v="50000160 - Fisioterapia Ortopédica (R$ 15,00)"/>
    <s v="Fisioterapia"/>
    <n v="15098530"/>
    <s v="Finalizado (6/10)"/>
    <n v="13.2"/>
    <n v="1.8"/>
    <n v="15"/>
    <s v="Sessão Faturada"/>
    <s v="00010064268023001"/>
    <n v="59517"/>
    <s v="Unidade Vieiralves"/>
    <n v="15098530"/>
    <m/>
  </r>
  <r>
    <x v="0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7/10)"/>
    <n v="47.634399999999999"/>
    <n v="6.4955999999999996"/>
    <n v="54.13"/>
    <s v="Sessão Faturada"/>
    <s v="010245156200"/>
    <n v="42714"/>
    <s v="Unidade Vieiralves"/>
    <s v="42263120260227372449"/>
    <m/>
  </r>
  <r>
    <x v="1"/>
    <x v="22"/>
    <s v="Anna Danielle Oliveira dos Santos Cardozo"/>
    <s v="Feminino"/>
    <x v="2"/>
    <x v="2"/>
    <s v="20103492 - Fisioterapia - Patologia Em Dois Ou Mais Membros (R$ 14,83)"/>
    <s v="Fisioterapia"/>
    <n v="1706457872"/>
    <s v="Finalizado (7/10)"/>
    <n v="13.0504"/>
    <n v="1.7796000000000001"/>
    <n v="14.83"/>
    <s v="Sessão a Faturar"/>
    <n v="830416700230010"/>
    <n v="57193"/>
    <s v="Unidade Vieiralves"/>
    <n v="1706457872"/>
    <m/>
  </r>
  <r>
    <x v="1"/>
    <x v="22"/>
    <s v="Paulo Roberto Pires de Sousa"/>
    <s v="Masculino"/>
    <x v="18"/>
    <x v="2"/>
    <s v="50000160 - Fisioterapia Ortopedica - Pacote (R$ 25,00)"/>
    <s v="Fisioterapia"/>
    <n v="170798"/>
    <s v="Finalizado (4/10)"/>
    <n v="22"/>
    <n v="3"/>
    <n v="25"/>
    <s v="Sessão a Faturar"/>
    <s v="00"/>
    <n v="59565"/>
    <s v="Unidade Vieiralves"/>
    <n v="170798"/>
    <m/>
  </r>
  <r>
    <x v="1"/>
    <x v="0"/>
    <s v="Jandui Diniz Araujo"/>
    <s v="Masculino"/>
    <x v="2"/>
    <x v="2"/>
    <s v="20103492 - Fisioterapia - Patologia Em Dois Ou Mais Membros (R$ 14,83)"/>
    <s v="Fisioterapia"/>
    <n v="1706378880"/>
    <s v="Finalizado (7/10)"/>
    <n v="13.0504"/>
    <n v="1.7796000000000001"/>
    <n v="14.83"/>
    <s v="Sessão Faturada"/>
    <n v="836407200035000"/>
    <n v="42187"/>
    <s v="Unidade Vieiralves"/>
    <n v="1706378880"/>
    <m/>
  </r>
  <r>
    <x v="1"/>
    <x v="0"/>
    <s v="Jandui Diniz Araujo"/>
    <s v="Masculino"/>
    <x v="4"/>
    <x v="2"/>
    <s v="31602185 - Estimulação Elétrica Transcutânea - Removido 13/04/2026 (R$ 40,00)"/>
    <s v="Fisioterapia"/>
    <n v="1711555972"/>
    <s v="Finalizado (2/5)"/>
    <n v="35.200000000000003"/>
    <n v="4.8"/>
    <n v="40"/>
    <s v="Sessão a Faturar"/>
    <n v="836407200035000"/>
    <n v="42187"/>
    <s v="Unidade Vieiralves"/>
    <n v="1711555972"/>
    <m/>
  </r>
  <r>
    <x v="1"/>
    <x v="0"/>
    <s v="Minervina Lucia Marques Fonseca"/>
    <s v="Feminino"/>
    <x v="0"/>
    <x v="2"/>
    <s v="50000160 - Fisioterapia Ortopedica (R$ 49,72)"/>
    <s v="Fisioterapia"/>
    <s v="42263120260227375135"/>
    <s v="Finalizado (10/10)"/>
    <n v="43.753599999999999"/>
    <n v="5.9664000000000001"/>
    <n v="49.72"/>
    <s v="Sessão Faturada"/>
    <s v="010650809004"/>
    <n v="40041"/>
    <s v="Unidade Vieiralves"/>
    <s v="42263120260227375135"/>
    <m/>
  </r>
  <r>
    <x v="1"/>
    <x v="0"/>
    <s v="Pedro Balsini Peixoto Porto"/>
    <s v="Masculino"/>
    <x v="2"/>
    <x v="2"/>
    <s v="20103492 - Fisioterapia - Patologia Em Dois Ou Mais Membros (R$ 14,83)"/>
    <s v="Fisioterapia"/>
    <n v="1711686290"/>
    <s v="Finalizado (2/6)"/>
    <n v="13.0504"/>
    <n v="1.7796000000000001"/>
    <n v="14.83"/>
    <s v="Sessão a Faturar"/>
    <n v="893331300736020"/>
    <n v="59321"/>
    <s v="Unidade Vieiralves"/>
    <n v="1711686290"/>
    <m/>
  </r>
  <r>
    <x v="1"/>
    <x v="0"/>
    <s v="Suely Borges da Silva"/>
    <s v="Feminino"/>
    <x v="6"/>
    <x v="2"/>
    <s v="20103492 - Patologia Em Dois Ou Mais Membros (R$ 30,26)"/>
    <s v="Fisioterapia"/>
    <n v="171356"/>
    <s v="Finalizado (3/5)"/>
    <n v="26.628799999999998"/>
    <n v="3.6312000000000002"/>
    <n v="30.26"/>
    <s v="Sessão a Faturar"/>
    <s v="55788888489898650014"/>
    <n v="59150"/>
    <s v="Unidade Vieiralves"/>
    <n v="171356"/>
    <m/>
  </r>
  <r>
    <x v="1"/>
    <x v="1"/>
    <s v="Suely Borges da Silva"/>
    <s v="Feminino"/>
    <x v="6"/>
    <x v="2"/>
    <s v="31602185 - Estimulação Elétrica Transcutanea (Tens) (R$ 40,00)"/>
    <s v="Fisioterapia"/>
    <n v="171361"/>
    <s v="Finalizado (3/5)"/>
    <n v="35.200000000000003"/>
    <n v="4.8"/>
    <n v="40"/>
    <s v="Sessão a Faturar"/>
    <s v="55788888489898650014"/>
    <n v="59150"/>
    <s v="Unidade Vieiralves"/>
    <n v="171361"/>
    <m/>
  </r>
  <r>
    <x v="1"/>
    <x v="1"/>
    <s v="Minervina Lucia Marques Fonseca"/>
    <s v="Feminino"/>
    <x v="0"/>
    <x v="2"/>
    <s v="31602185 - Estimulação Elétrica Transcutânea Fisioterapia (Novo - 01/12) (R$ 54,13)"/>
    <s v="Fisioterapia"/>
    <n v="4.2263120227375E+16"/>
    <s v="Finalizado (10/10)"/>
    <n v="47.634399999999999"/>
    <n v="6.4955999999999996"/>
    <n v="54.13"/>
    <s v="Sessão Faturada"/>
    <s v="010650809004"/>
    <n v="40041"/>
    <s v="Unidade Vieiralves"/>
    <n v="4.2263120227375E+16"/>
    <m/>
  </r>
  <r>
    <x v="1"/>
    <x v="4"/>
    <s v="Wanessa Ferreira Saraiva Oliveira"/>
    <s v="Feminino"/>
    <x v="2"/>
    <x v="2"/>
    <s v="50000144 - Avaliação de Fisioterapia (R$ 51,42)"/>
    <s v="Fisioterapia"/>
    <n v="1713541938"/>
    <s v="Finalizado (1/1)"/>
    <n v="46.277999999999999"/>
    <n v="5.1420000000000003"/>
    <n v="51.42"/>
    <s v="Sessão Faturada"/>
    <n v="610900110003020"/>
    <n v="8227"/>
    <s v="Unidade Vieiralves"/>
    <n v="1713541938"/>
    <m/>
  </r>
  <r>
    <x v="1"/>
    <x v="4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1/10)"/>
    <n v="23.803999999999998"/>
    <n v="3.246"/>
    <n v="27.05"/>
    <s v="Sessão a Faturar"/>
    <n v="610900110003020"/>
    <n v="8227"/>
    <s v="Unidade Vieiralves"/>
    <n v="1713543460"/>
    <m/>
  </r>
  <r>
    <x v="1"/>
    <x v="6"/>
    <s v="Luciana Levinthal da Silva"/>
    <s v="Feminino"/>
    <x v="11"/>
    <x v="2"/>
    <s v="20103484 - Fisioterapia - Patologia Em Um Membro (R$ 80,33)"/>
    <s v="Fisioterapia"/>
    <n v="3513"/>
    <s v="Finalizado (3/10)"/>
    <n v="70.690399999999997"/>
    <n v="9.6395999999999997"/>
    <n v="80.33"/>
    <s v="Sessão a Faturar"/>
    <s v="01685-F-1"/>
    <n v="59646"/>
    <s v="Unidade Vieiralves"/>
    <n v="3513"/>
    <m/>
  </r>
  <r>
    <x v="1"/>
    <x v="6"/>
    <s v="Isadora Vitorino Grana"/>
    <s v="Feminino"/>
    <x v="13"/>
    <x v="2"/>
    <s v="20103514 - Patologia Em Diferentes Segmentos da Coluna (R$ 41,45)"/>
    <s v="Fisioterapia"/>
    <n v="13593606"/>
    <s v="Finalizado (7/10)"/>
    <n v="36.475999999999999"/>
    <n v="4.9740000000000002"/>
    <n v="41.45"/>
    <s v="Sessão Faturada"/>
    <s v="00010300035963020"/>
    <n v="56556"/>
    <s v="Unidade Vieiralves"/>
    <n v="13593606"/>
    <m/>
  </r>
  <r>
    <x v="1"/>
    <x v="15"/>
    <s v="Francisco Lima da Silva"/>
    <s v="Masculino"/>
    <x v="2"/>
    <x v="2"/>
    <s v="20103492 - Fisioterapia - Patologia Em Dois Ou Mais Membros (R$ 14,83)"/>
    <s v="Fisioterapia"/>
    <n v="1709177993"/>
    <s v="Finalizado (4/5)"/>
    <n v="13.0504"/>
    <n v="1.7796000000000001"/>
    <n v="14.83"/>
    <s v="Sessão Faturada"/>
    <n v="774981007706010"/>
    <n v="52427"/>
    <s v="Unidade Vieiralves"/>
    <n v="1709177993"/>
    <m/>
  </r>
  <r>
    <x v="1"/>
    <x v="15"/>
    <s v="Francisco Lima da Silva"/>
    <s v="Masculino"/>
    <x v="4"/>
    <x v="2"/>
    <s v="31602185 - Estimulação Elétrica Transcutânea - Removido 13/04/2026 (R$ 40,00)"/>
    <s v="Fisioterapia"/>
    <n v="1713582046"/>
    <s v="Finalizado (1/8)"/>
    <n v="35.200000000000003"/>
    <n v="4.8"/>
    <n v="40"/>
    <s v="Sessão a Faturar"/>
    <n v="774981007706010"/>
    <n v="52427"/>
    <s v="Unidade Vieiralves"/>
    <n v="1713582046"/>
    <m/>
  </r>
  <r>
    <x v="1"/>
    <x v="17"/>
    <s v="Luis Carlos Pucu de Araujo"/>
    <s v="Masculino"/>
    <x v="2"/>
    <x v="2"/>
    <s v="20103484 - Fisioterapia - Patologia Em Um Membro (R$ 12,22)"/>
    <s v="Fisioterapia"/>
    <n v="1711049248"/>
    <s v="Finalizado (5/5)"/>
    <n v="10.7536"/>
    <n v="1.4663999999999999"/>
    <n v="12.22"/>
    <s v="Sessão Faturada"/>
    <n v="896194000019010"/>
    <n v="59612"/>
    <s v="Unidade Vieiralves"/>
    <n v="1711049248"/>
    <m/>
  </r>
  <r>
    <x v="1"/>
    <x v="17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7/9)"/>
    <n v="26.1008"/>
    <n v="3.5592000000000001"/>
    <n v="29.66"/>
    <s v="Sessão Faturada"/>
    <n v="775216013765020"/>
    <n v="59283"/>
    <s v="Unidade Vieiralves"/>
    <n v="1703978801"/>
    <m/>
  </r>
  <r>
    <x v="1"/>
    <x v="17"/>
    <s v="Anthony Jesus Farias Villarroel"/>
    <s v="Masculino"/>
    <x v="8"/>
    <x v="2"/>
    <s v="20103484 - Patologia Em Um Membro (R$ 12,22)"/>
    <s v="Fisioterapia"/>
    <n v="1710475319"/>
    <s v="Finalizado (4/5)"/>
    <n v="10.7536"/>
    <n v="1.4663999999999999"/>
    <n v="12.22"/>
    <s v="Sessão a Faturar"/>
    <n v="954600016969020"/>
    <n v="53566"/>
    <s v="Unidade Vieiralves"/>
    <n v="1710475319"/>
    <m/>
  </r>
  <r>
    <x v="1"/>
    <x v="17"/>
    <s v="Matheus de Oliveira Melo"/>
    <s v="Masculino"/>
    <x v="13"/>
    <x v="2"/>
    <s v="20103484 - Patologia Em Um Membro (R$ 24,41)"/>
    <s v="Fisioterapia"/>
    <n v="13509292"/>
    <s v="Finalizado (9/10)"/>
    <n v="21.480799999999999"/>
    <n v="2.9291999999999998"/>
    <n v="24.41"/>
    <s v="Sessão Faturada"/>
    <s v="00010300020690006"/>
    <n v="58751"/>
    <s v="Unidade Vieiralves"/>
    <n v="13509292"/>
    <s v="Guia assinada! 23/02"/>
  </r>
  <r>
    <x v="1"/>
    <x v="18"/>
    <s v="Luis Carlos Pucu de Araujo"/>
    <s v="Masculino"/>
    <x v="4"/>
    <x v="2"/>
    <s v="31602185 - Estimulação Elétrica Transcutânea - Removido 13/04/2026 (R$ 40,00)"/>
    <s v="Fisioterapia"/>
    <n v="1711923112"/>
    <s v="Finalizado (3/3)"/>
    <n v="35.200000000000003"/>
    <n v="4.8"/>
    <n v="40"/>
    <s v="Sessão Faturada"/>
    <n v="896194000019010"/>
    <n v="59612"/>
    <s v="Unidade Vieiralves"/>
    <n v="1711923112"/>
    <m/>
  </r>
  <r>
    <x v="1"/>
    <x v="8"/>
    <s v="Victoria de Moraes Martins Pereira"/>
    <s v="Masculino"/>
    <x v="6"/>
    <x v="2"/>
    <s v="20103662 - Pos Operatorio Em Um Membro (R$ 22,53)"/>
    <s v="Fisioterapia"/>
    <n v="171245"/>
    <s v="Finalizado (5/10)"/>
    <n v="19.8264"/>
    <n v="2.7035999999999998"/>
    <n v="22.53"/>
    <s v="Sessão a Faturar"/>
    <s v="55788888488381350015"/>
    <n v="48970"/>
    <s v="Unidade Vieiralves"/>
    <n v="171245"/>
    <m/>
  </r>
  <r>
    <x v="1"/>
    <x v="8"/>
    <s v="James Alcantara de Lima"/>
    <s v="Masculino"/>
    <x v="6"/>
    <x v="2"/>
    <s v="20103484 - Patologia Em Um Membro (R$ 14,16)"/>
    <s v="Fisioterapia"/>
    <n v="172045"/>
    <s v="Finalizado (1/10)"/>
    <n v="12.460800000000001"/>
    <n v="1.6992"/>
    <n v="14.16"/>
    <s v="Sessão a Faturar"/>
    <s v="54588888018315590015"/>
    <n v="59229"/>
    <s v="Unidade Vieiralves"/>
    <n v="172045"/>
    <m/>
  </r>
  <r>
    <x v="1"/>
    <x v="8"/>
    <s v="Viviane Paes Barreto da Silva"/>
    <s v="Feminino"/>
    <x v="2"/>
    <x v="2"/>
    <s v="20103484 - Fisioterapia - Patologia Em Um Membro (R$ 12,22)"/>
    <s v="Fisioterapia"/>
    <n v="1713637483"/>
    <s v="Finalizado (1/10)"/>
    <n v="10.7536"/>
    <n v="1.4663999999999999"/>
    <n v="12.22"/>
    <s v="Sessão a Faturar"/>
    <n v="853503800205040"/>
    <n v="59636"/>
    <s v="Unidade Vieiralves"/>
    <n v="1713637483"/>
    <m/>
  </r>
  <r>
    <x v="1"/>
    <x v="8"/>
    <s v="Viviane Paes Barreto da Silva"/>
    <s v="Feminino"/>
    <x v="2"/>
    <x v="2"/>
    <s v="50000144 - Avaliação de Fisioterapia (R$ 51,42)"/>
    <s v="Fisioterapia"/>
    <n v="1713637081"/>
    <s v="Finalizado (1/1)"/>
    <n v="46.277999999999999"/>
    <n v="5.1420000000000003"/>
    <n v="51.42"/>
    <s v="Sessão Faturada"/>
    <n v="853503800205040"/>
    <n v="59636"/>
    <s v="Unidade Vieiralves"/>
    <n v="1713637081"/>
    <m/>
  </r>
  <r>
    <x v="1"/>
    <x v="8"/>
    <s v="James Alcantara de Lima"/>
    <s v="Masculino"/>
    <x v="6"/>
    <x v="2"/>
    <s v="20103514 - Patologia Em Dois Ou Mais Segmentos da Coluna (R$ 32,82)"/>
    <s v="Fisioterapia"/>
    <n v="171167"/>
    <s v="Finalizado (2/10)"/>
    <n v="28.881599999999999"/>
    <n v="3.9384000000000001"/>
    <n v="32.82"/>
    <s v="Sessão a Faturar"/>
    <s v="54588888018315590015"/>
    <n v="59229"/>
    <s v="Unidade Vieiralves"/>
    <n v="171167"/>
    <m/>
  </r>
  <r>
    <x v="1"/>
    <x v="9"/>
    <s v="James Alcantara de Lima"/>
    <s v="Masculino"/>
    <x v="6"/>
    <x v="2"/>
    <s v="31602185 - Estimulação Elétrica Transcutanea (Tens) (R$ 40,00)"/>
    <s v="Fisioterapia"/>
    <n v="171251"/>
    <s v="Finalizado (2/10)"/>
    <n v="35.200000000000003"/>
    <n v="4.8"/>
    <n v="40"/>
    <s v="Sessão a Faturar"/>
    <s v="54588888018315590015"/>
    <n v="59229"/>
    <s v="Unidade Vieiralves"/>
    <n v="171251"/>
    <m/>
  </r>
  <r>
    <x v="1"/>
    <x v="9"/>
    <s v="Victoria de Moraes Martins Pereira"/>
    <s v="Masculino"/>
    <x v="6"/>
    <x v="2"/>
    <s v="31602185 - Estimulação Elétrica Transcutanea (Tens) (R$ 40,00)"/>
    <s v="Fisioterapia"/>
    <n v="171247"/>
    <s v="Finalizado (5/10)"/>
    <n v="35.200000000000003"/>
    <n v="4.8"/>
    <n v="40"/>
    <s v="Sessão a Faturar"/>
    <s v="55788888488381350015"/>
    <n v="48970"/>
    <s v="Unidade Vieiralves"/>
    <n v="171247"/>
    <m/>
  </r>
  <r>
    <x v="1"/>
    <x v="10"/>
    <s v="Ana Georgina Viga Lacorte"/>
    <s v="Feminino"/>
    <x v="4"/>
    <x v="2"/>
    <s v="31602185 - Estimulação Elétrica Transcutânea - Removido 13/04/2026 (R$ 40,00)"/>
    <s v="Fisioterapia"/>
    <n v="1709250183"/>
    <s v="Finalizado (5/5)"/>
    <n v="35.200000000000003"/>
    <n v="4.8"/>
    <n v="40"/>
    <s v="Sessão Faturada"/>
    <n v="882749100043010"/>
    <n v="50823"/>
    <s v="Unidade Vieiralves"/>
    <n v="1709250183"/>
    <m/>
  </r>
  <r>
    <x v="1"/>
    <x v="10"/>
    <s v="Ana Georgina Viga Lacorte"/>
    <s v="Feminino"/>
    <x v="2"/>
    <x v="2"/>
    <s v="20103492 - Fisioterapia - Patologia Em Dois Ou Mais Membros (R$ 14,83)"/>
    <s v="Fisioterapia"/>
    <n v="1709244820"/>
    <s v="Finalizado (5/10)"/>
    <n v="13.0504"/>
    <n v="1.7796000000000001"/>
    <n v="14.83"/>
    <s v="Sessão Faturada"/>
    <n v="882749100043010"/>
    <n v="50823"/>
    <s v="Unidade Vieiralves"/>
    <n v="1709244820"/>
    <m/>
  </r>
  <r>
    <x v="1"/>
    <x v="10"/>
    <s v="Antonio Jorge Martins de Queiroz"/>
    <s v="Masculino"/>
    <x v="10"/>
    <x v="2"/>
    <s v="50000160 - Fisioterapia Ortopédica (R$ 15,00)"/>
    <s v="Fisioterapia"/>
    <n v="15098530"/>
    <s v="Finalizado (7/10)"/>
    <n v="13.2"/>
    <n v="1.8"/>
    <n v="15"/>
    <s v="Sessão Faturada"/>
    <s v="00010064268023001"/>
    <n v="59517"/>
    <s v="Unidade Vieiralves"/>
    <n v="15098530"/>
    <m/>
  </r>
  <r>
    <x v="1"/>
    <x v="12"/>
    <s v="Vanderson de Lima Silva"/>
    <s v="Masculino"/>
    <x v="0"/>
    <x v="2"/>
    <s v="50000160 - Fisioterapia Ortopedica (R$ 49,72)"/>
    <s v="Fisioterapia"/>
    <s v="42263120260227372403"/>
    <s v="Finalizado (8/10)"/>
    <n v="43.753599999999999"/>
    <n v="5.9664000000000001"/>
    <n v="49.72"/>
    <s v="Sessão Faturada"/>
    <s v="010245156200"/>
    <n v="42714"/>
    <s v="Unidade Vieiralves"/>
    <s v="42263120260227372403"/>
    <m/>
  </r>
  <r>
    <x v="1"/>
    <x v="12"/>
    <s v="Kesia Rachel Martins Jathay"/>
    <s v="Feminino"/>
    <x v="2"/>
    <x v="2"/>
    <s v="20103492 - Fisioterapia - Patologia Em Dois Ou Mais Membros (R$ 14,83)"/>
    <s v="Fisioterapia"/>
    <n v="1713654473"/>
    <s v="Finalizado (1/10)"/>
    <n v="13.0504"/>
    <n v="1.7796000000000001"/>
    <n v="14.83"/>
    <s v="Sessão a Faturar"/>
    <n v="894937200736000"/>
    <n v="53553"/>
    <s v="Unidade Vieiralves"/>
    <n v="1713654473"/>
    <m/>
  </r>
  <r>
    <x v="1"/>
    <x v="12"/>
    <s v="Kesia Rachel Martins Jathay"/>
    <s v="Feminino"/>
    <x v="2"/>
    <x v="2"/>
    <s v="50000144 - Avaliação de Fisioterapia (R$ 51,42)"/>
    <s v="Fisioterapia"/>
    <n v="1713654068"/>
    <s v="Finalizado (1/1)"/>
    <n v="46.277999999999999"/>
    <n v="5.1420000000000003"/>
    <n v="51.42"/>
    <s v="Sessão Faturada"/>
    <n v="894937200736000"/>
    <n v="53553"/>
    <s v="Unidade Vieiralves"/>
    <n v="1713654068"/>
    <m/>
  </r>
  <r>
    <x v="1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8/10)"/>
    <n v="47.634399999999999"/>
    <n v="6.4955999999999996"/>
    <n v="54.13"/>
    <s v="Sessão Faturada"/>
    <s v="010245156200"/>
    <n v="42714"/>
    <s v="Unidade Vieiralves"/>
    <s v="42263120260227372449"/>
    <m/>
  </r>
  <r>
    <x v="2"/>
    <x v="22"/>
    <s v="Minervina Lucia Marques Fonseca"/>
    <s v="Feminino"/>
    <x v="0"/>
    <x v="2"/>
    <s v="50000160 - Fisioterapia Ortopedica (R$ 49,72)"/>
    <s v="Fisioterapia"/>
    <s v="42263120260318510196"/>
    <s v="Finalizado (1/10)"/>
    <n v="43.753599999999999"/>
    <n v="5.9664000000000001"/>
    <n v="49.72"/>
    <s v="Sessão a Faturar"/>
    <s v="010650809004"/>
    <n v="40041"/>
    <s v="Unidade Vieiralves"/>
    <s v="42263120260318510196"/>
    <m/>
  </r>
  <r>
    <x v="2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4/10)"/>
    <n v="30.8"/>
    <n v="4.2"/>
    <n v="35"/>
    <s v="Sessão Faturada"/>
    <s v="0501013884910089"/>
    <n v="59237"/>
    <s v="Unidade Vieiralves"/>
    <n v="9245426"/>
    <m/>
  </r>
  <r>
    <x v="2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1/10)"/>
    <n v="47.634399999999999"/>
    <n v="6.4955999999999996"/>
    <n v="54.13"/>
    <s v="Sessão a Faturar"/>
    <s v="010650809004"/>
    <n v="40041"/>
    <s v="Unidade Vieiralves"/>
    <s v="42263120260318510300"/>
    <m/>
  </r>
  <r>
    <x v="2"/>
    <x v="0"/>
    <s v="Ruan Sayone Braga e Silva"/>
    <s v="Masculino"/>
    <x v="19"/>
    <x v="2"/>
    <s v="20103484 - Patol. Em Um Membro (R$ 58,02)"/>
    <s v="Fisioterapia"/>
    <n v="5923220"/>
    <s v="Finalizado (4/4)"/>
    <n v="51.057600000000001"/>
    <n v="6.9623999999999997"/>
    <n v="58.02"/>
    <s v="Sessão Faturada"/>
    <s v="0001000129480069"/>
    <n v="50056"/>
    <s v="Unidade Vieiralves"/>
    <n v="5923220"/>
    <m/>
  </r>
  <r>
    <x v="2"/>
    <x v="0"/>
    <s v="Suely Borges da Silva"/>
    <s v="Feminino"/>
    <x v="6"/>
    <x v="2"/>
    <s v="20103492 - Patologia Em Dois Ou Mais Membros (R$ 30,26)"/>
    <s v="Fisioterapia"/>
    <n v="171356"/>
    <s v="Finalizado (4/5)"/>
    <n v="26.628799999999998"/>
    <n v="3.6312000000000002"/>
    <n v="30.26"/>
    <s v="Sessão a Faturar"/>
    <s v="55788888489898650014"/>
    <n v="59150"/>
    <s v="Unidade Vieiralves"/>
    <n v="171356"/>
    <m/>
  </r>
  <r>
    <x v="2"/>
    <x v="0"/>
    <s v="Jandui Diniz Araujo"/>
    <s v="Masculino"/>
    <x v="2"/>
    <x v="2"/>
    <s v="20103492 - Fisioterapia - Patologia Em Dois Ou Mais Membros (R$ 14,83)"/>
    <s v="Fisioterapia"/>
    <n v="1706378880"/>
    <s v="Finalizado (8/10)"/>
    <n v="13.0504"/>
    <n v="1.7796000000000001"/>
    <n v="14.83"/>
    <s v="Sessão Faturada"/>
    <n v="836407200035000"/>
    <n v="42187"/>
    <s v="Unidade Vieiralves"/>
    <n v="1706378880"/>
    <m/>
  </r>
  <r>
    <x v="2"/>
    <x v="0"/>
    <s v="Jandui Diniz Araujo"/>
    <s v="Masculino"/>
    <x v="4"/>
    <x v="2"/>
    <s v="31602185 - Estimulação Elétrica Transcutânea - Removido 13/04/2026 (R$ 40,00)"/>
    <s v="Fisioterapia"/>
    <n v="1711555972"/>
    <s v="Finalizado (3/5)"/>
    <n v="35.200000000000003"/>
    <n v="4.8"/>
    <n v="40"/>
    <s v="Sessão a Faturar"/>
    <n v="836407200035000"/>
    <n v="42187"/>
    <s v="Unidade Vieiralves"/>
    <n v="1711555972"/>
    <m/>
  </r>
  <r>
    <x v="2"/>
    <x v="1"/>
    <s v="Suely Borges da Silva"/>
    <s v="Feminino"/>
    <x v="6"/>
    <x v="2"/>
    <s v="31602185 - Estimulação Elétrica Transcutanea (Tens) (R$ 40,00)"/>
    <s v="Fisioterapia"/>
    <n v="171361"/>
    <s v="Finalizado (4/5)"/>
    <n v="35.200000000000003"/>
    <n v="4.8"/>
    <n v="40"/>
    <s v="Sessão a Faturar"/>
    <s v="55788888489898650014"/>
    <n v="59150"/>
    <s v="Unidade Vieiralves"/>
    <n v="171361"/>
    <m/>
  </r>
  <r>
    <x v="2"/>
    <x v="2"/>
    <s v="Joziane Lira dos Santos Pereira"/>
    <s v="Feminino"/>
    <x v="8"/>
    <x v="2"/>
    <s v="20103492 - Patologia Em Dois Ou Mais Membros (R$ 14,83)"/>
    <s v="Fisioterapia"/>
    <n v="1709727952"/>
    <s v="Finalizado (5/8)"/>
    <n v="13.0504"/>
    <n v="1.7796000000000001"/>
    <n v="14.83"/>
    <s v="Sessão a Faturar"/>
    <n v="954600002739000"/>
    <n v="35514"/>
    <s v="Unidade Vieiralves"/>
    <n v="1709727952"/>
    <m/>
  </r>
  <r>
    <x v="2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12893261"/>
    <s v="Finalizado (2/5)"/>
    <n v="21.507200000000001"/>
    <n v="2.9327999999999999"/>
    <n v="24.44"/>
    <s v="Sessão a Faturar"/>
    <n v="774063007471000"/>
    <n v="58683"/>
    <s v="Unidade Vieiralves"/>
    <n v="1712893261"/>
    <m/>
  </r>
  <r>
    <x v="2"/>
    <x v="3"/>
    <s v="Daniel de Moura Alves"/>
    <s v="Masculino"/>
    <x v="4"/>
    <x v="2"/>
    <s v="31602185 - Estimulação Elétrica Transcutânea - Removido 13/04/2026 (R$ 40,00)"/>
    <s v="Fisioterapia"/>
    <n v="1712894560"/>
    <s v="Finalizado (2/6)"/>
    <n v="35.200000000000003"/>
    <n v="4.8"/>
    <n v="40"/>
    <s v="Sessão a Faturar"/>
    <n v="774063007471000"/>
    <n v="58683"/>
    <s v="Unidade Vieiralves"/>
    <n v="1712894560"/>
    <m/>
  </r>
  <r>
    <x v="2"/>
    <x v="4"/>
    <s v="Fernando Castelo Ferreira Junior"/>
    <m/>
    <x v="1"/>
    <x v="2"/>
    <s v="50000144 - Consulta de Fisioterapia (R$ 16,00)"/>
    <s v="Fisioterapia"/>
    <n v="9421523"/>
    <s v="Finalizado (1/1)"/>
    <n v="14.4"/>
    <n v="1.6"/>
    <n v="16"/>
    <s v="Sessão Faturada"/>
    <n v="1301013577000100"/>
    <n v="55220"/>
    <s v="Unidade Vieiralves"/>
    <n v="9421523"/>
    <m/>
  </r>
  <r>
    <x v="2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Finalizado (4/10)"/>
    <n v="30.8"/>
    <n v="4.2"/>
    <n v="35"/>
    <s v="Sessão Faturada"/>
    <n v="1301013043650000"/>
    <n v="57993"/>
    <s v="Unidade Vieiralves"/>
    <n v="9317870"/>
    <s v="Guia assinada!"/>
  </r>
  <r>
    <x v="2"/>
    <x v="4"/>
    <s v="Adriana Santos Gonçalves da Silva"/>
    <s v="Feminino"/>
    <x v="2"/>
    <x v="2"/>
    <s v="20103514 - Fisioterapia - Patologia Em Diferentes Segmentos da Coluna (R$ 14,83)"/>
    <s v="Fisioterapia"/>
    <n v="1710233815"/>
    <s v="Finalizado (3/3)"/>
    <n v="13.0504"/>
    <n v="1.7796000000000001"/>
    <n v="14.83"/>
    <s v="Sessão Faturada"/>
    <n v="611019330003020"/>
    <n v="45664"/>
    <s v="Unidade Vieiralves"/>
    <n v="1710233815"/>
    <m/>
  </r>
  <r>
    <x v="2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7/10)"/>
    <n v="30.8"/>
    <n v="4.2"/>
    <n v="35"/>
    <s v="Sessão Faturada"/>
    <s v="0501012567250102"/>
    <n v="59272"/>
    <s v="Unidade Vieiralves"/>
    <n v="9086970"/>
    <m/>
  </r>
  <r>
    <x v="2"/>
    <x v="5"/>
    <s v="Fernando Castelo Ferreira Junior"/>
    <m/>
    <x v="1"/>
    <x v="2"/>
    <s v="50000160 - Fisioterapia Ortopédica (R$ 20,00), 98980327 - Taxa de Eletroterapia (Tens) (R$ 15,00)"/>
    <s v="Fisioterapia"/>
    <n v="9421778"/>
    <s v="Finalizado (1/10)"/>
    <n v="30.8"/>
    <n v="4.2"/>
    <n v="35"/>
    <s v="Sessão Faturada"/>
    <n v="1301013577000100"/>
    <n v="55220"/>
    <s v="Unidade Vieiralves"/>
    <n v="9421778"/>
    <m/>
  </r>
  <r>
    <x v="2"/>
    <x v="13"/>
    <s v="Fernanda Santos Fachinello"/>
    <s v="Feminino"/>
    <x v="1"/>
    <x v="2"/>
    <s v="50000160 - Fisioterapia Ortopédica (R$ 20,00), 98980327 - Taxa de Eletroterapia (Tens) (R$ 15,00)"/>
    <s v="Fisioterapia"/>
    <n v="9167027"/>
    <s v="Finalizado (7/10)"/>
    <n v="30.8"/>
    <n v="4.2"/>
    <n v="35"/>
    <s v="Sessão Faturada"/>
    <n v="1301014095850300"/>
    <n v="21927"/>
    <s v="Unidade Vieiralves"/>
    <n v="9167027"/>
    <m/>
  </r>
  <r>
    <x v="2"/>
    <x v="6"/>
    <s v="Adenildo Neles de Vasconcelos"/>
    <s v="Masculino"/>
    <x v="2"/>
    <x v="2"/>
    <s v="20103492 - Fisioterapia - Patologia Em Dois Ou Mais Membros (R$ 14,83)"/>
    <s v="Fisioterapia"/>
    <n v="1710838335"/>
    <s v="Finalizado (2/10)"/>
    <n v="13.0504"/>
    <n v="1.7796000000000001"/>
    <n v="14.83"/>
    <s v="Sessão a Faturar"/>
    <n v="890729700019020"/>
    <n v="47173"/>
    <s v="Unidade Vieiralves"/>
    <n v="1710838335"/>
    <m/>
  </r>
  <r>
    <x v="2"/>
    <x v="15"/>
    <s v="Francisco Lima da Silva"/>
    <s v="Masculino"/>
    <x v="2"/>
    <x v="2"/>
    <s v="20103492 - Fisioterapia - Patologia Em Dois Ou Mais Membros (R$ 14,83)"/>
    <s v="Fisioterapia"/>
    <n v="1709177993"/>
    <s v="Finalizado (5/5)"/>
    <n v="13.0504"/>
    <n v="1.7796000000000001"/>
    <n v="14.83"/>
    <s v="Sessão Faturada"/>
    <n v="774981007706010"/>
    <n v="52427"/>
    <s v="Unidade Vieiralves"/>
    <n v="1709177993"/>
    <m/>
  </r>
  <r>
    <x v="2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Finalizado (4/7)"/>
    <n v="30.8"/>
    <n v="4.2"/>
    <n v="35"/>
    <s v="Sessão Faturada"/>
    <n v="1901012887750100"/>
    <n v="44369"/>
    <s v="Unidade Vieiralves"/>
    <n v="9299524"/>
    <m/>
  </r>
  <r>
    <x v="2"/>
    <x v="15"/>
    <s v="Suzy Helena do  Nascimento Oliveira"/>
    <s v="Feminino"/>
    <x v="10"/>
    <x v="2"/>
    <s v="50000160 - Fisioterapia Ortopédica (R$ 15,00)"/>
    <s v="Fisioterapia"/>
    <n v="21424412"/>
    <s v="Finalizado (1/10)"/>
    <n v="13.2"/>
    <n v="1.8"/>
    <n v="15"/>
    <s v="Sessão a Faturar"/>
    <s v="00010064270174002"/>
    <n v="48550"/>
    <s v="Unidade Vieiralves"/>
    <n v="21424412"/>
    <m/>
  </r>
  <r>
    <x v="2"/>
    <x v="15"/>
    <s v="Francisco Lima da Silva"/>
    <s v="Masculino"/>
    <x v="4"/>
    <x v="2"/>
    <s v="31602185 - Estimulação Elétrica Transcutânea - Removido 13/04/2026 (R$ 40,00)"/>
    <s v="Fisioterapia"/>
    <n v="1713582046"/>
    <s v="Finalizado (2/8)"/>
    <n v="35.200000000000003"/>
    <n v="4.8"/>
    <n v="40"/>
    <s v="Sessão a Faturar"/>
    <n v="774981007706010"/>
    <n v="52427"/>
    <s v="Unidade Vieiralves"/>
    <n v="1713582046"/>
    <m/>
  </r>
  <r>
    <x v="2"/>
    <x v="17"/>
    <s v="Victoria de Moraes Martins Pereira"/>
    <s v="Masculino"/>
    <x v="6"/>
    <x v="2"/>
    <s v="20103662 - Pos Operatorio Em Um Membro (R$ 22,53)"/>
    <s v="Fisioterapia"/>
    <n v="171245"/>
    <s v="Finalizado (6/10)"/>
    <n v="19.8264"/>
    <n v="2.7035999999999998"/>
    <n v="22.53"/>
    <s v="Sessão a Faturar"/>
    <s v="55788888488381350015"/>
    <n v="48970"/>
    <s v="Unidade Vieiralves"/>
    <n v="171245"/>
    <m/>
  </r>
  <r>
    <x v="2"/>
    <x v="17"/>
    <s v="Anthony Jesus Farias Villarroel"/>
    <s v="Masculino"/>
    <x v="8"/>
    <x v="2"/>
    <s v="20103484 - Patologia Em Um Membro (R$ 12,22)"/>
    <s v="Fisioterapia"/>
    <n v="1710475319"/>
    <s v="Finalizado (5/5)"/>
    <n v="10.7536"/>
    <n v="1.4663999999999999"/>
    <n v="12.22"/>
    <s v="Sessão a Faturar"/>
    <n v="954600016969020"/>
    <n v="53566"/>
    <s v="Unidade Vieiralves"/>
    <n v="1710475319"/>
    <m/>
  </r>
  <r>
    <x v="2"/>
    <x v="18"/>
    <s v="Victoria de Moraes Martins Pereira"/>
    <s v="Masculino"/>
    <x v="6"/>
    <x v="2"/>
    <s v="31602185 - Estimulação Elétrica Transcutanea (Tens) (R$ 40,00)"/>
    <s v="Fisioterapia"/>
    <n v="171247"/>
    <s v="Finalizado (6/10)"/>
    <n v="35.200000000000003"/>
    <n v="4.8"/>
    <n v="40"/>
    <s v="Sessão a Faturar"/>
    <s v="55788888488381350015"/>
    <n v="48970"/>
    <s v="Unidade Vieiralves"/>
    <n v="171247"/>
    <m/>
  </r>
  <r>
    <x v="2"/>
    <x v="8"/>
    <s v="Cizia Freitas de Silva Costa"/>
    <s v="Feminino"/>
    <x v="2"/>
    <x v="2"/>
    <s v="20103492 - Fisioterapia - Patologia Em Dois Ou Mais Membros (R$ 14,83)"/>
    <s v="Fisioterapia"/>
    <n v="1709241178"/>
    <s v="Finalizado (3/6)"/>
    <n v="13.0504"/>
    <n v="1.7796000000000001"/>
    <n v="14.83"/>
    <s v="Sessão a Faturar"/>
    <n v="960016147089050"/>
    <n v="46973"/>
    <s v="Unidade Vieiralves"/>
    <n v="1709241178"/>
    <m/>
  </r>
  <r>
    <x v="2"/>
    <x v="10"/>
    <s v="Dhijana Nobre de Almeida"/>
    <s v="Feminino"/>
    <x v="6"/>
    <x v="2"/>
    <s v="20103506 - Patologia Em Um Segmento da Coluna (R$ 14,16)"/>
    <s v="Fisioterapia"/>
    <n v="170863"/>
    <s v="Finalizado (4/10)"/>
    <n v="12.460800000000001"/>
    <n v="1.6992"/>
    <n v="14.16"/>
    <s v="Sessão a Faturar"/>
    <s v="54588888004873450017"/>
    <n v="6422"/>
    <s v="Unidade Vieiralves"/>
    <n v="170863"/>
    <m/>
  </r>
  <r>
    <x v="2"/>
    <x v="10"/>
    <s v="Dhijana Nobre de Almeida"/>
    <s v="Feminino"/>
    <x v="6"/>
    <x v="2"/>
    <s v="31602185 - Estimulação Elétrica Transcutanea (Tens) (R$ 40,00)"/>
    <s v="Fisioterapia"/>
    <n v="170864"/>
    <s v="Finalizado (4/5)"/>
    <n v="35.200000000000003"/>
    <n v="4.8"/>
    <n v="40"/>
    <s v="Sessão a Faturar"/>
    <s v="54588888004873450017"/>
    <n v="6422"/>
    <s v="Unidade Vieiralves"/>
    <n v="170864"/>
    <m/>
  </r>
  <r>
    <x v="2"/>
    <x v="10"/>
    <s v="Mcluhan Teixeira Grijo"/>
    <s v="Masculino"/>
    <x v="5"/>
    <x v="2"/>
    <s v="31602185 - Estimulação Elétrica Transcutânea (Tens) - 04/03/2026 (R$ 120,28)"/>
    <s v="Fisioterapia"/>
    <n v="76665250"/>
    <s v="Finalizado (6/10)"/>
    <n v="105.8464"/>
    <n v="14.4336"/>
    <n v="120.28"/>
    <s v="Sessão Faturada"/>
    <s v="0101072415000314"/>
    <n v="51264"/>
    <s v="Unidade Vieiralves"/>
    <n v="76665250"/>
    <m/>
  </r>
  <r>
    <x v="2"/>
    <x v="10"/>
    <s v="Mcluhan Teixeira Grijo"/>
    <s v="Masculino"/>
    <x v="5"/>
    <x v="2"/>
    <s v="98860011 - Fisioterapia Complexidade 1 - 04/03/2026 (R$ 53,00)"/>
    <s v="Fisioterapia"/>
    <n v="76664020"/>
    <s v="Finalizado (6/10)"/>
    <n v="46.64"/>
    <n v="6.36"/>
    <n v="53"/>
    <s v="Sessão Faturada"/>
    <s v="0101072415000314"/>
    <n v="51264"/>
    <s v="Unidade Vieiralves"/>
    <n v="76664020"/>
    <m/>
  </r>
  <r>
    <x v="2"/>
    <x v="10"/>
    <s v="Antonio Jorge Martins de Queiroz"/>
    <s v="Masculino"/>
    <x v="10"/>
    <x v="2"/>
    <s v="50000160 - Fisioterapia Ortopédica (R$ 15,00)"/>
    <s v="Fisioterapia"/>
    <n v="15098530"/>
    <s v="Finalizado (8/10)"/>
    <n v="13.2"/>
    <n v="1.8"/>
    <n v="15"/>
    <s v="Sessão Faturada"/>
    <s v="00010064268023001"/>
    <n v="59517"/>
    <s v="Unidade Vieiralves"/>
    <n v="15098530"/>
    <m/>
  </r>
  <r>
    <x v="2"/>
    <x v="12"/>
    <s v="Vanderson de Lima Silva"/>
    <s v="Masculino"/>
    <x v="0"/>
    <x v="2"/>
    <s v="50000160 - Fisioterapia Ortopedica (R$ 49,72)"/>
    <s v="Fisioterapia"/>
    <s v="42263120260227372403"/>
    <s v="Finalizado (9/10)"/>
    <n v="43.753599999999999"/>
    <n v="5.9664000000000001"/>
    <n v="49.72"/>
    <s v="Sessão Faturada"/>
    <s v="010245156200"/>
    <n v="42714"/>
    <s v="Unidade Vieiralves"/>
    <s v="42263120260227372403"/>
    <m/>
  </r>
  <r>
    <x v="2"/>
    <x v="12"/>
    <s v="Viviane Paes Barreto da Silva"/>
    <s v="Feminino"/>
    <x v="2"/>
    <x v="2"/>
    <s v="20103484 - Fisioterapia - Patologia Em Um Membro (R$ 12,22)"/>
    <s v="Fisioterapia"/>
    <n v="1713637483"/>
    <s v="Finalizado (2/10)"/>
    <n v="10.7536"/>
    <n v="1.4663999999999999"/>
    <n v="12.22"/>
    <s v="Sessão a Faturar"/>
    <n v="853503800205040"/>
    <n v="59636"/>
    <s v="Unidade Vieiralves"/>
    <n v="1713637483"/>
    <m/>
  </r>
  <r>
    <x v="2"/>
    <x v="12"/>
    <s v="Jamilson Oliveira dos Santos"/>
    <s v="Masculino"/>
    <x v="6"/>
    <x v="2"/>
    <s v="20103484 - Patologia Em Um Membro (R$ 14,16)"/>
    <s v="Fisioterapia"/>
    <n v="169825"/>
    <s v="Finalizado (5/10)"/>
    <n v="12.460800000000001"/>
    <n v="1.6992"/>
    <n v="14.16"/>
    <s v="Sessão a Faturar"/>
    <s v="55788888488869430020"/>
    <n v="48962"/>
    <s v="Unidade Vieiralves"/>
    <n v="169825"/>
    <m/>
  </r>
  <r>
    <x v="2"/>
    <x v="12"/>
    <s v="Jamilson Oliveira dos Santos"/>
    <s v="Masculino"/>
    <x v="6"/>
    <x v="2"/>
    <s v="31602185 - Estimulação Elétrica Transcutanea (Tens) (R$ 40,00)"/>
    <s v="Fisioterapia"/>
    <n v="169827"/>
    <s v="Finalizado (5/10)"/>
    <n v="35.200000000000003"/>
    <n v="4.8"/>
    <n v="40"/>
    <s v="Sessão a Faturar"/>
    <s v="55788888488869430020"/>
    <n v="48962"/>
    <s v="Unidade Vieiralves"/>
    <n v="169827"/>
    <m/>
  </r>
  <r>
    <x v="2"/>
    <x v="19"/>
    <s v="Viviane Paes Barreto da Silva"/>
    <s v="Feminino"/>
    <x v="4"/>
    <x v="2"/>
    <s v="31602185 - Estimulação Elétrica Transcutânea - Removido 13/04/2026 (R$ 40,00)"/>
    <s v="Fisioterapia"/>
    <n v="1714252033"/>
    <s v="Finalizado (1/10)"/>
    <n v="35.200000000000003"/>
    <n v="4.8"/>
    <n v="40"/>
    <s v="Sessão a Faturar"/>
    <n v="853503800205040"/>
    <n v="59636"/>
    <s v="Unidade Vieiralves"/>
    <n v="1714252033"/>
    <m/>
  </r>
  <r>
    <x v="2"/>
    <x v="19"/>
    <s v="Vanderson de Lima Silva"/>
    <s v="Masculino"/>
    <x v="0"/>
    <x v="2"/>
    <s v="31602185 - Estimulação Elétrica Transcutânea Fisioterapia (Novo - 01/12) (R$ 54,13)"/>
    <s v="Fisioterapia"/>
    <s v="42263120260227372449"/>
    <s v="Finalizado (9/10)"/>
    <n v="47.634399999999999"/>
    <n v="6.4955999999999996"/>
    <n v="54.13"/>
    <s v="Sessão Faturada"/>
    <s v="010245156200"/>
    <n v="42714"/>
    <s v="Unidade Vieiralves"/>
    <s v="42263120260227372449"/>
    <m/>
  </r>
  <r>
    <x v="3"/>
    <x v="22"/>
    <s v="Minervina Lucia Marques Fonseca"/>
    <s v="Feminino"/>
    <x v="0"/>
    <x v="2"/>
    <s v="50000160 - Fisioterapia Ortopedica (R$ 49,72)"/>
    <s v="Fisioterapia"/>
    <s v="42263120260318510196"/>
    <s v="Finalizado (2/10)"/>
    <n v="43.753599999999999"/>
    <n v="5.9664000000000001"/>
    <n v="49.72"/>
    <s v="Sessão a Faturar"/>
    <s v="010650809004"/>
    <n v="40041"/>
    <s v="Unidade Vieiralves"/>
    <s v="42263120260318510196"/>
    <m/>
  </r>
  <r>
    <x v="3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2/10)"/>
    <n v="47.634399999999999"/>
    <n v="6.4955999999999996"/>
    <n v="54.13"/>
    <s v="Sessão a Faturar"/>
    <s v="010650809004"/>
    <n v="40041"/>
    <s v="Unidade Vieiralves"/>
    <s v="42263120260318510300"/>
    <m/>
  </r>
  <r>
    <x v="3"/>
    <x v="0"/>
    <s v="Suely Borges da Silva"/>
    <s v="Feminino"/>
    <x v="6"/>
    <x v="2"/>
    <s v="20103492 - Patologia Em Dois Ou Mais Membros (R$ 30,26)"/>
    <s v="Fisioterapia"/>
    <n v="171356"/>
    <s v="Finalizado (5/5)"/>
    <n v="26.628799999999998"/>
    <n v="3.6312000000000002"/>
    <n v="30.26"/>
    <s v="Sessão a Faturar"/>
    <s v="55788888489898650014"/>
    <n v="59150"/>
    <s v="Unidade Vieiralves"/>
    <n v="171356"/>
    <m/>
  </r>
  <r>
    <x v="3"/>
    <x v="0"/>
    <s v="Jandui Diniz Araujo"/>
    <s v="Masculino"/>
    <x v="2"/>
    <x v="2"/>
    <s v="20103492 - Fisioterapia - Patologia Em Dois Ou Mais Membros (R$ 14,83)"/>
    <s v="Fisioterapia"/>
    <n v="1706378880"/>
    <s v="Finalizado (9/10)"/>
    <n v="13.0504"/>
    <n v="1.7796000000000001"/>
    <n v="14.83"/>
    <s v="Sessão Faturada"/>
    <n v="836407200035000"/>
    <n v="42187"/>
    <s v="Unidade Vieiralves"/>
    <n v="1706378880"/>
    <m/>
  </r>
  <r>
    <x v="3"/>
    <x v="0"/>
    <s v="Pedro Balsini Peixoto Porto"/>
    <s v="Masculino"/>
    <x v="2"/>
    <x v="2"/>
    <s v="20103492 - Fisioterapia - Patologia Em Dois Ou Mais Membros (R$ 14,83)"/>
    <s v="Fisioterapia"/>
    <n v="1711686290"/>
    <s v="Finalizado (3/6)"/>
    <n v="13.0504"/>
    <n v="1.7796000000000001"/>
    <n v="14.83"/>
    <s v="Sessão a Faturar"/>
    <n v="893331300736020"/>
    <n v="59321"/>
    <s v="Unidade Vieiralves"/>
    <n v="1711686290"/>
    <m/>
  </r>
  <r>
    <x v="3"/>
    <x v="1"/>
    <s v="Suely Borges da Silva"/>
    <s v="Feminino"/>
    <x v="6"/>
    <x v="2"/>
    <s v="31602185 - Estimulação Elétrica Transcutanea (Tens) (R$ 40,00)"/>
    <s v="Fisioterapia"/>
    <n v="171361"/>
    <s v="Finalizado (5/5)"/>
    <n v="35.200000000000003"/>
    <n v="4.8"/>
    <n v="40"/>
    <s v="Sessão a Faturar"/>
    <s v="55788888489898650014"/>
    <n v="59150"/>
    <s v="Unidade Vieiralves"/>
    <n v="171361"/>
    <m/>
  </r>
  <r>
    <x v="3"/>
    <x v="1"/>
    <s v="Jandui Diniz Araujo"/>
    <s v="Masculino"/>
    <x v="4"/>
    <x v="2"/>
    <s v="31602185 - Estimulação Elétrica Transcutânea - Removido 13/04/2026 (R$ 40,00)"/>
    <s v="Fisioterapia"/>
    <n v="1711555972"/>
    <s v="Finalizado (4/5)"/>
    <n v="35.200000000000003"/>
    <n v="4.8"/>
    <n v="40"/>
    <s v="Sessão a Faturar"/>
    <n v="836407200035000"/>
    <n v="42187"/>
    <s v="Unidade Vieiralves"/>
    <n v="1711555972"/>
    <m/>
  </r>
  <r>
    <x v="3"/>
    <x v="1"/>
    <s v="Pedro Balsini Peixoto Porto"/>
    <s v="Masculino"/>
    <x v="4"/>
    <x v="2"/>
    <s v="31602185 - Estimulação Elétrica Transcutânea - Removido 13/04/2026 (R$ 40,00)"/>
    <s v="Fisioterapia"/>
    <n v="1714703239"/>
    <s v="Finalizado (1/3)"/>
    <n v="35.200000000000003"/>
    <n v="4.8"/>
    <n v="40"/>
    <s v="Sessão a Faturar"/>
    <n v="893331300736020"/>
    <n v="59321"/>
    <s v="Unidade Vieiralves"/>
    <n v="1714703239"/>
    <m/>
  </r>
  <r>
    <x v="3"/>
    <x v="4"/>
    <s v="Fernando Castelo Ferreira Junior"/>
    <m/>
    <x v="1"/>
    <x v="2"/>
    <s v="50000160 - Fisioterapia Ortopédica (R$ 20,00), 98980327 - Taxa de Eletroterapia (Tens) (R$ 15,00)"/>
    <s v="Fisioterapia"/>
    <n v="9421778"/>
    <s v="Finalizado (2/10)"/>
    <n v="30.8"/>
    <n v="4.2"/>
    <n v="35"/>
    <s v="Sessão Faturada"/>
    <n v="1301013577000100"/>
    <n v="55220"/>
    <s v="Unidade Vieiralves"/>
    <n v="9421778"/>
    <m/>
  </r>
  <r>
    <x v="3"/>
    <x v="4"/>
    <s v="Gretha Ribeiro Fraiji"/>
    <s v="Feminino"/>
    <x v="1"/>
    <x v="2"/>
    <s v="50000144 - Consulta de Fisioterapia (R$ 16,00)"/>
    <s v="Fisioterapia"/>
    <n v="9442493"/>
    <s v="Finalizado (1/1)"/>
    <n v="14.4"/>
    <n v="1.6"/>
    <n v="16"/>
    <s v="Sessão Faturada"/>
    <n v="1101013613880100"/>
    <n v="59683"/>
    <s v="Unidade Vieiralves"/>
    <n v="9442493"/>
    <m/>
  </r>
  <r>
    <x v="3"/>
    <x v="5"/>
    <s v="Gretha Ribeiro Fraiji"/>
    <s v="Feminino"/>
    <x v="1"/>
    <x v="2"/>
    <s v="50000160 - Fisioterapia Ortopédica (R$ 20,00), 98980327 - Taxa de Eletroterapia (Tens) (R$ 15,00)"/>
    <s v="Fisioterapia"/>
    <n v="9442683"/>
    <s v="Finalizado (1/1)"/>
    <n v="30.8"/>
    <n v="4.2"/>
    <n v="35"/>
    <s v="Sessão Faturada"/>
    <n v="1101013613880100"/>
    <n v="59683"/>
    <s v="Unidade Vieiralves"/>
    <n v="9442683"/>
    <m/>
  </r>
  <r>
    <x v="3"/>
    <x v="13"/>
    <s v="Rachel de Souza Oliveira"/>
    <s v="Feminino"/>
    <x v="18"/>
    <x v="2"/>
    <s v="50000160 - Fisioterapia Ortopedica - Sessao (R$ 45,00)"/>
    <s v="Fisioterapia"/>
    <n v="171638"/>
    <s v="Finalizado (2/10)"/>
    <n v="39.6"/>
    <n v="5.4"/>
    <n v="45"/>
    <s v="Sessão a Faturar"/>
    <s v="000008252"/>
    <n v="59639"/>
    <s v="Unidade Vieiralves"/>
    <n v="171638"/>
    <m/>
  </r>
  <r>
    <x v="3"/>
    <x v="13"/>
    <s v="Celia Regina Simonetti Barbalho"/>
    <s v="Feminino"/>
    <x v="1"/>
    <x v="2"/>
    <s v="50000160 - Fisioterapia Ortopédica (R$ 20,00), 98980327 - Taxa de Eletroterapia (Tens) (R$ 15,00)"/>
    <s v="Fisioterapia"/>
    <n v="9311765"/>
    <s v="Finalizado (3/7)"/>
    <n v="30.8"/>
    <n v="4.2"/>
    <n v="35"/>
    <s v="Sessão Faturada"/>
    <s v="0901012965130039"/>
    <n v="36041"/>
    <s v="Unidade Vieiralves"/>
    <n v="9311765"/>
    <m/>
  </r>
  <r>
    <x v="3"/>
    <x v="6"/>
    <s v="Isadora Vitorino Grana"/>
    <s v="Feminino"/>
    <x v="13"/>
    <x v="2"/>
    <s v="20103514 - Patologia Em Diferentes Segmentos da Coluna (R$ 41,45)"/>
    <s v="Fisioterapia"/>
    <n v="13593606"/>
    <s v="Finalizado (8/10)"/>
    <n v="36.475999999999999"/>
    <n v="4.9740000000000002"/>
    <n v="41.45"/>
    <s v="Sessão Faturada"/>
    <s v="00010300035963020"/>
    <n v="56556"/>
    <s v="Unidade Vieiralves"/>
    <n v="13593606"/>
    <m/>
  </r>
  <r>
    <x v="3"/>
    <x v="15"/>
    <s v="Suzy Helena do  Nascimento Oliveira"/>
    <s v="Feminino"/>
    <x v="10"/>
    <x v="2"/>
    <s v="50000160 - Fisioterapia Ortopédica (R$ 15,00)"/>
    <s v="Fisioterapia"/>
    <n v="21424412"/>
    <s v="Finalizado (2/10)"/>
    <n v="13.2"/>
    <n v="1.8"/>
    <n v="15"/>
    <s v="Sessão a Faturar"/>
    <s v="00010064270174002"/>
    <n v="48550"/>
    <s v="Unidade Vieiralves"/>
    <n v="21424412"/>
    <m/>
  </r>
  <r>
    <x v="3"/>
    <x v="17"/>
    <s v="Victoria de Moraes Martins Pereira"/>
    <s v="Masculino"/>
    <x v="6"/>
    <x v="2"/>
    <s v="20103662 - Pos Operatorio Em Um Membro (R$ 22,53)"/>
    <s v="Fisioterapia"/>
    <n v="171245"/>
    <s v="Finalizado (7/10)"/>
    <n v="19.8264"/>
    <n v="2.7035999999999998"/>
    <n v="22.53"/>
    <s v="Sessão a Faturar"/>
    <s v="55788888488381350015"/>
    <n v="48970"/>
    <s v="Unidade Vieiralves"/>
    <n v="171245"/>
    <m/>
  </r>
  <r>
    <x v="3"/>
    <x v="17"/>
    <s v="Matheus de Oliveira Melo"/>
    <s v="Masculino"/>
    <x v="13"/>
    <x v="2"/>
    <s v="20103484 - Patologia Em Um Membro (R$ 24,41)"/>
    <s v="Fisioterapia"/>
    <n v="13509292"/>
    <s v="Finalizado (10/10)"/>
    <n v="21.480799999999999"/>
    <n v="2.9291999999999998"/>
    <n v="24.41"/>
    <s v="Sessão Faturada"/>
    <s v="00010300020690006"/>
    <n v="58751"/>
    <s v="Unidade Vieiralves"/>
    <n v="13509292"/>
    <s v="Guia assinada! 23/02"/>
  </r>
  <r>
    <x v="3"/>
    <x v="17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8/9)"/>
    <n v="26.1008"/>
    <n v="3.5592000000000001"/>
    <n v="29.66"/>
    <s v="Sessão Faturada"/>
    <n v="775216013765020"/>
    <n v="59283"/>
    <s v="Unidade Vieiralves"/>
    <n v="1703978801"/>
    <m/>
  </r>
  <r>
    <x v="3"/>
    <x v="18"/>
    <s v="Victoria de Moraes Martins Pereira"/>
    <s v="Masculino"/>
    <x v="6"/>
    <x v="2"/>
    <s v="31602185 - Estimulação Elétrica Transcutanea (Tens) (R$ 40,00)"/>
    <s v="Fisioterapia"/>
    <n v="171247"/>
    <s v="Finalizado (7/10)"/>
    <n v="35.200000000000003"/>
    <n v="4.8"/>
    <n v="40"/>
    <s v="Sessão a Faturar"/>
    <s v="55788888488381350015"/>
    <n v="48970"/>
    <s v="Unidade Vieiralves"/>
    <n v="171247"/>
    <m/>
  </r>
  <r>
    <x v="3"/>
    <x v="8"/>
    <s v="Alaide de Souza Lima Lemos"/>
    <s v="Feminino"/>
    <x v="2"/>
    <x v="2"/>
    <s v="20103514 - Fisioterapia - Patologia Em Diferentes Segmentos da Coluna (R$ 14,83)"/>
    <s v="Fisioterapia"/>
    <n v="1714751503"/>
    <s v="Finalizado (1/2)"/>
    <n v="13.0504"/>
    <n v="1.7796000000000001"/>
    <n v="14.83"/>
    <s v="Sessão a Faturar"/>
    <n v="772568004855020"/>
    <n v="59604"/>
    <s v="Unidade Vieiralves"/>
    <n v="1714751503"/>
    <m/>
  </r>
  <r>
    <x v="3"/>
    <x v="8"/>
    <s v="James Alcantara de Lima"/>
    <s v="Masculino"/>
    <x v="6"/>
    <x v="2"/>
    <s v="20103514 - Patologia Em Dois Ou Mais Segmentos da Coluna (R$ 32,82)"/>
    <s v="Fisioterapia"/>
    <n v="171167"/>
    <s v="Finalizado (3/10)"/>
    <n v="28.881599999999999"/>
    <n v="3.9384000000000001"/>
    <n v="32.82"/>
    <s v="Sessão a Faturar"/>
    <s v="54588888018315590015"/>
    <n v="59229"/>
    <s v="Unidade Vieiralves"/>
    <n v="171167"/>
    <m/>
  </r>
  <r>
    <x v="3"/>
    <x v="9"/>
    <s v="James Alcantara de Lima"/>
    <s v="Masculino"/>
    <x v="6"/>
    <x v="2"/>
    <s v="31602185 - Estimulação Elétrica Transcutanea (Tens) (R$ 40,00)"/>
    <s v="Fisioterapia"/>
    <n v="171251"/>
    <s v="Finalizado (3/10)"/>
    <n v="35.200000000000003"/>
    <n v="4.8"/>
    <n v="40"/>
    <s v="Sessão a Faturar"/>
    <s v="54588888018315590015"/>
    <n v="59229"/>
    <s v="Unidade Vieiralves"/>
    <n v="171251"/>
    <m/>
  </r>
  <r>
    <x v="3"/>
    <x v="9"/>
    <s v="Alaide de Souza Lima Lemos"/>
    <s v="Feminino"/>
    <x v="2"/>
    <x v="2"/>
    <s v="50000144 - Avaliação de Fisioterapia (R$ 51,42)"/>
    <s v="Fisioterapia"/>
    <n v="1714750901"/>
    <s v="Finalizado (1/1)"/>
    <n v="46.277999999999999"/>
    <n v="5.1420000000000003"/>
    <n v="51.42"/>
    <s v="Sessão Faturada"/>
    <n v="772568004855020"/>
    <n v="59604"/>
    <s v="Unidade Vieiralves"/>
    <n v="1714750901"/>
    <m/>
  </r>
  <r>
    <x v="3"/>
    <x v="10"/>
    <s v="Adriana Fideles Lima Gomes"/>
    <s v="Feminino"/>
    <x v="2"/>
    <x v="2"/>
    <s v="20103484 - Fisioterapia - Patologia Em Um Membro (R$ 12,22)"/>
    <s v="Fisioterapia"/>
    <n v="1709879015"/>
    <s v="Finalizado (2/2)"/>
    <n v="10.7536"/>
    <n v="1.4663999999999999"/>
    <n v="12.22"/>
    <s v="Sessão Faturada"/>
    <n v="774239001350050"/>
    <n v="59556"/>
    <s v="Unidade Vieiralves"/>
    <n v="1709879015"/>
    <m/>
  </r>
  <r>
    <x v="3"/>
    <x v="10"/>
    <s v="Anthony Jesus Farias Villarroel"/>
    <s v="Masculino"/>
    <x v="8"/>
    <x v="2"/>
    <s v="20103484 - Patologia Em Um Membro (R$ 12,22)"/>
    <s v="Fisioterapia"/>
    <n v="1714760419"/>
    <s v="Finalizado (1/10)"/>
    <n v="10.7536"/>
    <n v="1.4663999999999999"/>
    <n v="12.22"/>
    <s v="Sessão a Faturar"/>
    <n v="954600016969020"/>
    <n v="53566"/>
    <s v="Unidade Vieiralves"/>
    <n v="1714760419"/>
    <m/>
  </r>
  <r>
    <x v="3"/>
    <x v="10"/>
    <s v="Willian Jean Silva Colares"/>
    <s v="Masculino"/>
    <x v="2"/>
    <x v="2"/>
    <s v="20103484 - Fisioterapia - Patologia Em Um Membro (R$ 12,22)"/>
    <s v="Fisioterapia"/>
    <n v="1707540722"/>
    <s v="Finalizado (9/9)"/>
    <n v="10.7536"/>
    <n v="1.4663999999999999"/>
    <n v="12.22"/>
    <s v="Sessão Faturada"/>
    <n v="775219005800000"/>
    <n v="59277"/>
    <s v="Unidade Vieiralves"/>
    <n v="1707540722"/>
    <m/>
  </r>
  <r>
    <x v="3"/>
    <x v="10"/>
    <s v="Antonio Jorge Martins de Queiroz"/>
    <s v="Masculino"/>
    <x v="10"/>
    <x v="2"/>
    <s v="50000160 - Fisioterapia Ortopédica (R$ 15,00)"/>
    <s v="Fisioterapia"/>
    <n v="15098530"/>
    <s v="Finalizado (9/10)"/>
    <n v="13.2"/>
    <n v="1.8"/>
    <n v="15"/>
    <s v="Sessão Faturada"/>
    <s v="00010064268023001"/>
    <n v="59517"/>
    <s v="Unidade Vieiralves"/>
    <n v="15098530"/>
    <m/>
  </r>
  <r>
    <x v="4"/>
    <x v="22"/>
    <s v="Jandui Diniz Araujo"/>
    <s v="Masculino"/>
    <x v="2"/>
    <x v="2"/>
    <s v="20103492 - Fisioterapia - Patologia Em Dois Ou Mais Membros (R$ 14,83)"/>
    <s v="Fisioterapia"/>
    <n v="1706378880"/>
    <s v="Finalizado (10/10)"/>
    <n v="13.0504"/>
    <n v="1.7796000000000001"/>
    <n v="14.83"/>
    <s v="Sessão Faturada"/>
    <n v="836407200035000"/>
    <n v="42187"/>
    <s v="Unidade Vieiralves"/>
    <n v="1706378880"/>
    <m/>
  </r>
  <r>
    <x v="4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5/10)"/>
    <n v="30.8"/>
    <n v="4.2"/>
    <n v="35"/>
    <s v="Sessão Faturada"/>
    <s v="0501013884910089"/>
    <n v="59237"/>
    <s v="Unidade Vieiralves"/>
    <n v="9245426"/>
    <m/>
  </r>
  <r>
    <x v="4"/>
    <x v="22"/>
    <s v="Jandui Diniz Araujo"/>
    <s v="Masculino"/>
    <x v="4"/>
    <x v="2"/>
    <s v="31602185 - Estimulação Elétrica Transcutânea - Removido 13/04/2026 (R$ 40,00)"/>
    <s v="Fisioterapia"/>
    <n v="1711555972"/>
    <s v="Finalizado (5/5)"/>
    <n v="35.200000000000003"/>
    <n v="4.8"/>
    <n v="40"/>
    <s v="Sessão a Faturar"/>
    <n v="836407200035000"/>
    <n v="42187"/>
    <s v="Unidade Vieiralves"/>
    <n v="1711555972"/>
    <m/>
  </r>
  <r>
    <x v="4"/>
    <x v="22"/>
    <s v="Paulo Roberto Pires de Sousa"/>
    <s v="Masculino"/>
    <x v="18"/>
    <x v="2"/>
    <s v="50000160 - Fisioterapia Ortopedica - Pacote (R$ 25,00)"/>
    <s v="Fisioterapia"/>
    <n v="170798"/>
    <s v="Finalizado (5/10)"/>
    <n v="22"/>
    <n v="3"/>
    <n v="25"/>
    <s v="Sessão a Faturar"/>
    <s v="00"/>
    <n v="59565"/>
    <s v="Unidade Vieiralves"/>
    <n v="170798"/>
    <m/>
  </r>
  <r>
    <x v="4"/>
    <x v="2"/>
    <s v="Fernanda Santos Fachinello"/>
    <s v="Feminino"/>
    <x v="1"/>
    <x v="2"/>
    <s v="50000160 - Fisioterapia Ortopédica (R$ 20,00), 98980327 - Taxa de Eletroterapia (Tens) (R$ 15,00)"/>
    <s v="Fisioterapia"/>
    <n v="9167027"/>
    <s v="Finalizado (8/10)"/>
    <n v="30.8"/>
    <n v="4.2"/>
    <n v="35"/>
    <s v="Sessão Faturada"/>
    <n v="1301014095850300"/>
    <n v="21927"/>
    <s v="Unidade Vieiralves"/>
    <n v="9167027"/>
    <m/>
  </r>
  <r>
    <x v="4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12893261"/>
    <s v="Finalizado (3/5)"/>
    <n v="21.507200000000001"/>
    <n v="2.9327999999999999"/>
    <n v="24.44"/>
    <s v="Sessão a Faturar"/>
    <n v="774063007471000"/>
    <n v="58683"/>
    <s v="Unidade Vieiralves"/>
    <n v="1712893261"/>
    <m/>
  </r>
  <r>
    <x v="4"/>
    <x v="2"/>
    <s v="Mara Regina Kossoski Felix"/>
    <s v="Feminino"/>
    <x v="18"/>
    <x v="2"/>
    <s v="50000160 - Fisioterapia Ortopedica - Pacote (R$ 25,00)"/>
    <s v="Fisioterapia"/>
    <n v="169568"/>
    <s v="Finalizado (4/10)"/>
    <n v="22"/>
    <n v="3"/>
    <n v="25"/>
    <s v="Sessão a Faturar"/>
    <s v="000004622"/>
    <n v="59446"/>
    <s v="Unidade Vieiralves"/>
    <n v="169568"/>
    <m/>
  </r>
  <r>
    <x v="4"/>
    <x v="3"/>
    <s v="Daniel de Moura Alves"/>
    <s v="Masculino"/>
    <x v="4"/>
    <x v="2"/>
    <s v="31602185 - Estimulação Elétrica Transcutânea - Removido 13/04/2026 (R$ 40,00)"/>
    <s v="Fisioterapia"/>
    <n v="1712894560"/>
    <s v="Finalizado (3/6)"/>
    <n v="35.200000000000003"/>
    <n v="4.8"/>
    <n v="40"/>
    <s v="Sessão a Faturar"/>
    <n v="774063007471000"/>
    <n v="58683"/>
    <s v="Unidade Vieiralves"/>
    <n v="1712894560"/>
    <m/>
  </r>
  <r>
    <x v="4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Não compareceu (8/10)"/>
    <n v="35"/>
    <n v="0"/>
    <n v="35"/>
    <s v="Sessão Faturada"/>
    <s v="0501012567250102"/>
    <n v="59272"/>
    <s v="Unidade Vieiralves"/>
    <n v="9086970"/>
    <m/>
  </r>
  <r>
    <x v="4"/>
    <x v="4"/>
    <s v="Fernando Castelo Ferreira Junior"/>
    <m/>
    <x v="1"/>
    <x v="2"/>
    <s v="50000160 - Fisioterapia Ortopédica (R$ 20,00), 98980327 - Taxa de Eletroterapia (Tens) (R$ 15,00)"/>
    <s v="Fisioterapia"/>
    <n v="9421778"/>
    <s v="Finalizado (3/10)"/>
    <n v="30.8"/>
    <n v="4.2"/>
    <n v="35"/>
    <s v="Sessão Faturada"/>
    <n v="1301013577000100"/>
    <n v="55220"/>
    <s v="Unidade Vieiralves"/>
    <n v="9421778"/>
    <m/>
  </r>
  <r>
    <x v="4"/>
    <x v="4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2/10)"/>
    <n v="23.803999999999998"/>
    <n v="3.246"/>
    <n v="27.05"/>
    <s v="Sessão a Faturar"/>
    <n v="610900110003020"/>
    <n v="8227"/>
    <s v="Unidade Vieiralves"/>
    <n v="1713543460"/>
    <m/>
  </r>
  <r>
    <x v="4"/>
    <x v="5"/>
    <s v="Wanessa Ferreira Saraiva Oliveira"/>
    <s v="Feminino"/>
    <x v="4"/>
    <x v="2"/>
    <s v="31602185 - Estimulação Elétrica Transcutânea - Removido 13/04/2026 (R$ 40,00)"/>
    <s v="Fisioterapia"/>
    <n v="1715196336"/>
    <s v="Finalizado (1/10)"/>
    <n v="35.200000000000003"/>
    <n v="4.8"/>
    <n v="40"/>
    <s v="Sessão a Faturar"/>
    <n v="610900110003020"/>
    <n v="8227"/>
    <s v="Unidade Vieiralves"/>
    <n v="1715196336"/>
    <m/>
  </r>
  <r>
    <x v="4"/>
    <x v="13"/>
    <s v="Frank Figueiredo Cesar"/>
    <s v="Feminino"/>
    <x v="2"/>
    <x v="2"/>
    <s v="20103514 - Fisioterapia - Patologia Em Diferentes Segmentos da Coluna (R$ 14,83)"/>
    <s v="Fisioterapia"/>
    <n v="1709180301"/>
    <s v="Finalizado (3/4)"/>
    <n v="13.0504"/>
    <n v="1.7796000000000001"/>
    <n v="14.83"/>
    <s v="Sessão Faturada"/>
    <n v="840382100019010"/>
    <n v="59567"/>
    <s v="Unidade Vieiralves"/>
    <n v="1709180301"/>
    <m/>
  </r>
  <r>
    <x v="4"/>
    <x v="13"/>
    <s v="Elisa Marinho França"/>
    <s v="Feminino"/>
    <x v="1"/>
    <x v="2"/>
    <s v="50000160 - Fisioterapia Ortopédica (R$ 20,00), 98980327 - Taxa de Eletroterapia (Tens) (R$ 15,00)"/>
    <s v="Fisioterapia"/>
    <n v="9297956"/>
    <s v="Finalizado (3/10)"/>
    <n v="30.8"/>
    <n v="4.2"/>
    <n v="35"/>
    <s v="Sessão Faturada"/>
    <s v="0701013703740256"/>
    <n v="56443"/>
    <s v="Unidade Vieiralves"/>
    <n v="9297956"/>
    <m/>
  </r>
  <r>
    <x v="4"/>
    <x v="13"/>
    <s v="Aristophanes Ferreira Teodosio"/>
    <s v="Masculino"/>
    <x v="20"/>
    <x v="2"/>
    <s v="00010929 - Avaliação de Fisioterapia (R$ 36,00)"/>
    <s v="Fisioterapia"/>
    <n v="55753700"/>
    <s v="Finalizado (1/1)"/>
    <n v="32.4"/>
    <n v="3.6"/>
    <n v="36"/>
    <s v="Sessão Faturada"/>
    <n v="10511002209304"/>
    <n v="59199"/>
    <s v="Unidade Vieiralves"/>
    <n v="55753700"/>
    <m/>
  </r>
  <r>
    <x v="4"/>
    <x v="14"/>
    <s v="Aristophanes Ferreira Teodosio"/>
    <s v="Masculino"/>
    <x v="20"/>
    <x v="2"/>
    <s v="20103492 - Patologia Em Dois Ou Mais Membros (R$ 38,90)"/>
    <s v="Fisioterapia"/>
    <n v="55754000"/>
    <s v="Finalizado (1/2)"/>
    <n v="34.231999999999999"/>
    <n v="4.6680000000000001"/>
    <n v="38.9"/>
    <s v="Sessão a Faturar"/>
    <n v="10511002209304"/>
    <n v="59199"/>
    <s v="Unidade Vieiralves"/>
    <n v="55754000"/>
    <m/>
  </r>
  <r>
    <x v="4"/>
    <x v="6"/>
    <s v="Adenildo Neles de Vasconcelos"/>
    <s v="Masculino"/>
    <x v="2"/>
    <x v="2"/>
    <s v="20103492 - Fisioterapia - Patologia Em Dois Ou Mais Membros (R$ 14,83)"/>
    <s v="Fisioterapia"/>
    <n v="1710838335"/>
    <s v="Finalizado (3/10)"/>
    <n v="13.0504"/>
    <n v="1.7796000000000001"/>
    <n v="14.83"/>
    <s v="Sessão a Faturar"/>
    <n v="890729700019020"/>
    <n v="47173"/>
    <s v="Unidade Vieiralves"/>
    <n v="1710838335"/>
    <m/>
  </r>
  <r>
    <x v="4"/>
    <x v="15"/>
    <s v="Virgínia Ketlen dos Santos Xavier"/>
    <s v="Feminino"/>
    <x v="2"/>
    <x v="2"/>
    <s v="20103514 - Fisioterapia - Patologia Em Diferentes Segmentos da Coluna (R$ 14,83)"/>
    <s v="Fisioterapia"/>
    <n v="1711596901"/>
    <s v="Finalizado (2/10)"/>
    <n v="13.0504"/>
    <n v="1.7796000000000001"/>
    <n v="14.83"/>
    <s v="Sessão a Faturar"/>
    <n v="772901027731010"/>
    <n v="47393"/>
    <s v="Unidade Vieiralves"/>
    <n v="1711596901"/>
    <m/>
  </r>
  <r>
    <x v="4"/>
    <x v="15"/>
    <s v="Suzy Helena do  Nascimento Oliveira"/>
    <s v="Feminino"/>
    <x v="10"/>
    <x v="2"/>
    <s v="50000160 - Fisioterapia Ortopédica (R$ 15,00)"/>
    <s v="Fisioterapia"/>
    <n v="21424412"/>
    <s v="Finalizado (3/10)"/>
    <n v="13.2"/>
    <n v="1.8"/>
    <n v="15"/>
    <s v="Sessão a Faturar"/>
    <s v="00010064270174002"/>
    <n v="48550"/>
    <s v="Unidade Vieiralves"/>
    <n v="21424412"/>
    <m/>
  </r>
  <r>
    <x v="4"/>
    <x v="15"/>
    <s v="Virgínia Ketlen dos Santos Xavier"/>
    <s v="Feminino"/>
    <x v="4"/>
    <x v="2"/>
    <s v="31602185 - Estimulação Elétrica Transcutânea - Removido 13/04/2026 (R$ 40,00)"/>
    <s v="Fisioterapia"/>
    <n v="1715243514"/>
    <s v="Finalizado (1/10)"/>
    <n v="35.200000000000003"/>
    <n v="4.8"/>
    <n v="40"/>
    <s v="Sessão a Faturar"/>
    <n v="772901027731010"/>
    <n v="47393"/>
    <s v="Unidade Vieiralves"/>
    <n v="1715243514"/>
    <m/>
  </r>
  <r>
    <x v="4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Finalizado (5/7)"/>
    <n v="30.8"/>
    <n v="4.2"/>
    <n v="35"/>
    <s v="Sessão Faturada"/>
    <n v="1901012887750100"/>
    <n v="44369"/>
    <s v="Unidade Vieiralves"/>
    <n v="9299524"/>
    <m/>
  </r>
  <r>
    <x v="4"/>
    <x v="8"/>
    <s v="Victoria de Moraes Martins Pereira"/>
    <s v="Masculino"/>
    <x v="6"/>
    <x v="2"/>
    <s v="20103662 - Pos Operatorio Em Um Membro (R$ 22,53)"/>
    <s v="Fisioterapia"/>
    <n v="171245"/>
    <s v="Finalizado (8/10)"/>
    <n v="19.8264"/>
    <n v="2.7035999999999998"/>
    <n v="22.53"/>
    <s v="Sessão a Faturar"/>
    <s v="55788888488381350015"/>
    <n v="48970"/>
    <s v="Unidade Vieiralves"/>
    <n v="171245"/>
    <m/>
  </r>
  <r>
    <x v="4"/>
    <x v="10"/>
    <s v="Antonio Jorge Martins de Queiroz"/>
    <s v="Masculino"/>
    <x v="10"/>
    <x v="2"/>
    <s v="50000160 - Fisioterapia Ortopédica (R$ 15,00)"/>
    <s v="Fisioterapia"/>
    <n v="15098530"/>
    <s v="Finalizado (10/10)"/>
    <n v="13.2"/>
    <n v="1.8"/>
    <n v="15"/>
    <s v="Sessão Faturada"/>
    <s v="00010064268023001"/>
    <n v="59517"/>
    <s v="Unidade Vieiralves"/>
    <n v="15098530"/>
    <m/>
  </r>
  <r>
    <x v="4"/>
    <x v="10"/>
    <s v="Ana Georgina Viga Lacorte"/>
    <s v="Feminino"/>
    <x v="2"/>
    <x v="2"/>
    <s v="20103492 - Fisioterapia - Patologia Em Dois Ou Mais Membros (R$ 14,83)"/>
    <s v="Fisioterapia"/>
    <n v="1709244820"/>
    <s v="Finalizado (6/10)"/>
    <n v="13.0504"/>
    <n v="1.7796000000000001"/>
    <n v="14.83"/>
    <s v="Sessão Faturada"/>
    <n v="882749100043010"/>
    <n v="50823"/>
    <s v="Unidade Vieiralves"/>
    <n v="1709244820"/>
    <m/>
  </r>
  <r>
    <x v="4"/>
    <x v="10"/>
    <s v="Jamilson Oliveira dos Santos"/>
    <s v="Masculino"/>
    <x v="6"/>
    <x v="2"/>
    <s v="20103484 - Patologia Em Um Membro (R$ 14,16)"/>
    <s v="Fisioterapia"/>
    <n v="169825"/>
    <s v="Finalizado (6/10)"/>
    <n v="12.460800000000001"/>
    <n v="1.6992"/>
    <n v="14.16"/>
    <s v="Sessão a Faturar"/>
    <s v="55788888488869430020"/>
    <n v="48962"/>
    <s v="Unidade Vieiralves"/>
    <n v="169825"/>
    <m/>
  </r>
  <r>
    <x v="4"/>
    <x v="10"/>
    <s v="Jamilson Oliveira dos Santos"/>
    <s v="Masculino"/>
    <x v="6"/>
    <x v="2"/>
    <s v="31602185 - Estimulação Elétrica Transcutanea (Tens) (R$ 40,00)"/>
    <s v="Fisioterapia"/>
    <n v="169827"/>
    <s v="Finalizado (6/10)"/>
    <n v="35.200000000000003"/>
    <n v="4.8"/>
    <n v="40"/>
    <s v="Sessão a Faturar"/>
    <s v="55788888488869430020"/>
    <n v="48962"/>
    <s v="Unidade Vieiralves"/>
    <n v="169827"/>
    <m/>
  </r>
  <r>
    <x v="4"/>
    <x v="12"/>
    <s v="Viviane Paes Barreto da Silva"/>
    <s v="Feminino"/>
    <x v="4"/>
    <x v="2"/>
    <s v="31602185 - Estimulação Elétrica Transcutânea - Removido 13/04/2026 (R$ 40,00)"/>
    <s v="Fisioterapia"/>
    <n v="1714252033"/>
    <s v="Finalizado (2/10)"/>
    <n v="35.200000000000003"/>
    <n v="4.8"/>
    <n v="40"/>
    <s v="Sessão a Faturar"/>
    <n v="853503800205040"/>
    <n v="59636"/>
    <s v="Unidade Vieiralves"/>
    <n v="1714252033"/>
    <m/>
  </r>
  <r>
    <x v="4"/>
    <x v="12"/>
    <s v="Viviane Paes Barreto da Silva"/>
    <s v="Feminino"/>
    <x v="2"/>
    <x v="2"/>
    <s v="20103484 - Fisioterapia - Patologia Em Um Membro (R$ 12,22)"/>
    <s v="Fisioterapia"/>
    <n v="1713637483"/>
    <s v="Finalizado (3/10)"/>
    <n v="10.7536"/>
    <n v="1.4663999999999999"/>
    <n v="12.22"/>
    <s v="Sessão a Faturar"/>
    <n v="853503800205040"/>
    <n v="59636"/>
    <s v="Unidade Vieiralves"/>
    <n v="1713637483"/>
    <m/>
  </r>
  <r>
    <x v="5"/>
    <x v="22"/>
    <s v="Fernanda Araújo Kavlac"/>
    <m/>
    <x v="2"/>
    <x v="2"/>
    <s v="50000144 - Avaliação de Fisioterapia (R$ 51,42)"/>
    <s v="Fisioterapia"/>
    <n v="1716128597"/>
    <s v="Finalizado (1/1)"/>
    <n v="46.277999999999999"/>
    <n v="5.1420000000000003"/>
    <n v="51.42"/>
    <s v="Sessão Faturada"/>
    <n v="774642005517010"/>
    <n v="58044"/>
    <s v="Unidade Vieiralves"/>
    <n v="1716128597"/>
    <m/>
  </r>
  <r>
    <x v="5"/>
    <x v="22"/>
    <s v="Minervina Lucia Marques Fonseca"/>
    <s v="Feminino"/>
    <x v="0"/>
    <x v="2"/>
    <s v="50000160 - Fisioterapia Ortopedica (R$ 49,72)"/>
    <s v="Fisioterapia"/>
    <s v="42263120260318510196"/>
    <s v="Finalizado (3/10)"/>
    <n v="43.753599999999999"/>
    <n v="5.9664000000000001"/>
    <n v="49.72"/>
    <s v="Sessão a Faturar"/>
    <s v="010650809004"/>
    <n v="40041"/>
    <s v="Unidade Vieiralves"/>
    <s v="42263120260318510196"/>
    <m/>
  </r>
  <r>
    <x v="5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3/10)"/>
    <n v="47.634399999999999"/>
    <n v="6.4955999999999996"/>
    <n v="54.13"/>
    <s v="Sessão a Faturar"/>
    <s v="010650809004"/>
    <n v="40041"/>
    <s v="Unidade Vieiralves"/>
    <s v="42263120260318510300"/>
    <m/>
  </r>
  <r>
    <x v="5"/>
    <x v="23"/>
    <s v="Fernanda Araújo Kavlac"/>
    <m/>
    <x v="2"/>
    <x v="2"/>
    <s v="20103484 - Fisioterapia - Patologia Em Um Membro (R$ 12,22)"/>
    <s v="Fisioterapia"/>
    <n v="1716129926"/>
    <s v="Finalizado (1/1)"/>
    <n v="10.7536"/>
    <n v="1.4663999999999999"/>
    <n v="12.22"/>
    <s v="Sessão a Faturar"/>
    <n v="774642005517010"/>
    <n v="58044"/>
    <s v="Unidade Vieiralves"/>
    <n v="1716129926"/>
    <m/>
  </r>
  <r>
    <x v="5"/>
    <x v="0"/>
    <s v="Wanessa Ferreira Saraiva Oliveira"/>
    <s v="Feminino"/>
    <x v="4"/>
    <x v="2"/>
    <s v="31602185 - Estimulação Elétrica Transcutânea - Removido 13/04/2026 (R$ 40,00)"/>
    <s v="Fisioterapia"/>
    <n v="1715196336"/>
    <s v="Finalizado (2/10)"/>
    <n v="35.200000000000003"/>
    <n v="4.8"/>
    <n v="40"/>
    <s v="Sessão a Faturar"/>
    <n v="610900110003020"/>
    <n v="8227"/>
    <s v="Unidade Vieiralves"/>
    <n v="1715196336"/>
    <m/>
  </r>
  <r>
    <x v="5"/>
    <x v="0"/>
    <s v="Elisa Marinho França"/>
    <s v="Feminino"/>
    <x v="1"/>
    <x v="2"/>
    <s v="50000160 - Fisioterapia Ortopédica (R$ 20,00), 98980327 - Taxa de Eletroterapia (Tens) (R$ 15,00)"/>
    <s v="Fisioterapia"/>
    <n v="9297956"/>
    <s v="Finalizado (4/10)"/>
    <n v="30.8"/>
    <n v="4.2"/>
    <n v="35"/>
    <s v="Sessão Faturada"/>
    <s v="0701013703740256"/>
    <n v="56443"/>
    <s v="Unidade Vieiralves"/>
    <n v="9297956"/>
    <m/>
  </r>
  <r>
    <x v="5"/>
    <x v="0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3/10)"/>
    <n v="23.803999999999998"/>
    <n v="3.246"/>
    <n v="27.05"/>
    <s v="Sessão a Faturar"/>
    <n v="610900110003020"/>
    <n v="8227"/>
    <s v="Unidade Vieiralves"/>
    <n v="1713543460"/>
    <m/>
  </r>
  <r>
    <x v="5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Finalizado (5/10)"/>
    <n v="30.8"/>
    <n v="4.2"/>
    <n v="35"/>
    <s v="Sessão Faturada"/>
    <n v="1301013043650000"/>
    <n v="57993"/>
    <s v="Unidade Vieiralves"/>
    <n v="9317870"/>
    <s v="Guia assinada!"/>
  </r>
  <r>
    <x v="5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9/10)"/>
    <n v="30.8"/>
    <n v="4.2"/>
    <n v="35"/>
    <s v="Sessão Faturada"/>
    <s v="0501012567250102"/>
    <n v="59272"/>
    <s v="Unidade Vieiralves"/>
    <n v="9086970"/>
    <m/>
  </r>
  <r>
    <x v="5"/>
    <x v="4"/>
    <s v="Fernando Castelo Ferreira Junior"/>
    <m/>
    <x v="1"/>
    <x v="2"/>
    <s v="50000160 - Fisioterapia Ortopédica (R$ 20,00), 98980327 - Taxa de Eletroterapia (Tens) (R$ 15,00)"/>
    <s v="Fisioterapia"/>
    <n v="9421778"/>
    <s v="Finalizado (4/10)"/>
    <n v="30.8"/>
    <n v="4.2"/>
    <n v="35"/>
    <s v="Sessão Faturada"/>
    <n v="1301013577000100"/>
    <n v="55220"/>
    <s v="Unidade Vieiralves"/>
    <n v="9421778"/>
    <m/>
  </r>
  <r>
    <x v="5"/>
    <x v="4"/>
    <s v="Ricardo Marques de Abreu"/>
    <s v="Masculino"/>
    <x v="1"/>
    <x v="2"/>
    <s v="50000160 - Fisioterapia Ortopédica (R$ 20,00), 98980327 - Taxa de Eletroterapia (Tens) (R$ 15,00)"/>
    <s v="Fisioterapia"/>
    <n v="9239312"/>
    <s v="Finalizado (7/9)"/>
    <n v="30.8"/>
    <n v="4.2"/>
    <n v="35"/>
    <s v="Sessão Faturada"/>
    <n v="2001013216580000"/>
    <n v="43902"/>
    <s v="Unidade Vieiralves"/>
    <n v="9239312"/>
    <m/>
  </r>
  <r>
    <x v="5"/>
    <x v="13"/>
    <s v="Frank Figueiredo Cesar"/>
    <s v="Feminino"/>
    <x v="4"/>
    <x v="2"/>
    <s v="31602185 - Estimulação Elétrica Transcutânea - Removido 13/04/2026 (R$ 40,00)"/>
    <s v="Fisioterapia"/>
    <n v="1716232719"/>
    <s v="Finalizado (1/1)"/>
    <n v="35.200000000000003"/>
    <n v="4.8"/>
    <n v="40"/>
    <s v="Sessão Faturada"/>
    <n v="840382100019010"/>
    <n v="59567"/>
    <s v="Unidade Vieiralves"/>
    <n v="1716232719"/>
    <m/>
  </r>
  <r>
    <x v="5"/>
    <x v="13"/>
    <s v="Frank Figueiredo Cesar"/>
    <s v="Feminino"/>
    <x v="2"/>
    <x v="2"/>
    <s v="20103514 - Fisioterapia - Patologia Em Diferentes Segmentos da Coluna (R$ 14,83)"/>
    <s v="Fisioterapia"/>
    <n v="1709180301"/>
    <s v="Finalizado (4/4)"/>
    <n v="13.0504"/>
    <n v="1.7796000000000001"/>
    <n v="14.83"/>
    <s v="Sessão Faturada"/>
    <n v="840382100019010"/>
    <n v="59567"/>
    <s v="Unidade Vieiralves"/>
    <n v="1709180301"/>
    <m/>
  </r>
  <r>
    <x v="5"/>
    <x v="13"/>
    <s v="Aristophanes Ferreira Teodosio"/>
    <s v="Masculino"/>
    <x v="20"/>
    <x v="2"/>
    <s v="20103492 - Patologia Em Dois Ou Mais Membros (R$ 38,90)"/>
    <s v="Fisioterapia"/>
    <n v="55754000"/>
    <s v="Finalizado (2/2)"/>
    <n v="34.231999999999999"/>
    <n v="4.6680000000000001"/>
    <n v="38.9"/>
    <s v="Sessão a Faturar"/>
    <n v="10511002209304"/>
    <n v="59199"/>
    <s v="Unidade Vieiralves"/>
    <n v="55754000"/>
    <m/>
  </r>
  <r>
    <x v="5"/>
    <x v="6"/>
    <s v="Erica de Araujo Macedo"/>
    <s v="Feminino"/>
    <x v="1"/>
    <x v="2"/>
    <s v="50000160 - Fisioterapia Ortopédica (R$ 20,00), 98980327 - Taxa de Eletroterapia (Tens) (R$ 15,00)"/>
    <s v="Fisioterapia"/>
    <n v="9192843"/>
    <s v="Finalizado (4/10)"/>
    <n v="30.8"/>
    <n v="4.2"/>
    <n v="35"/>
    <s v="Sessão a Faturar"/>
    <s v="0901013081250088"/>
    <n v="16948"/>
    <s v="Unidade Vieiralves"/>
    <n v="9192843"/>
    <m/>
  </r>
  <r>
    <x v="5"/>
    <x v="6"/>
    <s v="Adenildo Neles de Vasconcelos"/>
    <s v="Masculino"/>
    <x v="2"/>
    <x v="2"/>
    <s v="20103492 - Fisioterapia - Patologia Em Dois Ou Mais Membros (R$ 14,83)"/>
    <s v="Fisioterapia"/>
    <n v="1710838335"/>
    <s v="Finalizado (4/10)"/>
    <n v="13.0504"/>
    <n v="1.7796000000000001"/>
    <n v="14.83"/>
    <s v="Sessão a Faturar"/>
    <n v="890729700019020"/>
    <n v="47173"/>
    <s v="Unidade Vieiralves"/>
    <n v="1710838335"/>
    <m/>
  </r>
  <r>
    <x v="5"/>
    <x v="6"/>
    <s v="Anna Danielle Oliveira dos Santos Cardozo"/>
    <s v="Feminino"/>
    <x v="2"/>
    <x v="2"/>
    <s v="20103492 - Fisioterapia - Patologia Em Dois Ou Mais Membros (R$ 14,83)"/>
    <s v="Fisioterapia"/>
    <n v="1706457872"/>
    <s v="Finalizado (8/10)"/>
    <n v="13.0504"/>
    <n v="1.7796000000000001"/>
    <n v="14.83"/>
    <s v="Sessão a Faturar"/>
    <n v="830416700230010"/>
    <n v="57193"/>
    <s v="Unidade Vieiralves"/>
    <n v="1706457872"/>
    <m/>
  </r>
  <r>
    <x v="5"/>
    <x v="6"/>
    <s v="Joziane Lira dos Santos Pereira"/>
    <s v="Feminino"/>
    <x v="8"/>
    <x v="2"/>
    <s v="20103492 - Patologia Em Dois Ou Mais Membros (R$ 14,83)"/>
    <s v="Fisioterapia"/>
    <n v="1709727952"/>
    <s v="Finalizado (6/8)"/>
    <n v="13.0504"/>
    <n v="1.7796000000000001"/>
    <n v="14.83"/>
    <s v="Sessão a Faturar"/>
    <n v="954600002739000"/>
    <n v="35514"/>
    <s v="Unidade Vieiralves"/>
    <n v="1709727952"/>
    <m/>
  </r>
  <r>
    <x v="5"/>
    <x v="6"/>
    <s v="Anna Danielle Oliveira dos Santos Cardozo"/>
    <s v="Feminino"/>
    <x v="4"/>
    <x v="2"/>
    <s v="31602185 - Estimulação Elétrica Transcutânea - Removido 13/04/2026 (R$ 40,00)"/>
    <s v="Fisioterapia"/>
    <n v="1716230123"/>
    <s v="Finalizado (1/3)"/>
    <n v="35.200000000000003"/>
    <n v="4.8"/>
    <n v="40"/>
    <s v="Sessão a Faturar"/>
    <n v="830416700230010"/>
    <n v="57193"/>
    <s v="Unidade Vieiralves"/>
    <n v="1716230123"/>
    <m/>
  </r>
  <r>
    <x v="5"/>
    <x v="15"/>
    <s v="Vanderson de Lima Silva"/>
    <s v="Masculino"/>
    <x v="0"/>
    <x v="2"/>
    <s v="31602185 - Estimulação Elétrica Transcutânea Fisioterapia (Novo - 01/12) (R$ 54,13)"/>
    <s v="Fisioterapia"/>
    <s v="42263120260227372449"/>
    <s v="Finalizado (10/10)"/>
    <n v="47.634399999999999"/>
    <n v="6.4955999999999996"/>
    <n v="54.13"/>
    <s v="Sessão Faturada"/>
    <s v="010245156200"/>
    <n v="42714"/>
    <s v="Unidade Vieiralves"/>
    <s v="42263120260227372449"/>
    <m/>
  </r>
  <r>
    <x v="5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Finalizado (6/7)"/>
    <n v="30.8"/>
    <n v="4.2"/>
    <n v="35"/>
    <s v="Sessão Faturada"/>
    <n v="1901012887750100"/>
    <n v="44369"/>
    <s v="Unidade Vieiralves"/>
    <n v="9299524"/>
    <m/>
  </r>
  <r>
    <x v="5"/>
    <x v="16"/>
    <s v="Vanderson de Lima Silva"/>
    <s v="Masculino"/>
    <x v="0"/>
    <x v="2"/>
    <s v="50000160 - Fisioterapia Ortopedica (R$ 49,72)"/>
    <s v="Fisioterapia"/>
    <s v="42263120260227372403"/>
    <s v="Finalizado (10/10)"/>
    <n v="43.753599999999999"/>
    <n v="5.9664000000000001"/>
    <n v="49.72"/>
    <s v="Sessão Faturada"/>
    <s v="010245156200"/>
    <n v="42714"/>
    <s v="Unidade Vieiralves"/>
    <s v="42263120260227372403"/>
    <m/>
  </r>
  <r>
    <x v="5"/>
    <x v="17"/>
    <s v="Anthony Jesus Farias Villarroel"/>
    <s v="Masculino"/>
    <x v="8"/>
    <x v="2"/>
    <s v="20103484 - Patologia Em Um Membro (R$ 12,22)"/>
    <s v="Fisioterapia"/>
    <n v="1714760419"/>
    <s v="Finalizado (2/10)"/>
    <n v="10.7536"/>
    <n v="1.4663999999999999"/>
    <n v="12.22"/>
    <s v="Sessão a Faturar"/>
    <n v="954600016969020"/>
    <n v="53566"/>
    <s v="Unidade Vieiralves"/>
    <n v="1714760419"/>
    <m/>
  </r>
  <r>
    <x v="5"/>
    <x v="8"/>
    <s v="Maria do Carmo Soares Filgueiras de Menezes"/>
    <s v="Feminino"/>
    <x v="1"/>
    <x v="2"/>
    <s v="50000160 - Fisioterapia Ortopédica (R$ 20,00), 98980327 - Taxa de Eletroterapia (Tens) (R$ 15,00)"/>
    <s v="Fisioterapia"/>
    <n v="9265016"/>
    <s v="Finalizado (4/10)"/>
    <n v="30.8"/>
    <n v="4.2"/>
    <n v="35"/>
    <s v="Sessão a Faturar"/>
    <s v="0201013918220089"/>
    <n v="58907"/>
    <s v="Unidade Vieiralves"/>
    <n v="9265016"/>
    <m/>
  </r>
  <r>
    <x v="5"/>
    <x v="8"/>
    <s v="Victoria de Moraes Martins Pereira"/>
    <s v="Masculino"/>
    <x v="6"/>
    <x v="2"/>
    <s v="20103662 - Pos Operatorio Em Um Membro (R$ 22,53)"/>
    <s v="Fisioterapia"/>
    <n v="171245"/>
    <s v="Finalizado (9/10)"/>
    <n v="19.8264"/>
    <n v="2.7035999999999998"/>
    <n v="22.53"/>
    <s v="Sessão a Faturar"/>
    <s v="55788888488381350015"/>
    <n v="48970"/>
    <s v="Unidade Vieiralves"/>
    <n v="171245"/>
    <m/>
  </r>
  <r>
    <x v="5"/>
    <x v="8"/>
    <s v="Simone Gouveia Góes"/>
    <s v="Feminino"/>
    <x v="2"/>
    <x v="2"/>
    <s v="20103492 - Fisioterapia - Patologia Em Dois Ou Mais Membros (R$ 14,83), 20103514 - Fisioterapia - Patologia Em Diferentes Segmentos da Coluna (R$ 14,83)"/>
    <s v="Fisioterapia"/>
    <n v="1703978801"/>
    <s v="Finalizado (9/9)"/>
    <n v="26.1008"/>
    <n v="3.5592000000000001"/>
    <n v="29.66"/>
    <s v="Sessão Faturada"/>
    <n v="775216013765020"/>
    <n v="59283"/>
    <s v="Unidade Vieiralves"/>
    <n v="1703978801"/>
    <m/>
  </r>
  <r>
    <x v="5"/>
    <x v="10"/>
    <s v="Mcluhan Teixeira Grijo"/>
    <s v="Masculino"/>
    <x v="5"/>
    <x v="2"/>
    <s v="98860011 - Fisioterapia Complexidade 1 - 04/03/2026 (R$ 53,00)"/>
    <s v="Fisioterapia"/>
    <n v="76664020"/>
    <s v="Finalizado (7/10)"/>
    <n v="46.64"/>
    <n v="6.36"/>
    <n v="53"/>
    <s v="Sessão Faturada"/>
    <s v="0101072415000314"/>
    <n v="51264"/>
    <s v="Unidade Vieiralves"/>
    <n v="76664020"/>
    <m/>
  </r>
  <r>
    <x v="5"/>
    <x v="10"/>
    <s v="Ana Georgina Viga Lacorte"/>
    <s v="Feminino"/>
    <x v="2"/>
    <x v="2"/>
    <s v="20103492 - Fisioterapia - Patologia Em Dois Ou Mais Membros (R$ 14,83)"/>
    <s v="Fisioterapia"/>
    <n v="1709244820"/>
    <s v="Finalizado (7/10)"/>
    <n v="13.0504"/>
    <n v="1.7796000000000001"/>
    <n v="14.83"/>
    <s v="Sessão Faturada"/>
    <n v="882749100043010"/>
    <n v="50823"/>
    <s v="Unidade Vieiralves"/>
    <n v="1709244820"/>
    <m/>
  </r>
  <r>
    <x v="5"/>
    <x v="10"/>
    <s v="Jamilson Oliveira dos Santos"/>
    <s v="Masculino"/>
    <x v="6"/>
    <x v="2"/>
    <s v="20103484 - Patologia Em Um Membro (R$ 14,16)"/>
    <s v="Fisioterapia"/>
    <n v="169825"/>
    <s v="Finalizado (8/10)"/>
    <n v="12.460800000000001"/>
    <n v="1.6992"/>
    <n v="14.16"/>
    <s v="Sessão a Faturar"/>
    <s v="55788888488869430020"/>
    <n v="48962"/>
    <s v="Unidade Vieiralves"/>
    <n v="169825"/>
    <m/>
  </r>
  <r>
    <x v="5"/>
    <x v="11"/>
    <s v="Jamilson Oliveira dos Santos"/>
    <s v="Masculino"/>
    <x v="6"/>
    <x v="2"/>
    <s v="31602185 - Estimulação Elétrica Transcutanea (Tens) (R$ 40,00)"/>
    <s v="Fisioterapia"/>
    <n v="169827"/>
    <s v="Finalizado (8/10)"/>
    <n v="35.200000000000003"/>
    <n v="4.8"/>
    <n v="40"/>
    <s v="Sessão a Faturar"/>
    <s v="55788888488869430020"/>
    <n v="48962"/>
    <s v="Unidade Vieiralves"/>
    <n v="169827"/>
    <m/>
  </r>
  <r>
    <x v="5"/>
    <x v="11"/>
    <s v="Mcluhan Teixeira Grijo"/>
    <s v="Masculino"/>
    <x v="5"/>
    <x v="2"/>
    <s v="31602185 - Estimulação Elétrica Transcutânea (Tens) - 04/03/2026 (R$ 120,28)"/>
    <s v="Fisioterapia"/>
    <n v="76665250"/>
    <s v="Finalizado (7/10)"/>
    <n v="105.8464"/>
    <n v="14.4336"/>
    <n v="120.28"/>
    <s v="Sessão Faturada"/>
    <s v="0101072415000314"/>
    <n v="51264"/>
    <s v="Unidade Vieiralves"/>
    <n v="76665250"/>
    <m/>
  </r>
  <r>
    <x v="5"/>
    <x v="12"/>
    <s v="Antonio Jorge Martins de Queiroz"/>
    <s v="Masculino"/>
    <x v="10"/>
    <x v="2"/>
    <s v="50000160 - Fisioterapia Ortopédica (R$ 15,00)"/>
    <s v="Fisioterapia"/>
    <n v="23043203"/>
    <s v="Finalizado (1/10)"/>
    <n v="13.2"/>
    <n v="1.8"/>
    <n v="15"/>
    <s v="Sessão a Faturar"/>
    <s v="00010064268023001"/>
    <n v="59517"/>
    <s v="Unidade Vieiralves"/>
    <n v="23043203"/>
    <m/>
  </r>
  <r>
    <x v="6"/>
    <x v="22"/>
    <s v="Minervina Lucia Marques Fonseca"/>
    <s v="Feminino"/>
    <x v="0"/>
    <x v="2"/>
    <s v="50000160 - Fisioterapia Ortopedica (R$ 49,72)"/>
    <s v="Fisioterapia"/>
    <s v="42263120260318510196"/>
    <s v="Finalizado (4/10)"/>
    <n v="43.753599999999999"/>
    <n v="5.9664000000000001"/>
    <n v="49.72"/>
    <s v="Sessão a Faturar"/>
    <s v="010650809004"/>
    <n v="40041"/>
    <s v="Unidade Vieiralves"/>
    <s v="42263120260318510196"/>
    <m/>
  </r>
  <r>
    <x v="6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4/10)"/>
    <n v="47.634399999999999"/>
    <n v="6.4955999999999996"/>
    <n v="54.13"/>
    <s v="Sessão a Faturar"/>
    <s v="010650809004"/>
    <n v="40041"/>
    <s v="Unidade Vieiralves"/>
    <s v="42263120260318510300"/>
    <m/>
  </r>
  <r>
    <x v="6"/>
    <x v="0"/>
    <s v="Viviane Paes Barreto da Silva"/>
    <s v="Feminino"/>
    <x v="2"/>
    <x v="2"/>
    <s v="20103484 - Fisioterapia - Patologia Em Um Membro (R$ 12,22)"/>
    <s v="Fisioterapia"/>
    <n v="1713637483"/>
    <s v="Finalizado (4/10)"/>
    <n v="10.7536"/>
    <n v="1.4663999999999999"/>
    <n v="12.22"/>
    <s v="Sessão a Faturar"/>
    <n v="853503800205040"/>
    <n v="59636"/>
    <s v="Unidade Vieiralves"/>
    <n v="1713637483"/>
    <m/>
  </r>
  <r>
    <x v="6"/>
    <x v="1"/>
    <s v="Viviane Paes Barreto da Silva"/>
    <s v="Feminino"/>
    <x v="4"/>
    <x v="2"/>
    <s v="31602185 - Estimulação Elétrica Transcutânea - Removido 13/04/2026 (R$ 40,00)"/>
    <s v="Fisioterapia"/>
    <n v="1714252033"/>
    <s v="Finalizado (3/10)"/>
    <n v="35.200000000000003"/>
    <n v="4.8"/>
    <n v="40"/>
    <s v="Sessão a Faturar"/>
    <n v="853503800205040"/>
    <n v="59636"/>
    <s v="Unidade Vieiralves"/>
    <n v="1714252033"/>
    <m/>
  </r>
  <r>
    <x v="6"/>
    <x v="2"/>
    <s v="Daniel de Moura Alves"/>
    <s v="Masculino"/>
    <x v="2"/>
    <x v="2"/>
    <s v="20103484 - Fisioterapia - Patologia Em Um Membro (R$ 12,22), 20103506 - Fisioterapia - Patologia Em Um Segmento da Coluna (R$ 12,22)"/>
    <s v="Fisioterapia"/>
    <n v="1712893261"/>
    <s v="Finalizado (4/5)"/>
    <n v="21.507200000000001"/>
    <n v="2.9327999999999999"/>
    <n v="24.44"/>
    <s v="Sessão a Faturar"/>
    <n v="774063007471000"/>
    <n v="58683"/>
    <s v="Unidade Vieiralves"/>
    <n v="1712893261"/>
    <m/>
  </r>
  <r>
    <x v="6"/>
    <x v="2"/>
    <s v="Larissa Maciel de Souza"/>
    <m/>
    <x v="8"/>
    <x v="2"/>
    <s v="20103484 - Patologia Em Um Membro (R$ 12,22)"/>
    <s v="Fisioterapia"/>
    <n v="1716702085"/>
    <s v="Finalizado (1/10)"/>
    <n v="10.7536"/>
    <n v="1.4663999999999999"/>
    <n v="12.22"/>
    <s v="Sessão a Faturar"/>
    <n v="954510161900010"/>
    <n v="59253"/>
    <s v="Unidade Vieiralves"/>
    <n v="1716702085"/>
    <m/>
  </r>
  <r>
    <x v="6"/>
    <x v="2"/>
    <s v="Daniel de Moura Alves"/>
    <s v="Masculino"/>
    <x v="4"/>
    <x v="2"/>
    <s v="31602185 - Estimulação Elétrica Transcutânea - Removido 13/04/2026 (R$ 40,00)"/>
    <s v="Fisioterapia"/>
    <n v="1712894560"/>
    <s v="Finalizado (4/6)"/>
    <n v="35.200000000000003"/>
    <n v="4.8"/>
    <n v="40"/>
    <s v="Sessão a Faturar"/>
    <n v="774063007471000"/>
    <n v="58683"/>
    <s v="Unidade Vieiralves"/>
    <n v="1712894560"/>
    <m/>
  </r>
  <r>
    <x v="6"/>
    <x v="4"/>
    <s v="Paulo Nonato  Aviz Dias"/>
    <s v="Masculino"/>
    <x v="2"/>
    <x v="2"/>
    <s v="20103484 - Fisioterapia - Patologia Em Um Membro (R$ 12,22)"/>
    <s v="Fisioterapia"/>
    <n v="1710689763"/>
    <s v="Finalizado (2/10)"/>
    <n v="10.7536"/>
    <n v="1.4663999999999999"/>
    <n v="12.22"/>
    <s v="Sessão a Faturar"/>
    <n v="960016515126020"/>
    <n v="59476"/>
    <s v="Unidade Vieiralves"/>
    <n v="1710689763"/>
    <m/>
  </r>
  <r>
    <x v="6"/>
    <x v="13"/>
    <s v="Ivagna Maria Cantanhede Brandão"/>
    <s v="Feminino"/>
    <x v="1"/>
    <x v="2"/>
    <s v="50000160 - Fisioterapia Ortopédica (R$ 20,00), 98980327 - Taxa de Eletroterapia (Tens) (R$ 15,00)"/>
    <s v="Fisioterapia"/>
    <n v="8995441"/>
    <s v="Finalizado (8/10)"/>
    <n v="30.8"/>
    <n v="4.2"/>
    <n v="35"/>
    <s v="Sessão Faturada"/>
    <n v="1901012995210000"/>
    <n v="59129"/>
    <s v="Unidade Vieiralves"/>
    <n v="8995441"/>
    <m/>
  </r>
  <r>
    <x v="6"/>
    <x v="6"/>
    <s v="Pedro Balsini Peixoto Porto"/>
    <s v="Masculino"/>
    <x v="2"/>
    <x v="2"/>
    <s v="20103492 - Fisioterapia - Patologia Em Dois Ou Mais Membros (R$ 14,83)"/>
    <s v="Fisioterapia"/>
    <n v="1711686290"/>
    <s v="Finalizado (4/6)"/>
    <n v="13.0504"/>
    <n v="1.7796000000000001"/>
    <n v="14.83"/>
    <s v="Sessão a Faturar"/>
    <n v="893331300736020"/>
    <n v="59321"/>
    <s v="Unidade Vieiralves"/>
    <n v="1711686290"/>
    <m/>
  </r>
  <r>
    <x v="6"/>
    <x v="6"/>
    <s v="Isadora Vitorino Grana"/>
    <s v="Feminino"/>
    <x v="13"/>
    <x v="2"/>
    <s v="20103514 - Patologia Em Diferentes Segmentos da Coluna (R$ 41,45)"/>
    <s v="Fisioterapia"/>
    <n v="13593606"/>
    <s v="Finalizado (10/10)"/>
    <n v="36.475999999999999"/>
    <n v="4.9740000000000002"/>
    <n v="41.45"/>
    <s v="Sessão Faturada"/>
    <s v="00010300035963020"/>
    <n v="56556"/>
    <s v="Unidade Vieiralves"/>
    <n v="13593606"/>
    <m/>
  </r>
  <r>
    <x v="6"/>
    <x v="7"/>
    <s v="Pedro Balsini Peixoto Porto"/>
    <s v="Masculino"/>
    <x v="4"/>
    <x v="2"/>
    <s v="31602185 - Estimulação Elétrica Transcutânea - Removido 13/04/2026 (R$ 40,00)"/>
    <s v="Fisioterapia"/>
    <n v="1714703239"/>
    <s v="Finalizado (2/3)"/>
    <n v="35.200000000000003"/>
    <n v="4.8"/>
    <n v="40"/>
    <s v="Sessão a Faturar"/>
    <n v="893331300736020"/>
    <n v="59321"/>
    <s v="Unidade Vieiralves"/>
    <n v="1714703239"/>
    <m/>
  </r>
  <r>
    <x v="6"/>
    <x v="15"/>
    <s v="Adenildo Neles de Vasconcelos"/>
    <s v="Masculino"/>
    <x v="2"/>
    <x v="2"/>
    <s v="20103492 - Fisioterapia - Patologia Em Dois Ou Mais Membros (R$ 14,83)"/>
    <s v="Fisioterapia"/>
    <n v="1710838335"/>
    <s v="Finalizado (5/10)"/>
    <n v="13.0504"/>
    <n v="1.7796000000000001"/>
    <n v="14.83"/>
    <s v="Sessão a Faturar"/>
    <n v="890729700019020"/>
    <n v="47173"/>
    <s v="Unidade Vieiralves"/>
    <n v="1710838335"/>
    <m/>
  </r>
  <r>
    <x v="6"/>
    <x v="15"/>
    <s v="Vanderson de Lima Silva"/>
    <s v="Masculino"/>
    <x v="0"/>
    <x v="2"/>
    <s v="50000160 - Fisioterapia Ortopedica (R$ 49,72)"/>
    <s v="Fisioterapia"/>
    <s v="42263120260324549420"/>
    <s v="Finalizado (1/10)"/>
    <n v="43.753599999999999"/>
    <n v="5.9664000000000001"/>
    <n v="49.72"/>
    <s v="Sessão a Faturar"/>
    <s v="010245156200"/>
    <n v="42714"/>
    <s v="Unidade Vieiralves"/>
    <s v="42263120260324549420"/>
    <m/>
  </r>
  <r>
    <x v="6"/>
    <x v="15"/>
    <s v="Suzy Helena do  Nascimento Oliveira"/>
    <s v="Feminino"/>
    <x v="10"/>
    <x v="2"/>
    <s v="50000160 - Fisioterapia Ortopédica (R$ 15,00)"/>
    <s v="Fisioterapia"/>
    <n v="21424412"/>
    <s v="Finalizado (4/10)"/>
    <n v="13.2"/>
    <n v="1.8"/>
    <n v="15"/>
    <s v="Sessão a Faturar"/>
    <s v="00010064270174002"/>
    <n v="48550"/>
    <s v="Unidade Vieiralves"/>
    <n v="21424412"/>
    <m/>
  </r>
  <r>
    <x v="6"/>
    <x v="16"/>
    <s v="Vanderson de Lima Silva"/>
    <s v="Masculino"/>
    <x v="0"/>
    <x v="2"/>
    <s v="31602185 - Estimulação Elétrica Transcutânea Fisioterapia (Novo - 01/12) (R$ 54,13)"/>
    <s v="Fisioterapia"/>
    <s v="42263120260324549577"/>
    <s v="Finalizado (1/10)"/>
    <n v="47.634399999999999"/>
    <n v="6.4955999999999996"/>
    <n v="54.13"/>
    <s v="Sessão a Faturar"/>
    <s v="010245156200"/>
    <n v="42714"/>
    <s v="Unidade Vieiralves"/>
    <s v="42263120260324549577"/>
    <m/>
  </r>
  <r>
    <x v="6"/>
    <x v="17"/>
    <s v="Victoria de Moraes Martins Pereira"/>
    <s v="Masculino"/>
    <x v="6"/>
    <x v="2"/>
    <s v="20103662 - Pos Operatorio Em Um Membro (R$ 22,53)"/>
    <s v="Fisioterapia"/>
    <n v="171245"/>
    <s v="Finalizado (10/10)"/>
    <n v="19.8264"/>
    <n v="2.7035999999999998"/>
    <n v="22.53"/>
    <s v="Sessão a Faturar"/>
    <s v="55788888488381350015"/>
    <n v="48970"/>
    <s v="Unidade Vieiralves"/>
    <n v="171245"/>
    <m/>
  </r>
  <r>
    <x v="6"/>
    <x v="17"/>
    <s v="Graciete Carvalho de Lima"/>
    <m/>
    <x v="8"/>
    <x v="2"/>
    <s v="50000144 - Consulta de Fisioterapia (R$ 51,42)"/>
    <s v="Fisioterapia"/>
    <n v="1716786612"/>
    <s v="Finalizado (1/1)"/>
    <n v="46.277999999999999"/>
    <n v="5.1420000000000003"/>
    <n v="51.42"/>
    <s v="Sessão Faturada"/>
    <n v="954600007560010"/>
    <n v="36935"/>
    <s v="Unidade Vieiralves"/>
    <n v="1716786612"/>
    <m/>
  </r>
  <r>
    <x v="6"/>
    <x v="17"/>
    <s v="Anthony Jesus Farias Villarroel"/>
    <s v="Masculino"/>
    <x v="8"/>
    <x v="2"/>
    <s v="20103484 - Patologia Em Um Membro (R$ 12,22)"/>
    <s v="Fisioterapia"/>
    <n v="1714760419"/>
    <s v="Finalizado (3/10)"/>
    <n v="10.7536"/>
    <n v="1.4663999999999999"/>
    <n v="12.22"/>
    <s v="Sessão a Faturar"/>
    <n v="954600016969020"/>
    <n v="53566"/>
    <s v="Unidade Vieiralves"/>
    <n v="1714760419"/>
    <m/>
  </r>
  <r>
    <x v="6"/>
    <x v="18"/>
    <s v="Victoria de Moraes Martins Pereira"/>
    <s v="Masculino"/>
    <x v="6"/>
    <x v="2"/>
    <s v="31602185 - Estimulação Elétrica Transcutanea (Tens) (R$ 40,00)"/>
    <s v="Fisioterapia"/>
    <n v="171247"/>
    <s v="Finalizado (8/10)"/>
    <n v="35.200000000000003"/>
    <n v="4.8"/>
    <n v="40"/>
    <s v="Sessão a Faturar"/>
    <s v="55788888488381350015"/>
    <n v="48970"/>
    <s v="Unidade Vieiralves"/>
    <n v="171247"/>
    <m/>
  </r>
  <r>
    <x v="6"/>
    <x v="18"/>
    <s v="Graciete Carvalho de Lima"/>
    <m/>
    <x v="2"/>
    <x v="2"/>
    <s v="20103506 - Fisioterapia - Patologia Em Um Segmento da Coluna (R$ 12,22)"/>
    <s v="Fisioterapia"/>
    <n v="1716787259"/>
    <s v="Finalizado (1/10)"/>
    <n v="10.7536"/>
    <n v="1.4663999999999999"/>
    <n v="12.22"/>
    <s v="Sessão a Faturar"/>
    <n v="954600007560010"/>
    <n v="36935"/>
    <s v="Unidade Vieiralves"/>
    <n v="1716787259"/>
    <m/>
  </r>
  <r>
    <x v="6"/>
    <x v="10"/>
    <s v="Maria Veronica Castro Neta"/>
    <s v="Feminino"/>
    <x v="2"/>
    <x v="2"/>
    <s v="20103492 - Fisioterapia - Patologia Em Dois Ou Mais Membros (R$ 14,83)"/>
    <s v="Fisioterapia"/>
    <n v="1716801636"/>
    <s v="Finalizado (1/10)"/>
    <n v="13.0504"/>
    <n v="1.7796000000000001"/>
    <n v="14.83"/>
    <s v="Sessão a Faturar"/>
    <n v="774642000566020"/>
    <n v="40232"/>
    <s v="Unidade Vieiralves"/>
    <n v="1716801636"/>
    <m/>
  </r>
  <r>
    <x v="6"/>
    <x v="10"/>
    <s v="Antonio Jorge Martins de Queiroz"/>
    <s v="Masculino"/>
    <x v="10"/>
    <x v="2"/>
    <s v="50000160 - Fisioterapia Ortopédica (R$ 15,00)"/>
    <s v="Fisioterapia"/>
    <n v="23043203"/>
    <s v="Finalizado (2/10)"/>
    <n v="13.2"/>
    <n v="1.8"/>
    <n v="15"/>
    <s v="Sessão a Faturar"/>
    <s v="00010064268023001"/>
    <n v="59517"/>
    <s v="Unidade Vieiralves"/>
    <n v="23043203"/>
    <m/>
  </r>
  <r>
    <x v="6"/>
    <x v="10"/>
    <s v="Maria Veronica Castro Neta"/>
    <s v="Feminino"/>
    <x v="2"/>
    <x v="2"/>
    <s v="50000144 - Avaliação de Fisioterapia (R$ 51,42)"/>
    <s v="Fisioterapia"/>
    <n v="1716800439"/>
    <s v="Finalizado (1/1)"/>
    <n v="46.277999999999999"/>
    <n v="5.1420000000000003"/>
    <n v="51.42"/>
    <s v="Sessão Faturada"/>
    <n v="774642000566020"/>
    <n v="40232"/>
    <s v="Unidade Vieiralves"/>
    <n v="1716800439"/>
    <m/>
  </r>
  <r>
    <x v="6"/>
    <x v="10"/>
    <s v="Ana Georgina Viga Lacorte"/>
    <s v="Feminino"/>
    <x v="2"/>
    <x v="2"/>
    <s v="20103492 - Fisioterapia - Patologia Em Dois Ou Mais Membros (R$ 14,83)"/>
    <s v="Fisioterapia"/>
    <n v="1709244820"/>
    <s v="Finalizado (8/10)"/>
    <n v="13.0504"/>
    <n v="1.7796000000000001"/>
    <n v="14.83"/>
    <s v="Sessão Faturada"/>
    <n v="882749100043010"/>
    <n v="50823"/>
    <s v="Unidade Vieiralves"/>
    <n v="1709244820"/>
    <m/>
  </r>
  <r>
    <x v="6"/>
    <x v="12"/>
    <s v="Kesia Rachel Martins Jathay"/>
    <s v="Feminino"/>
    <x v="2"/>
    <x v="2"/>
    <s v="20103492 - Fisioterapia - Patologia Em Dois Ou Mais Membros (R$ 14,83)"/>
    <s v="Fisioterapia"/>
    <n v="1713654473"/>
    <s v="Finalizado (3/10)"/>
    <n v="13.0504"/>
    <n v="1.7796000000000001"/>
    <n v="14.83"/>
    <s v="Sessão a Faturar"/>
    <n v="894937200736000"/>
    <n v="53553"/>
    <s v="Unidade Vieiralves"/>
    <n v="1713654473"/>
    <m/>
  </r>
  <r>
    <x v="7"/>
    <x v="22"/>
    <s v="Elisa Marinho França"/>
    <s v="Feminino"/>
    <x v="1"/>
    <x v="2"/>
    <s v="50000160 - Fisioterapia Ortopédica (R$ 20,00), 98980327 - Taxa de Eletroterapia (Tens) (R$ 15,00)"/>
    <s v="Fisioterapia"/>
    <n v="9297956"/>
    <s v="Finalizado (5/10)"/>
    <n v="30.8"/>
    <n v="4.2"/>
    <n v="35"/>
    <s v="Sessão Faturada"/>
    <s v="0701013703740256"/>
    <n v="56443"/>
    <s v="Unidade Vieiralves"/>
    <n v="9297956"/>
    <m/>
  </r>
  <r>
    <x v="7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6/10)"/>
    <n v="30.8"/>
    <n v="4.2"/>
    <n v="35"/>
    <s v="Sessão Faturada"/>
    <s v="0501013884910089"/>
    <n v="59237"/>
    <s v="Unidade Vieiralves"/>
    <n v="9245426"/>
    <m/>
  </r>
  <r>
    <x v="7"/>
    <x v="0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4/10)"/>
    <n v="23.803999999999998"/>
    <n v="3.246"/>
    <n v="27.05"/>
    <s v="Sessão a Faturar"/>
    <n v="610900110003020"/>
    <n v="8227"/>
    <s v="Unidade Vieiralves"/>
    <n v="1713543460"/>
    <m/>
  </r>
  <r>
    <x v="7"/>
    <x v="0"/>
    <s v="Ana Cristina Belarmino de Oliveira"/>
    <s v="Feminino"/>
    <x v="15"/>
    <x v="2"/>
    <s v="20103514 - Patologia Em Diferentes Segmentos da Coluna (R$ 60,72)"/>
    <s v="Fisioterapia"/>
    <n v="238463711"/>
    <s v="Finalizado (9/10)"/>
    <n v="53.433599999999998"/>
    <n v="7.2864000000000004"/>
    <n v="60.72"/>
    <s v="Sessão a Faturar"/>
    <s v="012616100102004"/>
    <n v="59505"/>
    <s v="Unidade Vieiralves"/>
    <n v="238463711"/>
    <m/>
  </r>
  <r>
    <x v="7"/>
    <x v="0"/>
    <s v="Katia Rodrigues Freitas"/>
    <s v="Feminino"/>
    <x v="6"/>
    <x v="2"/>
    <s v="20103492 - Patologia Em Dois Ou Mais Membros (R$ 30,26), 20103506 - Patologia Em Um Segmento da Coluna (R$ 14,16)"/>
    <s v="Fisioterapia"/>
    <n v="170343"/>
    <s v="Finalizado (6/10)"/>
    <n v="39.089599999999997"/>
    <n v="5.3304"/>
    <n v="44.42"/>
    <s v="Sessão a Faturar"/>
    <s v="54588888004873140018"/>
    <n v="58935"/>
    <s v="Unidade Vieiralves"/>
    <n v="170343"/>
    <m/>
  </r>
  <r>
    <x v="7"/>
    <x v="0"/>
    <s v="Wanessa Ferreira Saraiva Oliveira"/>
    <s v="Feminino"/>
    <x v="4"/>
    <x v="2"/>
    <s v="31602185 - Estimulação Elétrica Transcutânea - Removido 13/04/2026 (R$ 40,00)"/>
    <s v="Fisioterapia"/>
    <n v="1715196336"/>
    <s v="Finalizado (3/10)"/>
    <n v="35.200000000000003"/>
    <n v="4.8"/>
    <n v="40"/>
    <s v="Sessão a Faturar"/>
    <n v="610900110003020"/>
    <n v="8227"/>
    <s v="Unidade Vieiralves"/>
    <n v="1715196336"/>
    <m/>
  </r>
  <r>
    <x v="7"/>
    <x v="0"/>
    <s v="Paulo Roberto Pires de Sousa"/>
    <s v="Masculino"/>
    <x v="18"/>
    <x v="2"/>
    <s v="50000160 - Fisioterapia Ortopedica - Pacote (R$ 25,00)"/>
    <s v="Fisioterapia"/>
    <n v="170798"/>
    <s v="Finalizado (6/10)"/>
    <n v="22"/>
    <n v="3"/>
    <n v="25"/>
    <s v="Sessão a Faturar"/>
    <s v="00"/>
    <n v="59565"/>
    <s v="Unidade Vieiralves"/>
    <n v="170798"/>
    <m/>
  </r>
  <r>
    <x v="7"/>
    <x v="1"/>
    <s v="Katia Rodrigues Freitas"/>
    <s v="Feminino"/>
    <x v="6"/>
    <x v="2"/>
    <s v="31602185 - Estimulação Elétrica Transcutanea (Tens) (R$ 40,00)"/>
    <s v="Fisioterapia"/>
    <n v="170819"/>
    <s v="Finalizado (6/10)"/>
    <n v="35.200000000000003"/>
    <n v="4.8"/>
    <n v="40"/>
    <s v="Sessão a Faturar"/>
    <s v="54588888004873140018"/>
    <n v="58935"/>
    <s v="Unidade Vieiralves"/>
    <n v="170819"/>
    <m/>
  </r>
  <r>
    <x v="7"/>
    <x v="2"/>
    <s v="Joziane Lira dos Santos Pereira"/>
    <s v="Feminino"/>
    <x v="8"/>
    <x v="2"/>
    <s v="20103492 - Patologia Em Dois Ou Mais Membros (R$ 14,83)"/>
    <s v="Fisioterapia"/>
    <n v="1709727952"/>
    <s v="Finalizado (7/8)"/>
    <n v="13.0504"/>
    <n v="1.7796000000000001"/>
    <n v="14.83"/>
    <s v="Sessão a Faturar"/>
    <n v="954600002739000"/>
    <n v="35514"/>
    <s v="Unidade Vieiralves"/>
    <n v="1709727952"/>
    <m/>
  </r>
  <r>
    <x v="7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Não compareceu (6/10)"/>
    <n v="35"/>
    <n v="0"/>
    <n v="35"/>
    <s v="Sessão Faturada"/>
    <n v="1301013043650000"/>
    <n v="57993"/>
    <s v="Unidade Vieiralves"/>
    <n v="9317870"/>
    <s v="Guia assinada!"/>
  </r>
  <r>
    <x v="7"/>
    <x v="4"/>
    <s v="Fernando Castelo Ferreira Junior"/>
    <m/>
    <x v="1"/>
    <x v="2"/>
    <s v="50000160 - Fisioterapia Ortopédica (R$ 20,00), 98980327 - Taxa de Eletroterapia (Tens) (R$ 15,00)"/>
    <s v="Fisioterapia"/>
    <n v="9421778"/>
    <s v="Finalizado (5/10)"/>
    <n v="30.8"/>
    <n v="4.2"/>
    <n v="35"/>
    <s v="Sessão Faturada"/>
    <n v="1301013577000100"/>
    <n v="55220"/>
    <s v="Unidade Vieiralves"/>
    <n v="9421778"/>
    <m/>
  </r>
  <r>
    <x v="7"/>
    <x v="13"/>
    <s v="Fernanda Santos Fachinello"/>
    <s v="Feminino"/>
    <x v="1"/>
    <x v="2"/>
    <s v="50000160 - Fisioterapia Ortopédica (R$ 20,00), 98980327 - Taxa de Eletroterapia (Tens) (R$ 15,00)"/>
    <s v="Fisioterapia"/>
    <n v="9167027"/>
    <s v="Finalizado (9/10)"/>
    <n v="30.8"/>
    <n v="4.2"/>
    <n v="35"/>
    <s v="Sessão Faturada"/>
    <n v="1301014095850300"/>
    <n v="21927"/>
    <s v="Unidade Vieiralves"/>
    <n v="9167027"/>
    <m/>
  </r>
  <r>
    <x v="7"/>
    <x v="6"/>
    <s v="Erica de Araujo Macedo"/>
    <s v="Feminino"/>
    <x v="1"/>
    <x v="2"/>
    <s v="50000160 - Fisioterapia Ortopédica (R$ 20,00), 98980327 - Taxa de Eletroterapia (Tens) (R$ 15,00)"/>
    <s v="Fisioterapia"/>
    <n v="9192843"/>
    <s v="Finalizado (5/10)"/>
    <n v="30.8"/>
    <n v="4.2"/>
    <n v="35"/>
    <s v="Sessão a Faturar"/>
    <s v="0901013081250088"/>
    <n v="16948"/>
    <s v="Unidade Vieiralves"/>
    <n v="9192843"/>
    <m/>
  </r>
  <r>
    <x v="7"/>
    <x v="15"/>
    <s v="Alaide de Souza Lima Lemos"/>
    <s v="Feminino"/>
    <x v="4"/>
    <x v="2"/>
    <s v="31602185 - Estimulação Elétrica Transcutânea - Removido 13/04/2026 (R$ 40,00)"/>
    <s v="Fisioterapia"/>
    <n v="1717281062"/>
    <s v="Finalizado (1/1)"/>
    <n v="35.200000000000003"/>
    <n v="4.8"/>
    <n v="40"/>
    <s v="Sessão a Faturar"/>
    <n v="772568004855020"/>
    <n v="59604"/>
    <s v="Unidade Vieiralves"/>
    <n v="1717281062"/>
    <m/>
  </r>
  <r>
    <x v="7"/>
    <x v="15"/>
    <s v="Vanderson de Lima Silva"/>
    <s v="Masculino"/>
    <x v="0"/>
    <x v="2"/>
    <s v="31602185 - Estimulação Elétrica Transcutânea Fisioterapia (Novo - 01/12) (R$ 54,13)"/>
    <s v="Fisioterapia"/>
    <s v="42263120260324549577"/>
    <s v="Finalizado (2/10)"/>
    <n v="47.634399999999999"/>
    <n v="6.4955999999999996"/>
    <n v="54.13"/>
    <s v="Sessão a Faturar"/>
    <s v="010245156200"/>
    <n v="42714"/>
    <s v="Unidade Vieiralves"/>
    <s v="42263120260324549577"/>
    <m/>
  </r>
  <r>
    <x v="7"/>
    <x v="15"/>
    <s v="Vanderson de Lima Silva"/>
    <s v="Masculino"/>
    <x v="0"/>
    <x v="2"/>
    <s v="50000160 - Fisioterapia Ortopedica (R$ 49,72)"/>
    <s v="Fisioterapia"/>
    <s v="42263120260324549420"/>
    <s v="Finalizado (2/10)"/>
    <n v="43.753599999999999"/>
    <n v="5.9664000000000001"/>
    <n v="49.72"/>
    <s v="Sessão a Faturar"/>
    <s v="010245156200"/>
    <n v="42714"/>
    <s v="Unidade Vieiralves"/>
    <s v="42263120260324549420"/>
    <m/>
  </r>
  <r>
    <x v="7"/>
    <x v="15"/>
    <s v="Nauber de Castro Guimarães"/>
    <s v="Masculino"/>
    <x v="1"/>
    <x v="2"/>
    <s v="50000160 - Fisioterapia Ortopédica (R$ 20,00), 98980327 - Taxa de Eletroterapia (Tens) (R$ 15,00)"/>
    <s v="Fisioterapia"/>
    <n v="9299524"/>
    <s v="Finalizado (7/7)"/>
    <n v="30.8"/>
    <n v="4.2"/>
    <n v="35"/>
    <s v="Sessão Faturada"/>
    <n v="1901012887750100"/>
    <n v="44369"/>
    <s v="Unidade Vieiralves"/>
    <n v="9299524"/>
    <m/>
  </r>
  <r>
    <x v="7"/>
    <x v="16"/>
    <s v="Alaide de Souza Lima Lemos"/>
    <s v="Feminino"/>
    <x v="2"/>
    <x v="2"/>
    <s v="20103514 - Fisioterapia - Patologia Em Diferentes Segmentos da Coluna (R$ 14,83)"/>
    <s v="Fisioterapia"/>
    <n v="1714751503"/>
    <s v="Finalizado (2/2)"/>
    <n v="13.0504"/>
    <n v="1.7796000000000001"/>
    <n v="14.83"/>
    <s v="Sessão a Faturar"/>
    <n v="772568004855020"/>
    <n v="59604"/>
    <s v="Unidade Vieiralves"/>
    <n v="1714751503"/>
    <m/>
  </r>
  <r>
    <x v="7"/>
    <x v="8"/>
    <s v="James Alcantara de Lima"/>
    <s v="Masculino"/>
    <x v="6"/>
    <x v="2"/>
    <s v="20103484 - Patologia Em Um Membro (R$ 14,16)"/>
    <s v="Fisioterapia"/>
    <n v="172045"/>
    <s v="Finalizado (2/10)"/>
    <n v="12.460800000000001"/>
    <n v="1.6992"/>
    <n v="14.16"/>
    <s v="Sessão a Faturar"/>
    <s v="54588888018315590015"/>
    <n v="59229"/>
    <s v="Unidade Vieiralves"/>
    <n v="172045"/>
    <m/>
  </r>
  <r>
    <x v="7"/>
    <x v="8"/>
    <s v="Maria do Carmo Soares Filgueiras de Menezes"/>
    <s v="Feminino"/>
    <x v="1"/>
    <x v="2"/>
    <s v="50000160 - Fisioterapia Ortopédica (R$ 20,00), 98980327 - Taxa de Eletroterapia (Tens) (R$ 15,00)"/>
    <s v="Fisioterapia"/>
    <n v="9265016"/>
    <s v="Finalizado (5/10)"/>
    <n v="30.8"/>
    <n v="4.2"/>
    <n v="35"/>
    <s v="Sessão a Faturar"/>
    <s v="0201013918220089"/>
    <n v="58907"/>
    <s v="Unidade Vieiralves"/>
    <n v="9265016"/>
    <m/>
  </r>
  <r>
    <x v="7"/>
    <x v="8"/>
    <s v="Paulo Nonato  Aviz Dias"/>
    <s v="Masculino"/>
    <x v="2"/>
    <x v="2"/>
    <s v="20103484 - Fisioterapia - Patologia Em Um Membro (R$ 12,22)"/>
    <s v="Fisioterapia"/>
    <n v="1710689763"/>
    <s v="Finalizado (3/10)"/>
    <n v="10.7536"/>
    <n v="1.4663999999999999"/>
    <n v="12.22"/>
    <s v="Sessão a Faturar"/>
    <n v="960016515126020"/>
    <n v="59476"/>
    <s v="Unidade Vieiralves"/>
    <n v="1710689763"/>
    <m/>
  </r>
  <r>
    <x v="7"/>
    <x v="33"/>
    <s v="James Alcantara de Lima"/>
    <s v="Masculino"/>
    <x v="6"/>
    <x v="2"/>
    <s v="20103514 - Patologia Em Dois Ou Mais Segmentos da Coluna (R$ 32,82)"/>
    <s v="Fisioterapia"/>
    <n v="171167"/>
    <s v="Finalizado (5/10)"/>
    <n v="28.881599999999999"/>
    <n v="3.9384000000000001"/>
    <n v="32.82"/>
    <s v="Sessão a Faturar"/>
    <s v="54588888018315590015"/>
    <n v="59229"/>
    <s v="Unidade Vieiralves"/>
    <n v="171167"/>
    <m/>
  </r>
  <r>
    <x v="7"/>
    <x v="34"/>
    <s v="James Alcantara de Lima"/>
    <s v="Masculino"/>
    <x v="6"/>
    <x v="2"/>
    <s v="31602185 - Estimulação Elétrica Transcutanea (Tens) (R$ 40,00)"/>
    <s v="Fisioterapia"/>
    <n v="171251"/>
    <s v="Finalizado (5/10)"/>
    <n v="35.200000000000003"/>
    <n v="4.8"/>
    <n v="40"/>
    <s v="Sessão a Faturar"/>
    <s v="54588888018315590015"/>
    <n v="59229"/>
    <s v="Unidade Vieiralves"/>
    <n v="171251"/>
    <m/>
  </r>
  <r>
    <x v="7"/>
    <x v="10"/>
    <s v="Jefferson Castro Simplicio"/>
    <s v="Masculino"/>
    <x v="2"/>
    <x v="2"/>
    <s v="20103514 - Fisioterapia - Patologia Em Diferentes Segmentos da Coluna (R$ 14,83)"/>
    <s v="Fisioterapia"/>
    <n v="1707989374"/>
    <s v="Finalizado (5/5)"/>
    <n v="13.0504"/>
    <n v="1.7796000000000001"/>
    <n v="14.83"/>
    <s v="Sessão Faturada"/>
    <n v="960130225177000"/>
    <n v="43518"/>
    <s v="Unidade Vieiralves"/>
    <n v="1707989374"/>
    <m/>
  </r>
  <r>
    <x v="7"/>
    <x v="10"/>
    <s v="Victoria de Moraes Martins Pereira"/>
    <s v="Masculino"/>
    <x v="6"/>
    <x v="2"/>
    <s v="31602185 - Estimulação Elétrica Transcutanea (Tens) (R$ 40,00)"/>
    <s v="Fisioterapia"/>
    <n v="171247"/>
    <s v="Finalizado (9/10)"/>
    <n v="35.200000000000003"/>
    <n v="4.8"/>
    <n v="40"/>
    <s v="Sessão a Faturar"/>
    <s v="55788888488381350015"/>
    <n v="48970"/>
    <s v="Unidade Vieiralves"/>
    <n v="171247"/>
    <m/>
  </r>
  <r>
    <x v="7"/>
    <x v="10"/>
    <s v="Antonio Jorge Martins de Queiroz"/>
    <s v="Masculino"/>
    <x v="10"/>
    <x v="2"/>
    <s v="50000160 - Fisioterapia Ortopédica (R$ 15,00)"/>
    <s v="Fisioterapia"/>
    <n v="23043203"/>
    <s v="Finalizado (3/10)"/>
    <n v="13.2"/>
    <n v="1.8"/>
    <n v="15"/>
    <s v="Sessão a Faturar"/>
    <s v="00010064268023001"/>
    <n v="59517"/>
    <s v="Unidade Vieiralves"/>
    <n v="23043203"/>
    <m/>
  </r>
  <r>
    <x v="8"/>
    <x v="22"/>
    <s v="Minervina Lucia Marques Fonseca"/>
    <s v="Feminino"/>
    <x v="0"/>
    <x v="2"/>
    <s v="50000160 - Fisioterapia Ortopedica (R$ 49,72)"/>
    <s v="Fisioterapia"/>
    <s v="42263120260318510196"/>
    <s v="Finalizado (5/10)"/>
    <n v="43.753599999999999"/>
    <n v="5.9664000000000001"/>
    <n v="49.72"/>
    <s v="Sessão a Faturar"/>
    <s v="010650809004"/>
    <n v="40041"/>
    <s v="Unidade Vieiralves"/>
    <s v="42263120260318510196"/>
    <m/>
  </r>
  <r>
    <x v="8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5/10)"/>
    <n v="47.634399999999999"/>
    <n v="6.4955999999999996"/>
    <n v="54.13"/>
    <s v="Sessão a Faturar"/>
    <s v="010650809004"/>
    <n v="40041"/>
    <s v="Unidade Vieiralves"/>
    <s v="42263120260318510300"/>
    <m/>
  </r>
  <r>
    <x v="8"/>
    <x v="4"/>
    <s v="Ryan Gomes da Frota Sampaio"/>
    <s v="Masculino"/>
    <x v="2"/>
    <x v="2"/>
    <s v="50000144 - Avaliação de Fisioterapia (R$ 51,42)"/>
    <s v="Fisioterapia"/>
    <n v="1717736751"/>
    <s v="Finalizado (1/1)"/>
    <n v="46.277999999999999"/>
    <n v="5.1420000000000003"/>
    <n v="51.42"/>
    <s v="Sessão Faturada"/>
    <n v="611004720001020"/>
    <n v="59767"/>
    <s v="Unidade Vieiralves"/>
    <n v="1717736751"/>
    <m/>
  </r>
  <r>
    <x v="8"/>
    <x v="5"/>
    <s v="Ryan Gomes da Frota Sampaio"/>
    <s v="Masculino"/>
    <x v="2"/>
    <x v="2"/>
    <s v="20103662 - Fisioterapia - Pos Operatorio Em Um Membro (R$ 14,99)"/>
    <s v="Fisioterapia"/>
    <n v="1717738151"/>
    <s v="Finalizado (1/10)"/>
    <n v="13.1912"/>
    <n v="1.7988"/>
    <n v="14.99"/>
    <s v="Sessão a Faturar"/>
    <n v="611004720001020"/>
    <n v="59767"/>
    <s v="Unidade Vieiralves"/>
    <n v="1717738151"/>
    <m/>
  </r>
  <r>
    <x v="8"/>
    <x v="13"/>
    <s v="Ivagna Maria Cantanhede Brandão"/>
    <s v="Feminino"/>
    <x v="1"/>
    <x v="2"/>
    <s v="50000160 - Fisioterapia Ortopédica (R$ 20,00), 98980327 - Taxa de Eletroterapia (Tens) (R$ 15,00)"/>
    <s v="Fisioterapia"/>
    <n v="8995441"/>
    <s v="Finalizado (9/10)"/>
    <n v="30.8"/>
    <n v="4.2"/>
    <n v="35"/>
    <s v="Sessão Faturada"/>
    <n v="1901012995210000"/>
    <n v="59129"/>
    <s v="Unidade Vieiralves"/>
    <n v="8995441"/>
    <m/>
  </r>
  <r>
    <x v="8"/>
    <x v="13"/>
    <s v="Valério Ladeira Luniere"/>
    <s v="Masculino"/>
    <x v="1"/>
    <x v="2"/>
    <s v="50000160 - Fisioterapia Ortopédica (R$ 20,00), 98980327 - Taxa de Eletroterapia (Tens) (R$ 15,00)"/>
    <s v="Fisioterapia"/>
    <n v="9400813"/>
    <s v="Finalizado (1/10)"/>
    <n v="30.8"/>
    <n v="4.2"/>
    <n v="35"/>
    <s v="Sessão a Faturar"/>
    <s v="0901013476020085"/>
    <n v="4590"/>
    <s v="Unidade Vieiralves"/>
    <n v="9400813"/>
    <m/>
  </r>
  <r>
    <x v="8"/>
    <x v="6"/>
    <s v="Adenildo Neles de Vasconcelos"/>
    <s v="Masculino"/>
    <x v="2"/>
    <x v="2"/>
    <s v="20103492 - Fisioterapia - Patologia Em Dois Ou Mais Membros (R$ 14,83)"/>
    <s v="Fisioterapia"/>
    <n v="1710838335"/>
    <s v="Finalizado (6/10)"/>
    <n v="13.0504"/>
    <n v="1.7796000000000001"/>
    <n v="14.83"/>
    <s v="Sessão a Faturar"/>
    <n v="890729700019020"/>
    <n v="47173"/>
    <s v="Unidade Vieiralves"/>
    <n v="1710838335"/>
    <m/>
  </r>
  <r>
    <x v="8"/>
    <x v="15"/>
    <s v="Vanderson de Lima Silva"/>
    <s v="Masculino"/>
    <x v="0"/>
    <x v="2"/>
    <s v="50000160 - Fisioterapia Ortopedica (R$ 49,72)"/>
    <s v="Fisioterapia"/>
    <s v="42263120260324549420"/>
    <s v="Finalizado (3/10)"/>
    <n v="43.753599999999999"/>
    <n v="5.9664000000000001"/>
    <n v="49.72"/>
    <s v="Sessão a Faturar"/>
    <s v="010245156200"/>
    <n v="42714"/>
    <s v="Unidade Vieiralves"/>
    <s v="42263120260324549420"/>
    <m/>
  </r>
  <r>
    <x v="8"/>
    <x v="15"/>
    <s v="Vanderson de Lima Silva"/>
    <s v="Masculino"/>
    <x v="0"/>
    <x v="2"/>
    <s v="31602185 - Estimulação Elétrica Transcutânea Fisioterapia (Novo - 01/12) (R$ 54,13)"/>
    <s v="Fisioterapia"/>
    <s v="42263120260324549577"/>
    <s v="Finalizado (3/10)"/>
    <n v="47.634399999999999"/>
    <n v="6.4955999999999996"/>
    <n v="54.13"/>
    <s v="Sessão a Faturar"/>
    <s v="010245156200"/>
    <n v="42714"/>
    <s v="Unidade Vieiralves"/>
    <s v="42263120260324549577"/>
    <m/>
  </r>
  <r>
    <x v="8"/>
    <x v="15"/>
    <s v="Suzy Helena do  Nascimento Oliveira"/>
    <s v="Feminino"/>
    <x v="10"/>
    <x v="2"/>
    <s v="50000160 - Fisioterapia Ortopédica (R$ 15,00)"/>
    <s v="Fisioterapia"/>
    <n v="21424412"/>
    <s v="Finalizado (5/10)"/>
    <n v="13.2"/>
    <n v="1.8"/>
    <n v="15"/>
    <s v="Sessão a Faturar"/>
    <s v="00010064270174002"/>
    <n v="48550"/>
    <s v="Unidade Vieiralves"/>
    <n v="21424412"/>
    <m/>
  </r>
  <r>
    <x v="8"/>
    <x v="17"/>
    <s v="Ana Georgina Viga Lacorte"/>
    <s v="Feminino"/>
    <x v="2"/>
    <x v="2"/>
    <s v="20103492 - Fisioterapia - Patologia Em Dois Ou Mais Membros (R$ 14,83)"/>
    <s v="Fisioterapia"/>
    <n v="1709244820"/>
    <s v="Finalizado (9/10)"/>
    <n v="13.0504"/>
    <n v="1.7796000000000001"/>
    <n v="14.83"/>
    <s v="Sessão Faturada"/>
    <n v="882749100043010"/>
    <n v="50823"/>
    <s v="Unidade Vieiralves"/>
    <n v="1709244820"/>
    <m/>
  </r>
  <r>
    <x v="8"/>
    <x v="17"/>
    <s v="Graciete Carvalho de Lima"/>
    <m/>
    <x v="2"/>
    <x v="2"/>
    <s v="20103506 - Fisioterapia - Patologia Em Um Segmento da Coluna (R$ 12,22)"/>
    <s v="Fisioterapia"/>
    <n v="1716787259"/>
    <s v="Finalizado (2/10)"/>
    <n v="10.7536"/>
    <n v="1.4663999999999999"/>
    <n v="12.22"/>
    <s v="Sessão a Faturar"/>
    <n v="954600007560010"/>
    <n v="36935"/>
    <s v="Unidade Vieiralves"/>
    <n v="1716787259"/>
    <m/>
  </r>
  <r>
    <x v="8"/>
    <x v="8"/>
    <s v="Jamilson Oliveira dos Santos"/>
    <s v="Masculino"/>
    <x v="6"/>
    <x v="2"/>
    <s v="20103484 - Patologia Em Um Membro (R$ 14,16)"/>
    <s v="Fisioterapia"/>
    <n v="169825"/>
    <s v="Finalizado (9/10)"/>
    <n v="12.460800000000001"/>
    <n v="1.6992"/>
    <n v="14.16"/>
    <s v="Sessão a Faturar"/>
    <s v="55788888488869430020"/>
    <n v="48962"/>
    <s v="Unidade Vieiralves"/>
    <n v="169825"/>
    <m/>
  </r>
  <r>
    <x v="8"/>
    <x v="8"/>
    <s v="Jamilson Oliveira dos Santos"/>
    <s v="Masculino"/>
    <x v="6"/>
    <x v="2"/>
    <s v="31602185 - Estimulação Elétrica Transcutanea (Tens) (R$ 40,00)"/>
    <s v="Fisioterapia"/>
    <n v="169827"/>
    <s v="Finalizado (9/10)"/>
    <n v="35.200000000000003"/>
    <n v="4.8"/>
    <n v="40"/>
    <s v="Sessão a Faturar"/>
    <s v="55788888488869430020"/>
    <n v="48962"/>
    <s v="Unidade Vieiralves"/>
    <n v="169827"/>
    <m/>
  </r>
  <r>
    <x v="8"/>
    <x v="8"/>
    <s v="Cizia Freitas de Silva Costa"/>
    <s v="Feminino"/>
    <x v="2"/>
    <x v="2"/>
    <s v="20103492 - Fisioterapia - Patologia Em Dois Ou Mais Membros (R$ 14,83)"/>
    <s v="Fisioterapia"/>
    <n v="1709241178"/>
    <s v="Finalizado (5/6)"/>
    <n v="13.0504"/>
    <n v="1.7796000000000001"/>
    <n v="14.83"/>
    <s v="Sessão a Faturar"/>
    <n v="960016147089050"/>
    <n v="46973"/>
    <s v="Unidade Vieiralves"/>
    <n v="1709241178"/>
    <m/>
  </r>
  <r>
    <x v="8"/>
    <x v="10"/>
    <s v="Larissa Maciel de Souza"/>
    <m/>
    <x v="8"/>
    <x v="2"/>
    <s v="20103484 - Patologia Em Um Membro (R$ 12,22)"/>
    <s v="Fisioterapia"/>
    <n v="1716702085"/>
    <s v="Finalizado (2/10)"/>
    <n v="10.7536"/>
    <n v="1.4663999999999999"/>
    <n v="12.22"/>
    <s v="Sessão a Faturar"/>
    <n v="954510161900010"/>
    <n v="59253"/>
    <s v="Unidade Vieiralves"/>
    <n v="1716702085"/>
    <m/>
  </r>
  <r>
    <x v="8"/>
    <x v="10"/>
    <s v="Maria Veronica Castro Neta"/>
    <s v="Feminino"/>
    <x v="2"/>
    <x v="2"/>
    <s v="20103492 - Fisioterapia - Patologia Em Dois Ou Mais Membros (R$ 14,83)"/>
    <s v="Fisioterapia"/>
    <n v="1716801636"/>
    <s v="Finalizado (2/10)"/>
    <n v="13.0504"/>
    <n v="1.7796000000000001"/>
    <n v="14.83"/>
    <s v="Sessão a Faturar"/>
    <n v="774642000566020"/>
    <n v="40232"/>
    <s v="Unidade Vieiralves"/>
    <n v="1716801636"/>
    <m/>
  </r>
  <r>
    <x v="8"/>
    <x v="10"/>
    <s v="Francisco Lima da Silva"/>
    <s v="Masculino"/>
    <x v="4"/>
    <x v="2"/>
    <s v="31602185 - Estimulação Elétrica Transcutânea - Removido 13/04/2026 (R$ 40,00)"/>
    <s v="Fisioterapia"/>
    <n v="1713582046"/>
    <s v="Finalizado (3/8)"/>
    <n v="35.200000000000003"/>
    <n v="4.8"/>
    <n v="40"/>
    <s v="Sessão a Faturar"/>
    <n v="774981007706010"/>
    <n v="52427"/>
    <s v="Unidade Vieiralves"/>
    <n v="1713582046"/>
    <m/>
  </r>
  <r>
    <x v="8"/>
    <x v="10"/>
    <s v="Francisco Lima da Silva"/>
    <s v="Masculino"/>
    <x v="2"/>
    <x v="2"/>
    <s v="20103492 - Fisioterapia - Patologia Em Dois Ou Mais Membros (R$ 14,83)"/>
    <s v="Fisioterapia"/>
    <n v="1717827389"/>
    <s v="Finalizado (1/10)"/>
    <n v="13.0504"/>
    <n v="1.7796000000000001"/>
    <n v="14.83"/>
    <s v="Sessão a Faturar"/>
    <n v="774981007706010"/>
    <n v="52427"/>
    <s v="Unidade Vieiralves"/>
    <n v="1717827389"/>
    <m/>
  </r>
  <r>
    <x v="8"/>
    <x v="11"/>
    <s v="Larissa Maciel de Souza"/>
    <m/>
    <x v="9"/>
    <x v="2"/>
    <s v="31602185 - Estimulação Elétrica Transcutânea (Tens) - Removido 13/04/2026 (R$ 40,00)"/>
    <s v="Fisioterapia"/>
    <n v="1717829869"/>
    <s v="Finalizado (1/10)"/>
    <n v="35.200000000000003"/>
    <n v="4.8"/>
    <n v="40"/>
    <s v="Sessão a Faturar"/>
    <n v="954510161900010"/>
    <n v="59253"/>
    <s v="Unidade Vieiralves"/>
    <n v="1717829869"/>
    <m/>
  </r>
  <r>
    <x v="8"/>
    <x v="12"/>
    <s v="Leandro Nascimento da Silva Tachy"/>
    <s v="Masculino"/>
    <x v="2"/>
    <x v="2"/>
    <s v="20103506 - Fisioterapia - Patologia Em Um Segmento da Coluna (R$ 12,22)"/>
    <s v="Fisioterapia"/>
    <n v="1717032997"/>
    <s v="Finalizado (2/10)"/>
    <n v="10.7536"/>
    <n v="1.4663999999999999"/>
    <n v="12.22"/>
    <s v="Sessão a Faturar"/>
    <n v="774063008605000"/>
    <n v="59722"/>
    <s v="Unidade Vieiralves"/>
    <n v="1717032997"/>
    <m/>
  </r>
  <r>
    <x v="8"/>
    <x v="12"/>
    <s v="Victoria de Moraes Martins Pereira"/>
    <s v="Masculino"/>
    <x v="6"/>
    <x v="2"/>
    <s v="31602185 - Estimulação Elétrica Transcutanea (Tens) (R$ 40,00)"/>
    <s v="Fisioterapia"/>
    <n v="171247"/>
    <s v="Finalizado (10/10)"/>
    <n v="35.200000000000003"/>
    <n v="4.8"/>
    <n v="40"/>
    <s v="Sessão a Faturar"/>
    <s v="55788888488381350015"/>
    <n v="48970"/>
    <s v="Unidade Vieiralves"/>
    <n v="171247"/>
    <m/>
  </r>
  <r>
    <x v="8"/>
    <x v="12"/>
    <s v="Victoria de Moraes Martins Pereira"/>
    <s v="Masculino"/>
    <x v="6"/>
    <x v="2"/>
    <s v="20103662 - Pos Operatorio Em Um Membro (R$ 22,53)"/>
    <s v="Fisioterapia"/>
    <n v="173106"/>
    <s v="Finalizado (1/10)"/>
    <n v="19.8264"/>
    <n v="2.7035999999999998"/>
    <n v="22.53"/>
    <s v="Sessão a Faturar"/>
    <s v="55788888488381350015"/>
    <n v="48970"/>
    <s v="Unidade Vieiralves"/>
    <n v="173106"/>
    <m/>
  </r>
  <r>
    <x v="9"/>
    <x v="22"/>
    <s v="Minervina Lucia Marques Fonseca"/>
    <s v="Feminino"/>
    <x v="0"/>
    <x v="2"/>
    <s v="50000160 - Fisioterapia Ortopedica (R$ 49,72)"/>
    <s v="Fisioterapia"/>
    <s v="42263120260318510196"/>
    <s v="Finalizado (6/10)"/>
    <n v="43.753599999999999"/>
    <n v="5.9664000000000001"/>
    <n v="49.72"/>
    <s v="Sessão a Faturar"/>
    <s v="010650809004"/>
    <n v="40041"/>
    <s v="Unidade Vieiralves"/>
    <s v="42263120260318510196"/>
    <m/>
  </r>
  <r>
    <x v="9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7/10)"/>
    <n v="30.8"/>
    <n v="4.2"/>
    <n v="35"/>
    <s v="Sessão Faturada"/>
    <s v="0501013884910089"/>
    <n v="59237"/>
    <s v="Unidade Vieiralves"/>
    <n v="9245426"/>
    <m/>
  </r>
  <r>
    <x v="9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6/10)"/>
    <n v="47.634399999999999"/>
    <n v="6.4955999999999996"/>
    <n v="54.13"/>
    <s v="Sessão a Faturar"/>
    <s v="010650809004"/>
    <n v="40041"/>
    <s v="Unidade Vieiralves"/>
    <s v="42263120260318510300"/>
    <m/>
  </r>
  <r>
    <x v="9"/>
    <x v="0"/>
    <s v="Elisa Marinho França"/>
    <s v="Feminino"/>
    <x v="1"/>
    <x v="2"/>
    <s v="50000160 - Fisioterapia Ortopédica (R$ 20,00), 98980327 - Taxa de Eletroterapia (Tens) (R$ 15,00)"/>
    <s v="Fisioterapia"/>
    <n v="9297956"/>
    <s v="Finalizado (6/10)"/>
    <n v="30.8"/>
    <n v="4.2"/>
    <n v="35"/>
    <s v="Sessão Faturada"/>
    <s v="0701013703740256"/>
    <n v="56443"/>
    <s v="Unidade Vieiralves"/>
    <n v="9297956"/>
    <m/>
  </r>
  <r>
    <x v="9"/>
    <x v="0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5/10)"/>
    <n v="23.803999999999998"/>
    <n v="3.246"/>
    <n v="27.05"/>
    <s v="Sessão a Faturar"/>
    <n v="610900110003020"/>
    <n v="8227"/>
    <s v="Unidade Vieiralves"/>
    <n v="1713543460"/>
    <m/>
  </r>
  <r>
    <x v="9"/>
    <x v="0"/>
    <s v="Wanessa Ferreira Saraiva Oliveira"/>
    <s v="Feminino"/>
    <x v="4"/>
    <x v="2"/>
    <s v="31602185 - Estimulação Elétrica Transcutânea - Removido 13/04/2026 (R$ 40,00)"/>
    <s v="Fisioterapia"/>
    <n v="1715196336"/>
    <s v="Finalizado (4/10)"/>
    <n v="35.200000000000003"/>
    <n v="4.8"/>
    <n v="40"/>
    <s v="Sessão a Faturar"/>
    <n v="610900110003020"/>
    <n v="8227"/>
    <s v="Unidade Vieiralves"/>
    <n v="1715196336"/>
    <m/>
  </r>
  <r>
    <x v="9"/>
    <x v="2"/>
    <s v="Amanda Campos Goes Bezerra"/>
    <s v="Feminino"/>
    <x v="1"/>
    <x v="2"/>
    <s v="50000160 - Fisioterapia Ortopédica (R$ 20,00), 98980327 - Taxa de Eletroterapia (Tens) (R$ 15,00)"/>
    <s v="Fisioterapia"/>
    <n v="9435670"/>
    <s v="Finalizado (5/10)"/>
    <n v="30.8"/>
    <n v="4.2"/>
    <n v="35"/>
    <s v="Sessão a Faturar"/>
    <s v="0901013300950004"/>
    <n v="59623"/>
    <s v="Unidade Vieiralves"/>
    <n v="9435670"/>
    <m/>
  </r>
  <r>
    <x v="9"/>
    <x v="4"/>
    <s v="Suellen Andrade Barroso"/>
    <s v="Feminino"/>
    <x v="6"/>
    <x v="2"/>
    <s v="20103492 - Patologia Em Dois Ou Mais Membros (R$ 30,26)"/>
    <s v="Fisioterapia"/>
    <n v="171490"/>
    <s v="Finalizado (4/10)"/>
    <n v="26.628799999999998"/>
    <n v="3.6312000000000002"/>
    <n v="30.26"/>
    <s v="Sessão a Faturar"/>
    <s v="54588888479635870024"/>
    <n v="31354"/>
    <s v="Unidade Vieiralves"/>
    <n v="171490"/>
    <m/>
  </r>
  <r>
    <x v="9"/>
    <x v="4"/>
    <s v="Bruna Ribeiro da Silva"/>
    <s v="Feminino"/>
    <x v="2"/>
    <x v="2"/>
    <s v="20103484 - Fisioterapia - Patologia Em Um Membro (R$ 12,22)"/>
    <s v="Fisioterapia"/>
    <n v="1718245726"/>
    <s v="Finalizado (1/1)"/>
    <n v="10.7536"/>
    <n v="1.4663999999999999"/>
    <n v="12.22"/>
    <s v="Sessão a Faturar"/>
    <n v="773458014915000"/>
    <n v="51542"/>
    <s v="Unidade Vieiralves"/>
    <n v="1718245726"/>
    <m/>
  </r>
  <r>
    <x v="9"/>
    <x v="4"/>
    <s v="Bruna Ribeiro da Silva"/>
    <s v="Feminino"/>
    <x v="2"/>
    <x v="2"/>
    <s v="50000144 - Avaliação de Fisioterapia (R$ 51,42)"/>
    <s v="Fisioterapia"/>
    <n v="1718244276"/>
    <s v="Finalizado (1/1)"/>
    <n v="46.277999999999999"/>
    <n v="5.1420000000000003"/>
    <n v="51.42"/>
    <s v="Sessão Faturada"/>
    <n v="773458014915000"/>
    <n v="51542"/>
    <s v="Unidade Vieiralves"/>
    <n v="1718244276"/>
    <m/>
  </r>
  <r>
    <x v="9"/>
    <x v="4"/>
    <s v="Thereza Janara Sarmanho Lima"/>
    <s v="Feminino"/>
    <x v="1"/>
    <x v="2"/>
    <s v="50000160 - Fisioterapia Ortopédica (R$ 20,00), 98980327 - Taxa de Eletroterapia (Tens) (R$ 15,00)"/>
    <s v="Fisioterapia"/>
    <n v="9317870"/>
    <s v="Não compareceu (7/10)"/>
    <n v="35"/>
    <n v="0"/>
    <n v="35"/>
    <s v="Sessão Faturada"/>
    <n v="1301013043650000"/>
    <n v="57993"/>
    <s v="Unidade Vieiralves"/>
    <n v="9317870"/>
    <s v="Guia assinada!"/>
  </r>
  <r>
    <x v="9"/>
    <x v="4"/>
    <s v="Joao Augusto de Oliveira Lopes"/>
    <s v="Masculino"/>
    <x v="1"/>
    <x v="2"/>
    <s v="50000160 - Fisioterapia Ortopédica (R$ 20,00), 98980327 - Taxa de Eletroterapia (Tens) (R$ 15,00)"/>
    <s v="Fisioterapia"/>
    <n v="9086970"/>
    <s v="Finalizado (10/10)"/>
    <n v="30.8"/>
    <n v="4.2"/>
    <n v="35"/>
    <s v="Sessão Faturada"/>
    <s v="0501012567250102"/>
    <n v="59272"/>
    <s v="Unidade Vieiralves"/>
    <n v="9086970"/>
    <m/>
  </r>
  <r>
    <x v="9"/>
    <x v="5"/>
    <s v="Suellen Andrade Barroso"/>
    <s v="Feminino"/>
    <x v="6"/>
    <x v="2"/>
    <s v="31602185 - Estimulação Elétrica Transcutanea (Tens) (R$ 40,00)"/>
    <s v="Fisioterapia"/>
    <n v="171491"/>
    <s v="Finalizado (4/4)"/>
    <n v="35.200000000000003"/>
    <n v="4.8"/>
    <n v="40"/>
    <s v="Sessão a Faturar"/>
    <s v="54588888479635870024"/>
    <n v="31354"/>
    <s v="Unidade Vieiralves"/>
    <n v="171491"/>
    <m/>
  </r>
  <r>
    <x v="9"/>
    <x v="6"/>
    <s v="Fernando Castelo Ferreira Junior"/>
    <m/>
    <x v="1"/>
    <x v="2"/>
    <s v="50000160 - Fisioterapia Ortopédica (R$ 20,00), 98980327 - Taxa de Eletroterapia (Tens) (R$ 15,00)"/>
    <s v="Fisioterapia"/>
    <n v="9421778"/>
    <s v="Finalizado (6/10)"/>
    <n v="30.8"/>
    <n v="4.2"/>
    <n v="35"/>
    <s v="Sessão Faturada"/>
    <n v="1301013577000100"/>
    <n v="55220"/>
    <s v="Unidade Vieiralves"/>
    <n v="9421778"/>
    <m/>
  </r>
  <r>
    <x v="9"/>
    <x v="15"/>
    <s v="Jamilson Oliveira dos Santos"/>
    <s v="Masculino"/>
    <x v="6"/>
    <x v="2"/>
    <s v="20103484 - Patologia Em Um Membro (R$ 14,16)"/>
    <s v="Fisioterapia"/>
    <n v="169825"/>
    <s v="Finalizado (10/10)"/>
    <n v="12.460800000000001"/>
    <n v="1.6992"/>
    <n v="14.16"/>
    <s v="Sessão a Faturar"/>
    <s v="55788888488869430020"/>
    <n v="48962"/>
    <s v="Unidade Vieiralves"/>
    <n v="169825"/>
    <m/>
  </r>
  <r>
    <x v="9"/>
    <x v="16"/>
    <s v="Jamilson Oliveira dos Santos"/>
    <s v="Masculino"/>
    <x v="6"/>
    <x v="2"/>
    <s v="31602185 - Estimulação Elétrica Transcutanea (Tens) (R$ 40,00)"/>
    <s v="Fisioterapia"/>
    <n v="169827"/>
    <s v="Finalizado (10/10)"/>
    <n v="35.200000000000003"/>
    <n v="4.8"/>
    <n v="40"/>
    <s v="Sessão a Faturar"/>
    <s v="55788888488869430020"/>
    <n v="48962"/>
    <s v="Unidade Vieiralves"/>
    <n v="169827"/>
    <m/>
  </r>
  <r>
    <x v="9"/>
    <x v="17"/>
    <s v="Paulo Nonato  Aviz Dias"/>
    <s v="Masculino"/>
    <x v="2"/>
    <x v="2"/>
    <s v="20103484 - Fisioterapia - Patologia Em Um Membro (R$ 12,22)"/>
    <s v="Fisioterapia"/>
    <n v="1710689763"/>
    <s v="Finalizado (4/10)"/>
    <n v="10.7536"/>
    <n v="1.4663999999999999"/>
    <n v="12.22"/>
    <s v="Sessão a Faturar"/>
    <n v="960016515126020"/>
    <n v="59476"/>
    <s v="Unidade Vieiralves"/>
    <n v="1710689763"/>
    <m/>
  </r>
  <r>
    <x v="9"/>
    <x v="17"/>
    <s v="Maria da Conceição Grandal Oliveira"/>
    <s v="Feminino"/>
    <x v="21"/>
    <x v="2"/>
    <s v="50000144 - Avaliação de Fisioterapia (R$ 70,00)"/>
    <s v="Fisioterapia"/>
    <n v="172970"/>
    <s v="Finalizado (1/1)"/>
    <n v="63"/>
    <n v="7"/>
    <n v="70"/>
    <s v="Sessão a Faturar"/>
    <n v="10519601"/>
    <n v="59789"/>
    <s v="Unidade Vieiralves"/>
    <n v="172970"/>
    <m/>
  </r>
  <r>
    <x v="9"/>
    <x v="8"/>
    <s v="Victoria de Moraes Martins Pereira"/>
    <s v="Masculino"/>
    <x v="6"/>
    <x v="2"/>
    <s v="20103662 - Pos Operatorio Em Um Membro (R$ 22,53)"/>
    <s v="Fisioterapia"/>
    <n v="173106"/>
    <s v="Finalizado (2/10)"/>
    <n v="19.8264"/>
    <n v="2.7035999999999998"/>
    <n v="22.53"/>
    <s v="Sessão a Faturar"/>
    <s v="55788888488381350015"/>
    <n v="48970"/>
    <s v="Unidade Vieiralves"/>
    <n v="173106"/>
    <m/>
  </r>
  <r>
    <x v="9"/>
    <x v="8"/>
    <s v="Victoria de Moraes Martins Pereira"/>
    <s v="Masculino"/>
    <x v="6"/>
    <x v="2"/>
    <s v="31602185 - Estimulação Elétrica Transcutanea (Tens) (R$ 40,00)"/>
    <s v="Fisioterapia"/>
    <n v="173875"/>
    <s v="Finalizado (1/10)"/>
    <n v="35.200000000000003"/>
    <n v="4.8"/>
    <n v="40"/>
    <s v="Sessão a Faturar"/>
    <s v="55788888488381350015"/>
    <n v="48970"/>
    <s v="Unidade Vieiralves"/>
    <n v="173875"/>
    <m/>
  </r>
  <r>
    <x v="9"/>
    <x v="10"/>
    <s v="Antonio Jorge Martins de Queiroz"/>
    <s v="Masculino"/>
    <x v="10"/>
    <x v="2"/>
    <s v="50000160 - Fisioterapia Ortopédica (R$ 15,00)"/>
    <s v="Fisioterapia"/>
    <n v="23043203"/>
    <s v="Não compareceu (4/10)"/>
    <n v="15"/>
    <n v="0"/>
    <n v="15"/>
    <s v="Sessão a Faturar"/>
    <s v="00010064268023001"/>
    <n v="59517"/>
    <s v="Unidade Vieiralves"/>
    <n v="23043203"/>
    <m/>
  </r>
  <r>
    <x v="9"/>
    <x v="10"/>
    <s v="Mcluhan Teixeira Grijo"/>
    <s v="Masculino"/>
    <x v="5"/>
    <x v="2"/>
    <s v="98860011 - Fisioterapia Complexidade 1 - 04/03/2026 (R$ 53,00)"/>
    <s v="Fisioterapia"/>
    <n v="76664020"/>
    <s v="Finalizado (8/10)"/>
    <n v="46.64"/>
    <n v="6.36"/>
    <n v="53"/>
    <s v="Sessão Faturada"/>
    <s v="0101072415000314"/>
    <n v="51264"/>
    <s v="Unidade Vieiralves"/>
    <n v="76664020"/>
    <m/>
  </r>
  <r>
    <x v="9"/>
    <x v="11"/>
    <s v="Mcluhan Teixeira Grijo"/>
    <s v="Masculino"/>
    <x v="5"/>
    <x v="2"/>
    <s v="31602185 - Estimulação Elétrica Transcutânea (Tens) - 04/03/2026 (R$ 120,28)"/>
    <s v="Fisioterapia"/>
    <n v="76665250"/>
    <s v="Finalizado (8/10)"/>
    <n v="105.8464"/>
    <n v="14.4336"/>
    <n v="120.28"/>
    <s v="Sessão Faturada"/>
    <s v="0101072415000314"/>
    <n v="51264"/>
    <s v="Unidade Vieiralves"/>
    <n v="76665250"/>
    <m/>
  </r>
  <r>
    <x v="9"/>
    <x v="12"/>
    <s v="Kesia Rachel Martins Jathay"/>
    <s v="Feminino"/>
    <x v="2"/>
    <x v="2"/>
    <s v="20103492 - Fisioterapia - Patologia Em Dois Ou Mais Membros (R$ 14,83)"/>
    <s v="Fisioterapia"/>
    <n v="1713654473"/>
    <s v="Finalizado (4/10)"/>
    <n v="13.0504"/>
    <n v="1.7796000000000001"/>
    <n v="14.83"/>
    <s v="Sessão a Faturar"/>
    <n v="894937200736000"/>
    <n v="53553"/>
    <s v="Unidade Vieiralves"/>
    <n v="1713654473"/>
    <m/>
  </r>
  <r>
    <x v="9"/>
    <x v="12"/>
    <s v="Pedro Balsini Peixoto Porto"/>
    <s v="Masculino"/>
    <x v="2"/>
    <x v="2"/>
    <s v="20103492 - Fisioterapia - Patologia Em Dois Ou Mais Membros (R$ 14,83)"/>
    <s v="Fisioterapia"/>
    <n v="1711686290"/>
    <s v="Finalizado (5/6)"/>
    <n v="13.0504"/>
    <n v="1.7796000000000001"/>
    <n v="14.83"/>
    <s v="Sessão a Faturar"/>
    <n v="893331300736020"/>
    <n v="59321"/>
    <s v="Unidade Vieiralves"/>
    <n v="1711686290"/>
    <m/>
  </r>
  <r>
    <x v="9"/>
    <x v="12"/>
    <s v="Pedro Balsini Peixoto Porto"/>
    <s v="Masculino"/>
    <x v="4"/>
    <x v="2"/>
    <s v="31602185 - Estimulação Elétrica Transcutânea - Removido 13/04/2026 (R$ 40,00)"/>
    <s v="Fisioterapia"/>
    <n v="1714703239"/>
    <s v="Finalizado (3/3)"/>
    <n v="35.200000000000003"/>
    <n v="4.8"/>
    <n v="40"/>
    <s v="Sessão a Faturar"/>
    <n v="893331300736020"/>
    <n v="59321"/>
    <s v="Unidade Vieiralves"/>
    <n v="1714703239"/>
    <m/>
  </r>
  <r>
    <x v="10"/>
    <x v="22"/>
    <s v="Elisa Marinho França"/>
    <s v="Feminino"/>
    <x v="1"/>
    <x v="2"/>
    <s v="50000160 - Fisioterapia Ortopédica (R$ 20,00), 98980327 - Taxa de Eletroterapia (Tens) (R$ 15,00)"/>
    <s v="Fisioterapia"/>
    <n v="9297956"/>
    <s v="Finalizado (7/10)"/>
    <n v="30.8"/>
    <n v="4.2"/>
    <n v="35"/>
    <s v="Sessão Faturada"/>
    <s v="0701013703740256"/>
    <n v="56443"/>
    <s v="Unidade Vieiralves"/>
    <n v="9297956"/>
    <m/>
  </r>
  <r>
    <x v="10"/>
    <x v="22"/>
    <s v="Maria de Nazare Frota de Oliveira"/>
    <s v="Feminino"/>
    <x v="1"/>
    <x v="2"/>
    <s v="50000160 - Fisioterapia Ortopédica (R$ 20,00), 98980327 - Taxa de Eletroterapia (Tens) (R$ 15,00)"/>
    <s v="Fisioterapia"/>
    <n v="9245426"/>
    <s v="Finalizado (8/10)"/>
    <n v="30.8"/>
    <n v="4.2"/>
    <n v="35"/>
    <s v="Sessão Faturada"/>
    <s v="0501013884910089"/>
    <n v="59237"/>
    <s v="Unidade Vieiralves"/>
    <n v="9245426"/>
    <m/>
  </r>
  <r>
    <x v="10"/>
    <x v="22"/>
    <s v="Elcilene Pinheiro Ferreira Gadelha"/>
    <s v="Feminino"/>
    <x v="2"/>
    <x v="2"/>
    <s v="20103492 - Fisioterapia - Patologia Em Dois Ou Mais Membros (R$ 14,83)"/>
    <s v="Fisioterapia"/>
    <n v="1711540007"/>
    <s v="Finalizado (4/6)"/>
    <n v="13.0504"/>
    <n v="1.7796000000000001"/>
    <n v="14.83"/>
    <s v="Sessão a Faturar"/>
    <n v="896128600019000"/>
    <n v="51111"/>
    <s v="Unidade Vieiralves"/>
    <n v="1711540007"/>
    <m/>
  </r>
  <r>
    <x v="10"/>
    <x v="22"/>
    <s v="Davi Ferreira Gadelha"/>
    <s v="Masculino"/>
    <x v="2"/>
    <x v="2"/>
    <s v="20103514 - Fisioterapia - Patologia Em Diferentes Segmentos da Coluna (R$ 14,83)"/>
    <s v="Fisioterapia"/>
    <n v="1711540478"/>
    <s v="Finalizado (4/6)"/>
    <n v="13.0504"/>
    <n v="1.7796000000000001"/>
    <n v="14.83"/>
    <s v="Sessão a Faturar"/>
    <n v="896128600019030"/>
    <n v="51103"/>
    <s v="Unidade Vieiralves"/>
    <n v="1711540478"/>
    <m/>
  </r>
  <r>
    <x v="10"/>
    <x v="0"/>
    <s v="Rosalinda Pereira Brito"/>
    <s v="Feminino"/>
    <x v="2"/>
    <x v="2"/>
    <s v="20103484 - Fisioterapia - Patologia Em Um Membro (R$ 12,22)"/>
    <s v="Fisioterapia"/>
    <n v="1717688075"/>
    <s v="Finalizado (2/10)"/>
    <n v="10.7536"/>
    <n v="1.4663999999999999"/>
    <n v="12.22"/>
    <s v="Sessão a Faturar"/>
    <s v="010544100907015"/>
    <n v="13886"/>
    <s v="Unidade Vieiralves"/>
    <n v="1717688075"/>
    <m/>
  </r>
  <r>
    <x v="10"/>
    <x v="0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6/10)"/>
    <n v="23.803999999999998"/>
    <n v="3.246"/>
    <n v="27.05"/>
    <s v="Sessão a Faturar"/>
    <n v="610900110003020"/>
    <n v="8227"/>
    <s v="Unidade Vieiralves"/>
    <n v="1713543460"/>
    <m/>
  </r>
  <r>
    <x v="10"/>
    <x v="0"/>
    <s v="Minervina Lucia Marques Fonseca"/>
    <s v="Feminino"/>
    <x v="0"/>
    <x v="2"/>
    <s v="50000160 - Fisioterapia Ortopedica (R$ 49,72)"/>
    <s v="Fisioterapia"/>
    <s v="42263120260318510196"/>
    <s v="Finalizado (7/10)"/>
    <n v="43.753599999999999"/>
    <n v="5.9664000000000001"/>
    <n v="49.72"/>
    <s v="Sessão a Faturar"/>
    <s v="010650809004"/>
    <n v="40041"/>
    <s v="Unidade Vieiralves"/>
    <s v="42263120260318510196"/>
    <m/>
  </r>
  <r>
    <x v="10"/>
    <x v="0"/>
    <s v="Adenise Leitão Barbosa"/>
    <s v="Feminino"/>
    <x v="12"/>
    <x v="2"/>
    <s v="20103492 - Patol. Em Dois Ou Mais Membros (R$ 14,83)"/>
    <s v="Fisioterapia"/>
    <n v="172290"/>
    <s v="Finalizado (7/10)"/>
    <n v="13.0504"/>
    <n v="1.7796000000000001"/>
    <n v="14.83"/>
    <s v="Sessão a Faturar"/>
    <s v="000432203160121601"/>
    <n v="26264"/>
    <s v="Unidade Vieiralves"/>
    <n v="172290"/>
    <m/>
  </r>
  <r>
    <x v="10"/>
    <x v="0"/>
    <s v="Francimara da Costa Rodrigues Balderrama"/>
    <s v="Feminino"/>
    <x v="2"/>
    <x v="2"/>
    <s v="20103662 - Fisioterapia - Pos Operatorio Em Um Membro (R$ 14,99)"/>
    <s v="Fisioterapia"/>
    <n v="1716135769"/>
    <s v="Finalizado (4/10)"/>
    <n v="13.1912"/>
    <n v="1.7988"/>
    <n v="14.99"/>
    <s v="Sessão a Faturar"/>
    <n v="774981005886020"/>
    <n v="59685"/>
    <s v="Unidade Vieiralves"/>
    <n v="1716135769"/>
    <m/>
  </r>
  <r>
    <x v="10"/>
    <x v="1"/>
    <s v="Francimara da Costa Rodrigues Balderrama"/>
    <s v="Feminino"/>
    <x v="4"/>
    <x v="2"/>
    <s v="31602185 - Estimulação Elétrica Transcutânea - Removido 13/04/2026 (R$ 40,00)"/>
    <s v="Fisioterapia"/>
    <n v="1716768906"/>
    <s v="Finalizado (3/10)"/>
    <n v="35.200000000000003"/>
    <n v="4.8"/>
    <n v="40"/>
    <s v="Sessão a Faturar"/>
    <n v="774981005886020"/>
    <n v="59685"/>
    <s v="Unidade Vieiralves"/>
    <n v="1716768906"/>
    <m/>
  </r>
  <r>
    <x v="10"/>
    <x v="1"/>
    <s v="Rosalinda Pereira Brito"/>
    <s v="Feminino"/>
    <x v="4"/>
    <x v="2"/>
    <s v="31602185 - Estimulação Elétrica Transcutânea - Removido 13/04/2026 (R$ 40,00)"/>
    <s v="Fisioterapia"/>
    <n v="1710935636"/>
    <s v="Finalizado (8/10)"/>
    <n v="35.200000000000003"/>
    <n v="4.8"/>
    <n v="40"/>
    <s v="Sessão a Faturar"/>
    <s v="010544100907015"/>
    <n v="13886"/>
    <s v="Unidade Vieiralves"/>
    <n v="1710935636"/>
    <m/>
  </r>
  <r>
    <x v="10"/>
    <x v="1"/>
    <s v="Wanessa Ferreira Saraiva Oliveira"/>
    <s v="Feminino"/>
    <x v="4"/>
    <x v="2"/>
    <s v="31602185 - Estimulação Elétrica Transcutânea - Removido 13/04/2026 (R$ 40,00)"/>
    <s v="Fisioterapia"/>
    <n v="1715196336"/>
    <s v="Finalizado (5/10)"/>
    <n v="35.200000000000003"/>
    <n v="4.8"/>
    <n v="40"/>
    <s v="Sessão a Faturar"/>
    <n v="610900110003020"/>
    <n v="8227"/>
    <s v="Unidade Vieiralves"/>
    <n v="1715196336"/>
    <m/>
  </r>
  <r>
    <x v="10"/>
    <x v="1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7/10)"/>
    <n v="47.634399999999999"/>
    <n v="6.4955999999999996"/>
    <n v="54.13"/>
    <s v="Sessão a Faturar"/>
    <s v="010650809004"/>
    <n v="40041"/>
    <s v="Unidade Vieiralves"/>
    <s v="42263120260318510300"/>
    <m/>
  </r>
  <r>
    <x v="10"/>
    <x v="2"/>
    <s v="Maria Adelina Parente Lins Felix"/>
    <s v="Feminino"/>
    <x v="0"/>
    <x v="2"/>
    <s v="50000160 - Fisioterapia Ortopedica (R$ 49,72)"/>
    <s v="Fisioterapia"/>
    <s v="42263120260323540098"/>
    <s v="Não compareceu (6/10)"/>
    <n v="49.72"/>
    <n v="0"/>
    <n v="49.72"/>
    <s v="Sessão a Faturar"/>
    <s v="010650363400"/>
    <n v="41281"/>
    <s v="Unidade Vieiralves"/>
    <s v="42263120260323540098"/>
    <m/>
  </r>
  <r>
    <x v="10"/>
    <x v="2"/>
    <s v="Joao Augusto de Oliveira Lopes"/>
    <s v="Masculino"/>
    <x v="1"/>
    <x v="2"/>
    <s v="50000160 - Fisioterapia Ortopédica (R$ 20,00), 98980327 - Taxa de Eletroterapia (Tens) (R$ 15,00)"/>
    <s v="Fisioterapia"/>
    <n v="9649108"/>
    <s v="Finalizado (1/10)"/>
    <n v="30.8"/>
    <n v="4.2"/>
    <n v="35"/>
    <s v="Sessão a Faturar"/>
    <s v="0501012567250102"/>
    <n v="59272"/>
    <s v="Unidade Vieiralves"/>
    <n v="9649108"/>
    <m/>
  </r>
  <r>
    <x v="10"/>
    <x v="3"/>
    <s v="Maria Adelina Parente Lins Felix"/>
    <s v="Feminino"/>
    <x v="0"/>
    <x v="2"/>
    <s v="31602185 - Estimulação Elétrica Transcutânea Fisioterapia (Novo - 01/12) (R$ 54,13)"/>
    <s v="Fisioterapia"/>
    <s v="42263120260325558384"/>
    <s v="Não compareceu (6/10)"/>
    <n v="54.13"/>
    <n v="0"/>
    <n v="54.13"/>
    <s v="Sessão a Faturar"/>
    <s v="010650363400"/>
    <n v="41281"/>
    <s v="Unidade Vieiralves"/>
    <s v="42263120260325558384"/>
    <m/>
  </r>
  <r>
    <x v="10"/>
    <x v="4"/>
    <s v="Fernando Castelo Ferreira Junior"/>
    <m/>
    <x v="1"/>
    <x v="2"/>
    <s v="50000160 - Fisioterapia Ortopédica (R$ 20,00), 98980327 - Taxa de Eletroterapia (Tens) (R$ 15,00)"/>
    <s v="Fisioterapia"/>
    <n v="9421778"/>
    <s v="Finalizado (7/10)"/>
    <n v="30.8"/>
    <n v="4.2"/>
    <n v="35"/>
    <s v="Sessão Faturada"/>
    <n v="1301013577000100"/>
    <n v="55220"/>
    <s v="Unidade Vieiralves"/>
    <n v="9421778"/>
    <m/>
  </r>
  <r>
    <x v="10"/>
    <x v="4"/>
    <s v="Ryan Gomes da Frota Sampaio"/>
    <s v="Masculino"/>
    <x v="2"/>
    <x v="2"/>
    <s v="20103662 - Fisioterapia - Pos Operatorio Em Um Membro (R$ 14,99)"/>
    <s v="Fisioterapia"/>
    <n v="1717738151"/>
    <s v="Finalizado (2/10)"/>
    <n v="13.1912"/>
    <n v="1.7988"/>
    <n v="14.99"/>
    <s v="Sessão a Faturar"/>
    <n v="611004720001020"/>
    <n v="59767"/>
    <s v="Unidade Vieiralves"/>
    <n v="1717738151"/>
    <m/>
  </r>
  <r>
    <x v="10"/>
    <x v="13"/>
    <s v="Ivison Melo Nunes"/>
    <s v="Masculino"/>
    <x v="2"/>
    <x v="2"/>
    <s v="20103492 - Fisioterapia - Patologia Em Dois Ou Mais Membros (R$ 14,83)"/>
    <s v="Fisioterapia"/>
    <n v="1719122898"/>
    <s v="Finalizado (1/10)"/>
    <n v="13.0504"/>
    <n v="1.7796000000000001"/>
    <n v="14.83"/>
    <s v="Sessão a Faturar"/>
    <n v="774063009652000"/>
    <n v="59417"/>
    <s v="Unidade Vieiralves"/>
    <n v="1719122898"/>
    <m/>
  </r>
  <r>
    <x v="10"/>
    <x v="13"/>
    <s v="Fernanda Santos Fachinello"/>
    <s v="Feminino"/>
    <x v="1"/>
    <x v="2"/>
    <s v="50000160 - Fisioterapia Ortopédica (R$ 20,00), 98980327 - Taxa de Eletroterapia (Tens) (R$ 15,00)"/>
    <s v="Fisioterapia"/>
    <n v="9167027"/>
    <s v="Finalizado (10/10)"/>
    <n v="30.8"/>
    <n v="4.2"/>
    <n v="35"/>
    <s v="Sessão Faturada"/>
    <n v="1301014095850300"/>
    <n v="21927"/>
    <s v="Unidade Vieiralves"/>
    <n v="9167027"/>
    <m/>
  </r>
  <r>
    <x v="10"/>
    <x v="13"/>
    <s v="Etelma Regina da Silva Paiva"/>
    <s v="Feminino"/>
    <x v="0"/>
    <x v="2"/>
    <s v="50000144 - Avaliação de Fisioterapia (R$ 39,72)"/>
    <s v="Fisioterapia"/>
    <n v="172930"/>
    <s v="Finalizado (1/1)"/>
    <n v="35.747999999999998"/>
    <n v="3.972"/>
    <n v="39.72"/>
    <s v="Sessão a Faturar"/>
    <s v="010033645953"/>
    <n v="29462"/>
    <s v="Unidade Vieiralves"/>
    <n v="172930"/>
    <m/>
  </r>
  <r>
    <x v="10"/>
    <x v="13"/>
    <s v="Etelma Regina da Silva Paiva"/>
    <s v="Feminino"/>
    <x v="0"/>
    <x v="2"/>
    <s v="31602185 - Estimulação Elétrica Transcutânea Fisioterapia (Novo - 01/12) (R$ 54,13)"/>
    <s v="Fisioterapia"/>
    <n v="173652"/>
    <s v="Finalizado (1/10)"/>
    <n v="47.634399999999999"/>
    <n v="6.4955999999999996"/>
    <n v="54.13"/>
    <s v="Sessão a Faturar"/>
    <s v="010033645953"/>
    <n v="29462"/>
    <s v="Unidade Vieiralves"/>
    <n v="173652"/>
    <m/>
  </r>
  <r>
    <x v="10"/>
    <x v="13"/>
    <s v="Eduardo Martins Souza"/>
    <s v="Masculino"/>
    <x v="1"/>
    <x v="2"/>
    <s v="50000160 - Fisioterapia Ortopédica (R$ 20,00), 98980327 - Taxa de Eletroterapia (Tens) (R$ 15,00)"/>
    <s v="Fisioterapia"/>
    <n v="9294151"/>
    <s v="Finalizado (9/10)"/>
    <n v="30.8"/>
    <n v="4.2"/>
    <n v="35"/>
    <s v="Sessão Faturada"/>
    <s v="0901013816210012"/>
    <n v="58367"/>
    <s v="Unidade Vieiralves"/>
    <n v="9294151"/>
    <m/>
  </r>
  <r>
    <x v="10"/>
    <x v="13"/>
    <s v="Wilson Norival Perez Briceño Júnior"/>
    <s v="Masculino"/>
    <x v="1"/>
    <x v="2"/>
    <s v="50000160 - Fisioterapia Ortopédica (R$ 20,00), 98980327 - Taxa de Eletroterapia (Tens) (R$ 15,00)"/>
    <s v="Fisioterapia"/>
    <n v="9591534"/>
    <s v="Finalizado (2/10)"/>
    <n v="30.8"/>
    <n v="4.2"/>
    <n v="35"/>
    <s v="Sessão a Faturar"/>
    <n v="1301013238030000"/>
    <n v="59782"/>
    <s v="Unidade Vieiralves"/>
    <n v="9591534"/>
    <m/>
  </r>
  <r>
    <x v="10"/>
    <x v="14"/>
    <s v="Etelma Regina da Silva Paiva"/>
    <s v="Feminino"/>
    <x v="0"/>
    <x v="2"/>
    <s v="50000160 - Fisioterapia Ortopedica (R$ 49,72)"/>
    <s v="Fisioterapia"/>
    <s v="42263120260401611970"/>
    <s v="Finalizado (1/10)"/>
    <n v="43.753599999999999"/>
    <n v="5.9664000000000001"/>
    <n v="49.72"/>
    <s v="Sessão a Faturar"/>
    <s v="010033645953"/>
    <n v="29462"/>
    <s v="Unidade Vieiralves"/>
    <s v="42263120260401611970"/>
    <m/>
  </r>
  <r>
    <x v="10"/>
    <x v="6"/>
    <s v="Maria de Nazaré Reis Barbosa"/>
    <s v="Feminino"/>
    <x v="1"/>
    <x v="2"/>
    <s v="50000160 - Fisioterapia Ortopédica (R$ 20,00), 98980327 - Taxa de Eletroterapia (Tens) (R$ 15,00)"/>
    <s v="Fisioterapia"/>
    <n v="9218957"/>
    <s v="Finalizado (8/10)"/>
    <n v="30.8"/>
    <n v="4.2"/>
    <n v="35"/>
    <s v="Sessão Faturada"/>
    <s v="0901005831260032"/>
    <n v="52372"/>
    <s v="Unidade Vieiralves"/>
    <n v="9218957"/>
    <m/>
  </r>
  <r>
    <x v="10"/>
    <x v="6"/>
    <s v="Adenildo Neles de Vasconcelos"/>
    <s v="Masculino"/>
    <x v="2"/>
    <x v="2"/>
    <s v="20103492 - Fisioterapia - Patologia Em Dois Ou Mais Membros (R$ 14,83)"/>
    <s v="Fisioterapia"/>
    <n v="1710838335"/>
    <s v="Finalizado (7/10)"/>
    <n v="13.0504"/>
    <n v="1.7796000000000001"/>
    <n v="14.83"/>
    <s v="Sessão a Faturar"/>
    <n v="890729700019020"/>
    <n v="47173"/>
    <s v="Unidade Vieiralves"/>
    <n v="1710838335"/>
    <m/>
  </r>
  <r>
    <x v="10"/>
    <x v="6"/>
    <s v="Ketlyn de Figueiredo Costa"/>
    <s v="Feminino"/>
    <x v="8"/>
    <x v="2"/>
    <s v="20103492 - Patologia Em Dois Ou Mais Membros (R$ 14,83)"/>
    <s v="Fisioterapia"/>
    <n v="1710486090"/>
    <s v="Finalizado (3/5)"/>
    <n v="13.0504"/>
    <n v="1.7796000000000001"/>
    <n v="14.83"/>
    <s v="Sessão a Faturar"/>
    <n v="954600015326020"/>
    <n v="59515"/>
    <s v="Unidade Vieiralves"/>
    <n v="1710486090"/>
    <m/>
  </r>
  <r>
    <x v="10"/>
    <x v="15"/>
    <s v="Francisco Lima da Silva"/>
    <s v="Masculino"/>
    <x v="2"/>
    <x v="2"/>
    <s v="20103492 - Fisioterapia - Patologia Em Dois Ou Mais Membros (R$ 14,83)"/>
    <s v="Fisioterapia"/>
    <n v="1717827389"/>
    <s v="Finalizado (2/10)"/>
    <n v="13.0504"/>
    <n v="1.7796000000000001"/>
    <n v="14.83"/>
    <s v="Sessão a Faturar"/>
    <n v="774981007706010"/>
    <n v="52427"/>
    <s v="Unidade Vieiralves"/>
    <n v="1717827389"/>
    <m/>
  </r>
  <r>
    <x v="10"/>
    <x v="15"/>
    <s v="Suzy Helena do  Nascimento Oliveira"/>
    <s v="Feminino"/>
    <x v="10"/>
    <x v="2"/>
    <s v="50000160 - Fisioterapia Ortopédica (R$ 15,00)"/>
    <s v="Fisioterapia"/>
    <n v="21424412"/>
    <s v="Finalizado (6/10)"/>
    <n v="13.2"/>
    <n v="1.8"/>
    <n v="15"/>
    <s v="Sessão a Faturar"/>
    <s v="00010064270174002"/>
    <n v="48550"/>
    <s v="Unidade Vieiralves"/>
    <n v="21424412"/>
    <m/>
  </r>
  <r>
    <x v="10"/>
    <x v="15"/>
    <s v="Alessandra Silveira Rocha"/>
    <s v="Feminino"/>
    <x v="4"/>
    <x v="2"/>
    <s v="31602185 - Estimulação Elétrica Transcutânea - Removido 13/04/2026 (R$ 40,00)"/>
    <s v="Fisioterapia"/>
    <n v="1714208925"/>
    <s v="Finalizado (5/5)"/>
    <n v="35.200000000000003"/>
    <n v="4.8"/>
    <n v="40"/>
    <s v="Sessão a Faturar"/>
    <n v="774063023809020"/>
    <n v="58966"/>
    <s v="Unidade Vieiralves"/>
    <n v="1714208925"/>
    <m/>
  </r>
  <r>
    <x v="10"/>
    <x v="16"/>
    <s v="Alessandra Silveira Rocha"/>
    <s v="Feminino"/>
    <x v="2"/>
    <x v="2"/>
    <s v="20103492 - Fisioterapia - Patologia Em Dois Ou Mais Membros (R$ 14,83)"/>
    <s v="Fisioterapia"/>
    <n v="1707002611"/>
    <s v="Finalizado (10/10)"/>
    <n v="13.0504"/>
    <n v="1.7796000000000001"/>
    <n v="14.83"/>
    <s v="Sessão a Faturar"/>
    <n v="774063023809020"/>
    <n v="58966"/>
    <s v="Unidade Vieiralves"/>
    <n v="1707002611"/>
    <m/>
  </r>
  <r>
    <x v="10"/>
    <x v="16"/>
    <s v="Francisco Lima da Silva"/>
    <s v="Masculino"/>
    <x v="4"/>
    <x v="2"/>
    <s v="31602185 - Estimulação Elétrica Transcutânea - Removido 13/04/2026 (R$ 40,00)"/>
    <s v="Fisioterapia"/>
    <n v="1713582046"/>
    <s v="Finalizado (4/8)"/>
    <n v="35.200000000000003"/>
    <n v="4.8"/>
    <n v="40"/>
    <s v="Sessão a Faturar"/>
    <n v="774981007706010"/>
    <n v="52427"/>
    <s v="Unidade Vieiralves"/>
    <n v="1713582046"/>
    <m/>
  </r>
  <r>
    <x v="10"/>
    <x v="17"/>
    <s v="Victoria de Moraes Martins Pereira"/>
    <s v="Masculino"/>
    <x v="6"/>
    <x v="2"/>
    <s v="20103662 - Pos Operatorio Em Um Membro (R$ 22,53)"/>
    <s v="Fisioterapia"/>
    <n v="173106"/>
    <s v="Não compareceu (3/10)"/>
    <n v="22.53"/>
    <n v="0"/>
    <n v="22.53"/>
    <s v="Sessão a Faturar"/>
    <s v="55788888488381350015"/>
    <n v="48970"/>
    <s v="Unidade Vieiralves"/>
    <n v="173106"/>
    <m/>
  </r>
  <r>
    <x v="10"/>
    <x v="17"/>
    <s v="Aidila Maria de Carvalho Bastos"/>
    <s v="Feminino"/>
    <x v="2"/>
    <x v="2"/>
    <s v="50000144 - Avaliação de Fisioterapia (R$ 51,42)"/>
    <s v="Fisioterapia"/>
    <n v="1719150965"/>
    <s v="Finalizado (1/1)"/>
    <n v="46.277999999999999"/>
    <n v="5.1420000000000003"/>
    <n v="51.42"/>
    <s v="Sessão Faturada"/>
    <n v="837717000213010"/>
    <n v="58061"/>
    <s v="Unidade Vieiralves"/>
    <n v="1719150965"/>
    <m/>
  </r>
  <r>
    <x v="10"/>
    <x v="18"/>
    <s v="Aidila Maria de Carvalho Bastos"/>
    <s v="Feminino"/>
    <x v="2"/>
    <x v="2"/>
    <s v="20103484 - Fisioterapia - Patologia Em Um Membro (R$ 12,22)"/>
    <s v="Fisioterapia"/>
    <n v="1719152937"/>
    <s v="Finalizado (1/10)"/>
    <n v="10.7536"/>
    <n v="1.4663999999999999"/>
    <n v="12.22"/>
    <s v="Sessão a Faturar"/>
    <n v="837717000213010"/>
    <n v="58061"/>
    <s v="Unidade Vieiralves"/>
    <n v="1719152937"/>
    <m/>
  </r>
  <r>
    <x v="10"/>
    <x v="8"/>
    <s v="Edcarlos Pena da Silva"/>
    <s v="Masculino"/>
    <x v="2"/>
    <x v="2"/>
    <s v="20103492 - Fisioterapia - Patologia Em Dois Ou Mais Membros (R$ 14,83)"/>
    <s v="Fisioterapia"/>
    <n v="1718049519"/>
    <s v="Finalizado (3/10)"/>
    <n v="13.0504"/>
    <n v="1.7796000000000001"/>
    <n v="14.83"/>
    <s v="Sessão a Faturar"/>
    <n v="775426004081010"/>
    <n v="59795"/>
    <s v="Unidade Vieiralves"/>
    <n v="1718049519"/>
    <m/>
  </r>
  <r>
    <x v="10"/>
    <x v="8"/>
    <s v="Waldir dos Santos Fontes Junior"/>
    <s v="Masculino"/>
    <x v="2"/>
    <x v="2"/>
    <s v="20103506 - Fisioterapia - Patologia Em Um Segmento da Coluna (R$ 12,22)"/>
    <s v="Fisioterapia"/>
    <n v="1714249141"/>
    <s v="Finalizado (4/5)"/>
    <n v="10.7536"/>
    <n v="1.4663999999999999"/>
    <n v="12.22"/>
    <s v="Sessão Faturada"/>
    <n v="772133000728000"/>
    <n v="51522"/>
    <s v="Unidade Vieiralves"/>
    <n v="1714249141"/>
    <m/>
  </r>
  <r>
    <x v="10"/>
    <x v="8"/>
    <s v="Maria do Carmo Soares Filgueiras de Menezes"/>
    <s v="Feminino"/>
    <x v="1"/>
    <x v="2"/>
    <s v="50000160 - Fisioterapia Ortopédica (R$ 20,00), 98980327 - Taxa de Eletroterapia (Tens) (R$ 15,00)"/>
    <s v="Fisioterapia"/>
    <n v="9265016"/>
    <s v="Finalizado (6/10)"/>
    <n v="30.8"/>
    <n v="4.2"/>
    <n v="35"/>
    <s v="Sessão a Faturar"/>
    <s v="0201013918220089"/>
    <n v="58907"/>
    <s v="Unidade Vieiralves"/>
    <n v="9265016"/>
    <m/>
  </r>
  <r>
    <x v="10"/>
    <x v="8"/>
    <s v="Paulo Nonato  Aviz Dias"/>
    <s v="Masculino"/>
    <x v="2"/>
    <x v="2"/>
    <s v="20103484 - Fisioterapia - Patologia Em Um Membro (R$ 12,22)"/>
    <s v="Fisioterapia"/>
    <n v="1710689763"/>
    <s v="Finalizado (5/10)"/>
    <n v="10.7536"/>
    <n v="1.4663999999999999"/>
    <n v="12.22"/>
    <s v="Sessão a Faturar"/>
    <n v="960016515126020"/>
    <n v="59476"/>
    <s v="Unidade Vieiralves"/>
    <n v="1710689763"/>
    <m/>
  </r>
  <r>
    <x v="10"/>
    <x v="10"/>
    <s v="Antonio Jorge Martins de Queiroz"/>
    <s v="Masculino"/>
    <x v="10"/>
    <x v="2"/>
    <s v="50000160 - Fisioterapia Ortopédica (R$ 15,00)"/>
    <s v="Fisioterapia"/>
    <n v="23043203"/>
    <s v="Finalizado (5/10)"/>
    <n v="13.2"/>
    <n v="1.8"/>
    <n v="15"/>
    <s v="Sessão a Faturar"/>
    <s v="00010064268023001"/>
    <n v="59517"/>
    <s v="Unidade Vieiralves"/>
    <n v="23043203"/>
    <m/>
  </r>
  <r>
    <x v="10"/>
    <x v="10"/>
    <s v="Lauren Lauschner Gaikoski"/>
    <s v="Feminino"/>
    <x v="2"/>
    <x v="2"/>
    <s v="20103484 - Fisioterapia - Patologia Em Um Membro (R$ 12,22)"/>
    <s v="Fisioterapia"/>
    <n v="1714766274"/>
    <s v="Finalizado (5/10)"/>
    <n v="10.7536"/>
    <n v="1.4663999999999999"/>
    <n v="12.22"/>
    <s v="Sessão a Faturar"/>
    <n v="775388000299020"/>
    <n v="56279"/>
    <s v="Unidade Vieiralves"/>
    <n v="1714766274"/>
    <m/>
  </r>
  <r>
    <x v="10"/>
    <x v="10"/>
    <s v="Marcia Maria de Souza Miranda"/>
    <s v="Feminino"/>
    <x v="2"/>
    <x v="2"/>
    <s v="20103506 - Fisioterapia - Patologia Em Um Segmento da Coluna (R$ 12,22)"/>
    <s v="Fisioterapia"/>
    <n v="1717613566"/>
    <s v="Finalizado (4/10)"/>
    <n v="10.7536"/>
    <n v="1.4663999999999999"/>
    <n v="12.22"/>
    <s v="Sessão a Faturar"/>
    <n v="884774402038000"/>
    <n v="59779"/>
    <s v="Unidade Vieiralves"/>
    <n v="1717613566"/>
    <m/>
  </r>
  <r>
    <x v="10"/>
    <x v="10"/>
    <s v="Ana Georgina Viga Lacorte"/>
    <s v="Feminino"/>
    <x v="2"/>
    <x v="2"/>
    <s v="20103492 - Fisioterapia - Patologia Em Dois Ou Mais Membros (R$ 14,83)"/>
    <s v="Fisioterapia"/>
    <n v="1709244820"/>
    <s v="Finalizado (10/10)"/>
    <n v="13.0504"/>
    <n v="1.7796000000000001"/>
    <n v="14.83"/>
    <s v="Sessão Faturada"/>
    <n v="882749100043010"/>
    <n v="50823"/>
    <s v="Unidade Vieiralves"/>
    <n v="1709244820"/>
    <m/>
  </r>
  <r>
    <x v="10"/>
    <x v="10"/>
    <s v="Alexandre Wagner Kiyoshi Uehara"/>
    <s v="Masculino"/>
    <x v="2"/>
    <x v="2"/>
    <s v="20103484 - Fisioterapia - Patologia Em Um Membro (R$ 12,22)"/>
    <s v="Fisioterapia"/>
    <n v="1717831283"/>
    <s v="Finalizado (2/10)"/>
    <n v="10.7536"/>
    <n v="1.4663999999999999"/>
    <n v="12.22"/>
    <s v="Sessão a Faturar"/>
    <n v="842974900019010"/>
    <n v="13920"/>
    <s v="Unidade Vieiralves"/>
    <n v="1717831283"/>
    <m/>
  </r>
  <r>
    <x v="10"/>
    <x v="10"/>
    <s v="Sergio Massayoshi Nunomura"/>
    <s v="Masculino"/>
    <x v="1"/>
    <x v="2"/>
    <s v="50000160 - Fisioterapia Ortopédica (R$ 20,00), 98980327 - Taxa de Eletroterapia (Tens) (R$ 15,00)"/>
    <s v="Fisioterapia"/>
    <n v="9446406"/>
    <s v="Finalizado (5/10)"/>
    <n v="30.8"/>
    <n v="4.2"/>
    <n v="35"/>
    <s v="Sessão a Faturar"/>
    <s v="0901013262310007"/>
    <n v="55942"/>
    <s v="Unidade Vieiralves"/>
    <n v="9446406"/>
    <m/>
  </r>
  <r>
    <x v="10"/>
    <x v="12"/>
    <s v="Pedro Balsini Peixoto Porto"/>
    <s v="Masculino"/>
    <x v="2"/>
    <x v="2"/>
    <s v="20103492 - Fisioterapia - Patologia Em Dois Ou Mais Membros (R$ 14,83)"/>
    <s v="Fisioterapia"/>
    <n v="1711686290"/>
    <s v="Finalizado (6/6)"/>
    <n v="13.0504"/>
    <n v="1.7796000000000001"/>
    <n v="14.83"/>
    <s v="Sessão a Faturar"/>
    <n v="893331300736020"/>
    <n v="59321"/>
    <s v="Unidade Vieiralves"/>
    <n v="1711686290"/>
    <m/>
  </r>
  <r>
    <x v="10"/>
    <x v="12"/>
    <s v="Leonardo Emmanuel Neves Rodrigues"/>
    <s v="Masculino"/>
    <x v="2"/>
    <x v="2"/>
    <s v="20103484 - Fisioterapia - Patologia Em Um Membro (R$ 12,22), 20103506 - Fisioterapia - Patologia Em Um Segmento da Coluna (R$ 12,22)"/>
    <s v="Fisioterapia"/>
    <n v="1719197225"/>
    <s v="Finalizado (1/10)"/>
    <n v="21.507200000000001"/>
    <n v="2.9327999999999999"/>
    <n v="24.44"/>
    <s v="Sessão a Faturar"/>
    <n v="867546100043000"/>
    <n v="59479"/>
    <s v="Unidade Vieiralves"/>
    <n v="1719197225"/>
    <m/>
  </r>
  <r>
    <x v="10"/>
    <x v="12"/>
    <s v="Mcluhan Teixeira Grijo"/>
    <s v="Masculino"/>
    <x v="5"/>
    <x v="2"/>
    <s v="98860011 - Fisioterapia Complexidade 1 - 04/03/2026 (R$ 53,00)"/>
    <s v="Fisioterapia"/>
    <n v="76664020"/>
    <s v="Finalizado (9/10)"/>
    <n v="46.64"/>
    <n v="6.36"/>
    <n v="53"/>
    <s v="Sessão Faturada"/>
    <s v="0101072415000314"/>
    <n v="51264"/>
    <s v="Unidade Vieiralves"/>
    <n v="76664020"/>
    <m/>
  </r>
  <r>
    <x v="10"/>
    <x v="19"/>
    <s v="Mcluhan Teixeira Grijo"/>
    <s v="Masculino"/>
    <x v="5"/>
    <x v="2"/>
    <s v="31602185 - Estimulação Elétrica Transcutânea (Tens) - 04/03/2026 (R$ 120,28)"/>
    <s v="Fisioterapia"/>
    <n v="76665250"/>
    <s v="Finalizado (9/10)"/>
    <n v="105.8464"/>
    <n v="14.4336"/>
    <n v="120.28"/>
    <s v="Sessão Faturada"/>
    <s v="0101072415000314"/>
    <n v="51264"/>
    <s v="Unidade Vieiralves"/>
    <n v="76665250"/>
    <m/>
  </r>
  <r>
    <x v="11"/>
    <x v="22"/>
    <s v="Minervina Lucia Marques Fonseca"/>
    <s v="Feminino"/>
    <x v="0"/>
    <x v="2"/>
    <s v="50000160 - Fisioterapia Ortopedica (R$ 49,72)"/>
    <s v="Fisioterapia"/>
    <s v="42263120260318510196"/>
    <s v="Finalizado (8/10)"/>
    <n v="43.753599999999999"/>
    <n v="5.9664000000000001"/>
    <n v="49.72"/>
    <s v="Sessão a Faturar"/>
    <s v="010650809004"/>
    <n v="40041"/>
    <s v="Unidade Vieiralves"/>
    <s v="42263120260318510196"/>
    <m/>
  </r>
  <r>
    <x v="11"/>
    <x v="22"/>
    <s v="Aidila Maria de Carvalho Bastos"/>
    <s v="Feminino"/>
    <x v="2"/>
    <x v="2"/>
    <s v="20103484 - Fisioterapia - Patologia Em Um Membro (R$ 12,22)"/>
    <s v="Fisioterapia"/>
    <n v="1719152937"/>
    <s v="Finalizado (2/10)"/>
    <n v="10.7536"/>
    <n v="1.4663999999999999"/>
    <n v="12.22"/>
    <s v="Sessão a Faturar"/>
    <n v="837717000213010"/>
    <n v="58061"/>
    <s v="Unidade Vieiralves"/>
    <n v="1719152937"/>
    <m/>
  </r>
  <r>
    <x v="11"/>
    <x v="22"/>
    <s v="Wandercleia Martins Pontes"/>
    <s v="Feminino"/>
    <x v="1"/>
    <x v="2"/>
    <s v="50000160 - Fisioterapia Ortopédica (R$ 20,00), 98980327 - Taxa de Eletroterapia (Tens) (R$ 15,00)"/>
    <s v="Fisioterapia"/>
    <n v="9390057"/>
    <s v="Finalizado (4/10)"/>
    <n v="30.8"/>
    <n v="4.2"/>
    <n v="35"/>
    <s v="Sessão Faturada"/>
    <s v="0201013323070030"/>
    <n v="19693"/>
    <s v="Unidade Vieiralves"/>
    <n v="9390057"/>
    <s v="GUIA ASSINADA "/>
  </r>
  <r>
    <x v="11"/>
    <x v="22"/>
    <s v="Wanessa Ferreira Saraiva Oliveira"/>
    <s v="Feminino"/>
    <x v="4"/>
    <x v="2"/>
    <s v="31602185 - Estimulação Elétrica Transcutânea - Removido 13/04/2026 (R$ 40,00)"/>
    <s v="Fisioterapia"/>
    <n v="1715196336"/>
    <s v="Finalizado (6/10)"/>
    <n v="35.200000000000003"/>
    <n v="4.8"/>
    <n v="40"/>
    <s v="Sessão a Faturar"/>
    <n v="610900110003020"/>
    <n v="8227"/>
    <s v="Unidade Vieiralves"/>
    <n v="1715196336"/>
    <m/>
  </r>
  <r>
    <x v="11"/>
    <x v="22"/>
    <s v="Wanessa Ferreira Saraiva Oliveira"/>
    <s v="Feminino"/>
    <x v="2"/>
    <x v="2"/>
    <s v="20103492 - Fisioterapia - Patologia Em Dois Ou Mais Membros (R$ 14,83), 20103506 - Fisioterapia - Patologia Em Um Segmento da Coluna (R$ 12,22)"/>
    <s v="Fisioterapia"/>
    <n v="1713543460"/>
    <s v="Finalizado (7/10)"/>
    <n v="23.803999999999998"/>
    <n v="3.246"/>
    <n v="27.05"/>
    <s v="Sessão a Faturar"/>
    <n v="610900110003020"/>
    <n v="8227"/>
    <s v="Unidade Vieiralves"/>
    <n v="1713543460"/>
    <m/>
  </r>
  <r>
    <x v="11"/>
    <x v="23"/>
    <s v="Minervina Lucia Marques Fonseca"/>
    <s v="Feminino"/>
    <x v="0"/>
    <x v="2"/>
    <s v="31602185 - Estimulação Elétrica Transcutânea Fisioterapia (Novo - 01/12) (R$ 54,13)"/>
    <s v="Fisioterapia"/>
    <s v="42263120260318510300"/>
    <s v="Finalizado (8/10)"/>
    <n v="47.634399999999999"/>
    <n v="6.4955999999999996"/>
    <n v="54.13"/>
    <s v="Sessão a Faturar"/>
    <s v="010650809004"/>
    <n v="40041"/>
    <s v="Unidade Vieiralves"/>
    <s v="42263120260318510300"/>
    <m/>
  </r>
  <r>
    <x v="11"/>
    <x v="0"/>
    <s v="Viviane Paes Barreto da Silva"/>
    <s v="Feminino"/>
    <x v="2"/>
    <x v="2"/>
    <s v="20103484 - Fisioterapia - Patologia Em Um Membro (R$ 12,22)"/>
    <s v="Fisioterapia"/>
    <n v="1713637483"/>
    <s v="Finalizado (6/10)"/>
    <n v="10.7536"/>
    <n v="1.4663999999999999"/>
    <n v="12.22"/>
    <s v="Sessão a Faturar"/>
    <n v="853503800205040"/>
    <n v="59636"/>
    <s v="Unidade Vieiralves"/>
    <n v="1713637483"/>
    <m/>
  </r>
  <r>
    <x v="11"/>
    <x v="0"/>
    <s v="Adenise Leitão Barbosa"/>
    <s v="Feminino"/>
    <x v="12"/>
    <x v="2"/>
    <s v="20103492 - Patol. Em Dois Ou Mais Membros (R$ 14,83)"/>
    <s v="Fisioterapia"/>
    <n v="172290"/>
    <s v="Finalizado (8/10)"/>
    <n v="13.0504"/>
    <n v="1.7796000000000001"/>
    <n v="14.83"/>
    <s v="Sessão a Faturar"/>
    <s v="000432203160121601"/>
    <n v="26264"/>
    <s v="Unidade Vieiralves"/>
    <n v="172290"/>
    <m/>
  </r>
  <r>
    <x v="11"/>
    <x v="0"/>
    <s v="Luiz Carlos Barcelos Gonzaga"/>
    <s v="Masculino"/>
    <x v="8"/>
    <x v="2"/>
    <s v="20103662 - Pos Operatorio Em Um Membro (R$ 14,99)"/>
    <s v="Fisioterapia"/>
    <n v="1711562792"/>
    <s v="Finalizado (5/8)"/>
    <n v="13.1912"/>
    <n v="1.7988"/>
    <n v="14.99"/>
    <s v="Sessão a Faturar"/>
    <n v="954600002887000"/>
    <n v="16269"/>
    <s v="Unidade Vieiralves"/>
    <n v="1711562792"/>
    <m/>
  </r>
  <r>
    <x v="11"/>
    <x v="0"/>
    <s v="Viviane Paes Barreto da Silva"/>
    <s v="Feminino"/>
    <x v="4"/>
    <x v="2"/>
    <s v="31602185 - Estimulação Elétrica Transcutânea - Removido 13/04/2026 (R$ 40,00)"/>
    <s v="Fisioterapia"/>
    <n v="1714252033"/>
    <s v="Finalizado (5/10)"/>
    <n v="35.200000000000003"/>
    <n v="4.8"/>
    <n v="40"/>
    <s v="Sessão a Faturar"/>
    <n v="853503800205040"/>
    <n v="59636"/>
    <s v="Unidade Vieiralves"/>
    <n v="1714252033"/>
    <m/>
  </r>
  <r>
    <x v="11"/>
    <x v="2"/>
    <s v="Joziane Lira dos Santos Pereira"/>
    <s v="Feminino"/>
    <x v="8"/>
    <x v="2"/>
    <s v="20103492 - Patologia Em Dois Ou Mais Membros (R$ 14,83)"/>
    <s v="Fisioterapia"/>
    <n v="1709727952"/>
    <s v="Finalizado (8/8)"/>
    <n v="13.0504"/>
    <n v="1.7796000000000001"/>
    <n v="14.83"/>
    <s v="Sessão a Faturar"/>
    <n v="954600002739000"/>
    <n v="35514"/>
    <s v="Unidade Vieiralves"/>
    <n v="1709727952"/>
    <m/>
  </r>
  <r>
    <x v="11"/>
    <x v="2"/>
    <s v="Mychelle Karolynne Moura Souza"/>
    <s v="Feminino"/>
    <x v="2"/>
    <x v="2"/>
    <s v="20103514 - Fisioterapia - Patologia Em Diferentes Segmentos da Coluna (R$ 14,83)"/>
    <s v="Fisioterapia"/>
    <n v="1713509568"/>
    <s v="Finalizado (6/10)"/>
    <n v="13.0504"/>
    <n v="1.7796000000000001"/>
    <n v="14.83"/>
    <s v="Sessão a Faturar"/>
    <n v="775216011533020"/>
    <n v="59649"/>
    <s v="Unidade Vieiralves"/>
    <n v="1713509568"/>
    <m/>
  </r>
  <r>
    <x v="11"/>
    <x v="2"/>
    <s v="Sandra Mamede Moreira da Costa"/>
    <s v="Feminino"/>
    <x v="1"/>
    <x v="2"/>
    <s v="50000160 - Fisioterapia Ortopédica (R$ 20,00), 98980327 - Taxa de Eletroterapia (Tens) (R$ 15,00)"/>
    <s v="Fisioterapia"/>
    <n v="8825151"/>
    <s v="Finalizado (10/10)"/>
    <n v="30.8"/>
    <n v="4.2"/>
    <n v="35"/>
    <s v="Sessão Faturada"/>
    <n v="1101013389860100"/>
    <n v="57939"/>
    <s v="Unidade Vieiralves"/>
    <n v="8825151"/>
    <s v="GUIA ASSINADA"/>
  </r>
  <r>
    <x v="11"/>
    <x v="2"/>
    <s v="Jordânia Maria Napoliao Cabo de Vasconcelos"/>
    <m/>
    <x v="2"/>
    <x v="2"/>
    <s v="20103514 - Fisioterapia - Patologia Em Diferentes Segmentos da Coluna (R$ 14,83)"/>
    <s v="Fisioterapia"/>
    <n v="1715427512"/>
    <s v="Finalizado (3/10)"/>
    <n v="13.0504"/>
    <n v="1.7796000000000001"/>
    <n v="14.83"/>
    <s v="Sessão a Faturar"/>
    <n v="890729700019010"/>
    <n v="59678"/>
    <s v="Unidade Vieiralves"/>
    <n v="1715427512"/>
    <m/>
  </r>
  <r>
    <x v="11"/>
    <x v="2"/>
    <s v="Adriana Brito de Souza"/>
    <s v="Feminino"/>
    <x v="1"/>
    <x v="2"/>
    <s v="50000160 - Fisioterapia Ortopédica (R$ 20,00), 98980327 - Taxa de Eletroterapia (Tens) (R$ 15,00)"/>
    <s v="Fisioterapia"/>
    <n v="9546884"/>
    <s v="Finalizado (1/10)"/>
    <n v="30.8"/>
    <n v="4.2"/>
    <n v="35"/>
    <s v="Sessão a Faturar"/>
    <n v="1301013731160100"/>
    <n v="58802"/>
    <s v="Unidade Vieiralves"/>
    <n v="9546884"/>
    <m/>
  </r>
  <r>
    <x v="11"/>
    <x v="4"/>
    <s v="Ivison Melo Nunes"/>
    <s v="Masculino"/>
    <x v="2"/>
    <x v="2"/>
    <s v="20103492 - Fisioterapia - Patologia Em Dois Ou Mais Membros (R$ 14,83)"/>
    <s v="Fisioterapia"/>
    <n v="1719122898"/>
    <s v="Finalizado (2/10)"/>
    <n v="13.0504"/>
    <n v="1.7796000000000001"/>
    <n v="14.83"/>
    <s v="Sessão a Faturar"/>
    <n v="774063009652000"/>
    <n v="59417"/>
    <s v="Unidade Vieiralves"/>
    <n v="1719122898"/>
    <m/>
  </r>
  <r>
    <x v="11"/>
    <x v="4"/>
    <s v="Ryan Gomes da Frota Sampaio"/>
    <s v="Masculino"/>
    <x v="2"/>
    <x v="2"/>
    <s v="20103662 - Fisioterapia - Pos Operatorio Em Um Membro (R$ 14,99)"/>
    <s v="Fisioterapia"/>
    <n v="1717738151"/>
    <s v="Finalizado (3/10)"/>
    <n v="13.1912"/>
    <n v="1.7988"/>
    <n v="14.99"/>
    <s v="Sessão a Faturar"/>
    <n v="611004720001020"/>
    <n v="59767"/>
    <s v="Unidade Vieiralves"/>
    <n v="1717738151"/>
    <m/>
  </r>
  <r>
    <x v="11"/>
    <x v="4"/>
    <s v="Franciane de Souza Gomes"/>
    <s v="Feminino"/>
    <x v="2"/>
    <x v="2"/>
    <s v="20103492 - Fisioterapia - Patologia Em Dois Ou Mais Membros (R$ 14,83)"/>
    <s v="Fisioterapia"/>
    <n v="1718769275"/>
    <s v="Finalizado (2/10)"/>
    <n v="13.0504"/>
    <n v="1.7796000000000001"/>
    <n v="14.83"/>
    <s v="Sessão a Faturar"/>
    <n v="973700009598000"/>
    <n v="16642"/>
    <s v="Unidade Vieiralves"/>
    <n v="1718769275"/>
    <m/>
  </r>
  <r>
    <x v="11"/>
    <x v="4"/>
    <s v="Rafaela Mascarenhas Coelho Brasil"/>
    <s v="Feminino"/>
    <x v="1"/>
    <x v="2"/>
    <s v="50000160 - Fisioterapia Ortopédica (R$ 20,00), 98980327 - Taxa de Eletroterapia (Tens) (R$ 15,00)"/>
    <s v="Fisioterapia"/>
    <n v="9269452"/>
    <s v="Finalizado (5/10)"/>
    <n v="30.8"/>
    <n v="4.2"/>
    <n v="35"/>
    <s v="Sessão Faturada"/>
    <n v="1101013085360100"/>
    <n v="58097"/>
    <s v="Unidade Vieiralves"/>
    <n v="9269452"/>
    <m/>
  </r>
  <r>
    <x v="11"/>
    <x v="4"/>
    <s v="Francimara da Costa Rodrigues Balderrama"/>
    <s v="Feminino"/>
    <x v="2"/>
    <x v="2"/>
    <s v="20103662 - Fisioterapia - Pos Operatorio Em Um Membro (R$ 14,99)"/>
    <s v="Fisioterapia"/>
    <n v="1716135769"/>
    <s v="Finalizado (5/10)"/>
    <n v="13.1912"/>
    <n v="1.7988"/>
    <n v="14.99"/>
    <s v="Sessão a Faturar"/>
    <n v="774981005886020"/>
    <n v="59685"/>
    <s v="Unidade Vieiralves"/>
    <n v="1716135769"/>
    <m/>
  </r>
  <r>
    <x v="11"/>
    <x v="5"/>
    <s v="Francimara da Costa Rodrigues Balderrama"/>
    <s v="Feminino"/>
    <x v="4"/>
    <x v="2"/>
    <s v="31602185 - Estimulação Elétrica Transcutânea - Removido 13/04/2026 (R$ 40,00)"/>
    <s v="Fisioterapia"/>
    <n v="1716768906"/>
    <s v="Finalizado (4/10)"/>
    <n v="35.200000000000003"/>
    <n v="4.8"/>
    <n v="40"/>
    <s v="Sessão a Faturar"/>
    <n v="774981005886020"/>
    <n v="59685"/>
    <s v="Unidade Vieiralves"/>
    <n v="1716768906"/>
    <m/>
  </r>
  <r>
    <x v="11"/>
    <x v="13"/>
    <s v="Frank Marlon Ferreira de Naja"/>
    <s v="Masculino"/>
    <x v="2"/>
    <x v="2"/>
    <s v="20103514 - Fisioterapia - Patologia Em Diferentes Segmentos da Coluna (R$ 14,83)"/>
    <s v="Fisioterapia"/>
    <n v="1716762269"/>
    <s v="Finalizado (4/10)"/>
    <n v="13.0504"/>
    <n v="1.7796000000000001"/>
    <n v="14.83"/>
    <s v="Sessão a Faturar"/>
    <n v="774831002933000"/>
    <n v="59749"/>
    <s v="Unidade Vieiralves"/>
    <n v="1716762269"/>
    <m/>
  </r>
  <r>
    <x v="11"/>
    <x v="13"/>
    <s v="Nelsi Maria Ladeira Luniere"/>
    <s v="Feminino"/>
    <x v="1"/>
    <x v="2"/>
    <s v="50000160 - Fisioterapia Ortopédica (R$ 20,00), 98980327 - Taxa de Eletroterapia (Tens) (R$ 15,00)"/>
    <s v="Fisioterapia"/>
    <n v="9162964"/>
    <s v="Finalizado (8/10)"/>
    <n v="30.8"/>
    <n v="4.2"/>
    <n v="35"/>
    <s v="Sessão Faturada"/>
    <s v="0801013498970007"/>
    <n v="58084"/>
    <s v="Unidade Vieiralves"/>
    <n v="9162964"/>
    <s v="GUIA ASSINADA"/>
  </r>
  <r>
    <x v="11"/>
    <x v="13"/>
    <s v="Katia Rodrigues Freitas"/>
    <s v="Feminino"/>
    <x v="6"/>
    <x v="2"/>
    <s v="20103492 - Patologia Em Dois Ou Mais Membros (R$ 30,26), 20103506 - Patologia Em Um Segmento da Coluna (R$ 14,16)"/>
    <s v="Fisioterapia"/>
    <n v="170343"/>
    <s v="Finalizado (8/10)"/>
    <n v="39.089599999999997"/>
    <n v="5.3304"/>
    <n v="44.42"/>
    <s v="Sessão a Faturar"/>
    <s v="54588888004873140018"/>
    <n v="58935"/>
    <s v="Unidade Vieiralves"/>
    <n v="170343"/>
    <m/>
  </r>
  <r>
    <x v="11"/>
    <x v="13"/>
    <s v="Joeline Dutra da Silva"/>
    <s v="Feminino"/>
    <x v="1"/>
    <x v="2"/>
    <s v="50000160 - Fisioterapia Ortopédica (R$ 20,00), 98980327 - Taxa de Eletroterapia (Tens) (R$ 15,00)"/>
    <s v="Fisioterapia"/>
    <n v="9210393"/>
    <s v="Finalizado (9/10)"/>
    <n v="30.8"/>
    <n v="4.2"/>
    <n v="35"/>
    <s v="Sessão Faturada"/>
    <n v="1101013081410400"/>
    <n v="56667"/>
    <s v="Unidade Vieiralves"/>
    <n v="9210393"/>
    <m/>
  </r>
  <r>
    <x v="11"/>
    <x v="13"/>
    <s v="Frank Marlon Ferreira de Naja"/>
    <s v="Masculino"/>
    <x v="4"/>
    <x v="2"/>
    <s v="31602185 - Estimulação Elétrica Transcutânea - Removido 13/04/2026 (R$ 40,00)"/>
    <s v="Fisioterapia"/>
    <n v="1717234489"/>
    <s v="Finalizado (3/10)"/>
    <n v="35.200000000000003"/>
    <n v="4.8"/>
    <n v="40"/>
    <s v="Sessão a Faturar"/>
    <n v="774831002933000"/>
    <n v="59749"/>
    <s v="Unidade Vieiralves"/>
    <n v="1717234489"/>
    <m/>
  </r>
  <r>
    <x v="11"/>
    <x v="14"/>
    <s v="Katia Rodrigues Freitas"/>
    <s v="Feminino"/>
    <x v="6"/>
    <x v="2"/>
    <s v="31602185 - Estimulação Elétrica Transcutanea (Tens) (R$ 40,00)"/>
    <s v="Fisioterapia"/>
    <n v="170819"/>
    <s v="Finalizado (8/10)"/>
    <n v="35.200000000000003"/>
    <n v="4.8"/>
    <n v="40"/>
    <s v="Sessão a Faturar"/>
    <s v="54588888004873140018"/>
    <n v="58935"/>
    <s v="Unidade Vieiralves"/>
    <n v="170819"/>
    <m/>
  </r>
  <r>
    <x v="11"/>
    <x v="6"/>
    <s v="Wilson Norival Perez Briceño Júnior"/>
    <s v="Masculino"/>
    <x v="1"/>
    <x v="2"/>
    <s v="50000160 - Fisioterapia Ortopédica (R$ 20,00), 98980327 - Taxa de Eletroterapia (Tens) (R$ 15,00)"/>
    <s v="Fisioterapia"/>
    <n v="9591534"/>
    <s v="Finalizado (3/10)"/>
    <n v="30.8"/>
    <n v="4.2"/>
    <n v="35"/>
    <s v="Sessão a Faturar"/>
    <n v="1301013238030000"/>
    <n v="59782"/>
    <s v="Unidade Vieiralves"/>
    <n v="9591534"/>
    <m/>
  </r>
  <r>
    <x v="11"/>
    <x v="6"/>
    <s v="Adenildo Neles de Vasconcelos"/>
    <s v="Masculino"/>
    <x v="2"/>
    <x v="2"/>
    <s v="20103492 - Fisioterapia - Patologia Em Dois Ou Mais Membros (R$ 14,83)"/>
    <s v="Fisioterapia"/>
    <n v="1710838335"/>
    <s v="Finalizado (8/10)"/>
    <n v="13.0504"/>
    <n v="1.7796000000000001"/>
    <n v="14.83"/>
    <s v="Sessão a Faturar"/>
    <n v="890729700019020"/>
    <n v="47173"/>
    <s v="Unidade Vieiralves"/>
    <n v="1710838335"/>
    <m/>
  </r>
  <r>
    <x v="11"/>
    <x v="6"/>
    <s v="Heidnery Fernandes da Silva"/>
    <s v="Masculino"/>
    <x v="1"/>
    <x v="2"/>
    <s v="50000144 - Consulta de Fisioterapia (R$ 16,00)"/>
    <s v="Fisioterapia"/>
    <n v="9645936"/>
    <s v="Finalizado (1/1)"/>
    <n v="14.4"/>
    <n v="1.6"/>
    <n v="16"/>
    <s v="Sessão Faturada"/>
    <n v="2001013852340100"/>
    <n v="57460"/>
    <s v="Unidade Vieiralves"/>
    <n v="9645936"/>
    <m/>
  </r>
  <r>
    <x v="11"/>
    <x v="6"/>
    <s v="Franciane de Souza Gomes"/>
    <s v="Feminino"/>
    <x v="7"/>
    <x v="2"/>
    <s v="Part Convenio - 9 - Fisioterapia Ortopédica- Sessão (R$ 60,00)"/>
    <s v="Fisioterapia"/>
    <n v="173333"/>
    <s v="Finalizado (2/6)"/>
    <n v="46.8"/>
    <n v="13.2"/>
    <n v="60"/>
    <s v="Pago"/>
    <n v="973700009598000"/>
    <n v="16642"/>
    <s v="Unidade Vieiralves"/>
    <n v="173333"/>
    <m/>
  </r>
  <r>
    <x v="11"/>
    <x v="7"/>
    <s v="Heidnery Fernandes da Silva"/>
    <s v="Masculino"/>
    <x v="1"/>
    <x v="2"/>
    <s v="50000160 - Fisioterapia Ortopédica (R$ 20,00), 98980327 - Taxa de Eletroterapia (Tens) (R$ 15,00)"/>
    <s v="Fisioterapia"/>
    <n v="9649043"/>
    <s v="Finalizado (1/10)"/>
    <n v="30.8"/>
    <n v="4.2"/>
    <n v="35"/>
    <s v="Sessão a Faturar"/>
    <n v="2001013852340100"/>
    <n v="57460"/>
    <s v="Unidade Vieiralves"/>
    <n v="9649043"/>
    <m/>
  </r>
  <r>
    <x v="11"/>
    <x v="15"/>
    <s v="Luciana Levinthal da Silva"/>
    <s v="Feminino"/>
    <x v="11"/>
    <x v="2"/>
    <s v="20103484 - Fisioterapia - Patologia Em Um Membro (R$ 80,33)"/>
    <s v="Fisioterapia"/>
    <n v="3513"/>
    <s v="Finalizado (6/10)"/>
    <n v="70.690399999999997"/>
    <n v="9.6395999999999997"/>
    <n v="80.33"/>
    <s v="Sessão a Faturar"/>
    <s v="01685-F-1"/>
    <n v="59646"/>
    <s v="Unidade Vieiralves"/>
    <n v="3513"/>
    <m/>
  </r>
  <r>
    <x v="11"/>
    <x v="15"/>
    <s v="Valério Ladeira Luniere"/>
    <s v="Masculino"/>
    <x v="1"/>
    <x v="2"/>
    <s v="50000160 - Fisioterapia Ortopédica (R$ 20,00), 98980327 - Taxa de Eletroterapia (Tens) (R$ 15,00)"/>
    <s v="Fisioterapia"/>
    <n v="9400813"/>
    <s v="Finalizado (2/10)"/>
    <n v="30.8"/>
    <n v="4.2"/>
    <n v="35"/>
    <s v="Sessão a Faturar"/>
    <s v="0901013476020085"/>
    <n v="4590"/>
    <s v="Unidade Vieiralves"/>
    <n v="9400813"/>
    <m/>
  </r>
  <r>
    <x v="11"/>
    <x v="17"/>
    <s v="Silvia Sampaio Falcão de Oliveira"/>
    <m/>
    <x v="1"/>
    <x v="2"/>
    <s v="50000160 - Fisioterapia Ortopédica (R$ 20,00), 98980327 - Taxa de Eletroterapia (Tens) (R$ 15,00)"/>
    <s v="Fisioterapia"/>
    <n v="9584041"/>
    <s v="Finalizado (3/10)"/>
    <n v="30.8"/>
    <n v="4.2"/>
    <n v="35"/>
    <s v="Sessão a Faturar"/>
    <n v="2001013437310000"/>
    <n v="59750"/>
    <s v="Unidade Vieiralves"/>
    <n v="9584041"/>
    <m/>
  </r>
  <r>
    <x v="11"/>
    <x v="17"/>
    <s v="Miriene Lira de Souza"/>
    <s v="Feminino"/>
    <x v="2"/>
    <x v="2"/>
    <s v="20103492 - Fisioterapia - Patologia Em Dois Ou Mais Membros (R$ 14,83)"/>
    <s v="Fisioterapia"/>
    <n v="1716238434"/>
    <s v="Finalizado (5/10)"/>
    <n v="13.0504"/>
    <n v="1.7796000000000001"/>
    <n v="14.83"/>
    <s v="Sessão a Faturar"/>
    <n v="770179018350010"/>
    <n v="37863"/>
    <s v="Unidade Vieiralves"/>
    <n v="1716238434"/>
    <m/>
  </r>
  <r>
    <x v="11"/>
    <x v="17"/>
    <s v="Paulo Nonato  Aviz Dias"/>
    <s v="Masculino"/>
    <x v="2"/>
    <x v="2"/>
    <s v="20103484 - Fisioterapia - Patologia Em Um Membro (R$ 12,22)"/>
    <s v="Fisioterapia"/>
    <n v="1710689763"/>
    <s v="Finalizado (6/10)"/>
    <n v="10.7536"/>
    <n v="1.4663999999999999"/>
    <n v="12.22"/>
    <s v="Sessão a Faturar"/>
    <n v="960016515126020"/>
    <n v="59476"/>
    <s v="Unidade Vieiralves"/>
    <n v="1710689763"/>
    <m/>
  </r>
  <r>
    <x v="11"/>
    <x v="17"/>
    <s v="Ivagna Maria Cantanhede Brandão"/>
    <s v="Feminino"/>
    <x v="1"/>
    <x v="2"/>
    <s v="50000160 - Fisioterapia Ortopédica (R$ 20,00), 98980327 - Taxa de Eletroterapia (Tens) (R$ 15,00)"/>
    <s v="Fisioterapia"/>
    <n v="8995441"/>
    <s v="Finalizado (10/10)"/>
    <n v="30.8"/>
    <n v="4.2"/>
    <n v="35"/>
    <s v="Sessão Faturada"/>
    <n v="1901012995210000"/>
    <n v="59129"/>
    <s v="Unidade Vieiralves"/>
    <n v="8995441"/>
    <m/>
  </r>
  <r>
    <x v="11"/>
    <x v="8"/>
    <s v="James Alcantara de Lima"/>
    <s v="Masculino"/>
    <x v="6"/>
    <x v="2"/>
    <s v="20103514 - Patologia Em Dois Ou Mais Segmentos da Coluna (R$ 32,82)"/>
    <s v="Fisioterapia"/>
    <n v="171167"/>
    <s v="Finalizado (7/10)"/>
    <n v="28.881599999999999"/>
    <n v="3.9384000000000001"/>
    <n v="32.82"/>
    <s v="Sessão a Faturar"/>
    <s v="54588888018315590015"/>
    <n v="59229"/>
    <s v="Unidade Vieiralves"/>
    <n v="171167"/>
    <m/>
  </r>
  <r>
    <x v="11"/>
    <x v="8"/>
    <s v="Victoria de Moraes Martins Pereira"/>
    <s v="Masculino"/>
    <x v="6"/>
    <x v="2"/>
    <s v="20103662 - Pos Operatorio Em Um Membro (R$ 22,53)"/>
    <s v="Fisioterapia"/>
    <n v="173106"/>
    <s v="Finalizado (4/10)"/>
    <n v="19.8264"/>
    <n v="2.7035999999999998"/>
    <n v="22.53"/>
    <s v="Sessão a Faturar"/>
    <s v="55788888488381350015"/>
    <n v="48970"/>
    <s v="Unidade Vieiralves"/>
    <n v="173106"/>
    <m/>
  </r>
  <r>
    <x v="11"/>
    <x v="8"/>
    <s v="Ricardo Henrique Barbosa Lopes"/>
    <s v="Masculino"/>
    <x v="2"/>
    <x v="2"/>
    <s v="20103506 - Fisioterapia - Patologia Em Um Segmento da Coluna (R$ 12,22)"/>
    <s v="Fisioterapia"/>
    <n v="1719698341"/>
    <s v="Finalizado (1/10)"/>
    <n v="10.7536"/>
    <n v="1.4663999999999999"/>
    <n v="12.22"/>
    <s v="Sessão a Faturar"/>
    <n v="772172035939000"/>
    <n v="55872"/>
    <s v="Unidade Vieiralves"/>
    <n v="1719698341"/>
    <m/>
  </r>
  <r>
    <x v="11"/>
    <x v="8"/>
    <s v="James Alcantara de Lima"/>
    <s v="Masculino"/>
    <x v="6"/>
    <x v="2"/>
    <s v="31602185 - Estimulação Elétrica Transcutanea (Tens) (R$ 40,00)"/>
    <s v="Fisioterapia"/>
    <n v="171251"/>
    <s v="Finalizado (7/10)"/>
    <n v="35.200000000000003"/>
    <n v="4.8"/>
    <n v="40"/>
    <s v="Sessão a Faturar"/>
    <s v="54588888018315590015"/>
    <n v="59229"/>
    <s v="Unidade Vieiralves"/>
    <n v="171251"/>
    <m/>
  </r>
  <r>
    <x v="11"/>
    <x v="8"/>
    <s v="James Alcantara de Lima"/>
    <s v="Masculino"/>
    <x v="6"/>
    <x v="2"/>
    <s v="20103484 - Patologia Em Um Membro (R$ 14,16)"/>
    <s v="Fisioterapia"/>
    <n v="172045"/>
    <s v="Finalizado (4/10)"/>
    <n v="12.460800000000001"/>
    <n v="1.6992"/>
    <n v="14.16"/>
    <s v="Sessão a Faturar"/>
    <s v="54588888018315590015"/>
    <n v="59229"/>
    <s v="Unidade Vieiralves"/>
    <n v="172045"/>
    <m/>
  </r>
  <r>
    <x v="11"/>
    <x v="8"/>
    <s v="Victoria de Moraes Martins Pereira"/>
    <s v="Masculino"/>
    <x v="6"/>
    <x v="2"/>
    <s v="31602185 - Estimulação Elétrica Transcutanea (Tens) (R$ 40,00)"/>
    <s v="Fisioterapia"/>
    <n v="173875"/>
    <s v="Finalizado (2/10)"/>
    <n v="35.200000000000003"/>
    <n v="4.8"/>
    <n v="40"/>
    <s v="Sessão a Faturar"/>
    <s v="55788888488381350015"/>
    <n v="48970"/>
    <s v="Unidade Vieiralves"/>
    <n v="173875"/>
    <m/>
  </r>
  <r>
    <x v="11"/>
    <x v="8"/>
    <s v="Ricardo Henrique Barbosa Lopes"/>
    <s v="Masculino"/>
    <x v="2"/>
    <x v="2"/>
    <s v="50000144 - Avaliação de Fisioterapia (R$ 51,42)"/>
    <s v="Fisioterapia"/>
    <n v="1719698049"/>
    <s v="Finalizado (1/1)"/>
    <n v="46.277999999999999"/>
    <n v="5.1420000000000003"/>
    <n v="51.42"/>
    <s v="Sessão Faturada"/>
    <n v="772172035939000"/>
    <n v="55872"/>
    <s v="Unidade Vieiralves"/>
    <n v="1719698049"/>
    <m/>
  </r>
  <r>
    <x v="11"/>
    <x v="10"/>
    <s v="Cizia Freitas de Silva Costa"/>
    <s v="Feminino"/>
    <x v="2"/>
    <x v="2"/>
    <s v="20103492 - Fisioterapia - Patologia Em Dois Ou Mais Membros (R$ 14,83)"/>
    <s v="Fisioterapia"/>
    <n v="1709241178"/>
    <s v="Finalizado (6/6)"/>
    <n v="13.0504"/>
    <n v="1.7796000000000001"/>
    <n v="14.83"/>
    <s v="Sessão a Faturar"/>
    <n v="960016147089050"/>
    <n v="46973"/>
    <s v="Unidade Vieiralves"/>
    <n v="1709241178"/>
    <m/>
  </r>
  <r>
    <x v="11"/>
    <x v="10"/>
    <s v="Françoise do Nascimento Lima"/>
    <s v="Feminino"/>
    <x v="2"/>
    <x v="2"/>
    <s v="20103484 - Fisioterapia - Patologia Em Um Membro (R$ 12,22)"/>
    <s v="Fisioterapia"/>
    <n v="1711678006"/>
    <s v="Finalizado (9/10)"/>
    <n v="10.7536"/>
    <n v="1.4663999999999999"/>
    <n v="12.22"/>
    <s v="Sessão a Faturar"/>
    <n v="771015045942010"/>
    <n v="99"/>
    <s v="Unidade Vieiralves"/>
    <n v="1711678006"/>
    <m/>
  </r>
  <r>
    <x v="11"/>
    <x v="10"/>
    <s v="Ananda Priscila Gomes Fernandes"/>
    <s v="Feminino"/>
    <x v="2"/>
    <x v="2"/>
    <s v="20103492 - Fisioterapia - Patologia Em Dois Ou Mais Membros (R$ 14,83), 20103514 - Fisioterapia - Patologia Em Diferentes Segmentos da Coluna (R$ 14,83)"/>
    <s v="Fisioterapia"/>
    <n v="1718496830"/>
    <s v="Finalizado (2/10)"/>
    <n v="26.1008"/>
    <n v="3.5592000000000001"/>
    <n v="29.66"/>
    <s v="Sessão a Faturar"/>
    <n v="770179019054020"/>
    <n v="49838"/>
    <s v="Unidade Vieiralves"/>
    <n v="1718496830"/>
    <m/>
  </r>
  <r>
    <x v="11"/>
    <x v="10"/>
    <s v="Marcia Maria de Souza Miranda"/>
    <s v="Feminino"/>
    <x v="2"/>
    <x v="2"/>
    <s v="20103506 - Fisioterapia - Patologia Em Um Segmento da Coluna (R$ 12,22)"/>
    <s v="Fisioterapia"/>
    <n v="1717613566"/>
    <s v="Finalizado (5/10)"/>
    <n v="10.7536"/>
    <n v="1.4663999999999999"/>
    <n v="12.22"/>
    <s v="Sessão a Faturar"/>
    <n v="884774402038000"/>
    <n v="59779"/>
    <s v="Unidade Vieiralves"/>
    <n v="1717613566"/>
    <m/>
  </r>
  <r>
    <x v="11"/>
    <x v="10"/>
    <s v="Ana Georgina Viga Lacorte"/>
    <s v="Feminino"/>
    <x v="2"/>
    <x v="2"/>
    <s v="20103492 - Fisioterapia - Patologia Em Dois Ou Mais Membros (R$ 14,83)"/>
    <s v="Fisioterapia"/>
    <n v="1719702902"/>
    <s v="Finalizado (1/10)"/>
    <n v="13.0504"/>
    <n v="1.7796000000000001"/>
    <n v="14.83"/>
    <s v="Sessão a Faturar"/>
    <n v="882749100043010"/>
    <n v="50823"/>
    <s v="Unidade Vieiralves"/>
    <n v="1719702902"/>
    <m/>
  </r>
  <r>
    <x v="11"/>
    <x v="11"/>
    <s v="Marcia Maria de Souza Miranda"/>
    <s v="Feminino"/>
    <x v="4"/>
    <x v="2"/>
    <s v="31602185 - Estimulação Elétrica Transcutânea - Removido 13/04/2026 (R$ 40,00)"/>
    <s v="Fisioterapia"/>
    <n v="1719701758"/>
    <s v="Finalizado (1/6)"/>
    <n v="35.200000000000003"/>
    <n v="4.8"/>
    <n v="40"/>
    <s v="Sessão a Faturar"/>
    <n v="884774402038000"/>
    <n v="59779"/>
    <s v="Unidade Vieiralves"/>
    <n v="1719701758"/>
    <m/>
  </r>
  <r>
    <x v="11"/>
    <x v="12"/>
    <s v="Cristiane Rodrigues da Silva"/>
    <s v="Feminino"/>
    <x v="6"/>
    <x v="2"/>
    <s v="20103492 - Patologia Em Dois Ou Mais Membros (R$ 30,26)"/>
    <s v="Fisioterapia"/>
    <n v="169654"/>
    <s v="Finalizado (8/10)"/>
    <n v="26.628799999999998"/>
    <n v="3.6312000000000002"/>
    <n v="30.26"/>
    <s v="Sessão a Faturar"/>
    <s v="54563005000001140015"/>
    <n v="16840"/>
    <s v="Unidade Vieiralves"/>
    <n v="169654"/>
    <m/>
  </r>
  <r>
    <x v="11"/>
    <x v="12"/>
    <s v="Thiago Lima Guedes"/>
    <s v="Masculino"/>
    <x v="2"/>
    <x v="2"/>
    <s v="20103484 - Fisioterapia - Patologia Em Um Membro (R$ 12,22)"/>
    <s v="Fisioterapia"/>
    <n v="1708334645"/>
    <s v="Finalizado (7/7)"/>
    <n v="10.7536"/>
    <n v="1.4663999999999999"/>
    <n v="12.22"/>
    <s v="Sessão a Faturar"/>
    <n v="960019317525020"/>
    <n v="59106"/>
    <s v="Unidade Vieiralves"/>
    <n v="1708334645"/>
    <m/>
  </r>
  <r>
    <x v="11"/>
    <x v="12"/>
    <s v="Amilton da Costa Carvalho"/>
    <s v="Masculino"/>
    <x v="20"/>
    <x v="2"/>
    <s v="20103484 - Patologia Em Um Membro (R$ 29,04)"/>
    <s v="Fisioterapia"/>
    <n v="172807"/>
    <s v="Finalizado (6/10)"/>
    <n v="25.555199999999999"/>
    <n v="3.4847999999999999"/>
    <n v="29.04"/>
    <s v="Sessão a Faturar"/>
    <n v="10511003315900"/>
    <n v="51485"/>
    <s v="Unidade Vieiralves"/>
    <n v="172807"/>
    <m/>
  </r>
  <r>
    <x v="11"/>
    <x v="12"/>
    <s v="Elem Poliana Carvalho de Brito"/>
    <s v="Feminino"/>
    <x v="2"/>
    <x v="2"/>
    <s v="20103484 - Fisioterapia - Patologia Em Um Membro (R$ 12,22)"/>
    <s v="Fisioterapia"/>
    <n v="1718474979"/>
    <s v="Finalizado (2/10)"/>
    <n v="10.7536"/>
    <n v="1.4663999999999999"/>
    <n v="12.22"/>
    <s v="Sessão a Faturar"/>
    <n v="960019332171040"/>
    <n v="11880"/>
    <s v="Unidade Vieiralves"/>
    <n v="1718474979"/>
    <m/>
  </r>
  <r>
    <x v="11"/>
    <x v="12"/>
    <s v="Marco Aurélio Bezerra Lopes"/>
    <s v="Masculino"/>
    <x v="2"/>
    <x v="2"/>
    <s v="50000144 - Avaliação de Fisioterapia (R$ 51,42)"/>
    <s v="Fisioterapia"/>
    <n v="1719711856"/>
    <s v="Finalizado (1/1)"/>
    <n v="46.277999999999999"/>
    <n v="5.1420000000000003"/>
    <n v="51.42"/>
    <s v="Sessão Faturada"/>
    <n v="771015040827010"/>
    <n v="51421"/>
    <s v="Unidade Vieiralves"/>
    <n v="1719711856"/>
    <m/>
  </r>
  <r>
    <x v="11"/>
    <x v="19"/>
    <s v="Cristiane Rodrigues da Silva"/>
    <s v="Feminino"/>
    <x v="6"/>
    <x v="2"/>
    <s v="31602185 - Estimulação Elétrica Transcutanea (Tens) (R$ 40,00)"/>
    <s v="Fisioterapia"/>
    <n v="170388"/>
    <s v="Finalizado (8/10)"/>
    <n v="35.200000000000003"/>
    <n v="4.8"/>
    <n v="40"/>
    <s v="Sessão a Faturar"/>
    <s v="54563005000001140015"/>
    <n v="16840"/>
    <s v="Unidade Vieiralves"/>
    <n v="170388"/>
    <m/>
  </r>
  <r>
    <x v="11"/>
    <x v="19"/>
    <s v="Thiago Lima Guedes"/>
    <s v="Masculino"/>
    <x v="4"/>
    <x v="2"/>
    <s v="31602185 - Estimulação Elétrica Transcutânea - Removido 13/04/2026 (R$ 40,00)"/>
    <s v="Fisioterapia"/>
    <n v="1716806362"/>
    <s v="Finalizado (3/3)"/>
    <n v="35.200000000000003"/>
    <n v="4.8"/>
    <n v="40"/>
    <s v="Sessão a Faturar"/>
    <n v="960019317525020"/>
    <n v="59106"/>
    <s v="Unidade Vieiralves"/>
    <n v="1716806362"/>
    <m/>
  </r>
  <r>
    <x v="11"/>
    <x v="19"/>
    <s v="Marco Aurélio Bezerra Lopes"/>
    <s v="Masculino"/>
    <x v="2"/>
    <x v="2"/>
    <s v="20103484 - Fisioterapia - Patologia Em Um Membro (R$ 12,22)"/>
    <s v="Fisioterapia"/>
    <n v="1719712078"/>
    <s v="Finalizado (1/10)"/>
    <n v="10.7536"/>
    <n v="1.4663999999999999"/>
    <n v="12.22"/>
    <s v="Sessão a Faturar"/>
    <n v="771015040827010"/>
    <n v="51421"/>
    <s v="Unidade Vieiralves"/>
    <n v="1719712078"/>
    <m/>
  </r>
  <r>
    <x v="12"/>
    <x v="35"/>
    <s v="Nicole Roessing Cruz Avelino"/>
    <s v="Feminino"/>
    <x v="4"/>
    <x v="3"/>
    <s v="31601014 - Acupuntura (R$ 54,56)"/>
    <s v="Acupuntura"/>
    <n v="1701769001"/>
    <s v="Finalizado (4/5)"/>
    <n v="45.830399999999997"/>
    <n v="8.7295999999999996"/>
    <n v="54.56"/>
    <s v="Sessão Faturada"/>
    <n v="840957800035000"/>
    <n v="17489"/>
    <s v="Unidade Vieralves (ANEXO)"/>
    <n v="1701769001"/>
    <m/>
  </r>
  <r>
    <x v="12"/>
    <x v="35"/>
    <s v="Aleksander Weinstock Cattan"/>
    <s v="Masculino"/>
    <x v="6"/>
    <x v="3"/>
    <s v="31601014 - Acupuntura (R$ 51,33)"/>
    <s v="Acupuntura"/>
    <n v="169598"/>
    <s v="Finalizado (3/4)"/>
    <n v="43.117199999999997"/>
    <n v="8.2127999999999997"/>
    <n v="51.33"/>
    <s v="Sessão a Faturar"/>
    <s v="55788888491214450109"/>
    <n v="58285"/>
    <s v="Unidade Vieralves (ANEXO)"/>
    <n v="169598"/>
    <m/>
  </r>
  <r>
    <x v="12"/>
    <x v="35"/>
    <s v="Adriano Camacho Chaves"/>
    <s v="Masculino"/>
    <x v="19"/>
    <x v="3"/>
    <s v="90700319 - Acupuntura - 17/03/2026 (R$ 83,32)"/>
    <s v="Acupuntura"/>
    <n v="5800690"/>
    <s v="Finalizado (8/8)"/>
    <n v="69.988799999999998"/>
    <n v="13.331200000000001"/>
    <n v="83.32"/>
    <s v="Sessão Faturada"/>
    <s v="0100010129000382"/>
    <n v="59112"/>
    <s v="Unidade Vieralves (ANEXO)"/>
    <n v="5800690"/>
    <m/>
  </r>
  <r>
    <x v="13"/>
    <x v="36"/>
    <s v="Miqueias dos Santos Silva"/>
    <s v="Masculino"/>
    <x v="9"/>
    <x v="3"/>
    <s v="31601014 - Acupuntura (R$ 54,56)"/>
    <s v="Acupuntura"/>
    <n v="1701836525"/>
    <s v="Finalizado (2/3)"/>
    <n v="45.830399999999997"/>
    <n v="8.7295999999999996"/>
    <n v="54.56"/>
    <s v="Sessão Faturada"/>
    <n v="954600022306020"/>
    <n v="59287"/>
    <s v="Unidade Vieralves (ANEXO)"/>
    <n v="1701836525"/>
    <m/>
  </r>
  <r>
    <x v="13"/>
    <x v="37"/>
    <s v="Maria Eulina da Cruz Marinho"/>
    <s v="Feminino"/>
    <x v="7"/>
    <x v="3"/>
    <s v="Part Convenio - 4 - Acupuntura - Pacote (R$ 65,00)"/>
    <s v="Acupuntura"/>
    <n v="168335"/>
    <s v="Finalizado (8/10)"/>
    <n v="50.7"/>
    <n v="14.3"/>
    <n v="65"/>
    <s v="Pago"/>
    <s v="010650643906"/>
    <n v="57178"/>
    <s v="Unidade Vieralves (ANEXO)"/>
    <n v="168335"/>
    <m/>
  </r>
  <r>
    <x v="13"/>
    <x v="37"/>
    <s v="Alison Moura da Gama"/>
    <s v="Masculino"/>
    <x v="6"/>
    <x v="3"/>
    <s v="31601014 - Acupuntura (R$ 51,33)"/>
    <s v="Acupuntura"/>
    <n v="170268"/>
    <s v="Finalizado (1/2)"/>
    <n v="43.117199999999997"/>
    <n v="8.2127999999999997"/>
    <n v="51.33"/>
    <s v="Sessão a Faturar"/>
    <s v="54588888460743530017"/>
    <n v="44296"/>
    <s v="Unidade Vieralves (ANEXO)"/>
    <n v="170268"/>
    <m/>
  </r>
  <r>
    <x v="13"/>
    <x v="37"/>
    <s v="Antônio Edivaldo Pereira Nunes"/>
    <s v="Masculino"/>
    <x v="12"/>
    <x v="3"/>
    <s v="31601014 - Acupuntura (R$ 54,56)"/>
    <s v="Acupuntura"/>
    <n v="10313813"/>
    <s v="Finalizado (1/10)"/>
    <n v="45.830399999999997"/>
    <n v="8.7295999999999996"/>
    <n v="54.56"/>
    <s v="Sessão a Faturar"/>
    <n v="9.5125782212117005E+17"/>
    <n v="57571"/>
    <s v="Unidade Vieralves (ANEXO)"/>
    <n v="10313813"/>
    <m/>
  </r>
  <r>
    <x v="14"/>
    <x v="35"/>
    <s v="Nicole Roessing Cruz Avelino"/>
    <s v="Feminino"/>
    <x v="4"/>
    <x v="3"/>
    <s v="31601014 - Acupuntura (R$ 54,56)"/>
    <s v="Acupuntura"/>
    <n v="1701769001"/>
    <s v="Finalizado (5/5)"/>
    <n v="45.830399999999997"/>
    <n v="8.7295999999999996"/>
    <n v="54.56"/>
    <s v="Sessão Faturada"/>
    <n v="840957800035000"/>
    <n v="17489"/>
    <s v="Unidade Vieralves (ANEXO)"/>
    <n v="1701769001"/>
    <m/>
  </r>
  <r>
    <x v="14"/>
    <x v="35"/>
    <s v="Ingrid Roseane Magno Viana"/>
    <s v="Feminino"/>
    <x v="9"/>
    <x v="3"/>
    <s v="31601014 - Acupuntura (R$ 54,56)"/>
    <s v="Acupuntura"/>
    <n v="1706726036"/>
    <s v="Finalizado (1/5)"/>
    <n v="45.830399999999997"/>
    <n v="8.7295999999999996"/>
    <n v="54.56"/>
    <s v="Sessão Faturada"/>
    <n v="954440006904010"/>
    <n v="58326"/>
    <s v="Unidade Vieralves (ANEXO)"/>
    <n v="1706726036"/>
    <m/>
  </r>
  <r>
    <x v="14"/>
    <x v="38"/>
    <s v="Jackeline de Oliveira"/>
    <s v="Feminino"/>
    <x v="4"/>
    <x v="3"/>
    <s v="31601014 - Acupuntura (R$ 54,56)"/>
    <s v="Acupuntura"/>
    <n v="1706789342"/>
    <s v="Finalizado (1/2)"/>
    <n v="45.830399999999997"/>
    <n v="8.7295999999999996"/>
    <n v="54.56"/>
    <s v="Sessão Faturada"/>
    <n v="895789500019010"/>
    <n v="3659"/>
    <s v="Unidade Vieralves (ANEXO)"/>
    <n v="1706789342"/>
    <m/>
  </r>
  <r>
    <x v="14"/>
    <x v="37"/>
    <s v="Christie Rachel Amazonas"/>
    <s v="Feminino"/>
    <x v="4"/>
    <x v="3"/>
    <s v="31601014 - Acupuntura (R$ 54,56)"/>
    <s v="Acupuntura"/>
    <m/>
    <s v="Finalizado (1/1)"/>
    <n v="45.830399999999997"/>
    <n v="8.7295999999999996"/>
    <n v="54.56"/>
    <s v="Sessão a Faturar"/>
    <n v="839064800019030"/>
    <n v="58462"/>
    <s v="Unidade Vieralves (ANEXO)"/>
    <m/>
    <m/>
  </r>
  <r>
    <x v="14"/>
    <x v="39"/>
    <s v="Simone Batista Ferreira"/>
    <s v="Feminino"/>
    <x v="4"/>
    <x v="3"/>
    <s v="31601014 - Acupuntura (R$ 54,56)"/>
    <s v="Acupuntura"/>
    <n v="1706785484"/>
    <s v="Finalizado (1/3)"/>
    <n v="45.830399999999997"/>
    <n v="8.7295999999999996"/>
    <n v="54.56"/>
    <s v="Sessão Faturada"/>
    <n v="775494004987010"/>
    <n v="39292"/>
    <s v="Unidade Vieralves (ANEXO)"/>
    <n v="1706785484"/>
    <m/>
  </r>
  <r>
    <x v="15"/>
    <x v="36"/>
    <s v="Miqueias dos Santos Silva"/>
    <s v="Masculino"/>
    <x v="9"/>
    <x v="3"/>
    <s v="31601014 - Acupuntura (R$ 54,56)"/>
    <s v="Acupuntura"/>
    <n v="1701836525"/>
    <s v="Finalizado (3/3)"/>
    <n v="45.830399999999997"/>
    <n v="8.7295999999999996"/>
    <n v="54.56"/>
    <s v="Sessão Faturada"/>
    <n v="954600022306020"/>
    <n v="59287"/>
    <s v="Unidade Vieralves (ANEXO)"/>
    <n v="1701836525"/>
    <m/>
  </r>
  <r>
    <x v="15"/>
    <x v="40"/>
    <s v="Márcia Vasconcelos de Lima"/>
    <s v="Feminino"/>
    <x v="4"/>
    <x v="3"/>
    <s v="31601014 - Acupuntura (R$ 54,56)"/>
    <s v="Acupuntura"/>
    <n v="1707195979"/>
    <s v="Finalizado (1/2)"/>
    <n v="45.830399999999997"/>
    <n v="8.7295999999999996"/>
    <n v="54.56"/>
    <s v="Sessão Faturada"/>
    <n v="772299063096010"/>
    <n v="58485"/>
    <s v="Unidade Vieralves (ANEXO)"/>
    <n v="1707195979"/>
    <m/>
  </r>
  <r>
    <x v="15"/>
    <x v="35"/>
    <s v="Bruno Barbosa dos Santos"/>
    <s v="Masculino"/>
    <x v="9"/>
    <x v="3"/>
    <s v="31601014 - Acupuntura (R$ 54,56)"/>
    <s v="Acupuntura"/>
    <n v="1702188873"/>
    <s v="Finalizado (5/5)"/>
    <n v="45.830399999999997"/>
    <n v="8.7295999999999996"/>
    <n v="54.56"/>
    <s v="Sessão Faturada"/>
    <n v="954600007650010"/>
    <n v="59241"/>
    <s v="Unidade Vieralves (ANEXO)"/>
    <n v="1702188873"/>
    <m/>
  </r>
  <r>
    <x v="15"/>
    <x v="37"/>
    <s v="Maria Eulina da Cruz Marinho"/>
    <s v="Feminino"/>
    <x v="7"/>
    <x v="3"/>
    <s v="Part Convenio - 4 - Acupuntura - Pacote (R$ 65,00)"/>
    <s v="Acupuntura"/>
    <n v="168335"/>
    <s v="Finalizado (9/10)"/>
    <n v="50.7"/>
    <n v="14.3"/>
    <n v="65"/>
    <s v="Pago"/>
    <s v="010650643906"/>
    <n v="57178"/>
    <s v="Unidade Vieralves (ANEXO)"/>
    <n v="168335"/>
    <m/>
  </r>
  <r>
    <x v="16"/>
    <x v="38"/>
    <s v="Ingrid Roseane Magno Viana"/>
    <s v="Feminino"/>
    <x v="9"/>
    <x v="3"/>
    <s v="31601014 - Acupuntura (R$ 54,56)"/>
    <s v="Acupuntura"/>
    <n v="1706726036"/>
    <s v="Finalizado (2/5)"/>
    <n v="45.830399999999997"/>
    <n v="8.7295999999999996"/>
    <n v="54.56"/>
    <s v="Sessão Faturada"/>
    <n v="954440006904010"/>
    <n v="58326"/>
    <s v="Unidade Vieralves (ANEXO)"/>
    <n v="1706726036"/>
    <m/>
  </r>
  <r>
    <x v="16"/>
    <x v="38"/>
    <s v="Jackeline de Oliveira"/>
    <s v="Feminino"/>
    <x v="4"/>
    <x v="3"/>
    <s v="31601014 - Acupuntura (R$ 54,56)"/>
    <s v="Acupuntura"/>
    <n v="1706789342"/>
    <s v="Finalizado (2/2)"/>
    <n v="45.830399999999997"/>
    <n v="8.7295999999999996"/>
    <n v="54.56"/>
    <s v="Sessão Faturada"/>
    <n v="895789500019010"/>
    <n v="3659"/>
    <s v="Unidade Vieralves (ANEXO)"/>
    <n v="1706789342"/>
    <m/>
  </r>
  <r>
    <x v="16"/>
    <x v="37"/>
    <s v="Simone Batista Ferreira"/>
    <s v="Feminino"/>
    <x v="4"/>
    <x v="3"/>
    <s v="31601014 - Acupuntura (R$ 54,56)"/>
    <s v="Acupuntura"/>
    <n v="1706785484"/>
    <s v="Finalizado (2/3)"/>
    <n v="45.830399999999997"/>
    <n v="8.7295999999999996"/>
    <n v="54.56"/>
    <s v="Sessão Faturada"/>
    <n v="775494004987010"/>
    <n v="39292"/>
    <s v="Unidade Vieralves (ANEXO)"/>
    <n v="1706785484"/>
    <m/>
  </r>
  <r>
    <x v="16"/>
    <x v="39"/>
    <s v="Antônio Edivaldo Pereira Nunes"/>
    <s v="Masculino"/>
    <x v="12"/>
    <x v="3"/>
    <s v="31601014 - Acupuntura (R$ 54,56)"/>
    <s v="Acupuntura"/>
    <n v="10313813"/>
    <s v="Finalizado (2/10)"/>
    <n v="45.830399999999997"/>
    <n v="8.7295999999999996"/>
    <n v="54.56"/>
    <s v="Sessão a Faturar"/>
    <n v="9.5125782212117005E+17"/>
    <n v="57571"/>
    <s v="Unidade Vieralves (ANEXO)"/>
    <n v="10313813"/>
    <m/>
  </r>
  <r>
    <x v="21"/>
    <x v="41"/>
    <s v="Josicleide Nunes Santos"/>
    <s v="Feminino"/>
    <x v="4"/>
    <x v="3"/>
    <s v="31601014 - Acupuntura (R$ 54,56)"/>
    <s v="Acupuntura"/>
    <n v="1702143791"/>
    <s v="Finalizado (4/5)"/>
    <n v="45.830399999999997"/>
    <n v="8.7295999999999996"/>
    <n v="54.56"/>
    <s v="Sessão Faturada"/>
    <n v="774981001279000"/>
    <n v="20120"/>
    <s v="Unidade Vieralves (ANEXO)"/>
    <n v="1702143791"/>
    <m/>
  </r>
  <r>
    <x v="21"/>
    <x v="41"/>
    <s v="Maria de Fatima da Silva Souza"/>
    <s v="Feminino"/>
    <x v="4"/>
    <x v="3"/>
    <s v="31601014 - Acupuntura (R$ 54,56)"/>
    <s v="Acupuntura"/>
    <n v="1704912901"/>
    <s v="Finalizado (3/5)"/>
    <n v="45.830399999999997"/>
    <n v="8.7295999999999996"/>
    <n v="54.56"/>
    <s v="Sessão Faturada"/>
    <n v="952140115211010"/>
    <n v="23931"/>
    <s v="Unidade Vieralves (ANEXO)"/>
    <n v="1704912901"/>
    <m/>
  </r>
  <r>
    <x v="21"/>
    <x v="41"/>
    <s v="Taina Guimarães Pinheiro"/>
    <m/>
    <x v="4"/>
    <x v="3"/>
    <s v="31601014 - Acupuntura (R$ 54,56)"/>
    <s v="Acupuntura"/>
    <n v="1708262117"/>
    <s v="Finalizado (1/1)"/>
    <n v="45.830399999999997"/>
    <n v="8.7295999999999996"/>
    <n v="54.56"/>
    <s v="Sessão Faturada"/>
    <n v="774063014052010"/>
    <n v="59460"/>
    <s v="Unidade Vieralves (ANEXO)"/>
    <n v="1708262117"/>
    <m/>
  </r>
  <r>
    <x v="21"/>
    <x v="36"/>
    <s v="Heloísa Ribeiro Alves"/>
    <s v="Feminino"/>
    <x v="9"/>
    <x v="3"/>
    <s v="31601014 - Acupuntura (R$ 54,56)"/>
    <s v="Acupuntura"/>
    <n v="1708284176"/>
    <s v="Finalizado (1/5)"/>
    <n v="45.830399999999997"/>
    <n v="8.7295999999999996"/>
    <n v="54.56"/>
    <s v="Sessão Faturada"/>
    <n v="954600017590000"/>
    <n v="59570"/>
    <s v="Unidade Vieralves (ANEXO)"/>
    <n v="1708284176"/>
    <m/>
  </r>
  <r>
    <x v="21"/>
    <x v="40"/>
    <s v="Edred Calixto de Araujo"/>
    <m/>
    <x v="4"/>
    <x v="3"/>
    <s v="31601014 - Acupuntura (R$ 54,56)"/>
    <s v="Acupuntura"/>
    <n v="1708300217"/>
    <s v="Finalizado (1/3)"/>
    <n v="45.830399999999997"/>
    <n v="8.7295999999999996"/>
    <n v="54.56"/>
    <s v="Sessão Faturada"/>
    <n v="893331302429000"/>
    <n v="59541"/>
    <s v="Unidade Vieralves (ANEXO)"/>
    <n v="1708300217"/>
    <m/>
  </r>
  <r>
    <x v="21"/>
    <x v="40"/>
    <s v="Aleksander Weinstock Cattan"/>
    <s v="Masculino"/>
    <x v="6"/>
    <x v="3"/>
    <s v="31601014 - Acupuntura (R$ 51,33)"/>
    <s v="Acupuntura"/>
    <n v="169598"/>
    <s v="Finalizado (4/4)"/>
    <n v="43.117199999999997"/>
    <n v="8.2127999999999997"/>
    <n v="51.33"/>
    <s v="Sessão a Faturar"/>
    <s v="55788888491214450109"/>
    <n v="58285"/>
    <s v="Unidade Vieralves (ANEXO)"/>
    <n v="169598"/>
    <m/>
  </r>
  <r>
    <x v="21"/>
    <x v="35"/>
    <s v="Claudia Ferreira de Souza Cutar"/>
    <s v="Feminino"/>
    <x v="6"/>
    <x v="3"/>
    <s v="10101012 - Consulta Médica (R$ 121,28)"/>
    <s v="Acupuntura"/>
    <n v="7700047135"/>
    <s v="Finalizado (1/1)"/>
    <n v="121.28"/>
    <n v="0"/>
    <n v="121.28"/>
    <s v="Sessão Faturada"/>
    <s v="54588888010050710012"/>
    <n v="9658"/>
    <s v="Unidade Vieralves (ANEXO)"/>
    <n v="7700047135"/>
    <m/>
  </r>
  <r>
    <x v="21"/>
    <x v="42"/>
    <s v="Ana Claudia de Souza Ferreira"/>
    <s v="Feminino"/>
    <x v="6"/>
    <x v="3"/>
    <s v="31601014 - Acupuntura (R$ 51,33)"/>
    <s v="Acupuntura"/>
    <n v="170881"/>
    <s v="Finalizado (1/1)"/>
    <n v="43.117199999999997"/>
    <n v="8.2127999999999997"/>
    <n v="51.33"/>
    <s v="Sessão a Faturar"/>
    <s v="55788888487079300029"/>
    <n v="59294"/>
    <s v="Unidade Vieralves (ANEXO)"/>
    <n v="170881"/>
    <m/>
  </r>
  <r>
    <x v="17"/>
    <x v="40"/>
    <s v="Aleksander Weinstock Cattan"/>
    <s v="Masculino"/>
    <x v="6"/>
    <x v="3"/>
    <s v="31601014 - Acupuntura (R$ 51,33)"/>
    <s v="Acupuntura"/>
    <n v="170942"/>
    <s v="Finalizado (1/4)"/>
    <n v="43.117199999999997"/>
    <n v="8.2127999999999997"/>
    <n v="51.33"/>
    <s v="Sessão a Faturar"/>
    <s v="55788888491214450109"/>
    <n v="58285"/>
    <s v="Unidade Vieralves (ANEXO)"/>
    <n v="170942"/>
    <m/>
  </r>
  <r>
    <x v="17"/>
    <x v="35"/>
    <s v="Ingrid Roseane Magno Viana"/>
    <s v="Feminino"/>
    <x v="9"/>
    <x v="3"/>
    <s v="31601014 - Acupuntura (R$ 54,56)"/>
    <s v="Acupuntura"/>
    <n v="1706726036"/>
    <s v="Finalizado (3/5)"/>
    <n v="45.830399999999997"/>
    <n v="8.7295999999999996"/>
    <n v="54.56"/>
    <s v="Sessão Faturada"/>
    <n v="954440006904010"/>
    <n v="58326"/>
    <s v="Unidade Vieralves (ANEXO)"/>
    <n v="1706726036"/>
    <m/>
  </r>
  <r>
    <x v="17"/>
    <x v="38"/>
    <s v="Edred Calixto de Araujo"/>
    <m/>
    <x v="4"/>
    <x v="3"/>
    <s v="31601014 - Acupuntura (R$ 54,56)"/>
    <s v="Acupuntura"/>
    <n v="1708300217"/>
    <s v="Finalizado (2/3)"/>
    <n v="45.830399999999997"/>
    <n v="8.7295999999999996"/>
    <n v="54.56"/>
    <s v="Sessão Faturada"/>
    <n v="893331302429000"/>
    <n v="59541"/>
    <s v="Unidade Vieralves (ANEXO)"/>
    <n v="1708300217"/>
    <m/>
  </r>
  <r>
    <x v="17"/>
    <x v="39"/>
    <s v="Antônio Edivaldo Pereira Nunes"/>
    <s v="Masculino"/>
    <x v="12"/>
    <x v="3"/>
    <s v="31601014 - Acupuntura (R$ 54,56)"/>
    <s v="Acupuntura"/>
    <n v="10313813"/>
    <s v="Finalizado (3/10)"/>
    <n v="45.830399999999997"/>
    <n v="8.7295999999999996"/>
    <n v="54.56"/>
    <s v="Sessão a Faturar"/>
    <n v="9.5125782212117005E+17"/>
    <n v="57571"/>
    <s v="Unidade Vieralves (ANEXO)"/>
    <n v="10313813"/>
    <m/>
  </r>
  <r>
    <x v="18"/>
    <x v="35"/>
    <s v="Márcia Vasconcelos de Lima"/>
    <s v="Feminino"/>
    <x v="4"/>
    <x v="3"/>
    <s v="31601014 - Acupuntura (R$ 54,56)"/>
    <s v="Acupuntura"/>
    <n v="1707195979"/>
    <s v="Finalizado (2/2)"/>
    <n v="45.830399999999997"/>
    <n v="8.7295999999999996"/>
    <n v="54.56"/>
    <s v="Sessão Faturada"/>
    <n v="772299063096010"/>
    <n v="58485"/>
    <s v="Unidade Vieralves (ANEXO)"/>
    <n v="1707195979"/>
    <m/>
  </r>
  <r>
    <x v="18"/>
    <x v="35"/>
    <s v="Bruno Barbosa dos Santos"/>
    <s v="Masculino"/>
    <x v="9"/>
    <x v="3"/>
    <s v="31601014 - Acupuntura (R$ 54,56)"/>
    <s v="Acupuntura"/>
    <n v="1709481067"/>
    <s v="Finalizado (1/3)"/>
    <n v="45.830399999999997"/>
    <n v="8.7295999999999996"/>
    <n v="54.56"/>
    <s v="Sessão Faturada"/>
    <n v="954600007650010"/>
    <n v="59241"/>
    <s v="Unidade Vieralves (ANEXO)"/>
    <n v="1709481067"/>
    <m/>
  </r>
  <r>
    <x v="18"/>
    <x v="38"/>
    <s v="Edred Calixto de Araujo"/>
    <m/>
    <x v="4"/>
    <x v="3"/>
    <s v="31601014 - Acupuntura (R$ 54,56)"/>
    <s v="Acupuntura"/>
    <n v="1708300217"/>
    <s v="Finalizado (3/3)"/>
    <n v="45.830399999999997"/>
    <n v="8.7295999999999996"/>
    <n v="54.56"/>
    <s v="Sessão Faturada"/>
    <n v="893331302429000"/>
    <n v="59541"/>
    <s v="Unidade Vieralves (ANEXO)"/>
    <n v="1708300217"/>
    <m/>
  </r>
  <r>
    <x v="18"/>
    <x v="37"/>
    <s v="Simone Batista Ferreira"/>
    <s v="Feminino"/>
    <x v="4"/>
    <x v="3"/>
    <s v="31601014 - Acupuntura (R$ 54,56)"/>
    <s v="Acupuntura"/>
    <n v="1706785484"/>
    <s v="Finalizado (3/3)"/>
    <n v="45.830399999999997"/>
    <n v="8.7295999999999996"/>
    <n v="54.56"/>
    <s v="Sessão Faturada"/>
    <n v="775494004987010"/>
    <n v="39292"/>
    <s v="Unidade Vieralves (ANEXO)"/>
    <n v="1706785484"/>
    <m/>
  </r>
  <r>
    <x v="18"/>
    <x v="39"/>
    <s v="Heloísa Ribeiro Alves"/>
    <s v="Feminino"/>
    <x v="9"/>
    <x v="3"/>
    <s v="31601014 - Acupuntura (R$ 54,56)"/>
    <s v="Acupuntura"/>
    <n v="1708284176"/>
    <s v="Finalizado (2/5)"/>
    <n v="45.830399999999997"/>
    <n v="8.7295999999999996"/>
    <n v="54.56"/>
    <s v="Sessão Faturada"/>
    <n v="954600017590000"/>
    <n v="59570"/>
    <s v="Unidade Vieralves (ANEXO)"/>
    <n v="1708284176"/>
    <m/>
  </r>
  <r>
    <x v="18"/>
    <x v="43"/>
    <s v="Alison Moura da Gama"/>
    <s v="Masculino"/>
    <x v="6"/>
    <x v="3"/>
    <s v="31601014 - Acupuntura (R$ 51,33)"/>
    <s v="Acupuntura"/>
    <n v="170268"/>
    <s v="Finalizado (2/2)"/>
    <n v="43.117199999999997"/>
    <n v="8.2127999999999997"/>
    <n v="51.33"/>
    <s v="Sessão a Faturar"/>
    <s v="54588888460743530017"/>
    <n v="44296"/>
    <s v="Unidade Vieralves (ANEXO)"/>
    <n v="170268"/>
    <m/>
  </r>
  <r>
    <x v="22"/>
    <x v="40"/>
    <s v="Roberson Paulo da Silva"/>
    <s v="Masculino"/>
    <x v="4"/>
    <x v="3"/>
    <s v="31601014 - Acupuntura (R$ 54,56)"/>
    <s v="Acupuntura"/>
    <n v="1710107221"/>
    <s v="Finalizado (1/3)"/>
    <n v="45.830399999999997"/>
    <n v="8.7295999999999996"/>
    <n v="54.56"/>
    <s v="Sessão Faturada"/>
    <n v="898927800019020"/>
    <n v="53881"/>
    <s v="Unidade Vieralves (ANEXO)"/>
    <n v="1710107221"/>
    <m/>
  </r>
  <r>
    <x v="22"/>
    <x v="40"/>
    <s v="Aleksander Weinstock Cattan"/>
    <s v="Masculino"/>
    <x v="6"/>
    <x v="3"/>
    <s v="31601014 - Acupuntura (R$ 51,33)"/>
    <s v="Acupuntura"/>
    <n v="170942"/>
    <s v="Finalizado (2/4)"/>
    <n v="43.117199999999997"/>
    <n v="8.2127999999999997"/>
    <n v="51.33"/>
    <s v="Sessão a Faturar"/>
    <s v="55788888491214450109"/>
    <n v="58285"/>
    <s v="Unidade Vieralves (ANEXO)"/>
    <n v="170942"/>
    <m/>
  </r>
  <r>
    <x v="22"/>
    <x v="35"/>
    <s v="Ingrid Roseane Magno Viana"/>
    <s v="Feminino"/>
    <x v="9"/>
    <x v="3"/>
    <s v="31601014 - Acupuntura (R$ 54,56)"/>
    <s v="Acupuntura"/>
    <n v="1706726036"/>
    <s v="Finalizado (4/5)"/>
    <n v="45.830399999999997"/>
    <n v="8.7295999999999996"/>
    <n v="54.56"/>
    <s v="Sessão Faturada"/>
    <n v="954440006904010"/>
    <n v="58326"/>
    <s v="Unidade Vieralves (ANEXO)"/>
    <n v="1706726036"/>
    <m/>
  </r>
  <r>
    <x v="22"/>
    <x v="39"/>
    <s v="Antônio Edivaldo Pereira Nunes"/>
    <s v="Masculino"/>
    <x v="12"/>
    <x v="3"/>
    <s v="31601014 - Acupuntura (R$ 54,56)"/>
    <s v="Acupuntura"/>
    <n v="10313813"/>
    <s v="Finalizado (4/10)"/>
    <n v="45.830399999999997"/>
    <n v="8.7295999999999996"/>
    <n v="54.56"/>
    <s v="Sessão a Faturar"/>
    <n v="9.5125782212117005E+17"/>
    <n v="57571"/>
    <s v="Unidade Vieralves (ANEXO)"/>
    <n v="10313813"/>
    <m/>
  </r>
  <r>
    <x v="20"/>
    <x v="36"/>
    <s v="Roberson Paulo da Silva"/>
    <s v="Masculino"/>
    <x v="4"/>
    <x v="3"/>
    <s v="31601014 - Acupuntura (R$ 54,56)"/>
    <s v="Acupuntura"/>
    <n v="1710107221"/>
    <s v="Finalizado (2/3)"/>
    <n v="45.830399999999997"/>
    <n v="8.7295999999999996"/>
    <n v="54.56"/>
    <s v="Sessão Faturada"/>
    <n v="898927800019020"/>
    <n v="53881"/>
    <s v="Unidade Vieralves (ANEXO)"/>
    <n v="1710107221"/>
    <m/>
  </r>
  <r>
    <x v="20"/>
    <x v="35"/>
    <s v="José Roberto Teixeira Pereira"/>
    <s v="Masculino"/>
    <x v="6"/>
    <x v="3"/>
    <s v="31601014 - Acupuntura (R$ 51,33)"/>
    <s v="Acupuntura"/>
    <n v="171597"/>
    <s v="Finalizado (1/4)"/>
    <n v="43.117199999999997"/>
    <n v="8.2127999999999997"/>
    <n v="51.33"/>
    <s v="Sessão a Faturar"/>
    <s v="56788888488537970015"/>
    <n v="56491"/>
    <s v="Unidade Vieralves (ANEXO)"/>
    <n v="171597"/>
    <m/>
  </r>
  <r>
    <x v="20"/>
    <x v="35"/>
    <s v="Ingrid Roseane Magno Viana"/>
    <s v="Feminino"/>
    <x v="9"/>
    <x v="3"/>
    <s v="31601014 - Acupuntura (R$ 54,56)"/>
    <s v="Acupuntura"/>
    <n v="1706726036"/>
    <s v="Finalizado (5/5)"/>
    <n v="45.830399999999997"/>
    <n v="8.7295999999999996"/>
    <n v="54.56"/>
    <s v="Sessão Faturada"/>
    <n v="954440006904010"/>
    <n v="58326"/>
    <s v="Unidade Vieralves (ANEXO)"/>
    <n v="1706726036"/>
    <m/>
  </r>
  <r>
    <x v="20"/>
    <x v="38"/>
    <s v="Katia Rodrigues Freitas"/>
    <s v="Feminino"/>
    <x v="6"/>
    <x v="3"/>
    <s v="31601014 - Acupuntura (R$ 51,33)"/>
    <s v="Acupuntura"/>
    <n v="171457"/>
    <s v="Finalizado (1/4)"/>
    <n v="43.117199999999997"/>
    <n v="8.2127999999999997"/>
    <n v="51.33"/>
    <s v="Sessão a Faturar"/>
    <s v="54588888004873140018"/>
    <n v="58935"/>
    <s v="Unidade Vieralves (ANEXO)"/>
    <n v="171457"/>
    <s v="Guia assinada! 20.03"/>
  </r>
  <r>
    <x v="20"/>
    <x v="39"/>
    <s v="Antônio Edivaldo Pereira Nunes"/>
    <s v="Masculino"/>
    <x v="12"/>
    <x v="3"/>
    <s v="31601014 - Acupuntura (R$ 54,56)"/>
    <s v="Acupuntura"/>
    <n v="10313813"/>
    <s v="Finalizado (5/10)"/>
    <n v="45.830399999999997"/>
    <n v="8.7295999999999996"/>
    <n v="54.56"/>
    <s v="Sessão a Faturar"/>
    <n v="9.5125782212117005E+17"/>
    <n v="57571"/>
    <s v="Unidade Vieralves (ANEXO)"/>
    <n v="10313813"/>
    <m/>
  </r>
  <r>
    <x v="23"/>
    <x v="41"/>
    <s v="Maria de Fatima da Silva Souza"/>
    <s v="Feminino"/>
    <x v="4"/>
    <x v="3"/>
    <s v="31601014 - Acupuntura (R$ 54,56)"/>
    <s v="Acupuntura"/>
    <n v="1704912901"/>
    <s v="Finalizado (4/5)"/>
    <n v="45.830399999999997"/>
    <n v="8.7295999999999996"/>
    <n v="54.56"/>
    <s v="Sessão Faturada"/>
    <n v="952140115211010"/>
    <n v="23931"/>
    <s v="Unidade Vieralves (ANEXO)"/>
    <n v="1704912901"/>
    <m/>
  </r>
  <r>
    <x v="23"/>
    <x v="41"/>
    <s v="Maressa de Jesus Souza"/>
    <s v="Masculino"/>
    <x v="6"/>
    <x v="3"/>
    <s v="31601014 - Acupuntura (R$ 51,33)"/>
    <s v="Acupuntura"/>
    <n v="171393"/>
    <s v="Finalizado (2/2)"/>
    <n v="43.117199999999997"/>
    <n v="8.2127999999999997"/>
    <n v="51.33"/>
    <s v="Sessão a Faturar"/>
    <s v="54588888483320840020"/>
    <n v="58992"/>
    <s v="Unidade Vieralves (ANEXO)"/>
    <n v="171393"/>
    <m/>
  </r>
  <r>
    <x v="23"/>
    <x v="40"/>
    <s v="Katia Rodrigues Freitas"/>
    <s v="Feminino"/>
    <x v="6"/>
    <x v="3"/>
    <s v="31601014 - Acupuntura (R$ 51,33)"/>
    <s v="Acupuntura"/>
    <n v="171457"/>
    <s v="Finalizado (2/4)"/>
    <n v="43.117199999999997"/>
    <n v="8.2127999999999997"/>
    <n v="51.33"/>
    <s v="Sessão a Faturar"/>
    <s v="54588888004873140018"/>
    <n v="58935"/>
    <s v="Unidade Vieralves (ANEXO)"/>
    <n v="171457"/>
    <s v="Guia assinada! 20.03"/>
  </r>
  <r>
    <x v="23"/>
    <x v="40"/>
    <s v="Josicleide Nunes Santos"/>
    <s v="Feminino"/>
    <x v="4"/>
    <x v="3"/>
    <s v="31601014 - Acupuntura (R$ 54,56)"/>
    <s v="Acupuntura"/>
    <n v="1711861322"/>
    <s v="Finalizado (1/4)"/>
    <n v="45.830399999999997"/>
    <n v="8.7295999999999996"/>
    <n v="54.56"/>
    <s v="Sessão a Faturar"/>
    <n v="774981001279000"/>
    <n v="20120"/>
    <s v="Unidade Vieralves (ANEXO)"/>
    <n v="1711861322"/>
    <m/>
  </r>
  <r>
    <x v="23"/>
    <x v="37"/>
    <s v="Heloísa Ribeiro Alves"/>
    <s v="Feminino"/>
    <x v="9"/>
    <x v="3"/>
    <s v="31601014 - Acupuntura (R$ 54,56)"/>
    <s v="Acupuntura"/>
    <n v="1708284176"/>
    <s v="Finalizado (4/5)"/>
    <n v="45.830399999999997"/>
    <n v="8.7295999999999996"/>
    <n v="54.56"/>
    <s v="Sessão Faturada"/>
    <n v="954600017590000"/>
    <n v="59570"/>
    <s v="Unidade Vieralves (ANEXO)"/>
    <n v="1708284176"/>
    <m/>
  </r>
  <r>
    <x v="23"/>
    <x v="43"/>
    <s v="Isabelle Aucar Gioia"/>
    <s v="Feminino"/>
    <x v="6"/>
    <x v="3"/>
    <s v="31601014 - Acupuntura (R$ 51,33)"/>
    <s v="Acupuntura"/>
    <n v="169669"/>
    <s v="Finalizado (3/4)"/>
    <n v="43.117199999999997"/>
    <n v="8.2127999999999997"/>
    <n v="51.33"/>
    <s v="Sessão a Faturar"/>
    <s v="58200789998000620016"/>
    <n v="53296"/>
    <s v="Unidade Vieralves (ANEXO)"/>
    <n v="169669"/>
    <s v="guia assinada. 14/03"/>
  </r>
  <r>
    <x v="0"/>
    <x v="36"/>
    <s v="Roberson Paulo da Silva"/>
    <s v="Masculino"/>
    <x v="4"/>
    <x v="3"/>
    <s v="31601014 - Acupuntura (R$ 54,56)"/>
    <s v="Acupuntura"/>
    <n v="1710107221"/>
    <s v="Finalizado (3/3)"/>
    <n v="45.830399999999997"/>
    <n v="8.7295999999999996"/>
    <n v="54.56"/>
    <s v="Sessão Faturada"/>
    <n v="898927800019020"/>
    <n v="53881"/>
    <s v="Unidade Vieralves (ANEXO)"/>
    <n v="1710107221"/>
    <m/>
  </r>
  <r>
    <x v="0"/>
    <x v="35"/>
    <s v="Nicole Roessing Cruz Avelino"/>
    <s v="Feminino"/>
    <x v="4"/>
    <x v="3"/>
    <s v="31601014 - Acupuntura (R$ 54,56)"/>
    <s v="Acupuntura"/>
    <n v="1712629881"/>
    <s v="Finalizado (1/3)"/>
    <n v="45.830399999999997"/>
    <n v="8.7295999999999996"/>
    <n v="54.56"/>
    <s v="Sessão Faturada"/>
    <n v="840957800035000"/>
    <n v="17489"/>
    <s v="Unidade Vieralves (ANEXO)"/>
    <n v="1712629881"/>
    <m/>
  </r>
  <r>
    <x v="0"/>
    <x v="38"/>
    <s v="Ingrid Roseane Magno Viana"/>
    <s v="Feminino"/>
    <x v="9"/>
    <x v="3"/>
    <s v="31601014 - Acupuntura (R$ 54,56)"/>
    <s v="Acupuntura"/>
    <n v="1712703146"/>
    <s v="Finalizado (1/5)"/>
    <n v="45.830399999999997"/>
    <n v="8.7295999999999996"/>
    <n v="54.56"/>
    <s v="Sessão Faturada"/>
    <n v="954440006904010"/>
    <n v="58326"/>
    <s v="Unidade Vieralves (ANEXO)"/>
    <n v="1712703146"/>
    <m/>
  </r>
  <r>
    <x v="0"/>
    <x v="37"/>
    <s v="José Roberto Teixeira Pereira"/>
    <s v="Masculino"/>
    <x v="6"/>
    <x v="3"/>
    <s v="31601014 - Acupuntura (R$ 51,33)"/>
    <s v="Acupuntura"/>
    <n v="171597"/>
    <s v="Finalizado (2/4)"/>
    <n v="43.117199999999997"/>
    <n v="8.2127999999999997"/>
    <n v="51.33"/>
    <s v="Sessão a Faturar"/>
    <s v="56788888488537970015"/>
    <n v="56491"/>
    <s v="Unidade Vieralves (ANEXO)"/>
    <n v="171597"/>
    <m/>
  </r>
  <r>
    <x v="1"/>
    <x v="36"/>
    <s v="Valquíria Paiva Carvalho"/>
    <s v="Feminino"/>
    <x v="4"/>
    <x v="3"/>
    <s v="31601014 - Acupuntura (R$ 54,56)"/>
    <s v="Acupuntura"/>
    <n v="1713206478"/>
    <s v="Finalizado (1/5)"/>
    <n v="45.830399999999997"/>
    <n v="8.7295999999999996"/>
    <n v="54.56"/>
    <s v="Sessão Faturada"/>
    <n v="896982600019020"/>
    <n v="59655"/>
    <s v="Unidade Vieralves (ANEXO)"/>
    <n v="1713206478"/>
    <m/>
  </r>
  <r>
    <x v="1"/>
    <x v="35"/>
    <s v="Aleksander Weinstock Cattan"/>
    <s v="Masculino"/>
    <x v="6"/>
    <x v="3"/>
    <s v="31601014 - Acupuntura (R$ 51,33)"/>
    <s v="Acupuntura"/>
    <n v="170942"/>
    <s v="Finalizado (3/4)"/>
    <n v="43.117199999999997"/>
    <n v="8.2127999999999997"/>
    <n v="51.33"/>
    <s v="Sessão a Faturar"/>
    <s v="55788888491214450109"/>
    <n v="58285"/>
    <s v="Unidade Vieralves (ANEXO)"/>
    <n v="170942"/>
    <m/>
  </r>
  <r>
    <x v="1"/>
    <x v="35"/>
    <s v="Bruno Barbosa dos Santos"/>
    <s v="Masculino"/>
    <x v="9"/>
    <x v="3"/>
    <s v="31601014 - Acupuntura (R$ 54,56)"/>
    <s v="Acupuntura"/>
    <n v="1709481067"/>
    <s v="Finalizado (2/3)"/>
    <n v="45.830399999999997"/>
    <n v="8.7295999999999996"/>
    <n v="54.56"/>
    <s v="Sessão Faturada"/>
    <n v="954600007650010"/>
    <n v="59241"/>
    <s v="Unidade Vieralves (ANEXO)"/>
    <n v="1709481067"/>
    <m/>
  </r>
  <r>
    <x v="1"/>
    <x v="35"/>
    <s v="Ricardo Andreazze da Silva"/>
    <s v="Masculino"/>
    <x v="9"/>
    <x v="3"/>
    <s v="31601014 - Acupuntura (R$ 54,56)"/>
    <s v="Acupuntura"/>
    <n v="1713268131"/>
    <s v="Finalizado (1/5)"/>
    <n v="45.830399999999997"/>
    <n v="8.7295999999999996"/>
    <n v="54.56"/>
    <s v="Sessão Faturada"/>
    <n v="954600010545000"/>
    <n v="38890"/>
    <s v="Unidade Vieralves (ANEXO)"/>
    <n v="1713268131"/>
    <m/>
  </r>
  <r>
    <x v="1"/>
    <x v="37"/>
    <s v="Samantha Nathalia da Silva Souza"/>
    <s v="Feminino"/>
    <x v="4"/>
    <x v="3"/>
    <s v="31601014 - Acupuntura (R$ 54,56)"/>
    <s v="Acupuntura"/>
    <n v="1713330151"/>
    <s v="Finalizado (1/5)"/>
    <n v="45.830399999999997"/>
    <n v="8.7295999999999996"/>
    <n v="54.56"/>
    <s v="Sessão Faturada"/>
    <n v="774104016012010"/>
    <n v="59657"/>
    <s v="Unidade Vieralves (ANEXO)"/>
    <n v="1713330151"/>
    <m/>
  </r>
  <r>
    <x v="1"/>
    <x v="39"/>
    <s v="Vanessa Amaral da Rocha"/>
    <s v="Feminino"/>
    <x v="6"/>
    <x v="3"/>
    <s v="31601014 - Acupuntura (R$ 51,33)"/>
    <s v="Acupuntura"/>
    <n v="171657"/>
    <s v="Finalizado (1/4)"/>
    <n v="43.117199999999997"/>
    <n v="8.2127999999999997"/>
    <n v="51.33"/>
    <s v="Sessão a Faturar"/>
    <s v="55788888491043450029"/>
    <n v="13689"/>
    <s v="Unidade Vieralves (ANEXO)"/>
    <n v="171657"/>
    <m/>
  </r>
  <r>
    <x v="1"/>
    <x v="39"/>
    <s v="Heloísa Ribeiro Alves"/>
    <s v="Feminino"/>
    <x v="9"/>
    <x v="3"/>
    <s v="31601014 - Acupuntura (R$ 54,56)"/>
    <s v="Acupuntura"/>
    <n v="1708284176"/>
    <s v="Finalizado (5/5)"/>
    <n v="45.830399999999997"/>
    <n v="8.7295999999999996"/>
    <n v="54.56"/>
    <s v="Sessão Faturada"/>
    <n v="954600017590000"/>
    <n v="59570"/>
    <s v="Unidade Vieralves (ANEXO)"/>
    <n v="1708284176"/>
    <m/>
  </r>
  <r>
    <x v="2"/>
    <x v="41"/>
    <s v="Samantha Nathalia da Silva Souza"/>
    <s v="Feminino"/>
    <x v="4"/>
    <x v="3"/>
    <s v="31601014 - Acupuntura (R$ 54,56)"/>
    <s v="Acupuntura"/>
    <n v="1713330151"/>
    <s v="Finalizado (2/5)"/>
    <n v="45.830399999999997"/>
    <n v="8.7295999999999996"/>
    <n v="54.56"/>
    <s v="Sessão Faturada"/>
    <n v="774104016012010"/>
    <n v="59657"/>
    <s v="Unidade Vieralves (ANEXO)"/>
    <n v="1713330151"/>
    <m/>
  </r>
  <r>
    <x v="2"/>
    <x v="35"/>
    <s v="Nicole Roessing Cruz Avelino"/>
    <s v="Feminino"/>
    <x v="4"/>
    <x v="3"/>
    <s v="31601014 - Acupuntura (R$ 54,56)"/>
    <s v="Acupuntura"/>
    <n v="1712629881"/>
    <s v="Finalizado (2/3)"/>
    <n v="45.830399999999997"/>
    <n v="8.7295999999999996"/>
    <n v="54.56"/>
    <s v="Sessão Faturada"/>
    <n v="840957800035000"/>
    <n v="17489"/>
    <s v="Unidade Vieralves (ANEXO)"/>
    <n v="1712629881"/>
    <m/>
  </r>
  <r>
    <x v="2"/>
    <x v="35"/>
    <s v="Ingrid Roseane Magno Viana"/>
    <s v="Feminino"/>
    <x v="9"/>
    <x v="3"/>
    <s v="31601014 - Acupuntura (R$ 54,56)"/>
    <s v="Acupuntura"/>
    <n v="1712703146"/>
    <s v="Finalizado (2/5)"/>
    <n v="45.830399999999997"/>
    <n v="8.7295999999999996"/>
    <n v="54.56"/>
    <s v="Sessão Faturada"/>
    <n v="954440006904010"/>
    <n v="58326"/>
    <s v="Unidade Vieralves (ANEXO)"/>
    <n v="1712703146"/>
    <m/>
  </r>
  <r>
    <x v="2"/>
    <x v="38"/>
    <s v="Adriana de Nazare Souto de Azevedo"/>
    <s v="Feminino"/>
    <x v="6"/>
    <x v="3"/>
    <s v="31601014 - Acupuntura (R$ 51,33)"/>
    <s v="Acupuntura"/>
    <n v="172001"/>
    <s v="Finalizado (1/4)"/>
    <n v="43.117199999999997"/>
    <n v="8.2127999999999997"/>
    <n v="51.33"/>
    <s v="Sessão a Faturar"/>
    <s v="54588888007376700028"/>
    <n v="59682"/>
    <s v="Unidade Vieralves (ANEXO)"/>
    <n v="172001"/>
    <m/>
  </r>
  <r>
    <x v="2"/>
    <x v="37"/>
    <s v="José Roberto Teixeira Pereira"/>
    <s v="Masculino"/>
    <x v="6"/>
    <x v="3"/>
    <s v="31601014 - Acupuntura (R$ 51,33)"/>
    <s v="Acupuntura"/>
    <n v="171597"/>
    <s v="Finalizado (3/4)"/>
    <n v="43.117199999999997"/>
    <n v="8.2127999999999997"/>
    <n v="51.33"/>
    <s v="Sessão a Faturar"/>
    <s v="56788888488537970015"/>
    <n v="56491"/>
    <s v="Unidade Vieralves (ANEXO)"/>
    <n v="171597"/>
    <m/>
  </r>
  <r>
    <x v="2"/>
    <x v="39"/>
    <s v="Antônio Edivaldo Pereira Nunes"/>
    <s v="Masculino"/>
    <x v="12"/>
    <x v="3"/>
    <s v="31601014 - Acupuntura (R$ 54,56)"/>
    <s v="Acupuntura"/>
    <n v="10313813"/>
    <s v="Finalizado (6/10)"/>
    <n v="45.830399999999997"/>
    <n v="8.7295999999999996"/>
    <n v="54.56"/>
    <s v="Sessão a Faturar"/>
    <n v="9.5125782212117005E+17"/>
    <n v="57571"/>
    <s v="Unidade Vieralves (ANEXO)"/>
    <n v="10313813"/>
    <m/>
  </r>
  <r>
    <x v="2"/>
    <x v="43"/>
    <s v="Eudima Fonseca Rocha Briglia da Cunha"/>
    <s v="Feminino"/>
    <x v="12"/>
    <x v="3"/>
    <s v="31601014 - Acupuntura (R$ 54,56)"/>
    <s v="Acupuntura"/>
    <n v="10342324"/>
    <s v="Não compareceu (2/8)"/>
    <n v="54.56"/>
    <n v="0"/>
    <n v="54.56"/>
    <s v="Sessão a Faturar"/>
    <s v="000743661911200901"/>
    <n v="40339"/>
    <s v="Unidade Vieralves (ANEXO)"/>
    <n v="10342324"/>
    <m/>
  </r>
  <r>
    <x v="3"/>
    <x v="35"/>
    <s v="Ricardo Andreazze da Silva"/>
    <s v="Masculino"/>
    <x v="9"/>
    <x v="3"/>
    <s v="31601014 - Acupuntura (R$ 54,56)"/>
    <s v="Acupuntura"/>
    <n v="1713268131"/>
    <s v="Finalizado (2/5)"/>
    <n v="45.830399999999997"/>
    <n v="8.7295999999999996"/>
    <n v="54.56"/>
    <s v="Sessão Faturada"/>
    <n v="954600010545000"/>
    <n v="38890"/>
    <s v="Unidade Vieralves (ANEXO)"/>
    <n v="1713268131"/>
    <m/>
  </r>
  <r>
    <x v="3"/>
    <x v="35"/>
    <s v="Valquíria Paiva Carvalho"/>
    <s v="Feminino"/>
    <x v="4"/>
    <x v="3"/>
    <s v="31601014 - Acupuntura (R$ 54,56)"/>
    <s v="Acupuntura"/>
    <n v="1713206478"/>
    <s v="Finalizado (2/5)"/>
    <n v="45.830399999999997"/>
    <n v="8.7295999999999996"/>
    <n v="54.56"/>
    <s v="Sessão Faturada"/>
    <n v="896982600019020"/>
    <n v="59655"/>
    <s v="Unidade Vieralves (ANEXO)"/>
    <n v="1713206478"/>
    <m/>
  </r>
  <r>
    <x v="4"/>
    <x v="35"/>
    <s v="Ingrid Roseane Magno Viana"/>
    <s v="Feminino"/>
    <x v="9"/>
    <x v="3"/>
    <s v="31601014 - Acupuntura (R$ 54,56)"/>
    <s v="Acupuntura"/>
    <n v="1712703146"/>
    <s v="Finalizado (3/5)"/>
    <n v="45.830399999999997"/>
    <n v="8.7295999999999996"/>
    <n v="54.56"/>
    <s v="Sessão Faturada"/>
    <n v="954440006904010"/>
    <n v="58326"/>
    <s v="Unidade Vieralves (ANEXO)"/>
    <n v="1712703146"/>
    <m/>
  </r>
  <r>
    <x v="4"/>
    <x v="35"/>
    <s v="Katia Rodrigues Freitas"/>
    <s v="Feminino"/>
    <x v="6"/>
    <x v="3"/>
    <s v="31601014 - Acupuntura (R$ 51,33)"/>
    <s v="Acupuntura"/>
    <n v="171457"/>
    <s v="Finalizado (3/4)"/>
    <n v="43.117199999999997"/>
    <n v="8.2127999999999997"/>
    <n v="51.33"/>
    <s v="Sessão a Faturar"/>
    <s v="54588888004873140018"/>
    <n v="58935"/>
    <s v="Unidade Vieralves (ANEXO)"/>
    <n v="171457"/>
    <s v="Guia assinada! 20.03"/>
  </r>
  <r>
    <x v="4"/>
    <x v="35"/>
    <s v="Maria Eduarda Valente Oliveira"/>
    <s v="Feminino"/>
    <x v="4"/>
    <x v="3"/>
    <s v="31601014 - Acupuntura (R$ 54,56)"/>
    <s v="Acupuntura"/>
    <n v="1714976080"/>
    <s v="Finalizado (1/3)"/>
    <n v="45.830399999999997"/>
    <n v="8.7295999999999996"/>
    <n v="54.56"/>
    <s v="Sessão a Faturar"/>
    <n v="774642030210000"/>
    <n v="59322"/>
    <s v="Unidade Vieralves (ANEXO)"/>
    <n v="1714976080"/>
    <m/>
  </r>
  <r>
    <x v="4"/>
    <x v="38"/>
    <s v="Nicole Roessing Cruz Avelino"/>
    <s v="Feminino"/>
    <x v="4"/>
    <x v="3"/>
    <s v="31601014 - Acupuntura (R$ 54,56)"/>
    <s v="Acupuntura"/>
    <n v="1712629881"/>
    <s v="Finalizado (3/3)"/>
    <n v="45.830399999999997"/>
    <n v="8.7295999999999996"/>
    <n v="54.56"/>
    <s v="Sessão Faturada"/>
    <n v="840957800035000"/>
    <n v="17489"/>
    <s v="Unidade Vieralves (ANEXO)"/>
    <n v="1712629881"/>
    <m/>
  </r>
  <r>
    <x v="4"/>
    <x v="37"/>
    <s v="Adriana de Nazare Souto de Azevedo"/>
    <s v="Feminino"/>
    <x v="6"/>
    <x v="3"/>
    <s v="31601014 - Acupuntura (R$ 51,33)"/>
    <s v="Acupuntura"/>
    <n v="172001"/>
    <s v="Finalizado (2/4)"/>
    <n v="43.117199999999997"/>
    <n v="8.2127999999999997"/>
    <n v="51.33"/>
    <s v="Sessão a Faturar"/>
    <s v="54588888007376700028"/>
    <n v="59682"/>
    <s v="Unidade Vieralves (ANEXO)"/>
    <n v="172001"/>
    <m/>
  </r>
  <r>
    <x v="4"/>
    <x v="37"/>
    <s v="Aleksander Weinstock Cattan"/>
    <s v="Masculino"/>
    <x v="6"/>
    <x v="3"/>
    <s v="31601014 - Acupuntura (R$ 51,33)"/>
    <s v="Acupuntura"/>
    <n v="170942"/>
    <s v="Finalizado (4/4)"/>
    <n v="43.117199999999997"/>
    <n v="8.2127999999999997"/>
    <n v="51.33"/>
    <s v="Sessão a Faturar"/>
    <s v="55788888491214450109"/>
    <n v="58285"/>
    <s v="Unidade Vieralves (ANEXO)"/>
    <n v="170942"/>
    <m/>
  </r>
  <r>
    <x v="4"/>
    <x v="39"/>
    <s v="Antônio Edivaldo Pereira Nunes"/>
    <s v="Masculino"/>
    <x v="12"/>
    <x v="3"/>
    <s v="31601014 - Acupuntura (R$ 54,56)"/>
    <s v="Acupuntura"/>
    <n v="10313813"/>
    <s v="Finalizado (7/10)"/>
    <n v="45.830399999999997"/>
    <n v="8.7295999999999996"/>
    <n v="54.56"/>
    <s v="Sessão a Faturar"/>
    <n v="9.5125782212117005E+17"/>
    <n v="57571"/>
    <s v="Unidade Vieralves (ANEXO)"/>
    <n v="10313813"/>
    <m/>
  </r>
  <r>
    <x v="4"/>
    <x v="43"/>
    <s v="Eudima Fonseca Rocha Briglia da Cunha"/>
    <s v="Feminino"/>
    <x v="12"/>
    <x v="3"/>
    <s v="31601014 - Acupuntura (R$ 54,56)"/>
    <s v="Acupuntura"/>
    <n v="10342324"/>
    <s v="Não compareceu (4/8)"/>
    <n v="54.56"/>
    <n v="0"/>
    <n v="54.56"/>
    <s v="Sessão a Faturar"/>
    <s v="000743661911200901"/>
    <n v="40339"/>
    <s v="Unidade Vieralves (ANEXO)"/>
    <n v="10342324"/>
    <m/>
  </r>
  <r>
    <x v="4"/>
    <x v="43"/>
    <s v="Marcia dos Santos"/>
    <s v="Feminino"/>
    <x v="6"/>
    <x v="3"/>
    <s v="31601014 - Acupuntura (R$ 51,33)"/>
    <s v="Acupuntura"/>
    <n v="172139"/>
    <s v="Finalizado (1/2)"/>
    <n v="43.117199999999997"/>
    <n v="8.2127999999999997"/>
    <n v="51.33"/>
    <s v="Sessão a Faturar"/>
    <s v="55788888490616460011"/>
    <n v="24503"/>
    <s v="Unidade Vieralves (ANEXO)"/>
    <n v="172139"/>
    <m/>
  </r>
  <r>
    <x v="24"/>
    <x v="41"/>
    <s v="Maria de Fatima da Silva Souza"/>
    <s v="Feminino"/>
    <x v="4"/>
    <x v="3"/>
    <s v="31601014 - Acupuntura (R$ 54,56)"/>
    <s v="Acupuntura"/>
    <n v="1715409635"/>
    <s v="Finalizado (1/2)"/>
    <n v="45.830399999999997"/>
    <n v="8.7295999999999996"/>
    <n v="54.56"/>
    <s v="Sessão a Faturar"/>
    <n v="952140115211010"/>
    <n v="23931"/>
    <s v="Unidade Vieralves (ANEXO)"/>
    <n v="1715409635"/>
    <m/>
  </r>
  <r>
    <x v="24"/>
    <x v="41"/>
    <s v="Samantha Nathalia da Silva Souza"/>
    <s v="Feminino"/>
    <x v="4"/>
    <x v="3"/>
    <s v="31601014 - Acupuntura (R$ 54,56)"/>
    <s v="Acupuntura"/>
    <n v="1713330151"/>
    <s v="Finalizado (3/5)"/>
    <n v="45.830399999999997"/>
    <n v="8.7295999999999996"/>
    <n v="54.56"/>
    <s v="Sessão Faturada"/>
    <n v="774104016012010"/>
    <n v="59657"/>
    <s v="Unidade Vieralves (ANEXO)"/>
    <n v="1713330151"/>
    <m/>
  </r>
  <r>
    <x v="24"/>
    <x v="41"/>
    <s v="Carmen Hosana Ramirez Sapucaia"/>
    <m/>
    <x v="6"/>
    <x v="3"/>
    <s v="31601014 - Acupuntura (R$ 51,33)"/>
    <s v="Acupuntura"/>
    <n v="171852"/>
    <s v="Finalizado (2/2)"/>
    <n v="43.117199999999997"/>
    <n v="8.2127999999999997"/>
    <n v="51.33"/>
    <s v="Sessão a Faturar"/>
    <s v="55788888491385280127"/>
    <n v="58232"/>
    <s v="Unidade Vieralves (ANEXO)"/>
    <n v="171852"/>
    <m/>
  </r>
  <r>
    <x v="24"/>
    <x v="40"/>
    <s v="Alice Viana Franklin"/>
    <s v="Feminino"/>
    <x v="4"/>
    <x v="3"/>
    <s v="31601014 - Acupuntura (R$ 54,56)"/>
    <s v="Acupuntura"/>
    <n v="1715404057"/>
    <s v="Finalizado (1/5)"/>
    <n v="45.830399999999997"/>
    <n v="8.7295999999999996"/>
    <n v="54.56"/>
    <s v="Sessão a Faturar"/>
    <n v="812980300922010"/>
    <n v="59437"/>
    <s v="Unidade Vieralves (ANEXO)"/>
    <n v="1715404057"/>
    <m/>
  </r>
  <r>
    <x v="24"/>
    <x v="40"/>
    <s v="Valquíria Paiva Carvalho"/>
    <s v="Feminino"/>
    <x v="4"/>
    <x v="3"/>
    <s v="31601014 - Acupuntura (R$ 54,56)"/>
    <s v="Acupuntura"/>
    <n v="1713206478"/>
    <s v="Finalizado (3/5)"/>
    <n v="45.830399999999997"/>
    <n v="8.7295999999999996"/>
    <n v="54.56"/>
    <s v="Sessão Faturada"/>
    <n v="896982600019020"/>
    <n v="59655"/>
    <s v="Unidade Vieralves (ANEXO)"/>
    <n v="1713206478"/>
    <m/>
  </r>
  <r>
    <x v="24"/>
    <x v="35"/>
    <s v="Ricardo Andreazze da Silva"/>
    <s v="Masculino"/>
    <x v="9"/>
    <x v="3"/>
    <s v="31601014 - Acupuntura (R$ 54,56)"/>
    <s v="Acupuntura"/>
    <n v="1713268131"/>
    <s v="Finalizado (3/5)"/>
    <n v="45.830399999999997"/>
    <n v="8.7295999999999996"/>
    <n v="54.56"/>
    <s v="Sessão Faturada"/>
    <n v="954600010545000"/>
    <n v="38890"/>
    <s v="Unidade Vieralves (ANEXO)"/>
    <n v="1713268131"/>
    <m/>
  </r>
  <r>
    <x v="24"/>
    <x v="35"/>
    <s v="José Roberto Teixeira Pereira"/>
    <s v="Masculino"/>
    <x v="6"/>
    <x v="3"/>
    <s v="31601014 - Acupuntura (R$ 51,33)"/>
    <s v="Acupuntura"/>
    <n v="171597"/>
    <s v="Finalizado (4/4)"/>
    <n v="43.117199999999997"/>
    <n v="8.2127999999999997"/>
    <n v="51.33"/>
    <s v="Sessão a Faturar"/>
    <s v="56788888488537970015"/>
    <n v="56491"/>
    <s v="Unidade Vieralves (ANEXO)"/>
    <n v="171597"/>
    <m/>
  </r>
  <r>
    <x v="24"/>
    <x v="35"/>
    <s v="Josicleide Nunes Santos"/>
    <s v="Feminino"/>
    <x v="4"/>
    <x v="3"/>
    <s v="31601014 - Acupuntura (R$ 54,56)"/>
    <s v="Acupuntura"/>
    <n v="1711861322"/>
    <s v="Finalizado (2/4)"/>
    <n v="45.830399999999997"/>
    <n v="8.7295999999999996"/>
    <n v="54.56"/>
    <s v="Sessão a Faturar"/>
    <n v="774981001279000"/>
    <n v="20120"/>
    <s v="Unidade Vieralves (ANEXO)"/>
    <n v="1711861322"/>
    <m/>
  </r>
  <r>
    <x v="24"/>
    <x v="37"/>
    <s v="Heloísa Ribeiro Alves"/>
    <s v="Feminino"/>
    <x v="9"/>
    <x v="3"/>
    <s v="31601014 - Acupuntura (R$ 54,56)"/>
    <s v="Acupuntura"/>
    <n v="1715468635"/>
    <s v="Finalizado (1/5)"/>
    <n v="45.830399999999997"/>
    <n v="8.7295999999999996"/>
    <n v="54.56"/>
    <s v="Sessão Faturada"/>
    <n v="954600017590000"/>
    <n v="59570"/>
    <s v="Unidade Vieralves (ANEXO)"/>
    <n v="1715468635"/>
    <m/>
  </r>
  <r>
    <x v="24"/>
    <x v="43"/>
    <s v="Jacklene Fonseca Guerreiro"/>
    <s v="Feminino"/>
    <x v="4"/>
    <x v="3"/>
    <s v="31601014 - Acupuntura (R$ 54,56)"/>
    <s v="Acupuntura"/>
    <n v="1715481406"/>
    <s v="Finalizado (1/5)"/>
    <n v="45.830399999999997"/>
    <n v="8.7295999999999996"/>
    <n v="54.56"/>
    <s v="Sessão a Faturar"/>
    <n v="775216011525020"/>
    <n v="59720"/>
    <s v="Unidade Vieralves (ANEXO)"/>
    <n v="1715481406"/>
    <m/>
  </r>
  <r>
    <x v="24"/>
    <x v="43"/>
    <s v="Isabelle Aucar Gioia"/>
    <s v="Feminino"/>
    <x v="6"/>
    <x v="3"/>
    <s v="31601014 - Acupuntura (R$ 51,33)"/>
    <s v="Acupuntura"/>
    <n v="169669"/>
    <s v="Finalizado (4/4)"/>
    <n v="43.117199999999997"/>
    <n v="8.2127999999999997"/>
    <n v="51.33"/>
    <s v="Sessão a Faturar"/>
    <s v="58200789998000620016"/>
    <n v="53296"/>
    <s v="Unidade Vieralves (ANEXO)"/>
    <n v="169669"/>
    <s v="guia assinada. 14/03"/>
  </r>
  <r>
    <x v="5"/>
    <x v="41"/>
    <s v="Samantha Nathalia da Silva Souza"/>
    <s v="Feminino"/>
    <x v="4"/>
    <x v="3"/>
    <s v="31601014 - Acupuntura (R$ 54,56)"/>
    <s v="Acupuntura"/>
    <n v="1713330151"/>
    <s v="Finalizado (4/5)"/>
    <n v="45.830399999999997"/>
    <n v="8.7295999999999996"/>
    <n v="54.56"/>
    <s v="Sessão Faturada"/>
    <n v="774104016012010"/>
    <n v="59657"/>
    <s v="Unidade Vieralves (ANEXO)"/>
    <n v="1713330151"/>
    <m/>
  </r>
  <r>
    <x v="5"/>
    <x v="41"/>
    <s v="Valquíria Paiva Carvalho"/>
    <s v="Feminino"/>
    <x v="4"/>
    <x v="3"/>
    <s v="31601014 - Acupuntura (R$ 54,56)"/>
    <s v="Acupuntura"/>
    <n v="1713206478"/>
    <s v="Finalizado (4/5)"/>
    <n v="45.830399999999997"/>
    <n v="8.7295999999999996"/>
    <n v="54.56"/>
    <s v="Sessão Faturada"/>
    <n v="896982600019020"/>
    <n v="59655"/>
    <s v="Unidade Vieralves (ANEXO)"/>
    <n v="1713206478"/>
    <m/>
  </r>
  <r>
    <x v="5"/>
    <x v="41"/>
    <s v="David de Souza Brandão"/>
    <s v="Masculino"/>
    <x v="7"/>
    <x v="3"/>
    <s v="Part Convenio - 4 - Acupuntura - Pacote (R$ 65,00)"/>
    <s v="Acupuntura"/>
    <n v="172513"/>
    <s v="Finalizado (1/10)"/>
    <n v="50.7"/>
    <n v="14.3"/>
    <n v="65"/>
    <s v="No Prazo"/>
    <s v="0901013409150193"/>
    <n v="48043"/>
    <s v="Unidade Vieralves (ANEXO)"/>
    <n v="172513"/>
    <m/>
  </r>
  <r>
    <x v="5"/>
    <x v="36"/>
    <s v="Alice Viana Franklin"/>
    <s v="Feminino"/>
    <x v="4"/>
    <x v="3"/>
    <s v="31601014 - Acupuntura (R$ 54,56)"/>
    <s v="Acupuntura"/>
    <n v="1715404057"/>
    <s v="Finalizado (2/5)"/>
    <n v="45.830399999999997"/>
    <n v="8.7295999999999996"/>
    <n v="54.56"/>
    <s v="Sessão a Faturar"/>
    <n v="812980300922010"/>
    <n v="59437"/>
    <s v="Unidade Vieralves (ANEXO)"/>
    <n v="1715404057"/>
    <m/>
  </r>
  <r>
    <x v="5"/>
    <x v="40"/>
    <s v="Aleksander Weinstock Cattan"/>
    <s v="Masculino"/>
    <x v="6"/>
    <x v="3"/>
    <s v="31601014 - Acupuntura (R$ 51,33)"/>
    <s v="Acupuntura"/>
    <n v="172518"/>
    <s v="Finalizado (1/1)"/>
    <n v="43.117199999999997"/>
    <n v="8.2127999999999997"/>
    <n v="51.33"/>
    <s v="Sessão a Faturar"/>
    <s v="55788888491214450109"/>
    <n v="58285"/>
    <s v="Unidade Vieralves (ANEXO)"/>
    <n v="172518"/>
    <m/>
  </r>
  <r>
    <x v="5"/>
    <x v="35"/>
    <s v="Jacklene Fonseca Guerreiro"/>
    <s v="Feminino"/>
    <x v="4"/>
    <x v="3"/>
    <s v="31601014 - Acupuntura (R$ 54,56)"/>
    <s v="Acupuntura"/>
    <n v="1715481406"/>
    <s v="Finalizado (2/5)"/>
    <n v="45.830399999999997"/>
    <n v="8.7295999999999996"/>
    <n v="54.56"/>
    <s v="Sessão a Faturar"/>
    <n v="775216011525020"/>
    <n v="59720"/>
    <s v="Unidade Vieralves (ANEXO)"/>
    <n v="1715481406"/>
    <m/>
  </r>
  <r>
    <x v="5"/>
    <x v="35"/>
    <s v="Ingrid Roseane Magno Viana"/>
    <s v="Feminino"/>
    <x v="9"/>
    <x v="3"/>
    <s v="31601014 - Acupuntura (R$ 54,56)"/>
    <s v="Acupuntura"/>
    <n v="1712703146"/>
    <s v="Finalizado (4/5)"/>
    <n v="45.830399999999997"/>
    <n v="8.7295999999999996"/>
    <n v="54.56"/>
    <s v="Sessão Faturada"/>
    <n v="954440006904010"/>
    <n v="58326"/>
    <s v="Unidade Vieralves (ANEXO)"/>
    <n v="1712703146"/>
    <m/>
  </r>
  <r>
    <x v="5"/>
    <x v="39"/>
    <s v="Antônio Edivaldo Pereira Nunes"/>
    <s v="Masculino"/>
    <x v="12"/>
    <x v="3"/>
    <s v="31601014 - Acupuntura (R$ 54,56)"/>
    <s v="Acupuntura"/>
    <n v="10313813"/>
    <s v="Finalizado (8/10)"/>
    <n v="45.830399999999997"/>
    <n v="8.7295999999999996"/>
    <n v="54.56"/>
    <s v="Sessão a Faturar"/>
    <n v="9.5125782212117005E+17"/>
    <n v="57571"/>
    <s v="Unidade Vieralves (ANEXO)"/>
    <n v="10313813"/>
    <m/>
  </r>
  <r>
    <x v="5"/>
    <x v="43"/>
    <s v="Marcia dos Santos"/>
    <s v="Feminino"/>
    <x v="6"/>
    <x v="3"/>
    <s v="31601014 - Acupuntura (R$ 51,33)"/>
    <s v="Acupuntura"/>
    <n v="172139"/>
    <s v="Finalizado (2/2)"/>
    <n v="43.117199999999997"/>
    <n v="8.2127999999999997"/>
    <n v="51.33"/>
    <s v="Sessão a Faturar"/>
    <s v="55788888490616460011"/>
    <n v="24503"/>
    <s v="Unidade Vieralves (ANEXO)"/>
    <n v="172139"/>
    <m/>
  </r>
  <r>
    <x v="6"/>
    <x v="44"/>
    <s v="Bruno Marques da Silva"/>
    <s v="Masculino"/>
    <x v="6"/>
    <x v="3"/>
    <s v="31601014 - Acupuntura (R$ 51,33)"/>
    <s v="Acupuntura"/>
    <n v="170163"/>
    <s v="Finalizado (4/4)"/>
    <n v="43.117199999999997"/>
    <n v="8.2127999999999997"/>
    <n v="51.33"/>
    <s v="Sessão a Faturar"/>
    <s v="51588888485478760019"/>
    <n v="59478"/>
    <s v="Unidade Vieralves (ANEXO)"/>
    <n v="170163"/>
    <m/>
  </r>
  <r>
    <x v="6"/>
    <x v="36"/>
    <s v="Vanessa Amaral da Rocha"/>
    <s v="Feminino"/>
    <x v="6"/>
    <x v="3"/>
    <s v="31601014 - Acupuntura (R$ 51,33)"/>
    <s v="Acupuntura"/>
    <n v="171657"/>
    <s v="Finalizado (2/4)"/>
    <n v="43.117199999999997"/>
    <n v="8.2127999999999997"/>
    <n v="51.33"/>
    <s v="Sessão a Faturar"/>
    <s v="55788888491043450029"/>
    <n v="13689"/>
    <s v="Unidade Vieralves (ANEXO)"/>
    <n v="171657"/>
    <m/>
  </r>
  <r>
    <x v="6"/>
    <x v="35"/>
    <s v="Bruno Barbosa dos Santos"/>
    <s v="Masculino"/>
    <x v="9"/>
    <x v="3"/>
    <s v="31601014 - Acupuntura (R$ 54,56)"/>
    <s v="Acupuntura"/>
    <n v="1709481067"/>
    <s v="Finalizado (3/3)"/>
    <n v="45.830399999999997"/>
    <n v="8.7295999999999996"/>
    <n v="54.56"/>
    <s v="Sessão Faturada"/>
    <n v="954600007650010"/>
    <n v="59241"/>
    <s v="Unidade Vieralves (ANEXO)"/>
    <n v="1709481067"/>
    <m/>
  </r>
  <r>
    <x v="6"/>
    <x v="35"/>
    <s v="Ricardo Andreazze da Silva"/>
    <s v="Masculino"/>
    <x v="9"/>
    <x v="3"/>
    <s v="31601014 - Acupuntura (R$ 54,56)"/>
    <s v="Acupuntura"/>
    <n v="1713268131"/>
    <s v="Finalizado (4/5)"/>
    <n v="45.830399999999997"/>
    <n v="8.7295999999999996"/>
    <n v="54.56"/>
    <s v="Sessão Faturada"/>
    <n v="954600010545000"/>
    <n v="38890"/>
    <s v="Unidade Vieralves (ANEXO)"/>
    <n v="1713268131"/>
    <m/>
  </r>
  <r>
    <x v="6"/>
    <x v="38"/>
    <s v="Jackeline de Oliveira"/>
    <s v="Feminino"/>
    <x v="4"/>
    <x v="3"/>
    <s v="31601014 - Acupuntura (R$ 54,56)"/>
    <s v="Acupuntura"/>
    <n v="1716513516"/>
    <s v="Finalizado (1/2)"/>
    <n v="45.830399999999997"/>
    <n v="8.7295999999999996"/>
    <n v="54.56"/>
    <s v="Sessão a Faturar"/>
    <n v="895789500019010"/>
    <n v="3659"/>
    <s v="Unidade Vieralves (ANEXO)"/>
    <n v="1716513516"/>
    <m/>
  </r>
  <r>
    <x v="6"/>
    <x v="39"/>
    <s v="Erlom André de Matos"/>
    <s v="Masculino"/>
    <x v="4"/>
    <x v="3"/>
    <s v="31601014 - Acupuntura (R$ 54,56)"/>
    <s v="Acupuntura"/>
    <n v="1716597707"/>
    <s v="Finalizado (1/5)"/>
    <n v="45.830399999999997"/>
    <n v="8.7295999999999996"/>
    <n v="54.56"/>
    <s v="Sessão a Faturar"/>
    <n v="893331302089010"/>
    <n v="59095"/>
    <s v="Unidade Vieralves (ANEXO)"/>
    <n v="1716597707"/>
    <m/>
  </r>
  <r>
    <x v="6"/>
    <x v="43"/>
    <s v="Heloísa Ribeiro Alves"/>
    <s v="Feminino"/>
    <x v="9"/>
    <x v="3"/>
    <s v="31601014 - Acupuntura (R$ 54,56)"/>
    <s v="Acupuntura"/>
    <n v="1715468635"/>
    <s v="Finalizado (2/5)"/>
    <n v="45.830399999999997"/>
    <n v="8.7295999999999996"/>
    <n v="54.56"/>
    <s v="Sessão Faturada"/>
    <n v="954600017590000"/>
    <n v="59570"/>
    <s v="Unidade Vieralves (ANEXO)"/>
    <n v="1715468635"/>
    <m/>
  </r>
  <r>
    <x v="7"/>
    <x v="41"/>
    <s v="David de Souza Brandão"/>
    <s v="Masculino"/>
    <x v="7"/>
    <x v="3"/>
    <s v="Part Convenio - 4 - Acupuntura - Pacote (R$ 65,00)"/>
    <s v="Acupuntura"/>
    <n v="172513"/>
    <s v="Finalizado (2/10)"/>
    <n v="50.7"/>
    <n v="14.3"/>
    <n v="65"/>
    <s v="No Prazo"/>
    <s v="0901013409150193"/>
    <n v="48043"/>
    <s v="Unidade Vieralves (ANEXO)"/>
    <n v="172513"/>
    <m/>
  </r>
  <r>
    <x v="7"/>
    <x v="41"/>
    <s v="Samantha Nathalia da Silva Souza"/>
    <s v="Feminino"/>
    <x v="4"/>
    <x v="3"/>
    <s v="31601014 - Acupuntura (R$ 54,56)"/>
    <s v="Acupuntura"/>
    <n v="1713330151"/>
    <s v="Finalizado (5/5)"/>
    <n v="45.830399999999997"/>
    <n v="8.7295999999999996"/>
    <n v="54.56"/>
    <s v="Sessão Faturada"/>
    <n v="774104016012010"/>
    <n v="59657"/>
    <s v="Unidade Vieralves (ANEXO)"/>
    <n v="1713330151"/>
    <m/>
  </r>
  <r>
    <x v="7"/>
    <x v="36"/>
    <s v="Maria Eduarda Valente Oliveira"/>
    <s v="Feminino"/>
    <x v="4"/>
    <x v="3"/>
    <s v="31601014 - Acupuntura (R$ 54,56)"/>
    <s v="Acupuntura"/>
    <n v="1714976080"/>
    <s v="Finalizado (2/3)"/>
    <n v="45.830399999999997"/>
    <n v="8.7295999999999996"/>
    <n v="54.56"/>
    <s v="Sessão a Faturar"/>
    <n v="774642030210000"/>
    <n v="59322"/>
    <s v="Unidade Vieralves (ANEXO)"/>
    <n v="1714976080"/>
    <m/>
  </r>
  <r>
    <x v="7"/>
    <x v="36"/>
    <s v="Valquíria Paiva Carvalho"/>
    <s v="Feminino"/>
    <x v="4"/>
    <x v="3"/>
    <s v="31601014 - Acupuntura (R$ 54,56)"/>
    <s v="Acupuntura"/>
    <n v="1713206478"/>
    <s v="Finalizado (5/5)"/>
    <n v="45.830399999999997"/>
    <n v="8.7295999999999996"/>
    <n v="54.56"/>
    <s v="Sessão Faturada"/>
    <n v="896982600019020"/>
    <n v="59655"/>
    <s v="Unidade Vieralves (ANEXO)"/>
    <n v="1713206478"/>
    <m/>
  </r>
  <r>
    <x v="7"/>
    <x v="36"/>
    <s v="Alice Viana Franklin"/>
    <s v="Feminino"/>
    <x v="4"/>
    <x v="3"/>
    <s v="31601014 - Acupuntura (R$ 54,56)"/>
    <s v="Acupuntura"/>
    <n v="1715404057"/>
    <s v="Finalizado (3/5)"/>
    <n v="45.830399999999997"/>
    <n v="8.7295999999999996"/>
    <n v="54.56"/>
    <s v="Sessão a Faturar"/>
    <n v="812980300922010"/>
    <n v="59437"/>
    <s v="Unidade Vieralves (ANEXO)"/>
    <n v="1715404057"/>
    <m/>
  </r>
  <r>
    <x v="7"/>
    <x v="35"/>
    <s v="Giovanna Pimentel Archanjo de Oliveira"/>
    <s v="Feminino"/>
    <x v="4"/>
    <x v="3"/>
    <s v="31601014 - Acupuntura (R$ 54,56)"/>
    <s v="Acupuntura"/>
    <n v="1716961769"/>
    <s v="Finalizado (1/5)"/>
    <n v="45.830399999999997"/>
    <n v="8.7295999999999996"/>
    <n v="54.56"/>
    <s v="Sessão a Faturar"/>
    <n v="611008290002020"/>
    <n v="56721"/>
    <s v="Unidade Vieralves (ANEXO)"/>
    <n v="1716961769"/>
    <m/>
  </r>
  <r>
    <x v="7"/>
    <x v="35"/>
    <s v="Adriana de Nazare Souto de Azevedo"/>
    <s v="Feminino"/>
    <x v="6"/>
    <x v="3"/>
    <s v="31601014 - Acupuntura (R$ 51,33)"/>
    <s v="Acupuntura"/>
    <n v="172001"/>
    <s v="Finalizado (3/4)"/>
    <n v="43.117199999999997"/>
    <n v="8.2127999999999997"/>
    <n v="51.33"/>
    <s v="Sessão a Faturar"/>
    <s v="54588888007376700028"/>
    <n v="59682"/>
    <s v="Unidade Vieralves (ANEXO)"/>
    <n v="172001"/>
    <m/>
  </r>
  <r>
    <x v="7"/>
    <x v="35"/>
    <s v="Ingrid Roseane Magno Viana"/>
    <s v="Feminino"/>
    <x v="9"/>
    <x v="3"/>
    <s v="31601014 - Acupuntura (R$ 54,56)"/>
    <s v="Acupuntura"/>
    <n v="1712703146"/>
    <s v="Finalizado (5/5)"/>
    <n v="45.830399999999997"/>
    <n v="8.7295999999999996"/>
    <n v="54.56"/>
    <s v="Sessão Faturada"/>
    <n v="954440006904010"/>
    <n v="58326"/>
    <s v="Unidade Vieralves (ANEXO)"/>
    <n v="1712703146"/>
    <m/>
  </r>
  <r>
    <x v="7"/>
    <x v="39"/>
    <s v="Antônio Edivaldo Pereira Nunes"/>
    <s v="Masculino"/>
    <x v="12"/>
    <x v="3"/>
    <s v="31601014 - Acupuntura (R$ 54,56)"/>
    <s v="Acupuntura"/>
    <n v="10313813"/>
    <s v="Finalizado (9/10)"/>
    <n v="45.830399999999997"/>
    <n v="8.7295999999999996"/>
    <n v="54.56"/>
    <s v="Sessão a Faturar"/>
    <n v="9.5125782212117005E+17"/>
    <n v="57571"/>
    <s v="Unidade Vieralves (ANEXO)"/>
    <n v="10313813"/>
    <m/>
  </r>
  <r>
    <x v="8"/>
    <x v="36"/>
    <s v="Adriana de Nazare Souto de Azevedo"/>
    <s v="Feminino"/>
    <x v="6"/>
    <x v="3"/>
    <s v="31601014 - Acupuntura (R$ 51,33)"/>
    <s v="Acupuntura"/>
    <n v="172001"/>
    <s v="Finalizado (4/4)"/>
    <n v="43.117199999999997"/>
    <n v="8.2127999999999997"/>
    <n v="51.33"/>
    <s v="Sessão a Faturar"/>
    <s v="54588888007376700028"/>
    <n v="59682"/>
    <s v="Unidade Vieralves (ANEXO)"/>
    <n v="172001"/>
    <m/>
  </r>
  <r>
    <x v="8"/>
    <x v="36"/>
    <s v="Jorge Angelo Fernandes Siqueira"/>
    <s v="Masculino"/>
    <x v="10"/>
    <x v="3"/>
    <s v="31601014 - Acupuntura Por Sessão (R$ 25,00)"/>
    <s v="Acupuntura"/>
    <n v="22999122"/>
    <s v="Finalizado (1/10)"/>
    <n v="21"/>
    <n v="4"/>
    <n v="25"/>
    <s v="Sessão a Faturar"/>
    <s v="00010064268113001"/>
    <n v="59699"/>
    <s v="Unidade Vieralves (ANEXO)"/>
    <n v="22999122"/>
    <m/>
  </r>
  <r>
    <x v="8"/>
    <x v="36"/>
    <s v="Vanessa Amaral da Rocha"/>
    <s v="Feminino"/>
    <x v="6"/>
    <x v="3"/>
    <s v="31601014 - Acupuntura (R$ 51,33)"/>
    <s v="Acupuntura"/>
    <n v="171657"/>
    <s v="Finalizado (3/4)"/>
    <n v="43.117199999999997"/>
    <n v="8.2127999999999997"/>
    <n v="51.33"/>
    <s v="Sessão a Faturar"/>
    <s v="55788888491043450029"/>
    <n v="13689"/>
    <s v="Unidade Vieralves (ANEXO)"/>
    <n v="171657"/>
    <m/>
  </r>
  <r>
    <x v="8"/>
    <x v="40"/>
    <s v="Raquel dos Santos Alencar"/>
    <s v="Feminino"/>
    <x v="6"/>
    <x v="3"/>
    <s v="10101012 - Consulta Médica (R$ 121,28)"/>
    <s v="Acupuntura"/>
    <n v="7700047355"/>
    <s v="Finalizado (1/1)"/>
    <n v="121.28"/>
    <n v="0"/>
    <n v="121.28"/>
    <s v="Sessão Faturada"/>
    <s v="54588888489281240011"/>
    <n v="59773"/>
    <s v="Unidade Vieralves (ANEXO)"/>
    <n v="7700047355"/>
    <m/>
  </r>
  <r>
    <x v="8"/>
    <x v="45"/>
    <s v="Raquel dos Santos Alencar"/>
    <s v="Feminino"/>
    <x v="6"/>
    <x v="3"/>
    <s v="31601014 - Acupuntura (R$ 51,33)"/>
    <s v="Acupuntura"/>
    <n v="172988"/>
    <s v="Finalizado (1/2)"/>
    <n v="43.117199999999997"/>
    <n v="8.2127999999999997"/>
    <n v="51.33"/>
    <s v="Sessão a Faturar"/>
    <s v="54588888489281240011"/>
    <n v="59773"/>
    <s v="Unidade Vieralves (ANEXO)"/>
    <n v="172988"/>
    <m/>
  </r>
  <r>
    <x v="8"/>
    <x v="38"/>
    <s v="Heloísa Ribeiro Alves"/>
    <s v="Feminino"/>
    <x v="9"/>
    <x v="3"/>
    <s v="31601014 - Acupuntura (R$ 54,56)"/>
    <s v="Acupuntura"/>
    <n v="1715468635"/>
    <s v="Finalizado (3/5)"/>
    <n v="45.830399999999997"/>
    <n v="8.7295999999999996"/>
    <n v="54.56"/>
    <s v="Sessão Faturada"/>
    <n v="954600017590000"/>
    <n v="59570"/>
    <s v="Unidade Vieralves (ANEXO)"/>
    <n v="1715468635"/>
    <m/>
  </r>
  <r>
    <x v="9"/>
    <x v="44"/>
    <s v="David de Souza Brandão"/>
    <s v="Masculino"/>
    <x v="7"/>
    <x v="3"/>
    <s v="Part Convenio - 4 - Acupuntura - Pacote (R$ 65,00)"/>
    <s v="Acupuntura"/>
    <n v="172513"/>
    <s v="Finalizado (3/10)"/>
    <n v="50.7"/>
    <n v="14.3"/>
    <n v="65"/>
    <s v="No Prazo"/>
    <s v="0901013409150193"/>
    <n v="48043"/>
    <s v="Unidade Vieralves (ANEXO)"/>
    <n v="172513"/>
    <m/>
  </r>
  <r>
    <x v="9"/>
    <x v="41"/>
    <s v="Valquíria Paiva Carvalho"/>
    <s v="Feminino"/>
    <x v="4"/>
    <x v="3"/>
    <s v="31601014 - Acupuntura (R$ 54,56)"/>
    <s v="Acupuntura"/>
    <n v="1717948363"/>
    <s v="Finalizado (1/5)"/>
    <n v="45.830399999999997"/>
    <n v="8.7295999999999996"/>
    <n v="54.56"/>
    <s v="Sessão a Faturar"/>
    <n v="896982600019020"/>
    <n v="59655"/>
    <s v="Unidade Vieralves (ANEXO)"/>
    <n v="1717948363"/>
    <m/>
  </r>
  <r>
    <x v="9"/>
    <x v="41"/>
    <s v="Samantha Nathalia da Silva Souza"/>
    <s v="Feminino"/>
    <x v="4"/>
    <x v="3"/>
    <s v="31601014 - Acupuntura (R$ 54,56)"/>
    <s v="Acupuntura"/>
    <n v="1717942993"/>
    <s v="Finalizado (1/1)"/>
    <n v="45.830399999999997"/>
    <n v="8.7295999999999996"/>
    <n v="54.56"/>
    <s v="Sessão a Faturar"/>
    <n v="774104016012010"/>
    <n v="59657"/>
    <s v="Unidade Vieralves (ANEXO)"/>
    <n v="1717942993"/>
    <m/>
  </r>
  <r>
    <x v="9"/>
    <x v="36"/>
    <s v="Maria Eduarda Valente Oliveira"/>
    <s v="Feminino"/>
    <x v="4"/>
    <x v="3"/>
    <s v="31601014 - Acupuntura (R$ 54,56)"/>
    <s v="Acupuntura"/>
    <n v="1714976080"/>
    <s v="Finalizado (3/3)"/>
    <n v="45.830399999999997"/>
    <n v="8.7295999999999996"/>
    <n v="54.56"/>
    <s v="Sessão a Faturar"/>
    <n v="774642030210000"/>
    <n v="59322"/>
    <s v="Unidade Vieralves (ANEXO)"/>
    <n v="1714976080"/>
    <m/>
  </r>
  <r>
    <x v="9"/>
    <x v="36"/>
    <s v="Jorge Angelo Fernandes Siqueira"/>
    <s v="Masculino"/>
    <x v="10"/>
    <x v="3"/>
    <s v="31601014 - Acupuntura Por Sessão (R$ 25,00)"/>
    <s v="Acupuntura"/>
    <n v="22999122"/>
    <s v="Finalizado (2/10)"/>
    <n v="21"/>
    <n v="4"/>
    <n v="25"/>
    <s v="Sessão a Faturar"/>
    <s v="00010064268113001"/>
    <n v="59699"/>
    <s v="Unidade Vieralves (ANEXO)"/>
    <n v="22999122"/>
    <m/>
  </r>
  <r>
    <x v="9"/>
    <x v="35"/>
    <s v="Ingrid Roseane Magno Viana"/>
    <s v="Feminino"/>
    <x v="9"/>
    <x v="3"/>
    <s v="31601014 - Acupuntura (R$ 54,56)"/>
    <s v="Acupuntura"/>
    <n v="1718018291"/>
    <s v="Finalizado (1/5)"/>
    <n v="45.830399999999997"/>
    <n v="8.7295999999999996"/>
    <n v="54.56"/>
    <s v="Sessão a Faturar"/>
    <n v="954440006904010"/>
    <n v="58326"/>
    <s v="Unidade Vieralves (ANEXO)"/>
    <n v="1718018291"/>
    <m/>
  </r>
  <r>
    <x v="9"/>
    <x v="38"/>
    <s v="Antônio Edivaldo Pereira Nunes"/>
    <s v="Masculino"/>
    <x v="12"/>
    <x v="3"/>
    <s v="31601014 - Acupuntura (R$ 54,56)"/>
    <s v="Acupuntura"/>
    <n v="10313813"/>
    <s v="Finalizado (10/10)"/>
    <n v="45.830399999999997"/>
    <n v="8.7295999999999996"/>
    <n v="54.56"/>
    <s v="Sessão a Faturar"/>
    <n v="9.5125782212117005E+17"/>
    <n v="57571"/>
    <s v="Unidade Vieralves (ANEXO)"/>
    <n v="10313813"/>
    <m/>
  </r>
  <r>
    <x v="9"/>
    <x v="38"/>
    <s v="Adrielle Pereira de Sá"/>
    <s v="Feminino"/>
    <x v="9"/>
    <x v="3"/>
    <s v="31601014 - Acupuntura (R$ 54,56)"/>
    <s v="Acupuntura"/>
    <n v="1718051728"/>
    <s v="Finalizado (1/5)"/>
    <n v="45.830399999999997"/>
    <n v="8.7295999999999996"/>
    <n v="54.56"/>
    <s v="Sessão a Faturar"/>
    <n v="954600034754010"/>
    <n v="59757"/>
    <s v="Unidade Vieralves (ANEXO)"/>
    <n v="1718051728"/>
    <m/>
  </r>
  <r>
    <x v="25"/>
    <x v="40"/>
    <s v="Letícia Sofia Melo Santos"/>
    <s v="Feminino"/>
    <x v="4"/>
    <x v="3"/>
    <s v="31601014 - Acupuntura (R$ 54,56)"/>
    <s v="Acupuntura"/>
    <n v="1718436078"/>
    <s v="Finalizado (1/5)"/>
    <n v="45.830399999999997"/>
    <n v="8.7295999999999996"/>
    <n v="54.56"/>
    <s v="Sessão a Faturar"/>
    <n v="954600006513020"/>
    <n v="59806"/>
    <s v="Unidade Vieralves (ANEXO)"/>
    <n v="1718436078"/>
    <m/>
  </r>
  <r>
    <x v="25"/>
    <x v="40"/>
    <s v="Josicleide Nunes Santos"/>
    <s v="Feminino"/>
    <x v="4"/>
    <x v="3"/>
    <s v="31601014 - Acupuntura (R$ 54,56)"/>
    <s v="Acupuntura"/>
    <n v="1711861322"/>
    <s v="Finalizado (4/4)"/>
    <n v="45.830399999999997"/>
    <n v="8.7295999999999996"/>
    <n v="54.56"/>
    <s v="Sessão a Faturar"/>
    <n v="774981001279000"/>
    <n v="20120"/>
    <s v="Unidade Vieralves (ANEXO)"/>
    <n v="1711861322"/>
    <m/>
  </r>
  <r>
    <x v="25"/>
    <x v="40"/>
    <s v="Katia Rodrigues Freitas"/>
    <s v="Feminino"/>
    <x v="6"/>
    <x v="3"/>
    <s v="31601014 - Acupuntura (R$ 51,33)"/>
    <s v="Acupuntura"/>
    <n v="173260"/>
    <s v="Finalizado (1/2)"/>
    <n v="43.117199999999997"/>
    <n v="8.2127999999999997"/>
    <n v="51.33"/>
    <s v="Sessão a Faturar"/>
    <s v="54588888004873140018"/>
    <n v="58935"/>
    <s v="Unidade Vieralves (ANEXO)"/>
    <n v="173260"/>
    <s v="Guia assinada!"/>
  </r>
  <r>
    <x v="25"/>
    <x v="40"/>
    <s v="Alice Viana Franklin"/>
    <s v="Feminino"/>
    <x v="4"/>
    <x v="3"/>
    <s v="31601014 - Acupuntura (R$ 54,56)"/>
    <s v="Acupuntura"/>
    <n v="1715404057"/>
    <s v="Finalizado (4/5)"/>
    <n v="45.830399999999997"/>
    <n v="8.7295999999999996"/>
    <n v="54.56"/>
    <s v="Sessão a Faturar"/>
    <n v="812980300922010"/>
    <n v="59437"/>
    <s v="Unidade Vieralves (ANEXO)"/>
    <n v="1715404057"/>
    <m/>
  </r>
  <r>
    <x v="25"/>
    <x v="35"/>
    <s v="Erlom André de Matos"/>
    <s v="Masculino"/>
    <x v="4"/>
    <x v="3"/>
    <s v="31601014 - Acupuntura (R$ 54,56)"/>
    <s v="Acupuntura"/>
    <n v="1716597707"/>
    <s v="Finalizado (3/5)"/>
    <n v="45.830399999999997"/>
    <n v="8.7295999999999996"/>
    <n v="54.56"/>
    <s v="Sessão a Faturar"/>
    <n v="893331302089010"/>
    <n v="59095"/>
    <s v="Unidade Vieralves (ANEXO)"/>
    <n v="1716597707"/>
    <m/>
  </r>
  <r>
    <x v="25"/>
    <x v="35"/>
    <s v="Robguir Silva dos Santos"/>
    <s v="Masculino"/>
    <x v="9"/>
    <x v="3"/>
    <s v="31601014 - Acupuntura (R$ 54,56)"/>
    <s v="Acupuntura"/>
    <n v="1718430835"/>
    <s v="Finalizado (1/5)"/>
    <n v="45.830399999999997"/>
    <n v="8.7295999999999996"/>
    <n v="54.56"/>
    <s v="Sessão a Faturar"/>
    <n v="954600030341000"/>
    <n v="59814"/>
    <s v="Unidade Vieralves (ANEXO)"/>
    <n v="1718430835"/>
    <m/>
  </r>
  <r>
    <x v="25"/>
    <x v="35"/>
    <s v="Bruno Barbosa dos Santos"/>
    <s v="Masculino"/>
    <x v="4"/>
    <x v="3"/>
    <s v="31601014 - Acupuntura (R$ 54,56)"/>
    <s v="Acupuntura"/>
    <n v="1718445520"/>
    <s v="Finalizado (1/5)"/>
    <n v="45.830399999999997"/>
    <n v="8.7295999999999996"/>
    <n v="54.56"/>
    <s v="Sessão a Faturar"/>
    <n v="954600007650010"/>
    <n v="59241"/>
    <s v="Unidade Vieralves (ANEXO)"/>
    <n v="1718445520"/>
    <m/>
  </r>
  <r>
    <x v="25"/>
    <x v="35"/>
    <s v="Ricardo Andreazze da Silva"/>
    <s v="Masculino"/>
    <x v="9"/>
    <x v="3"/>
    <s v="31601014 - Acupuntura (R$ 54,56)"/>
    <s v="Acupuntura"/>
    <n v="1713268131"/>
    <s v="Finalizado (5/5)"/>
    <n v="45.830399999999997"/>
    <n v="8.7295999999999996"/>
    <n v="54.56"/>
    <s v="Sessão Faturada"/>
    <n v="954600010545000"/>
    <n v="38890"/>
    <s v="Unidade Vieralves (ANEXO)"/>
    <n v="1713268131"/>
    <m/>
  </r>
  <r>
    <x v="25"/>
    <x v="38"/>
    <s v="Edmundo dos Santos Freitas"/>
    <s v="Masculino"/>
    <x v="10"/>
    <x v="3"/>
    <s v="31601014 - Acupuntura Por Sessão (R$ 25,00)"/>
    <s v="Acupuntura"/>
    <n v="21123859"/>
    <s v="Finalizado (7/8)"/>
    <n v="21"/>
    <n v="4"/>
    <n v="25"/>
    <s v="Sessão a Faturar"/>
    <s v="00010064289222002"/>
    <n v="59546"/>
    <s v="Unidade Vieralves (ANEXO)"/>
    <n v="21123859"/>
    <m/>
  </r>
  <r>
    <x v="25"/>
    <x v="37"/>
    <s v="Daniel Alves Costa"/>
    <s v="Masculino"/>
    <x v="4"/>
    <x v="3"/>
    <s v="31601014 - Acupuntura (R$ 54,56)"/>
    <s v="Acupuntura"/>
    <n v="1718463174"/>
    <s v="Finalizado (1/3)"/>
    <n v="45.830399999999997"/>
    <n v="8.7295999999999996"/>
    <n v="54.56"/>
    <s v="Sessão a Faturar"/>
    <n v="773709045225010"/>
    <n v="43704"/>
    <s v="Unidade Vieralves (ANEXO)"/>
    <n v="1718463174"/>
    <m/>
  </r>
  <r>
    <x v="25"/>
    <x v="43"/>
    <s v="Sharlene Silva da Rocha"/>
    <s v="Feminino"/>
    <x v="5"/>
    <x v="3"/>
    <s v="31601014 - Acupuntura (R$ 90,51)"/>
    <s v="Acupuntura"/>
    <n v="79715410"/>
    <s v="Finalizado (1/10)"/>
    <n v="76.028400000000005"/>
    <n v="14.4816"/>
    <n v="90.51"/>
    <s v="Sessão a Faturar"/>
    <s v="0100752444000300"/>
    <n v="59801"/>
    <s v="Unidade Vieralves (ANEXO)"/>
    <n v="79715410"/>
    <m/>
  </r>
  <r>
    <x v="25"/>
    <x v="43"/>
    <s v="Isabelle Aucar Gioia"/>
    <s v="Feminino"/>
    <x v="6"/>
    <x v="3"/>
    <s v="31601014 - Acupuntura (R$ 51,33)"/>
    <s v="Acupuntura"/>
    <n v="173288"/>
    <s v="Finalizado (1/1)"/>
    <n v="43.117199999999997"/>
    <n v="8.2127999999999997"/>
    <n v="51.33"/>
    <s v="Sessão a Faturar"/>
    <s v="58200789998000620016"/>
    <n v="53296"/>
    <s v="Unidade Vieralves (ANEXO)"/>
    <n v="173288"/>
    <m/>
  </r>
  <r>
    <x v="25"/>
    <x v="43"/>
    <s v="Heloísa Ribeiro Alves"/>
    <s v="Feminino"/>
    <x v="9"/>
    <x v="3"/>
    <s v="31601014 - Acupuntura (R$ 54,56)"/>
    <s v="Acupuntura"/>
    <n v="1715468635"/>
    <s v="Finalizado (4/5)"/>
    <n v="45.830399999999997"/>
    <n v="8.7295999999999996"/>
    <n v="54.56"/>
    <s v="Sessão Faturada"/>
    <n v="954600017590000"/>
    <n v="59570"/>
    <s v="Unidade Vieralves (ANEXO)"/>
    <n v="1715468635"/>
    <m/>
  </r>
  <r>
    <x v="10"/>
    <x v="41"/>
    <s v="David de Souza Brandão"/>
    <s v="Masculino"/>
    <x v="7"/>
    <x v="3"/>
    <s v="Part Convenio - 4 - Acupuntura - Pacote (R$ 65,00)"/>
    <s v="Acupuntura"/>
    <n v="172513"/>
    <s v="Finalizado (4/10)"/>
    <n v="50.7"/>
    <n v="14.3"/>
    <n v="65"/>
    <s v="No Prazo"/>
    <s v="0901013409150193"/>
    <n v="48043"/>
    <s v="Unidade Vieralves (ANEXO)"/>
    <n v="172513"/>
    <m/>
  </r>
  <r>
    <x v="10"/>
    <x v="36"/>
    <s v="Jackeline de Oliveira"/>
    <s v="Feminino"/>
    <x v="4"/>
    <x v="3"/>
    <s v="31601014 - Acupuntura (R$ 54,56)"/>
    <s v="Acupuntura"/>
    <n v="1716513516"/>
    <s v="Finalizado (2/2)"/>
    <n v="45.830399999999997"/>
    <n v="8.7295999999999996"/>
    <n v="54.56"/>
    <s v="Sessão a Faturar"/>
    <n v="895789500019010"/>
    <n v="3659"/>
    <s v="Unidade Vieralves (ANEXO)"/>
    <n v="1716513516"/>
    <m/>
  </r>
  <r>
    <x v="10"/>
    <x v="36"/>
    <s v="Jorge Angelo Fernandes Siqueira"/>
    <s v="Masculino"/>
    <x v="10"/>
    <x v="3"/>
    <s v="31601014 - Acupuntura Por Sessão (R$ 25,00)"/>
    <s v="Acupuntura"/>
    <n v="22999122"/>
    <s v="Finalizado (3/10)"/>
    <n v="21"/>
    <n v="4"/>
    <n v="25"/>
    <s v="Sessão a Faturar"/>
    <s v="00010064268113001"/>
    <n v="59699"/>
    <s v="Unidade Vieralves (ANEXO)"/>
    <n v="22999122"/>
    <m/>
  </r>
  <r>
    <x v="10"/>
    <x v="35"/>
    <s v="Ingrid Roseane Magno Viana"/>
    <s v="Feminino"/>
    <x v="9"/>
    <x v="3"/>
    <s v="31601014 - Acupuntura (R$ 54,56)"/>
    <s v="Acupuntura"/>
    <n v="1718018291"/>
    <s v="Finalizado (2/5)"/>
    <n v="45.830399999999997"/>
    <n v="8.7295999999999996"/>
    <n v="54.56"/>
    <s v="Sessão a Faturar"/>
    <n v="954440006904010"/>
    <n v="58326"/>
    <s v="Unidade Vieralves (ANEXO)"/>
    <n v="1718018291"/>
    <m/>
  </r>
  <r>
    <x v="10"/>
    <x v="38"/>
    <s v="Renata Rufino de Oliveira"/>
    <s v="Feminino"/>
    <x v="22"/>
    <x v="3"/>
    <s v="00000000 - Acupuntura (R$ 0,00)"/>
    <s v="Acupuntura"/>
    <m/>
    <s v="Finalizado (1/10)"/>
    <n v="0"/>
    <n v="0"/>
    <n v="0"/>
    <s v="Sessão a Faturar"/>
    <n v="0"/>
    <n v="56620"/>
    <s v="Unidade Vieralves (ANEXO)"/>
    <m/>
    <m/>
  </r>
  <r>
    <x v="10"/>
    <x v="43"/>
    <s v="Eudima Fonseca Rocha Briglia da Cunha"/>
    <s v="Feminino"/>
    <x v="12"/>
    <x v="3"/>
    <s v="31601014 - Acupuntura (R$ 54,56)"/>
    <s v="Acupuntura"/>
    <n v="10342324"/>
    <s v="Finalizado (7/8)"/>
    <n v="45.830399999999997"/>
    <n v="8.7295999999999996"/>
    <n v="54.56"/>
    <s v="Sessão a Faturar"/>
    <s v="000743661911200901"/>
    <n v="40339"/>
    <s v="Unidade Vieralves (ANEXO)"/>
    <n v="10342324"/>
    <m/>
  </r>
  <r>
    <x v="11"/>
    <x v="44"/>
    <s v="David de Souza Brandão"/>
    <s v="Masculino"/>
    <x v="7"/>
    <x v="3"/>
    <s v="Part Convenio - 4 - Acupuntura - Pacote (R$ 65,00)"/>
    <s v="Acupuntura"/>
    <n v="172513"/>
    <s v="Finalizado (5/10)"/>
    <n v="50.7"/>
    <n v="14.3"/>
    <n v="65"/>
    <s v="No Prazo"/>
    <s v="0901013409150193"/>
    <n v="48043"/>
    <s v="Unidade Vieralves (ANEXO)"/>
    <n v="172513"/>
    <m/>
  </r>
  <r>
    <x v="11"/>
    <x v="44"/>
    <s v="Geiele Ferreira de Souza"/>
    <s v="Feminino"/>
    <x v="4"/>
    <x v="3"/>
    <s v="31601014 - Acupuntura (R$ 54,56)"/>
    <s v="Acupuntura"/>
    <n v="1719319753"/>
    <s v="Finalizado (1/5)"/>
    <n v="45.830399999999997"/>
    <n v="8.7295999999999996"/>
    <n v="54.56"/>
    <s v="Sessão a Faturar"/>
    <n v="960019323670000"/>
    <n v="14908"/>
    <s v="Unidade Vieralves (ANEXO)"/>
    <n v="1719319753"/>
    <m/>
  </r>
  <r>
    <x v="11"/>
    <x v="36"/>
    <s v="Adriana de Nazare Souto de Azevedo"/>
    <s v="Feminino"/>
    <x v="6"/>
    <x v="3"/>
    <s v="31601014 - Acupuntura (R$ 51,33)"/>
    <s v="Acupuntura"/>
    <n v="173127"/>
    <s v="Finalizado (1/2)"/>
    <n v="43.117199999999997"/>
    <n v="8.2127999999999997"/>
    <n v="51.33"/>
    <s v="Sessão a Faturar"/>
    <s v="54588888007376700028"/>
    <n v="59682"/>
    <s v="Unidade Vieralves (ANEXO)"/>
    <n v="173127"/>
    <m/>
  </r>
  <r>
    <x v="11"/>
    <x v="36"/>
    <s v="Jorge Angelo Fernandes Siqueira"/>
    <s v="Masculino"/>
    <x v="10"/>
    <x v="3"/>
    <s v="31601014 - Acupuntura Por Sessão (R$ 25,00)"/>
    <s v="Acupuntura"/>
    <n v="22999122"/>
    <s v="Finalizado (4/10)"/>
    <n v="21"/>
    <n v="4"/>
    <n v="25"/>
    <s v="Sessão a Faturar"/>
    <s v="00010064268113001"/>
    <n v="59699"/>
    <s v="Unidade Vieralves (ANEXO)"/>
    <n v="22999122"/>
    <m/>
  </r>
  <r>
    <x v="11"/>
    <x v="36"/>
    <s v="Vanessa Amaral da Rocha"/>
    <s v="Feminino"/>
    <x v="6"/>
    <x v="3"/>
    <s v="31601014 - Acupuntura (R$ 51,33)"/>
    <s v="Acupuntura"/>
    <n v="171657"/>
    <s v="Finalizado (4/4)"/>
    <n v="43.117199999999997"/>
    <n v="8.2127999999999997"/>
    <n v="51.33"/>
    <s v="Sessão a Faturar"/>
    <s v="55788888491043450029"/>
    <n v="13689"/>
    <s v="Unidade Vieralves (ANEXO)"/>
    <n v="171657"/>
    <m/>
  </r>
  <r>
    <x v="11"/>
    <x v="35"/>
    <s v="Suellem Cristian Oliveira Epifânio"/>
    <s v="Feminino"/>
    <x v="4"/>
    <x v="3"/>
    <s v="31601014 - Acupuntura (R$ 54,56)"/>
    <s v="Acupuntura"/>
    <n v="1716219667"/>
    <s v="Finalizado (2/5)"/>
    <n v="45.830399999999997"/>
    <n v="8.7295999999999996"/>
    <n v="54.56"/>
    <s v="Sessão a Faturar"/>
    <n v="775340003336000"/>
    <n v="55780"/>
    <s v="Unidade Vieralves (ANEXO)"/>
    <n v="1716219667"/>
    <m/>
  </r>
  <r>
    <x v="11"/>
    <x v="38"/>
    <s v="Ricardo Andreazze da Silva"/>
    <s v="Masculino"/>
    <x v="9"/>
    <x v="3"/>
    <s v="31601014 - Acupuntura (R$ 54,56)"/>
    <s v="Acupuntura"/>
    <n v="1719404462"/>
    <s v="Finalizado (1/5)"/>
    <n v="45.830399999999997"/>
    <n v="8.7295999999999996"/>
    <n v="54.56"/>
    <s v="Sessão a Faturar"/>
    <n v="954600010545000"/>
    <n v="38890"/>
    <s v="Unidade Vieralves (ANEXO)"/>
    <n v="1719404462"/>
    <m/>
  </r>
  <r>
    <x v="11"/>
    <x v="37"/>
    <s v="Adrielle Pereira de Sá"/>
    <s v="Feminino"/>
    <x v="9"/>
    <x v="3"/>
    <s v="31601014 - Acupuntura (R$ 54,56)"/>
    <s v="Acupuntura"/>
    <n v="1718051728"/>
    <s v="Finalizado (2/5)"/>
    <n v="45.830399999999997"/>
    <n v="8.7295999999999996"/>
    <n v="54.56"/>
    <s v="Sessão a Faturar"/>
    <n v="954600034754010"/>
    <n v="59757"/>
    <s v="Unidade Vieralves (ANEXO)"/>
    <n v="1718051728"/>
    <m/>
  </r>
  <r>
    <x v="11"/>
    <x v="37"/>
    <s v="Robguir Silva dos Santos"/>
    <s v="Masculino"/>
    <x v="9"/>
    <x v="3"/>
    <s v="31601014 - Acupuntura (R$ 54,56)"/>
    <s v="Acupuntura"/>
    <n v="1718430835"/>
    <s v="Finalizado (2/5)"/>
    <n v="45.830399999999997"/>
    <n v="8.7295999999999996"/>
    <n v="54.56"/>
    <s v="Sessão a Faturar"/>
    <n v="954600030341000"/>
    <n v="59814"/>
    <s v="Unidade Vieralves (ANEXO)"/>
    <n v="1718430835"/>
    <m/>
  </r>
  <r>
    <x v="11"/>
    <x v="37"/>
    <s v="Daniel Alves Costa"/>
    <s v="Masculino"/>
    <x v="4"/>
    <x v="3"/>
    <s v="31601014 - Acupuntura (R$ 54,56)"/>
    <s v="Acupuntura"/>
    <n v="1718463174"/>
    <s v="Finalizado (2/3)"/>
    <n v="45.830399999999997"/>
    <n v="8.7295999999999996"/>
    <n v="54.56"/>
    <s v="Sessão a Faturar"/>
    <n v="773709045225010"/>
    <n v="43704"/>
    <s v="Unidade Vieralves (ANEXO)"/>
    <n v="1718463174"/>
    <m/>
  </r>
  <r>
    <x v="11"/>
    <x v="39"/>
    <s v="Antonio de Castro dos Santos"/>
    <s v="Masculino"/>
    <x v="9"/>
    <x v="3"/>
    <s v="31601014 - Acupuntura (R$ 54,56)"/>
    <s v="Acupuntura"/>
    <n v="1719460897"/>
    <s v="Finalizado (1/1)"/>
    <n v="45.830399999999997"/>
    <n v="8.7295999999999996"/>
    <n v="54.56"/>
    <s v="Sessão a Faturar"/>
    <n v="954600038407000"/>
    <n v="59698"/>
    <s v="Unidade Vieralves (ANEXO)"/>
    <n v="1719460897"/>
    <m/>
  </r>
  <r>
    <x v="11"/>
    <x v="39"/>
    <s v="Heloísa Ribeiro Alves"/>
    <s v="Feminino"/>
    <x v="9"/>
    <x v="3"/>
    <s v="31601014 - Acupuntura (R$ 54,56)"/>
    <s v="Acupuntura"/>
    <n v="1715468635"/>
    <s v="Finalizado (5/5)"/>
    <n v="45.830399999999997"/>
    <n v="8.7295999999999996"/>
    <n v="54.56"/>
    <s v="Sessão Faturada"/>
    <n v="954600017590000"/>
    <n v="59570"/>
    <s v="Unidade Vieralves (ANEXO)"/>
    <n v="1715468635"/>
    <m/>
  </r>
  <r>
    <x v="11"/>
    <x v="43"/>
    <s v="Raquel dos Santos Alencar"/>
    <s v="Feminino"/>
    <x v="6"/>
    <x v="3"/>
    <s v="31601014 - Acupuntura (R$ 51,33)"/>
    <s v="Acupuntura"/>
    <n v="172988"/>
    <s v="Finalizado (2/2)"/>
    <n v="43.117199999999997"/>
    <n v="8.2127999999999997"/>
    <n v="51.33"/>
    <s v="Sessão a Faturar"/>
    <s v="54588888489281240011"/>
    <n v="59773"/>
    <s v="Unidade Vieralves (ANEXO)"/>
    <n v="172988"/>
    <m/>
  </r>
  <r>
    <x v="12"/>
    <x v="36"/>
    <s v="Jamile Macêdo Abrahão"/>
    <s v="Feminino"/>
    <x v="2"/>
    <x v="4"/>
    <s v="50000446 - Rpg (R$ 36,71)"/>
    <s v="Rpg"/>
    <n v="1700825197"/>
    <s v="Finalizado (3/3)"/>
    <n v="29.367999999999999"/>
    <n v="7.3419999999999996"/>
    <n v="36.71"/>
    <s v="Sessão Faturada"/>
    <n v="751127000086000"/>
    <n v="59017"/>
    <s v="Unidade Vieiralves"/>
    <n v="1700825197"/>
    <m/>
  </r>
  <r>
    <x v="12"/>
    <x v="40"/>
    <s v="Marina Sales da Silva"/>
    <s v="Feminino"/>
    <x v="2"/>
    <x v="4"/>
    <s v="50000446 - Rpg (R$ 36,71)"/>
    <s v="Rpg"/>
    <n v="1702677401"/>
    <s v="Finalizado (4/5)"/>
    <n v="29.367999999999999"/>
    <n v="7.3419999999999996"/>
    <n v="36.71"/>
    <s v="Sessão Faturada"/>
    <n v="771015052256010"/>
    <n v="57575"/>
    <s v="Unidade Vieiralves"/>
    <n v="1702677401"/>
    <m/>
  </r>
  <r>
    <x v="12"/>
    <x v="35"/>
    <s v="Remulo Jose Nascimento Filho"/>
    <s v="Masculino"/>
    <x v="2"/>
    <x v="4"/>
    <s v="50000446 - Rpg (R$ 36,71)"/>
    <s v="Rpg"/>
    <n v="1705607824"/>
    <s v="Finalizado (1/5)"/>
    <n v="29.367999999999999"/>
    <n v="7.3419999999999996"/>
    <n v="36.71"/>
    <s v="Sessão Faturada"/>
    <s v="56788888022609450103"/>
    <n v="45990"/>
    <s v="Unidade Vieiralves"/>
    <n v="1705607824"/>
    <m/>
  </r>
  <r>
    <x v="12"/>
    <x v="38"/>
    <s v="Angela Maria Brasil Batista"/>
    <s v="Feminino"/>
    <x v="2"/>
    <x v="4"/>
    <s v="50000446 - Rpg (R$ 36,71)"/>
    <s v="Rpg"/>
    <n v="1704746694"/>
    <s v="Finalizado (2/4)"/>
    <n v="29.367999999999999"/>
    <n v="7.3419999999999996"/>
    <n v="36.71"/>
    <s v="Sessão Faturada"/>
    <n v="774634051578010"/>
    <n v="59260"/>
    <s v="Unidade Vieiralves"/>
    <n v="1704746694"/>
    <m/>
  </r>
  <r>
    <x v="12"/>
    <x v="37"/>
    <s v="Nadia Livia Dantas Farias"/>
    <m/>
    <x v="2"/>
    <x v="4"/>
    <s v="50000446 - Rpg (R$ 36,71)"/>
    <s v="Rpg"/>
    <n v="1698950314"/>
    <s v="Finalizado (4/5)"/>
    <n v="29.367999999999999"/>
    <n v="7.3419999999999996"/>
    <n v="36.71"/>
    <s v="Sessão Faturada"/>
    <n v="812980300400020"/>
    <n v="59087"/>
    <s v="Unidade Vieiralves"/>
    <n v="1698950314"/>
    <m/>
  </r>
  <r>
    <x v="12"/>
    <x v="39"/>
    <s v="Ednamar da Silva Barros"/>
    <s v="Feminino"/>
    <x v="2"/>
    <x v="4"/>
    <s v="50000446 - Rpg (R$ 36,71)"/>
    <s v="Rpg"/>
    <n v="1705690379"/>
    <s v="Finalizado (1/3)"/>
    <n v="29.367999999999999"/>
    <n v="7.3419999999999996"/>
    <n v="36.71"/>
    <s v="Sessão Faturada"/>
    <n v="771015041971000"/>
    <n v="58523"/>
    <s v="Unidade Vieiralves"/>
    <n v="1705690379"/>
    <m/>
  </r>
  <r>
    <x v="12"/>
    <x v="4"/>
    <s v="Maria Eduarda Santos Thomazzini"/>
    <s v="Feminino"/>
    <x v="2"/>
    <x v="4"/>
    <s v="50000446 - Rpg (R$ 36,71)"/>
    <s v="Rpg"/>
    <n v="1699214443"/>
    <s v="Finalizado (6/9)"/>
    <n v="29.367999999999999"/>
    <n v="7.3419999999999996"/>
    <n v="36.71"/>
    <s v="Sessão Faturada"/>
    <n v="813148600191030"/>
    <n v="45180"/>
    <s v="Unidade Vieiralves"/>
    <n v="1699214443"/>
    <m/>
  </r>
  <r>
    <x v="12"/>
    <x v="4"/>
    <s v="Milena Liborio Caranha Lima"/>
    <m/>
    <x v="5"/>
    <x v="4"/>
    <s v="50000446 - Rpg - 04/03/2026 (R$ 52,23)"/>
    <s v="Rpg"/>
    <n v="168763"/>
    <s v="Finalizado (2/10)"/>
    <n v="41.783999999999999"/>
    <n v="10.446"/>
    <n v="52.23"/>
    <s v="Sessão Faturada"/>
    <s v="0100791349040456"/>
    <n v="52608"/>
    <s v="Unidade Vieiralves"/>
    <n v="168763"/>
    <m/>
  </r>
  <r>
    <x v="12"/>
    <x v="13"/>
    <s v="Daniel de Moura Alves"/>
    <s v="Masculino"/>
    <x v="2"/>
    <x v="4"/>
    <s v="50000446 - Rpg (R$ 36,71)"/>
    <s v="Rpg"/>
    <n v="1705858495"/>
    <s v="Finalizado (1/5)"/>
    <n v="29.367999999999999"/>
    <n v="7.3419999999999996"/>
    <n v="36.71"/>
    <s v="Sessão Faturada"/>
    <n v="774063007471000"/>
    <n v="58683"/>
    <s v="Unidade Vieiralves"/>
    <n v="1705858495"/>
    <m/>
  </r>
  <r>
    <x v="12"/>
    <x v="6"/>
    <s v="Jackeline de Oliveira"/>
    <s v="Feminino"/>
    <x v="2"/>
    <x v="4"/>
    <s v="50000446 - Rpg (R$ 36,71)"/>
    <s v="Rpg"/>
    <n v="1702887078"/>
    <s v="Finalizado (3/5)"/>
    <n v="29.367999999999999"/>
    <n v="7.3419999999999996"/>
    <n v="36.71"/>
    <s v="Sessão Faturada"/>
    <n v="895789500019010"/>
    <n v="3659"/>
    <s v="Unidade Vieiralves"/>
    <n v="1702887078"/>
    <m/>
  </r>
  <r>
    <x v="12"/>
    <x v="17"/>
    <s v="Rebeca Maria Nóbrega Crivelli"/>
    <s v="Feminino"/>
    <x v="7"/>
    <x v="4"/>
    <s v="Part Convenio - 2 - Rpg - Pacote (R$ 55,00)"/>
    <s v="Rpg"/>
    <n v="167342"/>
    <s v="Finalizado (6/10)"/>
    <n v="41.25"/>
    <n v="13.75"/>
    <n v="55"/>
    <s v="Pago"/>
    <s v="55788888487112640105"/>
    <n v="59257"/>
    <s v="Unidade Vieiralves"/>
    <n v="167342"/>
    <m/>
  </r>
  <r>
    <x v="12"/>
    <x v="8"/>
    <s v="Alessandra Silveira Rocha"/>
    <s v="Feminino"/>
    <x v="2"/>
    <x v="4"/>
    <s v="50000446 - Rpg (R$ 36,71)"/>
    <s v="Rpg"/>
    <n v="1701945053"/>
    <s v="Finalizado (5/5)"/>
    <n v="29.367999999999999"/>
    <n v="7.3419999999999996"/>
    <n v="36.71"/>
    <s v="Sessão Faturada"/>
    <n v="774063023809020"/>
    <n v="58966"/>
    <s v="Unidade Vieiralves"/>
    <n v="1701945053"/>
    <m/>
  </r>
  <r>
    <x v="12"/>
    <x v="10"/>
    <s v="Bruno Fernandes de Souza"/>
    <s v="Masculino"/>
    <x v="2"/>
    <x v="4"/>
    <s v="50000144 - Avaliação de Fisioterapia (R$ 51,42)"/>
    <s v="Rpg"/>
    <n v="1705955947"/>
    <s v="Finalizado (1/1)"/>
    <n v="46.277999999999999"/>
    <n v="5.1420000000000003"/>
    <n v="51.42"/>
    <s v="Sessão Faturada"/>
    <n v="960019333752010"/>
    <n v="29635"/>
    <s v="Unidade Vieiralves"/>
    <n v="1705955947"/>
    <m/>
  </r>
  <r>
    <x v="12"/>
    <x v="10"/>
    <s v="Bruno Fernandes de Souza"/>
    <s v="Masculino"/>
    <x v="2"/>
    <x v="4"/>
    <s v="50000446 - Rpg (R$ 36,71)"/>
    <s v="Rpg"/>
    <n v="1705956580"/>
    <s v="Finalizado (1/2)"/>
    <n v="29.367999999999999"/>
    <n v="7.3419999999999996"/>
    <n v="36.71"/>
    <s v="Sessão Faturada"/>
    <n v="960019333752010"/>
    <n v="29635"/>
    <s v="Unidade Vieiralves"/>
    <n v="1705956580"/>
    <m/>
  </r>
  <r>
    <x v="12"/>
    <x v="12"/>
    <s v="Francisco Lima da Silva"/>
    <s v="Masculino"/>
    <x v="2"/>
    <x v="4"/>
    <s v="50000446 - Rpg (R$ 36,71)"/>
    <s v="Rpg"/>
    <n v="1704926490"/>
    <s v="Finalizado (2/5)"/>
    <n v="29.367999999999999"/>
    <n v="7.3419999999999996"/>
    <n v="36.71"/>
    <s v="Sessão Faturada"/>
    <n v="774981007706010"/>
    <n v="52427"/>
    <s v="Unidade Vieiralves"/>
    <n v="1704926490"/>
    <m/>
  </r>
  <r>
    <x v="14"/>
    <x v="41"/>
    <s v="Maria Raimunda da Silva Guedes Lima"/>
    <s v="Feminino"/>
    <x v="2"/>
    <x v="4"/>
    <s v="50000446 - Rpg (R$ 36,71)"/>
    <s v="Rpg"/>
    <n v="1703616703"/>
    <s v="Finalizado (4/5)"/>
    <n v="29.367999999999999"/>
    <n v="7.3419999999999996"/>
    <n v="36.71"/>
    <s v="Sessão Faturada"/>
    <n v="960016575471000"/>
    <n v="21019"/>
    <s v="Unidade Vieiralves"/>
    <n v="1703616703"/>
    <m/>
  </r>
  <r>
    <x v="14"/>
    <x v="36"/>
    <s v="Yasmin Guedes Lima"/>
    <s v="Feminino"/>
    <x v="2"/>
    <x v="4"/>
    <s v="50000446 - Rpg (R$ 36,71)"/>
    <s v="Rpg"/>
    <n v="1703118507"/>
    <s v="Finalizado (5/5)"/>
    <n v="29.367999999999999"/>
    <n v="7.3419999999999996"/>
    <n v="36.71"/>
    <s v="Sessão Faturada"/>
    <n v="960016575471020"/>
    <n v="35978"/>
    <s v="Unidade Vieiralves"/>
    <n v="1703118507"/>
    <m/>
  </r>
  <r>
    <x v="14"/>
    <x v="36"/>
    <s v="Jackeline de Oliveira"/>
    <s v="Feminino"/>
    <x v="2"/>
    <x v="4"/>
    <s v="50000446 - Rpg (R$ 36,71)"/>
    <s v="Rpg"/>
    <n v="1702887078"/>
    <s v="Finalizado (4/5)"/>
    <n v="29.367999999999999"/>
    <n v="7.3419999999999996"/>
    <n v="36.71"/>
    <s v="Sessão Faturada"/>
    <n v="895789500019010"/>
    <n v="3659"/>
    <s v="Unidade Vieiralves"/>
    <n v="1702887078"/>
    <m/>
  </r>
  <r>
    <x v="14"/>
    <x v="40"/>
    <s v="Christie Rachel Amazonas"/>
    <s v="Feminino"/>
    <x v="2"/>
    <x v="4"/>
    <s v="50000446 - Rpg (R$ 36,71)"/>
    <s v="Rpg"/>
    <n v="1706734852"/>
    <s v="Finalizado (1/1)"/>
    <n v="29.367999999999999"/>
    <n v="7.3419999999999996"/>
    <n v="36.71"/>
    <s v="Sessão Faturada"/>
    <n v="839064800019030"/>
    <n v="58462"/>
    <s v="Unidade Vieiralves"/>
    <n v="1706734852"/>
    <m/>
  </r>
  <r>
    <x v="14"/>
    <x v="35"/>
    <s v="Remulo Jose Nascimento Filho"/>
    <s v="Masculino"/>
    <x v="2"/>
    <x v="4"/>
    <s v="50000446 - Rpg (R$ 36,71)"/>
    <s v="Rpg"/>
    <n v="1705607824"/>
    <s v="Finalizado (2/5)"/>
    <n v="29.367999999999999"/>
    <n v="7.3419999999999996"/>
    <n v="36.71"/>
    <s v="Sessão Faturada"/>
    <s v="56788888022609450103"/>
    <n v="45990"/>
    <s v="Unidade Vieiralves"/>
    <n v="1705607824"/>
    <m/>
  </r>
  <r>
    <x v="14"/>
    <x v="37"/>
    <s v="Nadia Livia Dantas Farias"/>
    <m/>
    <x v="2"/>
    <x v="4"/>
    <s v="50000446 - Rpg (R$ 36,71)"/>
    <s v="Rpg"/>
    <n v="1698950314"/>
    <s v="Finalizado (5/5)"/>
    <n v="29.367999999999999"/>
    <n v="7.3419999999999996"/>
    <n v="36.71"/>
    <s v="Sessão Faturada"/>
    <n v="812980300400020"/>
    <n v="59087"/>
    <s v="Unidade Vieiralves"/>
    <n v="1698950314"/>
    <m/>
  </r>
  <r>
    <x v="14"/>
    <x v="37"/>
    <s v="Marina Sales da Silva"/>
    <s v="Feminino"/>
    <x v="2"/>
    <x v="4"/>
    <s v="50000446 - Rpg (R$ 36,71)"/>
    <s v="Rpg"/>
    <n v="1702677401"/>
    <s v="Finalizado (5/5)"/>
    <n v="29.367999999999999"/>
    <n v="7.3419999999999996"/>
    <n v="36.71"/>
    <s v="Sessão Faturada"/>
    <n v="771015052256010"/>
    <n v="57575"/>
    <s v="Unidade Vieiralves"/>
    <n v="1702677401"/>
    <m/>
  </r>
  <r>
    <x v="14"/>
    <x v="39"/>
    <s v="Ednamar da Silva Barros"/>
    <s v="Feminino"/>
    <x v="2"/>
    <x v="4"/>
    <s v="50000446 - Rpg (R$ 36,71)"/>
    <s v="Rpg"/>
    <n v="1705690379"/>
    <s v="Finalizado (2/3)"/>
    <n v="29.367999999999999"/>
    <n v="7.3419999999999996"/>
    <n v="36.71"/>
    <s v="Sessão Faturada"/>
    <n v="771015041971000"/>
    <n v="58523"/>
    <s v="Unidade Vieiralves"/>
    <n v="1705690379"/>
    <m/>
  </r>
  <r>
    <x v="14"/>
    <x v="2"/>
    <s v="Ricardo Takashi Yamashita"/>
    <s v="Masculino"/>
    <x v="2"/>
    <x v="4"/>
    <s v="50000446 - Rpg (R$ 36,71)"/>
    <s v="Rpg"/>
    <n v="1706905892"/>
    <s v="Finalizado (1/4)"/>
    <n v="29.367999999999999"/>
    <n v="7.3419999999999996"/>
    <n v="36.71"/>
    <s v="Sessão Faturada"/>
    <n v="891007000019000"/>
    <n v="52119"/>
    <s v="Unidade Vieiralves"/>
    <n v="1706905892"/>
    <m/>
  </r>
  <r>
    <x v="14"/>
    <x v="4"/>
    <s v="Melinda Claudia de Araujo Teles"/>
    <s v="Feminino"/>
    <x v="2"/>
    <x v="4"/>
    <s v="50000446 - Rpg (R$ 36,71)"/>
    <s v="Rpg"/>
    <n v="1706958707"/>
    <s v="Finalizado (1/1)"/>
    <n v="29.367999999999999"/>
    <n v="7.3419999999999996"/>
    <n v="36.71"/>
    <s v="Sessão Faturada"/>
    <n v="774170001627040"/>
    <n v="35526"/>
    <s v="Unidade Vieiralves"/>
    <n v="1706958707"/>
    <m/>
  </r>
  <r>
    <x v="14"/>
    <x v="4"/>
    <s v="Maria Eduarda Santos Thomazzini"/>
    <s v="Feminino"/>
    <x v="2"/>
    <x v="4"/>
    <s v="50000446 - Rpg (R$ 36,71)"/>
    <s v="Rpg"/>
    <n v="1699214443"/>
    <s v="Finalizado (7/9)"/>
    <n v="29.367999999999999"/>
    <n v="7.3419999999999996"/>
    <n v="36.71"/>
    <s v="Sessão Faturada"/>
    <n v="813148600191030"/>
    <n v="45180"/>
    <s v="Unidade Vieiralves"/>
    <n v="1699214443"/>
    <m/>
  </r>
  <r>
    <x v="14"/>
    <x v="13"/>
    <s v="Daniel de Moura Alves"/>
    <s v="Masculino"/>
    <x v="2"/>
    <x v="4"/>
    <s v="50000446 - Rpg (R$ 36,71)"/>
    <s v="Rpg"/>
    <n v="1705858495"/>
    <s v="Finalizado (2/5)"/>
    <n v="29.367999999999999"/>
    <n v="7.3419999999999996"/>
    <n v="36.71"/>
    <s v="Sessão Faturada"/>
    <n v="774063007471000"/>
    <n v="58683"/>
    <s v="Unidade Vieiralves"/>
    <n v="1705858495"/>
    <m/>
  </r>
  <r>
    <x v="14"/>
    <x v="15"/>
    <s v="Fernanda Santos Fachinello"/>
    <s v="Feminino"/>
    <x v="7"/>
    <x v="4"/>
    <s v="Vieiralves - 19 - Rpg - Pacote (R$ 50,00)"/>
    <s v="Rpg"/>
    <n v="168316"/>
    <s v="Finalizado (9/10)"/>
    <n v="37.5"/>
    <n v="12.5"/>
    <n v="50"/>
    <s v="Pago"/>
    <n v="1301014095850300"/>
    <n v="21927"/>
    <s v="Unidade Vieiralves"/>
    <n v="168316"/>
    <m/>
  </r>
  <r>
    <x v="14"/>
    <x v="17"/>
    <s v="Alessandra Silveira Rocha"/>
    <s v="Feminino"/>
    <x v="2"/>
    <x v="4"/>
    <s v="50000446 - Rpg (R$ 36,71)"/>
    <s v="Rpg"/>
    <n v="1707004893"/>
    <s v="Finalizado (1/5)"/>
    <n v="29.367999999999999"/>
    <n v="7.3419999999999996"/>
    <n v="36.71"/>
    <s v="Sessão Faturada"/>
    <n v="774063023809020"/>
    <n v="58966"/>
    <s v="Unidade Vieiralves"/>
    <n v="1707004893"/>
    <m/>
  </r>
  <r>
    <x v="14"/>
    <x v="10"/>
    <s v="Isabella Vasconcelos Coelho"/>
    <s v="Feminino"/>
    <x v="2"/>
    <x v="4"/>
    <s v="50000446 - Rpg (R$ 36,71)"/>
    <s v="Rpg"/>
    <n v="1707035562"/>
    <s v="Finalizado (1/2)"/>
    <n v="29.367999999999999"/>
    <n v="7.3419999999999996"/>
    <n v="36.71"/>
    <s v="Sessão Faturada"/>
    <n v="771015041726020"/>
    <n v="39982"/>
    <s v="Unidade Vieiralves"/>
    <n v="1707035562"/>
    <m/>
  </r>
  <r>
    <x v="14"/>
    <x v="20"/>
    <s v="Mcluhan Teixeira Grijo"/>
    <s v="Masculino"/>
    <x v="5"/>
    <x v="4"/>
    <s v="50000446 - Rpg - 04/03/2026 (R$ 52,23)"/>
    <s v="Rpg"/>
    <n v="167647"/>
    <s v="Finalizado (3/10)"/>
    <n v="41.783999999999999"/>
    <n v="10.446"/>
    <n v="52.23"/>
    <s v="Sessão Faturada"/>
    <s v="0101072415000314"/>
    <n v="51264"/>
    <s v="Unidade Vieiralves"/>
    <n v="167647"/>
    <m/>
  </r>
  <r>
    <x v="16"/>
    <x v="36"/>
    <s v="Jackeline de Oliveira"/>
    <s v="Feminino"/>
    <x v="2"/>
    <x v="4"/>
    <s v="50000446 - Rpg (R$ 36,71)"/>
    <s v="Rpg"/>
    <n v="1702887078"/>
    <s v="Finalizado (5/5)"/>
    <n v="29.367999999999999"/>
    <n v="7.3419999999999996"/>
    <n v="36.71"/>
    <s v="Sessão Faturada"/>
    <n v="895789500019010"/>
    <n v="3659"/>
    <s v="Unidade Vieiralves"/>
    <n v="1702887078"/>
    <m/>
  </r>
  <r>
    <x v="16"/>
    <x v="35"/>
    <s v="Remulo Jose Nascimento Filho"/>
    <s v="Masculino"/>
    <x v="2"/>
    <x v="4"/>
    <s v="50000446 - Rpg (R$ 36,71)"/>
    <s v="Rpg"/>
    <n v="1705607824"/>
    <s v="Finalizado (3/5)"/>
    <n v="29.367999999999999"/>
    <n v="7.3419999999999996"/>
    <n v="36.71"/>
    <s v="Sessão Faturada"/>
    <s v="56788888022609450103"/>
    <n v="45990"/>
    <s v="Unidade Vieiralves"/>
    <n v="1705607824"/>
    <m/>
  </r>
  <r>
    <x v="16"/>
    <x v="38"/>
    <s v="Angela Maria Brasil Batista"/>
    <s v="Feminino"/>
    <x v="2"/>
    <x v="4"/>
    <s v="50000446 - Rpg (R$ 36,71)"/>
    <s v="Rpg"/>
    <n v="1704746694"/>
    <s v="Finalizado (3/4)"/>
    <n v="29.367999999999999"/>
    <n v="7.3419999999999996"/>
    <n v="36.71"/>
    <s v="Sessão Faturada"/>
    <n v="774634051578010"/>
    <n v="59260"/>
    <s v="Unidade Vieiralves"/>
    <n v="1704746694"/>
    <m/>
  </r>
  <r>
    <x v="16"/>
    <x v="0"/>
    <s v="Cristiane Gomes Barcelar Gonçalves"/>
    <s v="Feminino"/>
    <x v="0"/>
    <x v="4"/>
    <s v="50000446 - Rpg (R$ 62,75)"/>
    <s v="Rpg"/>
    <s v="42263120260311456299"/>
    <s v="Finalizado (1/10)"/>
    <n v="50.2"/>
    <n v="12.55"/>
    <n v="62.75"/>
    <s v="Sessão a Faturar"/>
    <s v="010033652753"/>
    <n v="27217"/>
    <s v="Unidade Vieiralves"/>
    <s v="42263120260311456299"/>
    <m/>
  </r>
  <r>
    <x v="16"/>
    <x v="4"/>
    <s v="Ricardo Takashi Yamashita"/>
    <s v="Masculino"/>
    <x v="2"/>
    <x v="4"/>
    <s v="50000446 - Rpg (R$ 36,71)"/>
    <s v="Rpg"/>
    <n v="1706905892"/>
    <s v="Finalizado (2/4)"/>
    <n v="29.367999999999999"/>
    <n v="7.3419999999999996"/>
    <n v="36.71"/>
    <s v="Sessão Faturada"/>
    <n v="891007000019000"/>
    <n v="52119"/>
    <s v="Unidade Vieiralves"/>
    <n v="1706905892"/>
    <m/>
  </r>
  <r>
    <x v="16"/>
    <x v="4"/>
    <s v="Maria Eduarda Santos Thomazzini"/>
    <s v="Feminino"/>
    <x v="2"/>
    <x v="4"/>
    <s v="50000446 - Rpg (R$ 36,71)"/>
    <s v="Rpg"/>
    <n v="1699214443"/>
    <s v="Finalizado (8/9)"/>
    <n v="29.367999999999999"/>
    <n v="7.3419999999999996"/>
    <n v="36.71"/>
    <s v="Sessão Faturada"/>
    <n v="813148600191030"/>
    <n v="45180"/>
    <s v="Unidade Vieiralves"/>
    <n v="1699214443"/>
    <m/>
  </r>
  <r>
    <x v="16"/>
    <x v="13"/>
    <s v="Tiago Godoy Lopes"/>
    <s v="Masculino"/>
    <x v="2"/>
    <x v="4"/>
    <s v="50000446 - Rpg (R$ 36,71)"/>
    <s v="Rpg"/>
    <n v="1703897324"/>
    <s v="Finalizado (4/5)"/>
    <n v="29.367999999999999"/>
    <n v="7.3419999999999996"/>
    <n v="36.71"/>
    <s v="Sessão Faturada"/>
    <n v="611265590001020"/>
    <n v="58056"/>
    <s v="Unidade Vieiralves"/>
    <n v="1703897324"/>
    <m/>
  </r>
  <r>
    <x v="16"/>
    <x v="6"/>
    <s v="Fernanda Santos Fachinello"/>
    <s v="Feminino"/>
    <x v="7"/>
    <x v="4"/>
    <s v="Vieiralves - 19 - Rpg - Pacote (R$ 50,00)"/>
    <s v="Rpg"/>
    <n v="168316"/>
    <s v="Finalizado (10/10)"/>
    <n v="37.5"/>
    <n v="12.5"/>
    <n v="50"/>
    <s v="Pago"/>
    <n v="1301014095850300"/>
    <n v="21927"/>
    <s v="Unidade Vieiralves"/>
    <n v="168316"/>
    <m/>
  </r>
  <r>
    <x v="16"/>
    <x v="6"/>
    <s v="Daniel de Moura Alves"/>
    <s v="Masculino"/>
    <x v="2"/>
    <x v="4"/>
    <s v="50000446 - Rpg (R$ 36,71)"/>
    <s v="Rpg"/>
    <n v="1705858495"/>
    <s v="Finalizado (3/5)"/>
    <n v="29.367999999999999"/>
    <n v="7.3419999999999996"/>
    <n v="36.71"/>
    <s v="Sessão Faturada"/>
    <n v="774063007471000"/>
    <n v="58683"/>
    <s v="Unidade Vieiralves"/>
    <n v="1705858495"/>
    <m/>
  </r>
  <r>
    <x v="16"/>
    <x v="17"/>
    <s v="Alessandra Silveira Rocha"/>
    <s v="Feminino"/>
    <x v="2"/>
    <x v="4"/>
    <s v="50000446 - Rpg (R$ 36,71)"/>
    <s v="Rpg"/>
    <n v="1707004893"/>
    <s v="Finalizado (2/5)"/>
    <n v="29.367999999999999"/>
    <n v="7.3419999999999996"/>
    <n v="36.71"/>
    <s v="Sessão Faturada"/>
    <n v="774063023809020"/>
    <n v="58966"/>
    <s v="Unidade Vieiralves"/>
    <n v="1707004893"/>
    <m/>
  </r>
  <r>
    <x v="16"/>
    <x v="10"/>
    <s v="Isabella Vasconcelos Coelho"/>
    <s v="Feminino"/>
    <x v="2"/>
    <x v="4"/>
    <s v="50000446 - Rpg (R$ 36,71)"/>
    <s v="Rpg"/>
    <n v="1707035562"/>
    <s v="Finalizado (2/2)"/>
    <n v="29.367999999999999"/>
    <n v="7.3419999999999996"/>
    <n v="36.71"/>
    <s v="Sessão Faturada"/>
    <n v="771015041726020"/>
    <n v="39982"/>
    <s v="Unidade Vieiralves"/>
    <n v="1707035562"/>
    <m/>
  </r>
  <r>
    <x v="17"/>
    <x v="36"/>
    <s v="Wendel de Mendonça de Souza"/>
    <s v="Masculino"/>
    <x v="2"/>
    <x v="4"/>
    <s v="50000446 - Rpg (R$ 36,71)"/>
    <s v="Rpg"/>
    <n v="1708868765"/>
    <s v="Finalizado (1/5)"/>
    <n v="29.367999999999999"/>
    <n v="7.3419999999999996"/>
    <n v="36.71"/>
    <s v="Sessão Faturada"/>
    <n v="854778700183020"/>
    <n v="59572"/>
    <s v="Unidade Vieiralves"/>
    <n v="1708868765"/>
    <m/>
  </r>
  <r>
    <x v="17"/>
    <x v="40"/>
    <s v="Adriana Santos Gonçalves da Silva"/>
    <s v="Feminino"/>
    <x v="2"/>
    <x v="4"/>
    <s v="50000144 - Avaliação de Fisioterapia (R$ 51,42)"/>
    <s v="Rpg"/>
    <n v="1708900534"/>
    <s v="Finalizado (1/1)"/>
    <n v="46.277999999999999"/>
    <n v="5.1420000000000003"/>
    <n v="51.42"/>
    <s v="Sessão Faturada"/>
    <n v="611019330003020"/>
    <n v="45664"/>
    <s v="Unidade Vieiralves"/>
    <n v="1708900534"/>
    <m/>
  </r>
  <r>
    <x v="17"/>
    <x v="40"/>
    <s v="Emanuele Menezes da Silva"/>
    <s v="Feminino"/>
    <x v="2"/>
    <x v="4"/>
    <s v="50000446 - Rpg (R$ 36,71)"/>
    <s v="Rpg"/>
    <n v="1708857845"/>
    <s v="Finalizado (1/4)"/>
    <n v="29.367999999999999"/>
    <n v="7.3419999999999996"/>
    <n v="36.71"/>
    <s v="Sessão Faturada"/>
    <n v="774642014893010"/>
    <n v="44534"/>
    <s v="Unidade Vieiralves"/>
    <n v="1708857845"/>
    <m/>
  </r>
  <r>
    <x v="17"/>
    <x v="45"/>
    <s v="Adriana Santos Gonçalves da Silva"/>
    <s v="Feminino"/>
    <x v="2"/>
    <x v="4"/>
    <s v="50000446 - Rpg (R$ 36,71)"/>
    <s v="Rpg"/>
    <n v="1708901554"/>
    <s v="Finalizado (1/5)"/>
    <n v="29.367999999999999"/>
    <n v="7.3419999999999996"/>
    <n v="36.71"/>
    <s v="Sessão a Faturar"/>
    <n v="611019330003020"/>
    <n v="45664"/>
    <s v="Unidade Vieiralves"/>
    <n v="1708901554"/>
    <m/>
  </r>
  <r>
    <x v="17"/>
    <x v="35"/>
    <s v="Remulo Jose Nascimento Filho"/>
    <s v="Masculino"/>
    <x v="2"/>
    <x v="4"/>
    <s v="50000446 - Rpg (R$ 36,71)"/>
    <s v="Rpg"/>
    <n v="1705607824"/>
    <s v="Finalizado (4/5)"/>
    <n v="29.367999999999999"/>
    <n v="7.3419999999999996"/>
    <n v="36.71"/>
    <s v="Sessão Faturada"/>
    <s v="56788888022609450103"/>
    <n v="45990"/>
    <s v="Unidade Vieiralves"/>
    <n v="1705607824"/>
    <m/>
  </r>
  <r>
    <x v="17"/>
    <x v="39"/>
    <s v="Ednamar da Silva Barros"/>
    <s v="Feminino"/>
    <x v="2"/>
    <x v="4"/>
    <s v="50000446 - Rpg (R$ 36,71)"/>
    <s v="Rpg"/>
    <n v="1705690379"/>
    <s v="Não compareceu (3/3)"/>
    <n v="36.71"/>
    <n v="0"/>
    <n v="36.71"/>
    <s v="Sessão Faturada"/>
    <n v="771015041971000"/>
    <n v="58523"/>
    <s v="Unidade Vieiralves"/>
    <n v="1705690379"/>
    <m/>
  </r>
  <r>
    <x v="17"/>
    <x v="43"/>
    <s v="Cristiane Gomes Barcelar Gonçalves"/>
    <s v="Feminino"/>
    <x v="0"/>
    <x v="4"/>
    <s v="50000446 - Rpg (R$ 62,75)"/>
    <s v="Rpg"/>
    <s v="42263120260311456299"/>
    <s v="Finalizado (2/10)"/>
    <n v="50.2"/>
    <n v="12.55"/>
    <n v="62.75"/>
    <s v="Sessão a Faturar"/>
    <s v="010033652753"/>
    <n v="27217"/>
    <s v="Unidade Vieiralves"/>
    <s v="42263120260311456299"/>
    <m/>
  </r>
  <r>
    <x v="17"/>
    <x v="0"/>
    <s v="Talita Ávila Lucena"/>
    <m/>
    <x v="20"/>
    <x v="4"/>
    <s v="25100050 - Rpg (R$ 28,80)"/>
    <s v="Rpg"/>
    <n v="55599300"/>
    <s v="Finalizado (1/10)"/>
    <n v="23.04"/>
    <n v="5.76"/>
    <n v="28.8"/>
    <s v="Sessão a Faturar"/>
    <n v="1051100331140100"/>
    <n v="58568"/>
    <s v="Unidade Vieiralves"/>
    <n v="55599300"/>
    <m/>
  </r>
  <r>
    <x v="17"/>
    <x v="0"/>
    <s v="Sonia dos Santos Pereira"/>
    <s v="Feminino"/>
    <x v="2"/>
    <x v="4"/>
    <s v="50000446 - Rpg (R$ 36,71)"/>
    <s v="Rpg"/>
    <n v="1709102309"/>
    <s v="Finalizado (1/3)"/>
    <n v="29.367999999999999"/>
    <n v="7.3419999999999996"/>
    <n v="36.71"/>
    <s v="Sessão Faturada"/>
    <n v="775216009806030"/>
    <n v="56433"/>
    <s v="Unidade Vieiralves"/>
    <n v="1709102309"/>
    <m/>
  </r>
  <r>
    <x v="17"/>
    <x v="4"/>
    <s v="Milena Liborio Caranha Lima"/>
    <m/>
    <x v="5"/>
    <x v="4"/>
    <s v="50000446 - Rpg - 04/03/2026 (R$ 52,23)"/>
    <s v="Rpg"/>
    <n v="168763"/>
    <s v="Finalizado (3/10)"/>
    <n v="41.783999999999999"/>
    <n v="10.446"/>
    <n v="52.23"/>
    <s v="Sessão Faturada"/>
    <s v="0100791349040456"/>
    <n v="52608"/>
    <s v="Unidade Vieiralves"/>
    <n v="168763"/>
    <m/>
  </r>
  <r>
    <x v="17"/>
    <x v="15"/>
    <s v="Fernanda Santos Fachinello"/>
    <s v="Feminino"/>
    <x v="7"/>
    <x v="4"/>
    <s v="Vieiralves - 19 - Rpg - Pacote (R$ 50,00)"/>
    <s v="Rpg"/>
    <s v="00"/>
    <s v="Finalizado (1/10)"/>
    <n v="37.5"/>
    <n v="12.5"/>
    <n v="50"/>
    <s v="Pago"/>
    <n v="1301014095850300"/>
    <n v="21927"/>
    <s v="Unidade Vieiralves"/>
    <s v="00"/>
    <m/>
  </r>
  <r>
    <x v="17"/>
    <x v="17"/>
    <s v="Gabriel Monteiro Vasconcelos"/>
    <s v="Masculino"/>
    <x v="2"/>
    <x v="4"/>
    <s v="50000446 - Rpg (R$ 36,71)"/>
    <s v="Rpg"/>
    <n v="1709217334"/>
    <s v="Finalizado (1/2)"/>
    <n v="29.367999999999999"/>
    <n v="7.3419999999999996"/>
    <n v="36.71"/>
    <s v="Sessão Faturada"/>
    <n v="894937202585000"/>
    <n v="57591"/>
    <s v="Unidade Vieiralves"/>
    <n v="1709217334"/>
    <m/>
  </r>
  <r>
    <x v="17"/>
    <x v="18"/>
    <s v="Gabriel Monteiro Vasconcelos"/>
    <s v="Masculino"/>
    <x v="2"/>
    <x v="4"/>
    <s v="50000144 - Avaliação de Fisioterapia (R$ 51,42)"/>
    <s v="Rpg"/>
    <n v="1709217814"/>
    <s v="Finalizado (1/1)"/>
    <n v="46.277999999999999"/>
    <n v="5.1420000000000003"/>
    <n v="51.42"/>
    <s v="Sessão Faturada"/>
    <n v="894937202585000"/>
    <n v="57591"/>
    <s v="Unidade Vieiralves"/>
    <n v="1709217814"/>
    <m/>
  </r>
  <r>
    <x v="17"/>
    <x v="20"/>
    <s v="Mcluhan Teixeira Grijo"/>
    <s v="Masculino"/>
    <x v="5"/>
    <x v="4"/>
    <s v="50000446 - Rpg - 04/03/2026 (R$ 52,23)"/>
    <s v="Rpg"/>
    <n v="167647"/>
    <s v="Finalizado (4/10)"/>
    <n v="41.783999999999999"/>
    <n v="10.446"/>
    <n v="52.23"/>
    <s v="Sessão Faturada"/>
    <s v="0101072415000314"/>
    <n v="51264"/>
    <s v="Unidade Vieiralves"/>
    <n v="167647"/>
    <m/>
  </r>
  <r>
    <x v="22"/>
    <x v="44"/>
    <s v="Emanuele Menezes da Silva"/>
    <s v="Feminino"/>
    <x v="2"/>
    <x v="4"/>
    <s v="50000446 - Rpg (R$ 36,71)"/>
    <s v="Rpg"/>
    <n v="1708857845"/>
    <s v="Finalizado (2/4)"/>
    <n v="29.367999999999999"/>
    <n v="7.3419999999999996"/>
    <n v="36.71"/>
    <s v="Sessão Faturada"/>
    <n v="774642014893010"/>
    <n v="44534"/>
    <s v="Unidade Vieiralves"/>
    <n v="1708857845"/>
    <m/>
  </r>
  <r>
    <x v="22"/>
    <x v="41"/>
    <s v="Suzy Moraes de Souza"/>
    <s v="Feminino"/>
    <x v="2"/>
    <x v="4"/>
    <s v="50000446 - Rpg (R$ 36,71)"/>
    <s v="Rpg"/>
    <n v="1710074840"/>
    <s v="Finalizado (1/3)"/>
    <n v="29.367999999999999"/>
    <n v="7.3419999999999996"/>
    <n v="36.71"/>
    <s v="Sessão Faturada"/>
    <n v="973700010774020"/>
    <n v="48848"/>
    <s v="Unidade Vieiralves"/>
    <n v="1710074840"/>
    <m/>
  </r>
  <r>
    <x v="22"/>
    <x v="36"/>
    <s v="Yasmin Guedes Lima"/>
    <s v="Feminino"/>
    <x v="2"/>
    <x v="4"/>
    <s v="50000446 - Rpg (R$ 36,71)"/>
    <s v="Rpg"/>
    <n v="1707146642"/>
    <s v="Finalizado (3/5)"/>
    <n v="29.367999999999999"/>
    <n v="7.3419999999999996"/>
    <n v="36.71"/>
    <s v="Sessão Faturada"/>
    <n v="960016575471020"/>
    <n v="35978"/>
    <s v="Unidade Vieiralves"/>
    <n v="1707146642"/>
    <m/>
  </r>
  <r>
    <x v="22"/>
    <x v="36"/>
    <s v="Wendel de Mendonça de Souza"/>
    <s v="Masculino"/>
    <x v="2"/>
    <x v="4"/>
    <s v="50000446 - Rpg (R$ 36,71)"/>
    <s v="Rpg"/>
    <n v="1708868765"/>
    <s v="Finalizado (2/5)"/>
    <n v="29.367999999999999"/>
    <n v="7.3419999999999996"/>
    <n v="36.71"/>
    <s v="Sessão Faturada"/>
    <n v="854778700183020"/>
    <n v="59572"/>
    <s v="Unidade Vieiralves"/>
    <n v="1708868765"/>
    <m/>
  </r>
  <r>
    <x v="22"/>
    <x v="35"/>
    <s v="Adriana Santos Gonçalves da Silva"/>
    <s v="Feminino"/>
    <x v="2"/>
    <x v="4"/>
    <s v="50000446 - Rpg (R$ 36,71)"/>
    <s v="Rpg"/>
    <n v="1708901554"/>
    <s v="Finalizado (2/5)"/>
    <n v="29.367999999999999"/>
    <n v="7.3419999999999996"/>
    <n v="36.71"/>
    <s v="Sessão a Faturar"/>
    <n v="611019330003020"/>
    <n v="45664"/>
    <s v="Unidade Vieiralves"/>
    <n v="1708901554"/>
    <m/>
  </r>
  <r>
    <x v="22"/>
    <x v="37"/>
    <s v="Angela Maria Brasil Batista"/>
    <s v="Feminino"/>
    <x v="2"/>
    <x v="4"/>
    <s v="50000446 - Rpg (R$ 36,71)"/>
    <s v="Rpg"/>
    <n v="1704746694"/>
    <s v="Finalizado (4/4)"/>
    <n v="29.367999999999999"/>
    <n v="7.3419999999999996"/>
    <n v="36.71"/>
    <s v="Sessão Faturada"/>
    <n v="774634051578010"/>
    <n v="59260"/>
    <s v="Unidade Vieiralves"/>
    <n v="1704746694"/>
    <m/>
  </r>
  <r>
    <x v="22"/>
    <x v="37"/>
    <s v="Nadia Livia Dantas Farias"/>
    <m/>
    <x v="2"/>
    <x v="4"/>
    <s v="50000446 - Rpg (R$ 36,71)"/>
    <s v="Rpg"/>
    <n v="1710792536"/>
    <s v="Finalizado (1/5)"/>
    <n v="29.367999999999999"/>
    <n v="7.3419999999999996"/>
    <n v="36.71"/>
    <s v="Sessão Faturada"/>
    <n v="812980300400020"/>
    <n v="59087"/>
    <s v="Unidade Vieiralves"/>
    <n v="1710792536"/>
    <m/>
  </r>
  <r>
    <x v="22"/>
    <x v="39"/>
    <s v="Alessandra Silveira Rocha"/>
    <s v="Feminino"/>
    <x v="2"/>
    <x v="4"/>
    <s v="50000446 - Rpg (R$ 36,71)"/>
    <s v="Rpg"/>
    <n v="1707004893"/>
    <s v="Finalizado (3/5)"/>
    <n v="29.367999999999999"/>
    <n v="7.3419999999999996"/>
    <n v="36.71"/>
    <s v="Sessão Faturada"/>
    <n v="774063023809020"/>
    <n v="58966"/>
    <s v="Unidade Vieiralves"/>
    <n v="1707004893"/>
    <m/>
  </r>
  <r>
    <x v="22"/>
    <x v="2"/>
    <s v="Cristiane Gomes Barcelar Gonçalves"/>
    <s v="Feminino"/>
    <x v="0"/>
    <x v="4"/>
    <s v="50000446 - Rpg (R$ 62,75)"/>
    <s v="Rpg"/>
    <s v="42263120260311456299"/>
    <s v="Finalizado (3/10)"/>
    <n v="50.2"/>
    <n v="12.55"/>
    <n v="62.75"/>
    <s v="Sessão a Faturar"/>
    <s v="010033652753"/>
    <n v="27217"/>
    <s v="Unidade Vieiralves"/>
    <s v="42263120260311456299"/>
    <m/>
  </r>
  <r>
    <x v="22"/>
    <x v="2"/>
    <s v="Ricardo Takashi Yamashita"/>
    <s v="Masculino"/>
    <x v="2"/>
    <x v="4"/>
    <s v="50000446 - Rpg (R$ 36,71)"/>
    <s v="Rpg"/>
    <n v="1706905892"/>
    <s v="Finalizado (3/4)"/>
    <n v="29.367999999999999"/>
    <n v="7.3419999999999996"/>
    <n v="36.71"/>
    <s v="Sessão Faturada"/>
    <n v="891007000019000"/>
    <n v="52119"/>
    <s v="Unidade Vieiralves"/>
    <n v="1706905892"/>
    <m/>
  </r>
  <r>
    <x v="22"/>
    <x v="4"/>
    <s v="Maria Eduarda Santos Thomazzini"/>
    <s v="Feminino"/>
    <x v="2"/>
    <x v="4"/>
    <s v="50000446 - Rpg (R$ 36,71)"/>
    <s v="Rpg"/>
    <n v="1699214443"/>
    <s v="Finalizado (9/9)"/>
    <n v="29.367999999999999"/>
    <n v="7.3419999999999996"/>
    <n v="36.71"/>
    <s v="Sessão Faturada"/>
    <n v="813148600191030"/>
    <n v="45180"/>
    <s v="Unidade Vieiralves"/>
    <n v="1699214443"/>
    <m/>
  </r>
  <r>
    <x v="22"/>
    <x v="15"/>
    <s v="Fernanda Santos Fachinello"/>
    <s v="Feminino"/>
    <x v="7"/>
    <x v="4"/>
    <s v="Vieiralves - 19 - Rpg - Pacote (R$ 50,00)"/>
    <s v="Rpg"/>
    <s v="00"/>
    <s v="Finalizado (2/10)"/>
    <n v="37.5"/>
    <n v="12.5"/>
    <n v="50"/>
    <s v="Pago"/>
    <n v="1301014095850300"/>
    <n v="21927"/>
    <s v="Unidade Vieiralves"/>
    <s v="00"/>
    <m/>
  </r>
  <r>
    <x v="22"/>
    <x v="8"/>
    <s v="Gabriel Monteiro Vasconcelos"/>
    <s v="Masculino"/>
    <x v="2"/>
    <x v="4"/>
    <s v="50000446 - Rpg (R$ 36,71)"/>
    <s v="Rpg"/>
    <n v="1709217334"/>
    <s v="Finalizado (2/2)"/>
    <n v="29.367999999999999"/>
    <n v="7.3419999999999996"/>
    <n v="36.71"/>
    <s v="Sessão Faturada"/>
    <n v="894937202585000"/>
    <n v="57591"/>
    <s v="Unidade Vieiralves"/>
    <n v="1709217334"/>
    <m/>
  </r>
  <r>
    <x v="20"/>
    <x v="36"/>
    <s v="Wendel de Mendonça de Souza"/>
    <s v="Masculino"/>
    <x v="2"/>
    <x v="4"/>
    <s v="50000446 - Rpg (R$ 36,71)"/>
    <s v="Rpg"/>
    <n v="1708868765"/>
    <s v="Finalizado (3/5)"/>
    <n v="29.367999999999999"/>
    <n v="7.3419999999999996"/>
    <n v="36.71"/>
    <s v="Sessão Faturada"/>
    <n v="854778700183020"/>
    <n v="59572"/>
    <s v="Unidade Vieiralves"/>
    <n v="1708868765"/>
    <m/>
  </r>
  <r>
    <x v="20"/>
    <x v="40"/>
    <s v="Adriana Santos Gonçalves da Silva"/>
    <s v="Feminino"/>
    <x v="2"/>
    <x v="4"/>
    <s v="50000446 - Rpg (R$ 36,71)"/>
    <s v="Rpg"/>
    <n v="1708901554"/>
    <s v="Finalizado (3/5)"/>
    <n v="29.367999999999999"/>
    <n v="7.3419999999999996"/>
    <n v="36.71"/>
    <s v="Sessão a Faturar"/>
    <n v="611019330003020"/>
    <n v="45664"/>
    <s v="Unidade Vieiralves"/>
    <n v="1708901554"/>
    <m/>
  </r>
  <r>
    <x v="20"/>
    <x v="40"/>
    <s v="Emanuele Menezes da Silva"/>
    <s v="Feminino"/>
    <x v="2"/>
    <x v="4"/>
    <s v="50000446 - Rpg (R$ 36,71)"/>
    <s v="Rpg"/>
    <n v="1708857845"/>
    <s v="Finalizado (3/4)"/>
    <n v="29.367999999999999"/>
    <n v="7.3419999999999996"/>
    <n v="36.71"/>
    <s v="Sessão Faturada"/>
    <n v="774642014893010"/>
    <n v="44534"/>
    <s v="Unidade Vieiralves"/>
    <n v="1708857845"/>
    <m/>
  </r>
  <r>
    <x v="20"/>
    <x v="35"/>
    <s v="Remulo Jose Nascimento Filho"/>
    <s v="Masculino"/>
    <x v="2"/>
    <x v="4"/>
    <s v="50000446 - Rpg (R$ 36,71)"/>
    <s v="Rpg"/>
    <n v="1705607824"/>
    <s v="Finalizado (5/5)"/>
    <n v="29.367999999999999"/>
    <n v="7.3419999999999996"/>
    <n v="36.71"/>
    <s v="Sessão Faturada"/>
    <s v="56788888022609450103"/>
    <n v="45990"/>
    <s v="Unidade Vieiralves"/>
    <n v="1705607824"/>
    <m/>
  </r>
  <r>
    <x v="20"/>
    <x v="38"/>
    <s v="Suzy Moraes de Souza"/>
    <s v="Feminino"/>
    <x v="2"/>
    <x v="4"/>
    <s v="50000446 - Rpg (R$ 36,71)"/>
    <s v="Rpg"/>
    <n v="1710074840"/>
    <s v="Finalizado (3/3)"/>
    <n v="29.367999999999999"/>
    <n v="7.3419999999999996"/>
    <n v="36.71"/>
    <s v="Sessão Faturada"/>
    <n v="973700010774020"/>
    <n v="48848"/>
    <s v="Unidade Vieiralves"/>
    <n v="1710074840"/>
    <m/>
  </r>
  <r>
    <x v="20"/>
    <x v="0"/>
    <s v="Davi Ferreira Gadelha"/>
    <s v="Masculino"/>
    <x v="2"/>
    <x v="4"/>
    <s v="50000446 - Rpg (R$ 36,71)"/>
    <s v="Rpg"/>
    <n v="1711543271"/>
    <s v="Finalizado (1/5)"/>
    <n v="29.367999999999999"/>
    <n v="7.3419999999999996"/>
    <n v="36.71"/>
    <s v="Sessão a Faturar"/>
    <n v="896128600019030"/>
    <n v="51103"/>
    <s v="Unidade Vieiralves"/>
    <n v="1711543271"/>
    <m/>
  </r>
  <r>
    <x v="20"/>
    <x v="0"/>
    <s v="Elcilene Pinheiro Ferreira Gadelha"/>
    <s v="Feminino"/>
    <x v="2"/>
    <x v="4"/>
    <s v="50000446 - Rpg (R$ 36,71)"/>
    <s v="Rpg"/>
    <n v="1711541524"/>
    <s v="Finalizado (1/5)"/>
    <n v="29.367999999999999"/>
    <n v="7.3419999999999996"/>
    <n v="36.71"/>
    <s v="Sessão a Faturar"/>
    <n v="896128600019000"/>
    <n v="51111"/>
    <s v="Unidade Vieiralves"/>
    <n v="1711541524"/>
    <m/>
  </r>
  <r>
    <x v="20"/>
    <x v="4"/>
    <s v="Ricardo Takashi Yamashita"/>
    <s v="Masculino"/>
    <x v="2"/>
    <x v="4"/>
    <s v="50000446 - Rpg (R$ 36,71)"/>
    <s v="Rpg"/>
    <n v="1706905892"/>
    <s v="Finalizado (4/4)"/>
    <n v="29.367999999999999"/>
    <n v="7.3419999999999996"/>
    <n v="36.71"/>
    <s v="Sessão Faturada"/>
    <n v="891007000019000"/>
    <n v="52119"/>
    <s v="Unidade Vieiralves"/>
    <n v="1706905892"/>
    <m/>
  </r>
  <r>
    <x v="20"/>
    <x v="13"/>
    <s v="Cristiane Gomes Barcelar Gonçalves"/>
    <s v="Feminino"/>
    <x v="0"/>
    <x v="4"/>
    <s v="50000446 - Rpg (R$ 62,75)"/>
    <s v="Rpg"/>
    <s v="42263120260311456299"/>
    <s v="Finalizado (4/10)"/>
    <n v="50.2"/>
    <n v="12.55"/>
    <n v="62.75"/>
    <s v="Sessão a Faturar"/>
    <s v="010033652753"/>
    <n v="27217"/>
    <s v="Unidade Vieiralves"/>
    <s v="42263120260311456299"/>
    <m/>
  </r>
  <r>
    <x v="20"/>
    <x v="17"/>
    <s v="Alessandra Silveira Rocha"/>
    <s v="Feminino"/>
    <x v="2"/>
    <x v="4"/>
    <s v="50000446 - Rpg (R$ 36,71)"/>
    <s v="Rpg"/>
    <n v="1707004893"/>
    <s v="Finalizado (4/5)"/>
    <n v="29.367999999999999"/>
    <n v="7.3419999999999996"/>
    <n v="36.71"/>
    <s v="Sessão Faturada"/>
    <n v="774063023809020"/>
    <n v="58966"/>
    <s v="Unidade Vieiralves"/>
    <n v="1707004893"/>
    <m/>
  </r>
  <r>
    <x v="20"/>
    <x v="10"/>
    <s v="Andreza da Costa Paes"/>
    <s v="Feminino"/>
    <x v="2"/>
    <x v="4"/>
    <s v="50000446 - Rpg (R$ 36,71)"/>
    <s v="Rpg"/>
    <n v="1711644639"/>
    <s v="Finalizado (1/5)"/>
    <n v="29.367999999999999"/>
    <n v="7.3419999999999996"/>
    <n v="36.71"/>
    <s v="Sessão Faturada"/>
    <n v="837047000191020"/>
    <n v="59619"/>
    <s v="Unidade Vieiralves"/>
    <n v="1711644639"/>
    <m/>
  </r>
  <r>
    <x v="9"/>
    <x v="44"/>
    <s v="Sandra Souza Cavalcante"/>
    <m/>
    <x v="2"/>
    <x v="4"/>
    <s v="50000446 - Rpg (R$ 36,71)"/>
    <s v="Rpg"/>
    <n v="1713200117"/>
    <s v="Finalizado (3/3)"/>
    <n v="29.367999999999999"/>
    <n v="7.3419999999999996"/>
    <n v="36.71"/>
    <s v="Sessão a Faturar"/>
    <n v="773299001503000"/>
    <n v="59519"/>
    <s v="Unidade Vieiralves"/>
    <n v="1713200117"/>
    <m/>
  </r>
  <r>
    <x v="9"/>
    <x v="44"/>
    <s v="Merizethe Barroso Gadelha"/>
    <s v="Feminino"/>
    <x v="2"/>
    <x v="4"/>
    <s v="50000446 - Rpg (R$ 36,71)"/>
    <s v="Rpg"/>
    <n v="1716902848"/>
    <s v="Finalizado (2/5)"/>
    <n v="29.367999999999999"/>
    <n v="7.3419999999999996"/>
    <n v="36.71"/>
    <s v="Sessão Faturada"/>
    <n v="774812000566020"/>
    <n v="59738"/>
    <s v="Unidade Vieiralves"/>
    <n v="1716902848"/>
    <m/>
  </r>
  <r>
    <x v="9"/>
    <x v="41"/>
    <s v="Carla Rabelo de Oliveira"/>
    <s v="Feminino"/>
    <x v="2"/>
    <x v="4"/>
    <s v="50000446 - Rpg (R$ 36,71)"/>
    <s v="Rpg"/>
    <n v="1717977005"/>
    <s v="Finalizado (1/5)"/>
    <n v="29.367999999999999"/>
    <n v="7.3419999999999996"/>
    <n v="36.71"/>
    <s v="Sessão a Faturar"/>
    <n v="772682029653000"/>
    <n v="59566"/>
    <s v="Unidade Vieiralves"/>
    <n v="1717977005"/>
    <m/>
  </r>
  <r>
    <x v="9"/>
    <x v="41"/>
    <s v="Wendel de Mendonça de Souza"/>
    <s v="Masculino"/>
    <x v="2"/>
    <x v="4"/>
    <s v="50000446 - Rpg (R$ 36,71)"/>
    <s v="Rpg"/>
    <n v="1716494728"/>
    <s v="Finalizado (2/5)"/>
    <n v="29.367999999999999"/>
    <n v="7.3419999999999996"/>
    <n v="36.71"/>
    <s v="Sessão a Faturar"/>
    <n v="854778700183020"/>
    <n v="59572"/>
    <s v="Unidade Vieiralves"/>
    <n v="1716494728"/>
    <m/>
  </r>
  <r>
    <x v="9"/>
    <x v="36"/>
    <s v="Katia Cilene Jardim da Costa"/>
    <s v="Feminino"/>
    <x v="2"/>
    <x v="4"/>
    <s v="50000446 - Rpg (R$ 36,71)"/>
    <s v="Rpg"/>
    <n v="1717933008"/>
    <s v="Finalizado (1/5)"/>
    <n v="29.367999999999999"/>
    <n v="7.3419999999999996"/>
    <n v="36.71"/>
    <s v="Sessão a Faturar"/>
    <n v="771015041750020"/>
    <n v="37973"/>
    <s v="Unidade Vieiralves"/>
    <n v="1717933008"/>
    <m/>
  </r>
  <r>
    <x v="9"/>
    <x v="36"/>
    <s v="Carlos Juliano Prado"/>
    <s v="Masculino"/>
    <x v="2"/>
    <x v="4"/>
    <s v="50000446 - Rpg (R$ 36,71)"/>
    <s v="Rpg"/>
    <n v="1713866551"/>
    <s v="Finalizado (5/5)"/>
    <n v="29.367999999999999"/>
    <n v="7.3419999999999996"/>
    <n v="36.71"/>
    <s v="Sessão Faturada"/>
    <n v="774981010073010"/>
    <n v="55509"/>
    <s v="Unidade Vieiralves"/>
    <n v="1713866551"/>
    <m/>
  </r>
  <r>
    <x v="9"/>
    <x v="40"/>
    <s v="Carlos Jose Cavalcante Martins"/>
    <s v="Masculino"/>
    <x v="2"/>
    <x v="4"/>
    <s v="50000446 - Rpg (R$ 36,71)"/>
    <s v="Rpg"/>
    <n v="1715902820"/>
    <s v="Finalizado (3/5)"/>
    <n v="29.367999999999999"/>
    <n v="7.3419999999999996"/>
    <n v="36.71"/>
    <s v="Sessão a Faturar"/>
    <n v="830425500051000"/>
    <n v="59320"/>
    <s v="Unidade Vieiralves"/>
    <n v="1715902820"/>
    <m/>
  </r>
  <r>
    <x v="9"/>
    <x v="40"/>
    <s v="Cristina dos Santos Braga"/>
    <m/>
    <x v="20"/>
    <x v="4"/>
    <s v="25100050 - Rpg (R$ 28,80)"/>
    <s v="Rpg"/>
    <n v="22729960"/>
    <s v="Finalizado (5/10)"/>
    <n v="23.04"/>
    <n v="5.76"/>
    <n v="28.8"/>
    <s v="Sessão a Faturar"/>
    <n v="10511000263700"/>
    <n v="59694"/>
    <s v="Unidade Vieiralves"/>
    <n v="22729960"/>
    <m/>
  </r>
  <r>
    <x v="9"/>
    <x v="35"/>
    <s v="Emanuele Menezes da Silva"/>
    <s v="Feminino"/>
    <x v="2"/>
    <x v="4"/>
    <s v="50000446 - Rpg (R$ 36,71)"/>
    <s v="Rpg"/>
    <n v="1717990336"/>
    <s v="Finalizado (1/5)"/>
    <n v="29.367999999999999"/>
    <n v="7.3419999999999996"/>
    <n v="36.71"/>
    <s v="Sessão a Faturar"/>
    <n v="774642014893010"/>
    <n v="44534"/>
    <s v="Unidade Vieiralves"/>
    <n v="1717990336"/>
    <m/>
  </r>
  <r>
    <x v="9"/>
    <x v="35"/>
    <s v="Denise de Souza Lima Herzog"/>
    <s v="Feminino"/>
    <x v="2"/>
    <x v="4"/>
    <s v="50000446 - Rpg (R$ 36,71)"/>
    <s v="Rpg"/>
    <n v="1715999585"/>
    <s v="Finalizado (3/5)"/>
    <n v="29.367999999999999"/>
    <n v="7.3419999999999996"/>
    <n v="36.71"/>
    <s v="Sessão Faturada"/>
    <n v="810177500019010"/>
    <n v="52971"/>
    <s v="Unidade Vieiralves"/>
    <n v="1715999585"/>
    <m/>
  </r>
  <r>
    <x v="9"/>
    <x v="38"/>
    <s v="Julliana Gadelha de Medeiros"/>
    <s v="Feminino"/>
    <x v="8"/>
    <x v="4"/>
    <s v="50000446 - Reeducação Postural Global (R$ 36,71)"/>
    <s v="Rpg"/>
    <n v="1713436222"/>
    <s v="Finalizado (5/5)"/>
    <n v="29.367999999999999"/>
    <n v="7.3419999999999996"/>
    <n v="36.71"/>
    <s v="Sessão Faturada"/>
    <n v="954600002968020"/>
    <n v="20663"/>
    <s v="Unidade Vieiralves"/>
    <n v="1713436222"/>
    <m/>
  </r>
  <r>
    <x v="9"/>
    <x v="37"/>
    <s v="Nadia Livia Dantas Farias"/>
    <m/>
    <x v="2"/>
    <x v="4"/>
    <s v="50000446 - Rpg (R$ 36,71)"/>
    <s v="Rpg"/>
    <n v="1710792536"/>
    <s v="Finalizado (5/5)"/>
    <n v="29.367999999999999"/>
    <n v="7.3419999999999996"/>
    <n v="36.71"/>
    <s v="Sessão Faturada"/>
    <n v="812980300400020"/>
    <n v="59087"/>
    <s v="Unidade Vieiralves"/>
    <n v="1710792536"/>
    <m/>
  </r>
  <r>
    <x v="9"/>
    <x v="37"/>
    <s v="Simone de Oliveira Vasconcelos"/>
    <s v="Feminino"/>
    <x v="2"/>
    <x v="4"/>
    <s v="50000446 - Rpg (R$ 36,71)"/>
    <s v="Rpg"/>
    <n v="1713991603"/>
    <s v="Finalizado (4/4)"/>
    <n v="29.367999999999999"/>
    <n v="7.3419999999999996"/>
    <n v="36.71"/>
    <s v="Sessão a Faturar"/>
    <n v="771015038954010"/>
    <n v="54706"/>
    <s v="Unidade Vieiralves"/>
    <n v="1713991603"/>
    <m/>
  </r>
  <r>
    <x v="9"/>
    <x v="39"/>
    <s v="Daniele Guimarães Alves"/>
    <s v="Feminino"/>
    <x v="2"/>
    <x v="4"/>
    <s v="50000446 - Rpg (R$ 36,71)"/>
    <s v="Rpg"/>
    <n v="1713359209"/>
    <s v="Finalizado (3/4)"/>
    <n v="29.367999999999999"/>
    <n v="7.3419999999999996"/>
    <n v="36.71"/>
    <s v="Sessão a Faturar"/>
    <n v="952650062103000"/>
    <n v="59353"/>
    <s v="Unidade Vieiralves"/>
    <n v="1713359209"/>
    <m/>
  </r>
  <r>
    <x v="9"/>
    <x v="43"/>
    <s v="Luciana Levinthal da Silva"/>
    <s v="Feminino"/>
    <x v="11"/>
    <x v="4"/>
    <s v="90001001 - Rpg (R$ 65,10)"/>
    <s v="Rpg"/>
    <n v="3606"/>
    <s v="Finalizado (4/10)"/>
    <n v="52.08"/>
    <n v="13.02"/>
    <n v="65.099999999999994"/>
    <s v="Sessão a Faturar"/>
    <s v="01685-F-1"/>
    <n v="59646"/>
    <s v="Unidade Vieiralves"/>
    <n v="3606"/>
    <m/>
  </r>
  <r>
    <x v="10"/>
    <x v="44"/>
    <s v="Jackeline de Oliveira"/>
    <s v="Feminino"/>
    <x v="2"/>
    <x v="4"/>
    <s v="50000446 - Rpg (R$ 36,71)"/>
    <s v="Rpg"/>
    <n v="1716583446"/>
    <s v="Finalizado (3/5)"/>
    <n v="29.367999999999999"/>
    <n v="7.3419999999999996"/>
    <n v="36.71"/>
    <s v="Sessão a Faturar"/>
    <n v="895789500019010"/>
    <n v="3659"/>
    <s v="Unidade Vieiralves"/>
    <n v="1716583446"/>
    <m/>
  </r>
  <r>
    <x v="10"/>
    <x v="41"/>
    <s v="Merizethe Barroso Gadelha"/>
    <s v="Feminino"/>
    <x v="2"/>
    <x v="4"/>
    <s v="50000446 - Rpg (R$ 36,71)"/>
    <s v="Rpg"/>
    <n v="1716902848"/>
    <s v="Finalizado (4/5)"/>
    <n v="29.367999999999999"/>
    <n v="7.3419999999999996"/>
    <n v="36.71"/>
    <s v="Sessão Faturada"/>
    <n v="774812000566020"/>
    <n v="59738"/>
    <s v="Unidade Vieiralves"/>
    <n v="1716902848"/>
    <m/>
  </r>
  <r>
    <x v="10"/>
    <x v="41"/>
    <s v="Wendel de Mendonça de Souza"/>
    <s v="Masculino"/>
    <x v="2"/>
    <x v="4"/>
    <s v="50000446 - Rpg (R$ 36,71)"/>
    <s v="Rpg"/>
    <n v="1716494728"/>
    <s v="Finalizado (3/5)"/>
    <n v="29.367999999999999"/>
    <n v="7.3419999999999996"/>
    <n v="36.71"/>
    <s v="Sessão a Faturar"/>
    <n v="854778700183020"/>
    <n v="59572"/>
    <s v="Unidade Vieiralves"/>
    <n v="1716494728"/>
    <m/>
  </r>
  <r>
    <x v="10"/>
    <x v="36"/>
    <s v="Carla Rabelo de Oliveira"/>
    <s v="Feminino"/>
    <x v="2"/>
    <x v="4"/>
    <s v="50000446 - Rpg (R$ 36,71)"/>
    <s v="Rpg"/>
    <n v="1717977005"/>
    <s v="Finalizado (3/5)"/>
    <n v="29.367999999999999"/>
    <n v="7.3419999999999996"/>
    <n v="36.71"/>
    <s v="Sessão a Faturar"/>
    <n v="772682029653000"/>
    <n v="59566"/>
    <s v="Unidade Vieiralves"/>
    <n v="1717977005"/>
    <m/>
  </r>
  <r>
    <x v="10"/>
    <x v="36"/>
    <s v="Franciane de Souza Gomes"/>
    <s v="Feminino"/>
    <x v="2"/>
    <x v="4"/>
    <s v="50000446 - Rpg (R$ 36,71)"/>
    <s v="Rpg"/>
    <n v="1718771194"/>
    <s v="Finalizado (1/5)"/>
    <n v="29.367999999999999"/>
    <n v="7.3419999999999996"/>
    <n v="36.71"/>
    <s v="Sessão a Faturar"/>
    <n v="973700009598000"/>
    <n v="16642"/>
    <s v="Unidade Vieiralves"/>
    <n v="1718771194"/>
    <m/>
  </r>
  <r>
    <x v="10"/>
    <x v="35"/>
    <s v="Denise de Souza Lima Herzog"/>
    <s v="Feminino"/>
    <x v="2"/>
    <x v="4"/>
    <s v="50000446 - Rpg (R$ 36,71)"/>
    <s v="Rpg"/>
    <n v="1715999585"/>
    <s v="Finalizado (4/5)"/>
    <n v="29.367999999999999"/>
    <n v="7.3419999999999996"/>
    <n v="36.71"/>
    <s v="Sessão Faturada"/>
    <n v="810177500019010"/>
    <n v="52971"/>
    <s v="Unidade Vieiralves"/>
    <n v="1715999585"/>
    <m/>
  </r>
  <r>
    <x v="10"/>
    <x v="35"/>
    <s v="Renata Rufino de Oliveira"/>
    <s v="Feminino"/>
    <x v="22"/>
    <x v="4"/>
    <s v="00000000 - Rpg (R$ 0,00)"/>
    <s v="Rpg"/>
    <m/>
    <s v="Finalizado (1/10)"/>
    <n v="0"/>
    <n v="0"/>
    <n v="0"/>
    <s v="Sessão a Faturar"/>
    <n v="0"/>
    <n v="56620"/>
    <s v="Unidade Vieiralves"/>
    <m/>
    <m/>
  </r>
  <r>
    <x v="10"/>
    <x v="38"/>
    <s v="Jorge Angelo Fernandes Siqueira"/>
    <s v="Masculino"/>
    <x v="10"/>
    <x v="4"/>
    <s v="50000446 - Rpg (R$ 29,84)"/>
    <s v="Rpg"/>
    <n v="23005879"/>
    <s v="Finalizado (2/10)"/>
    <n v="23.872"/>
    <n v="5.968"/>
    <n v="29.84"/>
    <s v="Sessão a Faturar"/>
    <s v="00010064268113001"/>
    <n v="59699"/>
    <s v="Unidade Vieiralves"/>
    <n v="23005879"/>
    <m/>
  </r>
  <r>
    <x v="12"/>
    <x v="30"/>
    <s v="Marta Bittencourt Vieira"/>
    <s v="Feminino"/>
    <x v="23"/>
    <x v="5"/>
    <s v="50000853 - Pilates ( 12X Mensais) (R$ 20,60)"/>
    <s v="Pilates"/>
    <m/>
    <s v="Finalizado (10/12)"/>
    <n v="14.007999999999999"/>
    <n v="6.5919999999999996"/>
    <n v="20.6"/>
    <s v="Sessão a Faturar"/>
    <s v="51588888453342300018"/>
    <n v="56696"/>
    <s v="Unidade Vieiralves"/>
    <m/>
    <m/>
  </r>
  <r>
    <x v="12"/>
    <x v="17"/>
    <s v="Tiago de Melo Paredio"/>
    <s v="Mascul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17875"/>
    <n v="49124"/>
    <s v="Unidade Vieiralves"/>
    <m/>
    <m/>
  </r>
  <r>
    <x v="12"/>
    <x v="17"/>
    <s v="Gabriele de Souza Cruz"/>
    <s v="Feminino"/>
    <x v="1"/>
    <x v="5"/>
    <s v="50000861 - Pilates (R$ 40,00)"/>
    <s v="Pilates"/>
    <n v="7877531"/>
    <s v="Finalizado (10/10)"/>
    <n v="27.2"/>
    <n v="12.8"/>
    <n v="40"/>
    <s v="Sessão Faturada"/>
    <n v="1301012299900100"/>
    <n v="58226"/>
    <s v="Unidade Vieiralves"/>
    <n v="7877531"/>
    <m/>
  </r>
  <r>
    <x v="12"/>
    <x v="34"/>
    <s v="Fernando da Silva Passos"/>
    <s v="Masculino"/>
    <x v="23"/>
    <x v="5"/>
    <s v="50000853 - Pilates ( 12X Mensais) (R$ 20,60)"/>
    <s v="Pilates"/>
    <m/>
    <s v="Finalizado (10/12)"/>
    <n v="14.007999999999999"/>
    <n v="6.5919999999999996"/>
    <n v="20.6"/>
    <s v="Sessão a Faturar"/>
    <n v="894245300060000"/>
    <n v="55116"/>
    <s v="Unidade Vieiralves"/>
    <m/>
    <m/>
  </r>
  <r>
    <x v="12"/>
    <x v="34"/>
    <s v="Rebeca Maria Nóbrega Crivelli"/>
    <s v="Feminino"/>
    <x v="7"/>
    <x v="5"/>
    <s v="Pilates 2x semana (R$ 390,00)"/>
    <s v="Pilates"/>
    <n v="168113"/>
    <s v="Finalizado (4/7)"/>
    <n v="33.428571428570997"/>
    <n v="22.285714285714"/>
    <n v="55.714285714286"/>
    <s v="Pago"/>
    <s v="55788888487112640105"/>
    <n v="59257"/>
    <s v="Unidade Vieiralves"/>
    <n v="168113"/>
    <m/>
  </r>
  <r>
    <x v="12"/>
    <x v="34"/>
    <s v="Marcio Alexandre Pereira dos Santos"/>
    <s v="Masculino"/>
    <x v="23"/>
    <x v="5"/>
    <s v="50000853 - Pilates ( 12X Mensais) (R$ 20,60)"/>
    <s v="Pilates"/>
    <m/>
    <s v="Finalizado (7/10)"/>
    <n v="14.007999999999999"/>
    <n v="6.5919999999999996"/>
    <n v="20.6"/>
    <s v="Sessão a Faturar"/>
    <n v="960016292194000"/>
    <n v="50702"/>
    <s v="Unidade Vieiralves"/>
    <m/>
    <m/>
  </r>
  <r>
    <x v="12"/>
    <x v="46"/>
    <s v="Gabrielly da Silva Mascarin"/>
    <m/>
    <x v="23"/>
    <x v="5"/>
    <s v="50000853 - Pilates ( 12X Mensais) (R$ 20,60)"/>
    <s v="Pilates"/>
    <m/>
    <s v="Finalizado (4/12)"/>
    <n v="14.007999999999999"/>
    <n v="6.5919999999999996"/>
    <n v="20.6"/>
    <s v="Sessão a Faturar"/>
    <n v="954500024520030"/>
    <n v="17683"/>
    <s v="Unidade Vieiralves"/>
    <m/>
    <m/>
  </r>
  <r>
    <x v="12"/>
    <x v="46"/>
    <s v="Rafael Barros Ramos"/>
    <s v="Masculino"/>
    <x v="23"/>
    <x v="5"/>
    <s v="50000853 - Pilates ( 12X Mensais) (R$ 20,60)"/>
    <s v="Pilates"/>
    <m/>
    <s v="Finalizado (5/12)"/>
    <n v="14.007999999999999"/>
    <n v="6.5919999999999996"/>
    <n v="20.6"/>
    <s v="Sessão a Faturar"/>
    <n v="954500024520000"/>
    <n v="47303"/>
    <s v="Unidade Vieiralves"/>
    <m/>
    <m/>
  </r>
  <r>
    <x v="13"/>
    <x v="47"/>
    <s v="Wilson Colares da Costa Junior"/>
    <s v="Masculino"/>
    <x v="20"/>
    <x v="5"/>
    <s v="00011003 - Pilates (R$ 28,80)"/>
    <s v="Pilates"/>
    <n v="55544720"/>
    <s v="Finalizado (1/2)"/>
    <n v="19.584"/>
    <n v="9.2159999999999993"/>
    <n v="28.8"/>
    <s v="Sessão Faturada"/>
    <n v="10410600643600"/>
    <n v="58658"/>
    <s v="Unidade Vieiralves"/>
    <n v="55544720"/>
    <m/>
  </r>
  <r>
    <x v="13"/>
    <x v="47"/>
    <s v="Miranir da Silva Oliveira"/>
    <s v="Feminino"/>
    <x v="5"/>
    <x v="5"/>
    <s v="50000853 - Pilates - 04/03/2026 (R$ 39,77)"/>
    <s v="Pilates"/>
    <n v="76787070"/>
    <s v="Finalizado (3/10)"/>
    <n v="27.043600000000001"/>
    <n v="12.7264"/>
    <n v="39.770000000000003"/>
    <s v="Sessão a Faturar"/>
    <s v="0101353960010135"/>
    <n v="57596"/>
    <s v="Unidade Vieiralves"/>
    <n v="76787070"/>
    <m/>
  </r>
  <r>
    <x v="13"/>
    <x v="47"/>
    <s v="Anne Siqueira Martins"/>
    <s v="Feminino"/>
    <x v="20"/>
    <x v="5"/>
    <s v="00011003 - Pilates (R$ 28,80)"/>
    <s v="Pilates"/>
    <n v="55184500"/>
    <s v="Finalizado (4/10)"/>
    <n v="19.584"/>
    <n v="9.2159999999999993"/>
    <n v="28.8"/>
    <s v="Sessão Faturada"/>
    <n v="1051460083390100"/>
    <n v="43576"/>
    <s v="Unidade Vieiralves"/>
    <n v="55184500"/>
    <m/>
  </r>
  <r>
    <x v="13"/>
    <x v="2"/>
    <s v="Antonia Neyre de Souza Chagas"/>
    <s v="Feminino"/>
    <x v="7"/>
    <x v="5"/>
    <s v="Pilates 2x semana (R$ 390,00)"/>
    <s v="Pilates"/>
    <n v="169861"/>
    <s v="Finalizado (1/10)"/>
    <n v="23.4"/>
    <n v="15.6"/>
    <n v="39"/>
    <s v="Pago"/>
    <s v="00"/>
    <n v="59466"/>
    <s v="Unidade Vieiralves"/>
    <n v="169861"/>
    <m/>
  </r>
  <r>
    <x v="13"/>
    <x v="30"/>
    <s v="Ana Regina Marinho Fama"/>
    <s v="Feminino"/>
    <x v="1"/>
    <x v="5"/>
    <s v="50000861 - Pilates (R$ 40,00)"/>
    <s v="Pilates"/>
    <n v="8588995"/>
    <s v="Não compareceu (6/10)"/>
    <n v="40"/>
    <n v="0"/>
    <n v="40"/>
    <s v="Sessão Faturada"/>
    <s v="0301011659290040"/>
    <n v="59178"/>
    <s v="Unidade Vieiralves"/>
    <n v="8588995"/>
    <m/>
  </r>
  <r>
    <x v="13"/>
    <x v="30"/>
    <s v="Maria Gabriela Santana Vieira"/>
    <s v="Feminino"/>
    <x v="7"/>
    <x v="5"/>
    <s v="Pilates 3x semana (R$ 560,00)"/>
    <s v="Pilates"/>
    <n v="168494"/>
    <s v="Finalizado (7/12)"/>
    <n v="28"/>
    <n v="18.666666666666998"/>
    <n v="46.666666666666998"/>
    <s v="Pago"/>
    <s v="00"/>
    <n v="59323"/>
    <s v="Unidade Vieiralves"/>
    <n v="168494"/>
    <m/>
  </r>
  <r>
    <x v="13"/>
    <x v="26"/>
    <s v="Erica de Araujo Macedo"/>
    <s v="Feminino"/>
    <x v="1"/>
    <x v="5"/>
    <s v="50000861 - Pilates (R$ 40,00)"/>
    <s v="Pilates"/>
    <n v="8652324"/>
    <s v="Finalizado (5/10)"/>
    <n v="27.2"/>
    <n v="12.8"/>
    <n v="40"/>
    <s v="Sessão a Faturar"/>
    <s v="0901013081250088"/>
    <n v="16948"/>
    <s v="Unidade Vieiralves"/>
    <n v="8652324"/>
    <s v="GUIA ASSINADA"/>
  </r>
  <r>
    <x v="13"/>
    <x v="26"/>
    <s v="Ana Alexandrina Silva de Souza"/>
    <s v="Feminino"/>
    <x v="23"/>
    <x v="5"/>
    <s v="50000853 - Pilates ( 12X Mensais) (R$ 20,60)"/>
    <s v="Pilates"/>
    <m/>
    <s v="Finalizado (9/12)"/>
    <n v="14.007999999999999"/>
    <n v="6.5919999999999996"/>
    <n v="20.6"/>
    <s v="Sessão a Faturar"/>
    <m/>
    <n v="59203"/>
    <s v="Unidade Vieiralves"/>
    <m/>
    <m/>
  </r>
  <r>
    <x v="13"/>
    <x v="26"/>
    <s v="Jéssica Liana Silba de Souza"/>
    <s v="Feminino"/>
    <x v="23"/>
    <x v="5"/>
    <s v="50000853 - Pilates ( 12X Mensais) (R$ 20,60)"/>
    <s v="Pilates"/>
    <m/>
    <s v="Finalizado (9/12)"/>
    <n v="14.007999999999999"/>
    <n v="6.5919999999999996"/>
    <n v="20.6"/>
    <s v="Sessão a Faturar"/>
    <m/>
    <n v="59204"/>
    <s v="Unidade Vieiralves"/>
    <m/>
    <m/>
  </r>
  <r>
    <x v="13"/>
    <x v="17"/>
    <s v="Maria Clara Antonio Costa da Silva"/>
    <s v="Feminino"/>
    <x v="1"/>
    <x v="5"/>
    <s v="50000861 - Pilates (R$ 40,00)"/>
    <s v="Pilates"/>
    <n v="8581477"/>
    <s v="Finalizado (7/10)"/>
    <n v="27.2"/>
    <n v="12.8"/>
    <n v="40"/>
    <s v="Sessão Faturada"/>
    <s v="0901010701520260"/>
    <n v="58269"/>
    <s v="Unidade Vieiralves"/>
    <n v="8581477"/>
    <s v="Guia assinada!"/>
  </r>
  <r>
    <x v="13"/>
    <x v="17"/>
    <s v="Carla Veras Antonio Costa da Silva"/>
    <s v="Feminino"/>
    <x v="1"/>
    <x v="5"/>
    <s v="50000861 - Pilates (R$ 40,00)"/>
    <s v="Pilates"/>
    <n v="8581261"/>
    <s v="Finalizado (7/10)"/>
    <n v="27.2"/>
    <n v="12.8"/>
    <n v="40"/>
    <s v="Sessão Faturada"/>
    <s v="0901010701520189"/>
    <n v="58268"/>
    <s v="Unidade Vieiralves"/>
    <n v="8581261"/>
    <s v="GUIA ASSINADA"/>
  </r>
  <r>
    <x v="13"/>
    <x v="34"/>
    <s v="Marcio Alexandre Pereira dos Santos"/>
    <s v="Masculino"/>
    <x v="23"/>
    <x v="5"/>
    <s v="50000853 - Pilates ( 12X Mensais) (R$ 20,60)"/>
    <s v="Pilates"/>
    <m/>
    <s v="Finalizado (8/10)"/>
    <n v="14.007999999999999"/>
    <n v="6.5919999999999996"/>
    <n v="20.6"/>
    <s v="Sessão a Faturar"/>
    <n v="960016292194000"/>
    <n v="50702"/>
    <s v="Unidade Vieiralves"/>
    <m/>
    <m/>
  </r>
  <r>
    <x v="13"/>
    <x v="46"/>
    <s v="Bryan Piterson da Silva Gurgel"/>
    <s v="Masculino"/>
    <x v="23"/>
    <x v="5"/>
    <s v="50000853 - Pilates ( 12X Mensais) (R$ 20,60)"/>
    <s v="Pilates"/>
    <m/>
    <s v="Finalizado (6/12)"/>
    <n v="14.007999999999999"/>
    <n v="6.5919999999999996"/>
    <n v="20.6"/>
    <s v="Sessão a Faturar"/>
    <s v="0901014117090091"/>
    <n v="58822"/>
    <s v="Unidade Vieiralves"/>
    <m/>
    <m/>
  </r>
  <r>
    <x v="13"/>
    <x v="46"/>
    <s v="Vannessa Costa Gurgel"/>
    <s v="Feminino"/>
    <x v="23"/>
    <x v="5"/>
    <s v="50000853 - Pilates ( 12X Mensais) (R$ 20,60)"/>
    <s v="Pilates"/>
    <n v="164775"/>
    <s v="Finalizado (9/12)"/>
    <n v="14.007999999999999"/>
    <n v="6.5919999999999996"/>
    <n v="20.6"/>
    <s v="Sessão a Faturar"/>
    <s v="0901014117090172"/>
    <n v="58947"/>
    <s v="Unidade Vieiralves"/>
    <n v="164775"/>
    <m/>
  </r>
  <r>
    <x v="14"/>
    <x v="44"/>
    <s v="Maria Jacirema Ferreira Gonçalves"/>
    <s v="Feminino"/>
    <x v="1"/>
    <x v="5"/>
    <s v="50000861 - Pilates (R$ 40,00)"/>
    <s v="Pilates"/>
    <n v="8823707"/>
    <s v="Finalizado (7/10)"/>
    <n v="27.2"/>
    <n v="12.8"/>
    <n v="40"/>
    <s v="Sessão Faturada"/>
    <s v="0701012515270061"/>
    <n v="57775"/>
    <s v="Unidade Vieiralves"/>
    <n v="8823707"/>
    <s v="Guia assinada!"/>
  </r>
  <r>
    <x v="14"/>
    <x v="44"/>
    <s v="Sheila Vitor da Silva"/>
    <s v="Feminino"/>
    <x v="1"/>
    <x v="5"/>
    <s v="50000861 - Pilates (R$ 40,00)"/>
    <s v="Pilates"/>
    <n v="8726184"/>
    <s v="Finalizado (7/10)"/>
    <n v="27.2"/>
    <n v="12.8"/>
    <n v="40"/>
    <s v="Sessão Faturada"/>
    <s v="0301012618770011"/>
    <n v="58932"/>
    <s v="Unidade Vieiralves"/>
    <n v="8726184"/>
    <m/>
  </r>
  <r>
    <x v="14"/>
    <x v="44"/>
    <s v="Marcos Andre de Noronha Bezerra"/>
    <s v="Masculino"/>
    <x v="24"/>
    <x v="5"/>
    <s v="14 - Pilates (3X Na Semana) (R$ 44,80)"/>
    <s v="Pilates"/>
    <n v="169004"/>
    <s v="Finalizado (5/10)"/>
    <n v="30.463999999999999"/>
    <n v="14.336"/>
    <n v="44.8"/>
    <s v="Sessão a Faturar"/>
    <n v="42296"/>
    <n v="42296"/>
    <s v="Unidade Vieiralves"/>
    <n v="169004"/>
    <m/>
  </r>
  <r>
    <x v="14"/>
    <x v="48"/>
    <s v="Wanderleia Salmazo França"/>
    <m/>
    <x v="1"/>
    <x v="5"/>
    <s v="50000861 - Pilates (R$ 40,00)"/>
    <s v="Pilates"/>
    <n v="8697365"/>
    <s v="Finalizado (8/10)"/>
    <n v="27.2"/>
    <n v="12.8"/>
    <n v="40"/>
    <s v="Sessão Faturada"/>
    <n v="1901005732480400"/>
    <n v="59247"/>
    <s v="Unidade Vieiralves"/>
    <n v="8697365"/>
    <m/>
  </r>
  <r>
    <x v="14"/>
    <x v="48"/>
    <s v="Eloise Miranda dos Santos"/>
    <s v="Feminino"/>
    <x v="23"/>
    <x v="5"/>
    <s v="50000853 - Pilates ( 12X Mensais) (R$ 20,60)"/>
    <s v="Pilates"/>
    <n v="170407"/>
    <s v="Finalizado (1/12)"/>
    <n v="14.007999999999999"/>
    <n v="6.5919999999999996"/>
    <n v="20.6"/>
    <s v="Sessão a Faturar"/>
    <n v="774642019992020"/>
    <n v="56839"/>
    <s v="Unidade Vieiralves"/>
    <n v="170407"/>
    <m/>
  </r>
  <r>
    <x v="14"/>
    <x v="49"/>
    <s v="Sibely da Silva Souza"/>
    <s v="Feminino"/>
    <x v="7"/>
    <x v="5"/>
    <s v="Pilates 2x semana (R$ 390,00)"/>
    <s v="Pilates"/>
    <n v="167836"/>
    <s v="Finalizado (3/9)"/>
    <n v="29.25"/>
    <n v="19.5"/>
    <n v="48.75"/>
    <s v="Pago"/>
    <n v="837692600043000"/>
    <n v="16996"/>
    <s v="Unidade Vieiralves"/>
    <n v="167836"/>
    <m/>
  </r>
  <r>
    <x v="14"/>
    <x v="50"/>
    <s v="Isabelly Ferreira Fernandes"/>
    <m/>
    <x v="7"/>
    <x v="5"/>
    <s v="Pilates 2x semana (R$ 390,00)"/>
    <s v="Pilates"/>
    <n v="167872"/>
    <s v="Finalizado (8/9)"/>
    <n v="23.4"/>
    <n v="15.6"/>
    <n v="39"/>
    <s v="Pago"/>
    <n v="59314"/>
    <n v="59314"/>
    <s v="Unidade Vieiralves"/>
    <n v="167872"/>
    <m/>
  </r>
  <r>
    <x v="14"/>
    <x v="50"/>
    <s v="Valmir Cesar Pozzetti"/>
    <s v="Masculino"/>
    <x v="7"/>
    <x v="5"/>
    <s v="Pilates 2x semana (R$ 390,00)"/>
    <s v="Pilates"/>
    <m/>
    <s v="Finalizado (6/10)"/>
    <n v="29.25"/>
    <n v="19.5"/>
    <n v="48.75"/>
    <s v="Pago"/>
    <s v="0901013948180030"/>
    <n v="43203"/>
    <s v="Unidade Vieiralves"/>
    <m/>
    <m/>
  </r>
  <r>
    <x v="14"/>
    <x v="51"/>
    <s v="Silvio Andre Dias Amirati"/>
    <s v="Masculino"/>
    <x v="23"/>
    <x v="5"/>
    <s v="50000853 - Pilates ( 12X Mensais) (R$ 20,60)"/>
    <s v="Pilates"/>
    <n v="168779"/>
    <s v="Finalizado (8/12)"/>
    <n v="14.007999999999999"/>
    <n v="6.5919999999999996"/>
    <n v="20.6"/>
    <s v="Sessão a Faturar"/>
    <s v="010988828300"/>
    <n v="15344"/>
    <s v="Unidade Vieiralves"/>
    <n v="168779"/>
    <m/>
  </r>
  <r>
    <x v="14"/>
    <x v="51"/>
    <s v="Lygia de Lima Souza Amirati"/>
    <s v="Feminino"/>
    <x v="23"/>
    <x v="5"/>
    <s v="50000853 - Pilates ( 12X Mensais) (R$ 20,60)"/>
    <s v="Pilates"/>
    <m/>
    <s v="Finalizado (11/12)"/>
    <n v="14.007999999999999"/>
    <n v="6.5919999999999996"/>
    <n v="20.6"/>
    <s v="Sessão a Faturar"/>
    <s v="010988828307"/>
    <n v="43121"/>
    <s v="Unidade Vieiralves"/>
    <m/>
    <m/>
  </r>
  <r>
    <x v="14"/>
    <x v="51"/>
    <s v="Clarisse Souza Gaudino de Lima"/>
    <s v="Feminino"/>
    <x v="23"/>
    <x v="5"/>
    <s v="50000853 - Pilates ( 12X Mensais) (R$ 20,60)"/>
    <s v="Pilates"/>
    <m/>
    <s v="Finalizado (4/12)"/>
    <n v="14.007999999999999"/>
    <n v="6.5919999999999996"/>
    <n v="20.6"/>
    <s v="Sessão a Faturar"/>
    <m/>
    <n v="59415"/>
    <s v="Unidade Vieiralves"/>
    <m/>
    <m/>
  </r>
  <r>
    <x v="14"/>
    <x v="26"/>
    <s v="Flavia Cavalcanti Gesta de Melo"/>
    <s v="Femin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3601636772303"/>
    <n v="58973"/>
    <s v="Unidade Vieiralves"/>
    <m/>
    <m/>
  </r>
  <r>
    <x v="14"/>
    <x v="26"/>
    <s v="Carolina Moresi Vieira"/>
    <s v="Feminino"/>
    <x v="23"/>
    <x v="5"/>
    <s v="50000853 - Pilates ( 12X Mensais) (R$ 20,60)"/>
    <s v="Pilates"/>
    <n v="164520"/>
    <s v="Finalizado (7/12)"/>
    <n v="14.007999999999999"/>
    <n v="6.5919999999999996"/>
    <n v="20.6"/>
    <s v="Sessão a Faturar"/>
    <s v="00"/>
    <n v="58971"/>
    <s v="Unidade Vieiralves"/>
    <n v="164520"/>
    <m/>
  </r>
  <r>
    <x v="14"/>
    <x v="34"/>
    <s v="Rebeca Maria Nóbrega Crivelli"/>
    <s v="Feminino"/>
    <x v="7"/>
    <x v="5"/>
    <s v="Pilates 2x semana (R$ 390,00)"/>
    <s v="Pilates"/>
    <n v="168113"/>
    <s v="Não compareceu (5/7)"/>
    <n v="55.714285714286"/>
    <n v="0"/>
    <n v="55.714285714286"/>
    <s v="Pago"/>
    <s v="55788888487112640105"/>
    <n v="59257"/>
    <s v="Unidade Vieiralves"/>
    <n v="168113"/>
    <m/>
  </r>
  <r>
    <x v="14"/>
    <x v="46"/>
    <s v="Rebeca Lizandra da Silva Sales"/>
    <s v="Feminino"/>
    <x v="23"/>
    <x v="5"/>
    <s v="50000853 - Pilates ( 12X Mensais) (R$ 20,60)"/>
    <s v="Pilates"/>
    <m/>
    <s v="Finalizado (1/1)"/>
    <n v="14.007999999999999"/>
    <n v="6.5919999999999996"/>
    <n v="20.6"/>
    <s v="Sessão a Faturar"/>
    <n v="3512211629282"/>
    <n v="58753"/>
    <s v="Unidade Vieiralves"/>
    <m/>
    <m/>
  </r>
  <r>
    <x v="14"/>
    <x v="46"/>
    <s v="Tiago de Melo Paredio"/>
    <s v="Masculino"/>
    <x v="23"/>
    <x v="5"/>
    <s v="50000853 - Pilates ( 12X Mensais) (R$ 20,60)"/>
    <s v="Pilates"/>
    <m/>
    <s v="Finalizado (2/12)"/>
    <n v="14.007999999999999"/>
    <n v="6.5919999999999996"/>
    <n v="20.6"/>
    <s v="Sessão a Faturar"/>
    <n v="17875"/>
    <n v="49124"/>
    <s v="Unidade Vieiralves"/>
    <m/>
    <m/>
  </r>
  <r>
    <x v="15"/>
    <x v="44"/>
    <s v="Francimary da Costa Duarte Otsuka"/>
    <s v="Feminino"/>
    <x v="1"/>
    <x v="5"/>
    <s v="50000861 - Pilates (R$ 40,00)"/>
    <s v="Pilates"/>
    <n v="8017166"/>
    <s v="Finalizado (6/10)"/>
    <n v="27.2"/>
    <n v="12.8"/>
    <n v="40"/>
    <s v="Sessão Faturada"/>
    <n v="2001013467330100"/>
    <n v="42241"/>
    <s v="Unidade Vieiralves"/>
    <n v="8017166"/>
    <s v="Guia assinada!"/>
  </r>
  <r>
    <x v="15"/>
    <x v="44"/>
    <s v="Graciula Furtado Araújo"/>
    <s v="Feminino"/>
    <x v="5"/>
    <x v="5"/>
    <s v="50000853 - Pilates - 04/03/2026 (R$ 39,77)"/>
    <s v="Pilates"/>
    <n v="75986180"/>
    <s v="Finalizado (4/10)"/>
    <n v="27.043600000000001"/>
    <n v="12.7264"/>
    <n v="39.770000000000003"/>
    <s v="Sessão Faturada"/>
    <s v="0100938670000353"/>
    <n v="58260"/>
    <s v="Unidade Vieiralves"/>
    <n v="75986180"/>
    <m/>
  </r>
  <r>
    <x v="15"/>
    <x v="48"/>
    <s v="Tatianna Silva Portes"/>
    <s v="Feminino"/>
    <x v="5"/>
    <x v="5"/>
    <s v="50000853 - Pilates - 04/03/2026 (R$ 39,77)"/>
    <s v="Pilates"/>
    <n v="77014540"/>
    <s v="Finalizado (3/10)"/>
    <n v="27.043600000000001"/>
    <n v="12.7264"/>
    <n v="39.770000000000003"/>
    <s v="Sessão Faturada"/>
    <s v="0100621050010300"/>
    <n v="55555"/>
    <s v="Unidade Vieiralves"/>
    <n v="77014540"/>
    <m/>
  </r>
  <r>
    <x v="15"/>
    <x v="48"/>
    <s v="Ana Maria Barros Martins"/>
    <s v="Feminino"/>
    <x v="1"/>
    <x v="5"/>
    <s v="50000861 - Pilates (R$ 40,00)"/>
    <s v="Pilates"/>
    <n v="8866994"/>
    <s v="Finalizado (2/10)"/>
    <n v="27.2"/>
    <n v="12.8"/>
    <n v="40"/>
    <s v="Sessão Faturada"/>
    <s v="0201005329570033"/>
    <n v="55774"/>
    <s v="Unidade Vieiralves"/>
    <n v="8866994"/>
    <m/>
  </r>
  <r>
    <x v="15"/>
    <x v="49"/>
    <s v="Carolina do Socorro Maia dos Santos"/>
    <s v="Feminino"/>
    <x v="23"/>
    <x v="5"/>
    <s v="50000853 - Pilates ( 12X Mensais) (R$ 20,60)"/>
    <s v="Pilates"/>
    <n v="167993"/>
    <s v="Finalizado (6/12)"/>
    <n v="14.007999999999999"/>
    <n v="6.5919999999999996"/>
    <n v="20.6"/>
    <s v="Sessão a Faturar"/>
    <s v="0100478782001317"/>
    <n v="19814"/>
    <s v="Unidade Vieiralves"/>
    <n v="167993"/>
    <m/>
  </r>
  <r>
    <x v="15"/>
    <x v="38"/>
    <s v="Tanira Rozane Eder Martins"/>
    <s v="Feminino"/>
    <x v="19"/>
    <x v="5"/>
    <s v="90050231 - Pilates (2X Por Semana No Máximo) - 17/03/2026 (R$ 66,18)"/>
    <s v="Pilates"/>
    <n v="5827040"/>
    <s v="Finalizado (3/10)"/>
    <n v="45.002400000000002"/>
    <n v="21.177600000000002"/>
    <n v="66.180000000000007"/>
    <s v="Sessão Faturada"/>
    <s v="0001000033690081"/>
    <n v="4997"/>
    <s v="Unidade Vieiralves"/>
    <n v="5827040"/>
    <m/>
  </r>
  <r>
    <x v="15"/>
    <x v="47"/>
    <s v="Anne Siqueira Martins"/>
    <s v="Feminino"/>
    <x v="20"/>
    <x v="5"/>
    <s v="00011003 - Pilates (R$ 28,80)"/>
    <s v="Pilates"/>
    <n v="55184500"/>
    <s v="Finalizado (5/10)"/>
    <n v="19.584"/>
    <n v="9.2159999999999993"/>
    <n v="28.8"/>
    <s v="Sessão Faturada"/>
    <n v="1051460083390100"/>
    <n v="43576"/>
    <s v="Unidade Vieiralves"/>
    <n v="55184500"/>
    <m/>
  </r>
  <r>
    <x v="15"/>
    <x v="47"/>
    <s v="Adriana Brito de Souza"/>
    <s v="Feminino"/>
    <x v="1"/>
    <x v="5"/>
    <s v="50000861 - Pilates (R$ 40,00)"/>
    <s v="Pilates"/>
    <n v="8755192"/>
    <s v="Finalizado (3/10)"/>
    <n v="27.2"/>
    <n v="12.8"/>
    <n v="40"/>
    <s v="Sessão Faturada"/>
    <n v="1301013731160100"/>
    <n v="58802"/>
    <s v="Unidade Vieiralves"/>
    <n v="8755192"/>
    <s v="Guia assinada!"/>
  </r>
  <r>
    <x v="15"/>
    <x v="2"/>
    <s v="Antonia Neyre de Souza Chagas"/>
    <s v="Feminino"/>
    <x v="7"/>
    <x v="5"/>
    <s v="Pilates 2x semana (R$ 390,00)"/>
    <s v="Pilates"/>
    <n v="169861"/>
    <s v="Finalizado (2/10)"/>
    <n v="23.4"/>
    <n v="15.6"/>
    <n v="39"/>
    <s v="Pago"/>
    <s v="00"/>
    <n v="59466"/>
    <s v="Unidade Vieiralves"/>
    <n v="169861"/>
    <m/>
  </r>
  <r>
    <x v="15"/>
    <x v="30"/>
    <s v="Ana Regina Marinho Fama"/>
    <s v="Feminino"/>
    <x v="1"/>
    <x v="5"/>
    <s v="50000861 - Pilates (R$ 40,00)"/>
    <s v="Pilates"/>
    <n v="8588995"/>
    <s v="Finalizado (7/10)"/>
    <n v="27.2"/>
    <n v="12.8"/>
    <n v="40"/>
    <s v="Sessão Faturada"/>
    <s v="0301011659290040"/>
    <n v="59178"/>
    <s v="Unidade Vieiralves"/>
    <n v="8588995"/>
    <m/>
  </r>
  <r>
    <x v="15"/>
    <x v="30"/>
    <s v="Jucilene de Souza Mesquita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841075400019010"/>
    <n v="49719"/>
    <s v="Unidade Vieiralves"/>
    <m/>
    <m/>
  </r>
  <r>
    <x v="15"/>
    <x v="30"/>
    <s v="Erica de Araujo Macedo"/>
    <s v="Feminino"/>
    <x v="1"/>
    <x v="5"/>
    <s v="50000861 - Pilates (R$ 40,00)"/>
    <s v="Pilates"/>
    <n v="8652324"/>
    <s v="Finalizado (6/10)"/>
    <n v="27.2"/>
    <n v="12.8"/>
    <n v="40"/>
    <s v="Sessão a Faturar"/>
    <s v="0901013081250088"/>
    <n v="16948"/>
    <s v="Unidade Vieiralves"/>
    <n v="8652324"/>
    <s v="GUIA ASSINADA"/>
  </r>
  <r>
    <x v="15"/>
    <x v="52"/>
    <s v="Maria Gabriela Santana Vieira"/>
    <s v="Feminino"/>
    <x v="7"/>
    <x v="5"/>
    <s v="Pilates 3x semana (R$ 560,00)"/>
    <s v="Pilates"/>
    <n v="168494"/>
    <s v="Finalizado (8/12)"/>
    <n v="28"/>
    <n v="18.666666666666998"/>
    <n v="46.666666666666998"/>
    <s v="Pago"/>
    <s v="00"/>
    <n v="59323"/>
    <s v="Unidade Vieiralves"/>
    <n v="168494"/>
    <m/>
  </r>
  <r>
    <x v="15"/>
    <x v="34"/>
    <s v="Ana Alexandrina Silva de Souza"/>
    <s v="Feminino"/>
    <x v="23"/>
    <x v="5"/>
    <s v="50000853 - Pilates ( 12X Mensais) (R$ 20,60)"/>
    <s v="Pilates"/>
    <m/>
    <s v="Finalizado (10/12)"/>
    <n v="14.007999999999999"/>
    <n v="6.5919999999999996"/>
    <n v="20.6"/>
    <s v="Sessão a Faturar"/>
    <m/>
    <n v="59203"/>
    <s v="Unidade Vieiralves"/>
    <m/>
    <m/>
  </r>
  <r>
    <x v="15"/>
    <x v="34"/>
    <s v="Jéssica Liana Silba de Souza"/>
    <s v="Feminino"/>
    <x v="23"/>
    <x v="5"/>
    <s v="50000853 - Pilates ( 12X Mensais) (R$ 20,60)"/>
    <s v="Pilates"/>
    <m/>
    <s v="Finalizado (10/12)"/>
    <n v="14.007999999999999"/>
    <n v="6.5919999999999996"/>
    <n v="20.6"/>
    <s v="Sessão a Faturar"/>
    <m/>
    <n v="59204"/>
    <s v="Unidade Vieiralves"/>
    <m/>
    <m/>
  </r>
  <r>
    <x v="15"/>
    <x v="46"/>
    <s v="Vandressa Patricia de Sousa Melo"/>
    <s v="Feminino"/>
    <x v="23"/>
    <x v="5"/>
    <s v="50000853 - Pilates ( 12X Mensais) (R$ 20,60)"/>
    <s v="Pilates"/>
    <m/>
    <s v="Finalizado (3/12)"/>
    <n v="14.007999999999999"/>
    <n v="6.5919999999999996"/>
    <n v="20.6"/>
    <s v="Sessão a Faturar"/>
    <n v="3410458369162"/>
    <n v="57857"/>
    <s v="Unidade Vieiralves"/>
    <m/>
    <m/>
  </r>
  <r>
    <x v="15"/>
    <x v="46"/>
    <s v="Rebeca Tavares de Oliveira"/>
    <s v="Feminino"/>
    <x v="23"/>
    <x v="5"/>
    <s v="50000853 - Pilates ( 12X Mensais) (R$ 20,60)"/>
    <s v="Pilates"/>
    <m/>
    <s v="Finalizado (3/12)"/>
    <n v="14.007999999999999"/>
    <n v="6.5919999999999996"/>
    <n v="20.6"/>
    <s v="Sessão a Faturar"/>
    <n v="3508482184561"/>
    <n v="59404"/>
    <s v="Unidade Vieiralves"/>
    <m/>
    <m/>
  </r>
  <r>
    <x v="16"/>
    <x v="44"/>
    <s v="Marcos Andre de Noronha Bezerra"/>
    <s v="Masculino"/>
    <x v="24"/>
    <x v="5"/>
    <s v="14 - Pilates (3X Na Semana) (R$ 44,80)"/>
    <s v="Pilates"/>
    <n v="169004"/>
    <s v="Finalizado (6/10)"/>
    <n v="30.463999999999999"/>
    <n v="14.336"/>
    <n v="44.8"/>
    <s v="Sessão a Faturar"/>
    <n v="42296"/>
    <n v="42296"/>
    <s v="Unidade Vieiralves"/>
    <n v="169004"/>
    <m/>
  </r>
  <r>
    <x v="16"/>
    <x v="44"/>
    <s v="Maria Jacirema Ferreira Gonçalves"/>
    <s v="Feminino"/>
    <x v="1"/>
    <x v="5"/>
    <s v="50000861 - Pilates (R$ 40,00)"/>
    <s v="Pilates"/>
    <n v="8823707"/>
    <s v="Finalizado (8/10)"/>
    <n v="27.2"/>
    <n v="12.8"/>
    <n v="40"/>
    <s v="Sessão Faturada"/>
    <s v="0701012515270061"/>
    <n v="57775"/>
    <s v="Unidade Vieiralves"/>
    <n v="8823707"/>
    <s v="Guia assinada!"/>
  </r>
  <r>
    <x v="16"/>
    <x v="44"/>
    <s v="Sheila Vitor da Silva"/>
    <s v="Feminino"/>
    <x v="1"/>
    <x v="5"/>
    <s v="50000861 - Pilates (R$ 40,00)"/>
    <s v="Pilates"/>
    <n v="8726184"/>
    <s v="Finalizado (8/10)"/>
    <n v="27.2"/>
    <n v="12.8"/>
    <n v="40"/>
    <s v="Sessão Faturada"/>
    <s v="0301012618770011"/>
    <n v="58932"/>
    <s v="Unidade Vieiralves"/>
    <n v="8726184"/>
    <m/>
  </r>
  <r>
    <x v="16"/>
    <x v="49"/>
    <s v="Sibely da Silva Souza"/>
    <s v="Feminino"/>
    <x v="7"/>
    <x v="5"/>
    <s v="Pilates 2x semana (R$ 390,00)"/>
    <s v="Pilates"/>
    <n v="167836"/>
    <s v="Finalizado (4/9)"/>
    <n v="29.25"/>
    <n v="19.5"/>
    <n v="48.75"/>
    <s v="Pago"/>
    <n v="837692600043000"/>
    <n v="16996"/>
    <s v="Unidade Vieiralves"/>
    <n v="167836"/>
    <m/>
  </r>
  <r>
    <x v="16"/>
    <x v="49"/>
    <s v="Roberta Ferreira Coelho de Andrade"/>
    <s v="Feminino"/>
    <x v="1"/>
    <x v="5"/>
    <s v="50000861 - Pilates (R$ 40,00)"/>
    <s v="Pilates"/>
    <n v="9034850"/>
    <s v="Finalizado (1/10)"/>
    <n v="27.2"/>
    <n v="12.8"/>
    <n v="40"/>
    <s v="Sessão a Faturar"/>
    <s v="0701010939440006"/>
    <n v="58292"/>
    <s v="Unidade Vieiralves"/>
    <n v="9034850"/>
    <s v="GUIA ASSINADA"/>
  </r>
  <r>
    <x v="16"/>
    <x v="38"/>
    <s v="Carolina Cassia Batista Santos"/>
    <s v="Feminino"/>
    <x v="1"/>
    <x v="5"/>
    <s v="50000861 - Pilates (R$ 40,00)"/>
    <s v="Pilates"/>
    <n v="8823825"/>
    <s v="Finalizado (1/10)"/>
    <n v="27.2"/>
    <n v="12.8"/>
    <n v="40"/>
    <s v="Sessão Faturada"/>
    <s v="0301011642880052"/>
    <n v="58647"/>
    <s v="Unidade Vieiralves"/>
    <n v="8823825"/>
    <m/>
  </r>
  <r>
    <x v="16"/>
    <x v="38"/>
    <s v="Carolina do Socorro Maia dos Santos"/>
    <s v="Feminino"/>
    <x v="23"/>
    <x v="5"/>
    <s v="50000853 - Pilates ( 12X Mensais) (R$ 20,60)"/>
    <s v="Pilates"/>
    <n v="167993"/>
    <s v="Finalizado (7/12)"/>
    <n v="14.007999999999999"/>
    <n v="6.5919999999999996"/>
    <n v="20.6"/>
    <s v="Sessão a Faturar"/>
    <s v="0100478782001317"/>
    <n v="19814"/>
    <s v="Unidade Vieiralves"/>
    <n v="167993"/>
    <m/>
  </r>
  <r>
    <x v="16"/>
    <x v="38"/>
    <s v="Tereza Maria de Oliveira"/>
    <m/>
    <x v="20"/>
    <x v="5"/>
    <s v="00011003 - Pilates (R$ 28,80)"/>
    <s v="Pilates"/>
    <n v="55496800"/>
    <s v="Finalizado (1/10)"/>
    <n v="19.584"/>
    <n v="9.2159999999999993"/>
    <n v="28.8"/>
    <s v="Sessão Faturada"/>
    <n v="10511000335503"/>
    <n v="58359"/>
    <s v="Unidade Vieiralves"/>
    <n v="55496800"/>
    <m/>
  </r>
  <r>
    <x v="16"/>
    <x v="50"/>
    <s v="Elizabeth Freitas Costa"/>
    <s v="Feminino"/>
    <x v="23"/>
    <x v="5"/>
    <s v="50000853 - Pilates ( 12X Mensais) (R$ 20,60)"/>
    <s v="Pilates"/>
    <n v="163947"/>
    <s v="Finalizado (6/12)"/>
    <n v="14.007999999999999"/>
    <n v="6.5919999999999996"/>
    <n v="20.6"/>
    <s v="Sessão a Faturar"/>
    <n v="58897"/>
    <n v="58897"/>
    <s v="Unidade Vieiralves"/>
    <n v="163947"/>
    <m/>
  </r>
  <r>
    <x v="16"/>
    <x v="50"/>
    <s v="Irleda de Carvalho Leal Nobre Leao"/>
    <s v="Feminino"/>
    <x v="1"/>
    <x v="5"/>
    <s v="50000861 - Pilates (R$ 40,00)"/>
    <s v="Pilates"/>
    <n v="8124102"/>
    <s v="Finalizado (8/10)"/>
    <n v="27.2"/>
    <n v="12.8"/>
    <n v="40"/>
    <s v="Sessão Faturada"/>
    <s v="0903006735450160"/>
    <n v="58787"/>
    <s v="Unidade Vieiralves"/>
    <n v="8124102"/>
    <s v="Guia assinada!"/>
  </r>
  <r>
    <x v="16"/>
    <x v="50"/>
    <s v="Valmir Cesar Pozzetti"/>
    <s v="Masculino"/>
    <x v="7"/>
    <x v="5"/>
    <s v="Pilates 2x semana (R$ 390,00)"/>
    <s v="Pilates"/>
    <m/>
    <s v="Finalizado (7/10)"/>
    <n v="29.25"/>
    <n v="19.5"/>
    <n v="48.75"/>
    <s v="Pago"/>
    <s v="0901013948180030"/>
    <n v="43203"/>
    <s v="Unidade Vieiralves"/>
    <m/>
    <m/>
  </r>
  <r>
    <x v="16"/>
    <x v="51"/>
    <s v="Silvio Andre Dias Amirati"/>
    <s v="Masculino"/>
    <x v="23"/>
    <x v="5"/>
    <s v="50000853 - Pilates ( 12X Mensais) (R$ 20,60)"/>
    <s v="Pilates"/>
    <n v="168779"/>
    <s v="Finalizado (9/12)"/>
    <n v="14.007999999999999"/>
    <n v="6.5919999999999996"/>
    <n v="20.6"/>
    <s v="Sessão a Faturar"/>
    <s v="010988828300"/>
    <n v="15344"/>
    <s v="Unidade Vieiralves"/>
    <n v="168779"/>
    <m/>
  </r>
  <r>
    <x v="16"/>
    <x v="51"/>
    <s v="Clarisse Souza Gaudino de Lima"/>
    <s v="Feminino"/>
    <x v="23"/>
    <x v="5"/>
    <s v="50000853 - Pilates ( 12X Mensais) (R$ 20,60)"/>
    <s v="Pilates"/>
    <m/>
    <s v="Finalizado (5/12)"/>
    <n v="14.007999999999999"/>
    <n v="6.5919999999999996"/>
    <n v="20.6"/>
    <s v="Sessão a Faturar"/>
    <m/>
    <n v="59415"/>
    <s v="Unidade Vieiralves"/>
    <m/>
    <m/>
  </r>
  <r>
    <x v="16"/>
    <x v="53"/>
    <s v="Maria Clara Antonio Costa da Silva"/>
    <s v="Feminino"/>
    <x v="1"/>
    <x v="5"/>
    <s v="50000861 - Pilates (R$ 40,00)"/>
    <s v="Pilates"/>
    <n v="8581477"/>
    <s v="Finalizado (8/10)"/>
    <n v="27.2"/>
    <n v="12.8"/>
    <n v="40"/>
    <s v="Sessão Faturada"/>
    <s v="0901010701520260"/>
    <n v="58269"/>
    <s v="Unidade Vieiralves"/>
    <n v="8581477"/>
    <s v="Guia assinada!"/>
  </r>
  <r>
    <x v="16"/>
    <x v="53"/>
    <s v="Carla Veras Antonio Costa da Silva"/>
    <s v="Feminino"/>
    <x v="1"/>
    <x v="5"/>
    <s v="50000861 - Pilates (R$ 40,00)"/>
    <s v="Pilates"/>
    <n v="8581261"/>
    <s v="Finalizado (8/10)"/>
    <n v="27.2"/>
    <n v="12.8"/>
    <n v="40"/>
    <s v="Sessão Faturada"/>
    <s v="0901010701520189"/>
    <n v="58268"/>
    <s v="Unidade Vieiralves"/>
    <n v="8581261"/>
    <s v="GUIA ASSINADA"/>
  </r>
  <r>
    <x v="16"/>
    <x v="4"/>
    <s v="Maria Gabriela Santana Vieira"/>
    <s v="Feminino"/>
    <x v="7"/>
    <x v="5"/>
    <s v="Pilates 3x semana (R$ 560,00)"/>
    <s v="Pilates"/>
    <n v="168494"/>
    <s v="Finalizado (9/12)"/>
    <n v="28"/>
    <n v="18.666666666666998"/>
    <n v="46.666666666666998"/>
    <s v="Pago"/>
    <s v="00"/>
    <n v="59323"/>
    <s v="Unidade Vieiralves"/>
    <n v="168494"/>
    <m/>
  </r>
  <r>
    <x v="16"/>
    <x v="52"/>
    <s v="Anny Gabrielle de Oliveira Melo"/>
    <s v="Femin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834085900035010"/>
    <n v="13428"/>
    <s v="Unidade Vieiralves"/>
    <m/>
    <m/>
  </r>
  <r>
    <x v="16"/>
    <x v="8"/>
    <s v="Flavia Cavalcanti Gesta de Melo"/>
    <s v="Feminino"/>
    <x v="23"/>
    <x v="5"/>
    <s v="50000853 - Pilates ( 12X Mensais) (R$ 20,60)"/>
    <s v="Pilates"/>
    <m/>
    <s v="Finalizado (7/12)"/>
    <n v="14.007999999999999"/>
    <n v="6.5919999999999996"/>
    <n v="20.6"/>
    <s v="Sessão a Faturar"/>
    <n v="3601636772303"/>
    <n v="58973"/>
    <s v="Unidade Vieiralves"/>
    <m/>
    <m/>
  </r>
  <r>
    <x v="16"/>
    <x v="8"/>
    <s v="Carolina Moresi Vieira"/>
    <s v="Feminino"/>
    <x v="23"/>
    <x v="5"/>
    <s v="50000853 - Pilates ( 12X Mensais) (R$ 20,60)"/>
    <s v="Pilates"/>
    <n v="164520"/>
    <s v="Finalizado (8/12)"/>
    <n v="14.007999999999999"/>
    <n v="6.5919999999999996"/>
    <n v="20.6"/>
    <s v="Sessão a Faturar"/>
    <s v="00"/>
    <n v="58971"/>
    <s v="Unidade Vieiralves"/>
    <n v="164520"/>
    <m/>
  </r>
  <r>
    <x v="16"/>
    <x v="54"/>
    <s v="Gabrielly da Silva Mascarin"/>
    <m/>
    <x v="23"/>
    <x v="5"/>
    <s v="50000853 - Pilates ( 12X Mensais) (R$ 20,60)"/>
    <s v="Pilates"/>
    <m/>
    <s v="Finalizado (5/12)"/>
    <n v="14.007999999999999"/>
    <n v="6.5919999999999996"/>
    <n v="20.6"/>
    <s v="Sessão a Faturar"/>
    <n v="954500024520030"/>
    <n v="17683"/>
    <s v="Unidade Vieiralves"/>
    <m/>
    <m/>
  </r>
  <r>
    <x v="16"/>
    <x v="54"/>
    <s v="Tiago de Melo Paredio"/>
    <s v="Masculino"/>
    <x v="23"/>
    <x v="5"/>
    <s v="50000853 - Pilates ( 12X Mensais) (R$ 20,60)"/>
    <s v="Pilates"/>
    <m/>
    <s v="Finalizado (3/12)"/>
    <n v="14.007999999999999"/>
    <n v="6.5919999999999996"/>
    <n v="20.6"/>
    <s v="Sessão a Faturar"/>
    <n v="17875"/>
    <n v="49124"/>
    <s v="Unidade Vieiralves"/>
    <m/>
    <m/>
  </r>
  <r>
    <x v="16"/>
    <x v="54"/>
    <s v="Rafael Barros Ramos"/>
    <s v="Mascul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954500024520000"/>
    <n v="47303"/>
    <s v="Unidade Vieiralves"/>
    <m/>
    <m/>
  </r>
  <r>
    <x v="17"/>
    <x v="53"/>
    <s v="Livia Costa de Freitas"/>
    <s v="Feminino"/>
    <x v="1"/>
    <x v="5"/>
    <s v="50000861 - Pilates (R$ 40,00)"/>
    <s v="Pilates"/>
    <n v="8897210"/>
    <s v="Finalizado (3/10)"/>
    <n v="27.2"/>
    <n v="12.8"/>
    <n v="40"/>
    <s v="Sessão Faturada"/>
    <n v="2001012767450000"/>
    <n v="58949"/>
    <s v="Unidade Vieiralves"/>
    <n v="8897210"/>
    <m/>
  </r>
  <r>
    <x v="17"/>
    <x v="53"/>
    <s v="Ana Regina Marinho Fama"/>
    <s v="Feminino"/>
    <x v="1"/>
    <x v="5"/>
    <s v="50000861 - Pilates (R$ 40,00)"/>
    <s v="Pilates"/>
    <n v="8588995"/>
    <s v="Não compareceu (8/10)"/>
    <n v="40"/>
    <n v="0"/>
    <n v="40"/>
    <s v="Sessão Faturada"/>
    <s v="0301011659290040"/>
    <n v="59178"/>
    <s v="Unidade Vieiralves"/>
    <n v="8588995"/>
    <m/>
  </r>
  <r>
    <x v="17"/>
    <x v="4"/>
    <s v="Gabrielly da Silva Mascarin"/>
    <m/>
    <x v="23"/>
    <x v="5"/>
    <s v="50000853 - Pilates ( 12X Mensais) (R$ 20,60)"/>
    <s v="Pilates"/>
    <m/>
    <s v="Finalizado (6/12)"/>
    <n v="14.007999999999999"/>
    <n v="6.5919999999999996"/>
    <n v="20.6"/>
    <s v="Sessão a Faturar"/>
    <n v="954500024520030"/>
    <n v="17683"/>
    <s v="Unidade Vieiralves"/>
    <m/>
    <m/>
  </r>
  <r>
    <x v="17"/>
    <x v="4"/>
    <s v="Rafael Barros Ramos"/>
    <s v="Masculino"/>
    <x v="23"/>
    <x v="5"/>
    <s v="50000853 - Pilates ( 12X Mensais) (R$ 20,60)"/>
    <s v="Pilates"/>
    <m/>
    <s v="Finalizado (7/12)"/>
    <n v="14.007999999999999"/>
    <n v="6.5919999999999996"/>
    <n v="20.6"/>
    <s v="Sessão a Faturar"/>
    <n v="954500024520000"/>
    <n v="47303"/>
    <s v="Unidade Vieiralves"/>
    <m/>
    <m/>
  </r>
  <r>
    <x v="17"/>
    <x v="4"/>
    <s v="Maria Gabriela Santana Vieira"/>
    <s v="Feminino"/>
    <x v="7"/>
    <x v="5"/>
    <s v="Pilates 3x semana (R$ 560,00)"/>
    <s v="Pilates"/>
    <n v="168494"/>
    <s v="Não compareceu (10/12)"/>
    <n v="46.666666666666998"/>
    <n v="0"/>
    <n v="46.666666666666998"/>
    <s v="Pago"/>
    <s v="00"/>
    <n v="59323"/>
    <s v="Unidade Vieiralves"/>
    <n v="168494"/>
    <m/>
  </r>
  <r>
    <x v="17"/>
    <x v="52"/>
    <s v="Carla Veras Antonio Costa da Silva"/>
    <s v="Feminino"/>
    <x v="1"/>
    <x v="5"/>
    <s v="50000861 - Pilates (R$ 40,00)"/>
    <s v="Pilates"/>
    <n v="8581261"/>
    <s v="Finalizado (9/10)"/>
    <n v="27.2"/>
    <n v="12.8"/>
    <n v="40"/>
    <s v="Sessão Faturada"/>
    <s v="0901010701520189"/>
    <n v="58268"/>
    <s v="Unidade Vieiralves"/>
    <n v="8581261"/>
    <s v="GUIA ASSINADA"/>
  </r>
  <r>
    <x v="17"/>
    <x v="52"/>
    <s v="Maria Clara Antonio Costa da Silva"/>
    <s v="Feminino"/>
    <x v="1"/>
    <x v="5"/>
    <s v="50000861 - Pilates (R$ 40,00)"/>
    <s v="Pilates"/>
    <n v="8581477"/>
    <s v="Finalizado (9/10)"/>
    <n v="27.2"/>
    <n v="12.8"/>
    <n v="40"/>
    <s v="Sessão Faturada"/>
    <s v="0901010701520260"/>
    <n v="58269"/>
    <s v="Unidade Vieiralves"/>
    <n v="8581477"/>
    <s v="Guia assinada!"/>
  </r>
  <r>
    <x v="17"/>
    <x v="34"/>
    <s v="Fernando da Silva Passos"/>
    <s v="Masculino"/>
    <x v="23"/>
    <x v="5"/>
    <s v="50000853 - Pilates ( 12X Mensais) (R$ 20,60)"/>
    <s v="Pilates"/>
    <m/>
    <s v="Finalizado (11/12)"/>
    <n v="14.007999999999999"/>
    <n v="6.5919999999999996"/>
    <n v="20.6"/>
    <s v="Sessão a Faturar"/>
    <n v="894245300060000"/>
    <n v="55116"/>
    <s v="Unidade Vieiralves"/>
    <m/>
    <m/>
  </r>
  <r>
    <x v="17"/>
    <x v="34"/>
    <s v="Rebeca Maria Nóbrega Crivelli"/>
    <s v="Feminino"/>
    <x v="7"/>
    <x v="5"/>
    <s v="Pilates 2x semana (R$ 390,00)"/>
    <s v="Pilates"/>
    <n v="168113"/>
    <s v="Não compareceu (6/7)"/>
    <n v="55.714285714286"/>
    <n v="0"/>
    <n v="55.714285714286"/>
    <s v="Pago"/>
    <s v="55788888487112640105"/>
    <n v="59257"/>
    <s v="Unidade Vieiralves"/>
    <n v="168113"/>
    <m/>
  </r>
  <r>
    <x v="17"/>
    <x v="46"/>
    <s v="Tiago de Melo Paredio"/>
    <s v="Masculino"/>
    <x v="23"/>
    <x v="5"/>
    <s v="50000853 - Pilates ( 12X Mensais) (R$ 20,60)"/>
    <s v="Pilates"/>
    <m/>
    <s v="Finalizado (4/12)"/>
    <n v="14.007999999999999"/>
    <n v="6.5919999999999996"/>
    <n v="20.6"/>
    <s v="Sessão a Faturar"/>
    <n v="17875"/>
    <n v="49124"/>
    <s v="Unidade Vieiralves"/>
    <m/>
    <m/>
  </r>
  <r>
    <x v="18"/>
    <x v="47"/>
    <s v="Adriana Brito de Souza"/>
    <s v="Feminino"/>
    <x v="1"/>
    <x v="5"/>
    <s v="50000861 - Pilates (R$ 40,00)"/>
    <s v="Pilates"/>
    <n v="8755192"/>
    <s v="Finalizado (4/10)"/>
    <n v="27.2"/>
    <n v="12.8"/>
    <n v="40"/>
    <s v="Sessão Faturada"/>
    <n v="1301013731160100"/>
    <n v="58802"/>
    <s v="Unidade Vieiralves"/>
    <n v="8755192"/>
    <s v="Guia assinada!"/>
  </r>
  <r>
    <x v="18"/>
    <x v="47"/>
    <s v="Wilson Colares da Costa Junior"/>
    <s v="Masculino"/>
    <x v="20"/>
    <x v="5"/>
    <s v="00011003 - Pilates (R$ 28,80)"/>
    <s v="Pilates"/>
    <n v="55544720"/>
    <s v="Finalizado (2/2)"/>
    <n v="19.584"/>
    <n v="9.2159999999999993"/>
    <n v="28.8"/>
    <s v="Sessão Faturada"/>
    <n v="10410600643600"/>
    <n v="58658"/>
    <s v="Unidade Vieiralves"/>
    <n v="55544720"/>
    <m/>
  </r>
  <r>
    <x v="18"/>
    <x v="47"/>
    <s v="Anne Siqueira Martins"/>
    <s v="Feminino"/>
    <x v="20"/>
    <x v="5"/>
    <s v="00011003 - Pilates (R$ 28,80)"/>
    <s v="Pilates"/>
    <n v="55184500"/>
    <s v="Finalizado (6/10)"/>
    <n v="19.584"/>
    <n v="9.2159999999999993"/>
    <n v="28.8"/>
    <s v="Sessão Faturada"/>
    <n v="1051460083390100"/>
    <n v="43576"/>
    <s v="Unidade Vieiralves"/>
    <n v="55184500"/>
    <m/>
  </r>
  <r>
    <x v="18"/>
    <x v="2"/>
    <s v="Antonia Neyre de Souza Chagas"/>
    <s v="Feminino"/>
    <x v="7"/>
    <x v="5"/>
    <s v="Pilates 2x semana (R$ 390,00)"/>
    <s v="Pilates"/>
    <n v="169861"/>
    <s v="Finalizado (3/10)"/>
    <n v="23.4"/>
    <n v="15.6"/>
    <n v="39"/>
    <s v="Pago"/>
    <s v="00"/>
    <n v="59466"/>
    <s v="Unidade Vieiralves"/>
    <n v="169861"/>
    <m/>
  </r>
  <r>
    <x v="18"/>
    <x v="2"/>
    <s v="Miranir da Silva Oliveira"/>
    <s v="Feminino"/>
    <x v="5"/>
    <x v="5"/>
    <s v="50000853 - Pilates - 04/03/2026 (R$ 39,77)"/>
    <s v="Pilates"/>
    <n v="76787070"/>
    <s v="Finalizado (4/10)"/>
    <n v="27.043600000000001"/>
    <n v="12.7264"/>
    <n v="39.770000000000003"/>
    <s v="Sessão a Faturar"/>
    <s v="0101353960010135"/>
    <n v="57596"/>
    <s v="Unidade Vieiralves"/>
    <n v="76787070"/>
    <m/>
  </r>
  <r>
    <x v="18"/>
    <x v="30"/>
    <s v="Sabrina Souza Lins"/>
    <s v="Feminino"/>
    <x v="1"/>
    <x v="5"/>
    <s v="50000861 - Pilates (R$ 40,00)"/>
    <s v="Pilates"/>
    <n v="8685544"/>
    <s v="Finalizado (1/10)"/>
    <n v="27.2"/>
    <n v="12.8"/>
    <n v="40"/>
    <s v="Sessão Faturada"/>
    <s v="0203007737940086"/>
    <n v="59261"/>
    <s v="Unidade Vieiralves"/>
    <n v="8685544"/>
    <m/>
  </r>
  <r>
    <x v="18"/>
    <x v="17"/>
    <s v="Ráifran Silene Souza da Silva"/>
    <s v="Feminino"/>
    <x v="1"/>
    <x v="5"/>
    <s v="50000861 - Pilates (R$ 40,00)"/>
    <s v="Pilates"/>
    <n v="9064926"/>
    <s v="Finalizado (1/10)"/>
    <n v="27.2"/>
    <n v="12.8"/>
    <n v="40"/>
    <s v="Sessão Faturada"/>
    <n v="2001010906740100"/>
    <n v="58560"/>
    <s v="Unidade Vieiralves"/>
    <n v="9064926"/>
    <m/>
  </r>
  <r>
    <x v="18"/>
    <x v="17"/>
    <s v="Carolina Moresi Vieira"/>
    <s v="Feminino"/>
    <x v="23"/>
    <x v="5"/>
    <s v="50000853 - Pilates ( 12X Mensais) (R$ 20,60)"/>
    <s v="Pilates"/>
    <n v="164520"/>
    <s v="Finalizado (9/12)"/>
    <n v="14.007999999999999"/>
    <n v="6.5919999999999996"/>
    <n v="20.6"/>
    <s v="Sessão a Faturar"/>
    <s v="00"/>
    <n v="58971"/>
    <s v="Unidade Vieiralves"/>
    <n v="164520"/>
    <m/>
  </r>
  <r>
    <x v="18"/>
    <x v="17"/>
    <s v="Flavia Cavalcanti Gesta de Melo"/>
    <s v="Feminino"/>
    <x v="23"/>
    <x v="5"/>
    <s v="50000853 - Pilates ( 12X Mensais) (R$ 20,60)"/>
    <s v="Pilates"/>
    <m/>
    <s v="Finalizado (8/12)"/>
    <n v="14.007999999999999"/>
    <n v="6.5919999999999996"/>
    <n v="20.6"/>
    <s v="Sessão a Faturar"/>
    <n v="3601636772303"/>
    <n v="58973"/>
    <s v="Unidade Vieiralves"/>
    <m/>
    <m/>
  </r>
  <r>
    <x v="18"/>
    <x v="34"/>
    <s v="Marta Bittencourt Vieira"/>
    <s v="Feminino"/>
    <x v="23"/>
    <x v="5"/>
    <s v="50000853 - Pilates ( 12X Mensais) (R$ 20,60)"/>
    <s v="Pilates"/>
    <m/>
    <s v="Finalizado (11/12)"/>
    <n v="14.007999999999999"/>
    <n v="6.5919999999999996"/>
    <n v="20.6"/>
    <s v="Sessão a Faturar"/>
    <s v="51588888453342300018"/>
    <n v="56696"/>
    <s v="Unidade Vieiralves"/>
    <m/>
    <m/>
  </r>
  <r>
    <x v="22"/>
    <x v="30"/>
    <s v="Sabrina Souza Lins"/>
    <s v="Feminino"/>
    <x v="1"/>
    <x v="5"/>
    <s v="50000861 - Pilates (R$ 40,00)"/>
    <s v="Pilates"/>
    <n v="8685544"/>
    <s v="Finalizado (2/10)"/>
    <n v="27.2"/>
    <n v="12.8"/>
    <n v="40"/>
    <s v="Sessão Faturada"/>
    <s v="0203007737940086"/>
    <n v="59261"/>
    <s v="Unidade Vieiralves"/>
    <n v="8685544"/>
    <m/>
  </r>
  <r>
    <x v="22"/>
    <x v="26"/>
    <s v="Maria Gabriela Santana Vieira"/>
    <s v="Feminino"/>
    <x v="7"/>
    <x v="5"/>
    <s v="Pilates 3x semana (R$ 560,00)"/>
    <s v="Pilates"/>
    <n v="168494"/>
    <s v="Finalizado (11/12)"/>
    <n v="28"/>
    <n v="18.666666666666998"/>
    <n v="46.666666666666998"/>
    <s v="Pago"/>
    <s v="00"/>
    <n v="59323"/>
    <s v="Unidade Vieiralves"/>
    <n v="168494"/>
    <m/>
  </r>
  <r>
    <x v="22"/>
    <x v="26"/>
    <s v="Marta Bittencourt Vieira"/>
    <s v="Feminino"/>
    <x v="23"/>
    <x v="5"/>
    <s v="50000853 - Pilates ( 12X Mensais) (R$ 20,60)"/>
    <s v="Pilates"/>
    <m/>
    <s v="Finalizado (12/12)"/>
    <n v="14.007999999999999"/>
    <n v="6.5919999999999996"/>
    <n v="20.6"/>
    <s v="Sessão a Faturar"/>
    <s v="51588888453342300018"/>
    <n v="56696"/>
    <s v="Unidade Vieiralves"/>
    <m/>
    <m/>
  </r>
  <r>
    <x v="22"/>
    <x v="17"/>
    <s v="Grasiely Santos dos Santos"/>
    <s v="Feminino"/>
    <x v="23"/>
    <x v="5"/>
    <s v="50000853 - Pilates ( 12X Mensais) (R$ 20,60)"/>
    <s v="Pilates"/>
    <n v="158219"/>
    <s v="Finalizado (3/12)"/>
    <n v="14.007999999999999"/>
    <n v="6.5919999999999996"/>
    <n v="20.6"/>
    <s v="Sessão a Faturar"/>
    <n v="3510707916763"/>
    <n v="58205"/>
    <s v="Unidade Vieiralves"/>
    <n v="158219"/>
    <m/>
  </r>
  <r>
    <x v="22"/>
    <x v="34"/>
    <s v="Rebeca Maria Nóbrega Crivelli"/>
    <s v="Feminino"/>
    <x v="7"/>
    <x v="5"/>
    <s v="Pilates 2x semana (R$ 390,00)"/>
    <s v="Pilates"/>
    <n v="168113"/>
    <s v="Não compareceu (7/7)"/>
    <n v="55.714285714286"/>
    <n v="0"/>
    <n v="55.714285714286"/>
    <s v="Pago"/>
    <s v="55788888487112640105"/>
    <n v="59257"/>
    <s v="Unidade Vieiralves"/>
    <n v="168113"/>
    <m/>
  </r>
  <r>
    <x v="22"/>
    <x v="34"/>
    <s v="Jéssica Liana Silba de Souza"/>
    <s v="Feminino"/>
    <x v="23"/>
    <x v="5"/>
    <s v="50000853 - Pilates ( 12X Mensais) (R$ 20,60)"/>
    <s v="Pilates"/>
    <m/>
    <s v="Finalizado (11/12)"/>
    <n v="14.007999999999999"/>
    <n v="6.5919999999999996"/>
    <n v="20.6"/>
    <s v="Sessão a Faturar"/>
    <m/>
    <n v="59204"/>
    <s v="Unidade Vieiralves"/>
    <m/>
    <m/>
  </r>
  <r>
    <x v="22"/>
    <x v="34"/>
    <s v="Ana Alexandrina Silva de Souza"/>
    <s v="Feminino"/>
    <x v="23"/>
    <x v="5"/>
    <s v="50000853 - Pilates ( 12X Mensais) (R$ 20,60)"/>
    <s v="Pilates"/>
    <m/>
    <s v="Finalizado (11/12)"/>
    <n v="14.007999999999999"/>
    <n v="6.5919999999999996"/>
    <n v="20.6"/>
    <s v="Sessão a Faturar"/>
    <m/>
    <n v="59203"/>
    <s v="Unidade Vieiralves"/>
    <m/>
    <m/>
  </r>
  <r>
    <x v="22"/>
    <x v="46"/>
    <s v="Fernando da Silva Passos"/>
    <s v="Masculino"/>
    <x v="23"/>
    <x v="5"/>
    <s v="50000853 - Pilates ( 12X Mensais) (R$ 20,60)"/>
    <s v="Pilates"/>
    <m/>
    <s v="Finalizado (12/12)"/>
    <n v="14.007999999999999"/>
    <n v="6.5919999999999996"/>
    <n v="20.6"/>
    <s v="Sessão a Faturar"/>
    <n v="894245300060000"/>
    <n v="55116"/>
    <s v="Unidade Vieiralves"/>
    <m/>
    <m/>
  </r>
  <r>
    <x v="22"/>
    <x v="46"/>
    <s v="Tiago de Melo Paredio"/>
    <s v="Masculino"/>
    <x v="23"/>
    <x v="5"/>
    <s v="50000853 - Pilates ( 12X Mensais) (R$ 20,60)"/>
    <s v="Pilates"/>
    <m/>
    <s v="Finalizado (5/12)"/>
    <n v="14.007999999999999"/>
    <n v="6.5919999999999996"/>
    <n v="20.6"/>
    <s v="Sessão a Faturar"/>
    <n v="17875"/>
    <n v="49124"/>
    <s v="Unidade Vieiralves"/>
    <m/>
    <m/>
  </r>
  <r>
    <x v="22"/>
    <x v="46"/>
    <s v="Rebeca Lizandra da Silva Sales"/>
    <s v="Feminino"/>
    <x v="23"/>
    <x v="5"/>
    <s v="50000853 - Pilates ( 12X Mensais) (R$ 20,60)"/>
    <s v="Pilates"/>
    <m/>
    <s v="Finalizado (1/1)"/>
    <n v="14.007999999999999"/>
    <n v="6.5919999999999996"/>
    <n v="20.6"/>
    <s v="Sessão a Faturar"/>
    <n v="3512211629282"/>
    <n v="58753"/>
    <s v="Unidade Vieiralves"/>
    <m/>
    <m/>
  </r>
  <r>
    <x v="19"/>
    <x v="47"/>
    <s v="Anne Siqueira Martins"/>
    <s v="Feminino"/>
    <x v="20"/>
    <x v="5"/>
    <s v="00011003 - Pilates (R$ 28,80)"/>
    <s v="Pilates"/>
    <n v="55184500"/>
    <s v="Finalizado (7/10)"/>
    <n v="19.584"/>
    <n v="9.2159999999999993"/>
    <n v="28.8"/>
    <s v="Sessão Faturada"/>
    <n v="1051460083390100"/>
    <n v="43576"/>
    <s v="Unidade Vieiralves"/>
    <n v="55184500"/>
    <m/>
  </r>
  <r>
    <x v="19"/>
    <x v="47"/>
    <s v="Adriana Brito de Souza"/>
    <s v="Feminino"/>
    <x v="1"/>
    <x v="5"/>
    <s v="50000861 - Pilates (R$ 40,00)"/>
    <s v="Pilates"/>
    <n v="8755192"/>
    <s v="Finalizado (5/10)"/>
    <n v="27.2"/>
    <n v="12.8"/>
    <n v="40"/>
    <s v="Sessão Faturada"/>
    <n v="1301013731160100"/>
    <n v="58802"/>
    <s v="Unidade Vieiralves"/>
    <n v="8755192"/>
    <s v="Guia assinada!"/>
  </r>
  <r>
    <x v="19"/>
    <x v="2"/>
    <s v="Miranir da Silva Oliveira"/>
    <s v="Feminino"/>
    <x v="5"/>
    <x v="5"/>
    <s v="50000853 - Pilates - 04/03/2026 (R$ 39,77)"/>
    <s v="Pilates"/>
    <n v="76787070"/>
    <s v="Finalizado (5/10)"/>
    <n v="27.043600000000001"/>
    <n v="12.7264"/>
    <n v="39.770000000000003"/>
    <s v="Sessão a Faturar"/>
    <s v="0101353960010135"/>
    <n v="57596"/>
    <s v="Unidade Vieiralves"/>
    <n v="76787070"/>
    <m/>
  </r>
  <r>
    <x v="19"/>
    <x v="2"/>
    <s v="Antonia Neyre de Souza Chagas"/>
    <s v="Feminino"/>
    <x v="7"/>
    <x v="5"/>
    <s v="Pilates 2x semana (R$ 390,00)"/>
    <s v="Pilates"/>
    <n v="169861"/>
    <s v="Finalizado (4/10)"/>
    <n v="23.4"/>
    <n v="15.6"/>
    <n v="39"/>
    <s v="Pago"/>
    <s v="00"/>
    <n v="59466"/>
    <s v="Unidade Vieiralves"/>
    <n v="169861"/>
    <m/>
  </r>
  <r>
    <x v="19"/>
    <x v="2"/>
    <s v="Livia Costa de Freitas"/>
    <s v="Feminino"/>
    <x v="1"/>
    <x v="5"/>
    <s v="50000861 - Pilates (R$ 40,00)"/>
    <s v="Pilates"/>
    <n v="8897210"/>
    <s v="Finalizado (4/10)"/>
    <n v="27.2"/>
    <n v="12.8"/>
    <n v="40"/>
    <s v="Sessão Faturada"/>
    <n v="2001012767450000"/>
    <n v="58949"/>
    <s v="Unidade Vieiralves"/>
    <n v="8897210"/>
    <m/>
  </r>
  <r>
    <x v="19"/>
    <x v="30"/>
    <s v="Ana Regina Marinho Fama"/>
    <s v="Feminino"/>
    <x v="1"/>
    <x v="5"/>
    <s v="50000861 - Pilates (R$ 40,00)"/>
    <s v="Pilates"/>
    <n v="8588995"/>
    <s v="Finalizado (9/10)"/>
    <n v="27.2"/>
    <n v="12.8"/>
    <n v="40"/>
    <s v="Sessão Faturada"/>
    <s v="0301011659290040"/>
    <n v="59178"/>
    <s v="Unidade Vieiralves"/>
    <n v="8588995"/>
    <m/>
  </r>
  <r>
    <x v="19"/>
    <x v="30"/>
    <s v="Sabrina Souza Lins"/>
    <s v="Feminino"/>
    <x v="1"/>
    <x v="5"/>
    <s v="50000861 - Pilates (R$ 40,00)"/>
    <s v="Pilates"/>
    <n v="8685544"/>
    <s v="Finalizado (3/10)"/>
    <n v="27.2"/>
    <n v="12.8"/>
    <n v="40"/>
    <s v="Sessão Faturada"/>
    <s v="0203007737940086"/>
    <n v="59261"/>
    <s v="Unidade Vieiralves"/>
    <n v="8685544"/>
    <m/>
  </r>
  <r>
    <x v="19"/>
    <x v="30"/>
    <s v="Erica de Araujo Macedo"/>
    <s v="Feminino"/>
    <x v="1"/>
    <x v="5"/>
    <s v="50000861 - Pilates (R$ 40,00)"/>
    <s v="Pilates"/>
    <n v="8652324"/>
    <s v="Finalizado (7/10)"/>
    <n v="27.2"/>
    <n v="12.8"/>
    <n v="40"/>
    <s v="Sessão a Faturar"/>
    <s v="0901013081250088"/>
    <n v="16948"/>
    <s v="Unidade Vieiralves"/>
    <n v="8652324"/>
    <s v="GUIA ASSINADA"/>
  </r>
  <r>
    <x v="19"/>
    <x v="26"/>
    <s v="Estela Maria Galvao Vidal de Abreu"/>
    <s v="Feminino"/>
    <x v="7"/>
    <x v="5"/>
    <s v="Pilates 2x semana (R$ 390,00)"/>
    <s v="Pilates"/>
    <n v="171238"/>
    <s v="Finalizado (1/9)"/>
    <n v="26"/>
    <n v="17.333333333333002"/>
    <n v="43.333333333333002"/>
    <s v="Pago"/>
    <n v="836922200019000"/>
    <n v="45049"/>
    <s v="Unidade Vieiralves"/>
    <n v="171238"/>
    <m/>
  </r>
  <r>
    <x v="19"/>
    <x v="17"/>
    <s v="Flavia Cavalcanti Gesta de Melo"/>
    <s v="Feminino"/>
    <x v="23"/>
    <x v="5"/>
    <s v="50000853 - Pilates ( 12X Mensais) (R$ 20,60)"/>
    <s v="Pilates"/>
    <m/>
    <s v="Finalizado (9/12)"/>
    <n v="14.007999999999999"/>
    <n v="6.5919999999999996"/>
    <n v="20.6"/>
    <s v="Sessão a Faturar"/>
    <n v="3601636772303"/>
    <n v="58973"/>
    <s v="Unidade Vieiralves"/>
    <m/>
    <m/>
  </r>
  <r>
    <x v="19"/>
    <x v="46"/>
    <s v="Bryan Piterson da Silva Gurgel"/>
    <s v="Masculino"/>
    <x v="23"/>
    <x v="5"/>
    <s v="50000853 - Pilates ( 12X Mensais) (R$ 20,60)"/>
    <s v="Pilates"/>
    <m/>
    <s v="Finalizado (7/12)"/>
    <n v="14.007999999999999"/>
    <n v="6.5919999999999996"/>
    <n v="20.6"/>
    <s v="Sessão a Faturar"/>
    <s v="0901014117090091"/>
    <n v="58822"/>
    <s v="Unidade Vieiralves"/>
    <m/>
    <m/>
  </r>
  <r>
    <x v="19"/>
    <x v="46"/>
    <s v="Vannessa Costa Gurgel"/>
    <s v="Feminino"/>
    <x v="23"/>
    <x v="5"/>
    <s v="50000853 - Pilates ( 12X Mensais) (R$ 20,60)"/>
    <s v="Pilates"/>
    <n v="164775"/>
    <s v="Finalizado (10/12)"/>
    <n v="14.007999999999999"/>
    <n v="6.5919999999999996"/>
    <n v="20.6"/>
    <s v="Sessão a Faturar"/>
    <s v="0901014117090172"/>
    <n v="58947"/>
    <s v="Unidade Vieiralves"/>
    <n v="164775"/>
    <m/>
  </r>
  <r>
    <x v="20"/>
    <x v="2"/>
    <s v="Rita Emanuelle de Fonte Seixas"/>
    <s v="Feminino"/>
    <x v="5"/>
    <x v="5"/>
    <s v="50000853 - Pilates - 04/03/2026 (R$ 39,77)"/>
    <s v="Pilates"/>
    <n v="76247590"/>
    <s v="Finalizado (1/10)"/>
    <n v="27.043600000000001"/>
    <n v="12.7264"/>
    <n v="39.770000000000003"/>
    <s v="Sessão Faturada"/>
    <s v="0100758323010346"/>
    <n v="58917"/>
    <s v="Unidade Vieiralves"/>
    <n v="76247590"/>
    <m/>
  </r>
  <r>
    <x v="20"/>
    <x v="2"/>
    <s v="Livia Costa de Freitas"/>
    <s v="Feminino"/>
    <x v="1"/>
    <x v="5"/>
    <s v="50000861 - Pilates (R$ 40,00)"/>
    <s v="Pilates"/>
    <n v="8897210"/>
    <s v="Finalizado (5/10)"/>
    <n v="27.2"/>
    <n v="12.8"/>
    <n v="40"/>
    <s v="Sessão Faturada"/>
    <n v="2001012767450000"/>
    <n v="58949"/>
    <s v="Unidade Vieiralves"/>
    <n v="8897210"/>
    <m/>
  </r>
  <r>
    <x v="20"/>
    <x v="26"/>
    <s v="Marta Bittencourt Vieira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s v="51588888453342300018"/>
    <n v="56696"/>
    <s v="Unidade Vieiralves"/>
    <m/>
    <m/>
  </r>
  <r>
    <x v="20"/>
    <x v="17"/>
    <s v="Gabrielly da Silva Mascarin"/>
    <m/>
    <x v="23"/>
    <x v="5"/>
    <s v="50000853 - Pilates ( 12X Mensais) (R$ 20,60)"/>
    <s v="Pilates"/>
    <m/>
    <s v="Finalizado (7/12)"/>
    <n v="14.007999999999999"/>
    <n v="6.5919999999999996"/>
    <n v="20.6"/>
    <s v="Sessão a Faturar"/>
    <n v="954500024520030"/>
    <n v="17683"/>
    <s v="Unidade Vieiralves"/>
    <m/>
    <m/>
  </r>
  <r>
    <x v="20"/>
    <x v="17"/>
    <s v="Rafael Barros Ramos"/>
    <s v="Masculino"/>
    <x v="23"/>
    <x v="5"/>
    <s v="50000853 - Pilates ( 12X Mensais) (R$ 20,60)"/>
    <s v="Pilates"/>
    <m/>
    <s v="Finalizado (8/12)"/>
    <n v="14.007999999999999"/>
    <n v="6.5919999999999996"/>
    <n v="20.6"/>
    <s v="Sessão a Faturar"/>
    <n v="954500024520000"/>
    <n v="47303"/>
    <s v="Unidade Vieiralves"/>
    <m/>
    <m/>
  </r>
  <r>
    <x v="20"/>
    <x v="34"/>
    <s v="Jéssica Liana Silba de Souza"/>
    <s v="Feminino"/>
    <x v="23"/>
    <x v="5"/>
    <s v="50000853 - Pilates ( 12X Mensais) (R$ 20,60)"/>
    <s v="Pilates"/>
    <m/>
    <s v="Finalizado (12/12)"/>
    <n v="14.007999999999999"/>
    <n v="6.5919999999999996"/>
    <n v="20.6"/>
    <s v="Sessão a Faturar"/>
    <m/>
    <n v="59204"/>
    <s v="Unidade Vieiralves"/>
    <m/>
    <m/>
  </r>
  <r>
    <x v="20"/>
    <x v="34"/>
    <s v="Ana Alexandrina Silva de Souza"/>
    <s v="Feminino"/>
    <x v="23"/>
    <x v="5"/>
    <s v="50000853 - Pilates ( 12X Mensais) (R$ 20,60)"/>
    <s v="Pilates"/>
    <m/>
    <s v="Finalizado (12/12)"/>
    <n v="14.007999999999999"/>
    <n v="6.5919999999999996"/>
    <n v="20.6"/>
    <s v="Sessão a Faturar"/>
    <m/>
    <n v="59203"/>
    <s v="Unidade Vieiralves"/>
    <m/>
    <m/>
  </r>
  <r>
    <x v="20"/>
    <x v="34"/>
    <s v="Fernando da Silva Passos"/>
    <s v="Mascul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894245300060000"/>
    <n v="55116"/>
    <s v="Unidade Vieiralves"/>
    <m/>
    <m/>
  </r>
  <r>
    <x v="20"/>
    <x v="46"/>
    <s v="Tiago de Melo Paredio"/>
    <s v="Mascul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17875"/>
    <n v="49124"/>
    <s v="Unidade Vieiralves"/>
    <m/>
    <m/>
  </r>
  <r>
    <x v="0"/>
    <x v="47"/>
    <s v="Rosenira Monteiro da Costa Oliveira"/>
    <s v="Feminino"/>
    <x v="1"/>
    <x v="5"/>
    <s v="50000861 - Pilates (R$ 40,00)"/>
    <s v="Pilates"/>
    <n v="8258081"/>
    <s v="Finalizado (5/10)"/>
    <n v="27.2"/>
    <n v="12.8"/>
    <n v="40"/>
    <s v="Sessão Faturada"/>
    <s v="0901007026270191"/>
    <n v="58986"/>
    <s v="Unidade Vieiralves"/>
    <n v="8258081"/>
    <m/>
  </r>
  <r>
    <x v="0"/>
    <x v="30"/>
    <s v="Erica de Araujo Macedo"/>
    <s v="Feminino"/>
    <x v="1"/>
    <x v="5"/>
    <s v="50000861 - Pilates (R$ 40,00)"/>
    <s v="Pilates"/>
    <n v="8652324"/>
    <s v="Finalizado (8/10)"/>
    <n v="27.2"/>
    <n v="12.8"/>
    <n v="40"/>
    <s v="Sessão a Faturar"/>
    <s v="0901013081250088"/>
    <n v="16948"/>
    <s v="Unidade Vieiralves"/>
    <n v="8652324"/>
    <s v="GUIA ASSINADA"/>
  </r>
  <r>
    <x v="0"/>
    <x v="30"/>
    <s v="Maria Gabriela Santana Vieira"/>
    <s v="Feminino"/>
    <x v="7"/>
    <x v="5"/>
    <s v="Pilates 3x semana (R$ 560,00)"/>
    <s v="Pilates"/>
    <n v="168494"/>
    <s v="Não compareceu (12/12)"/>
    <n v="46.666666666666998"/>
    <n v="0"/>
    <n v="46.666666666666998"/>
    <s v="Pago"/>
    <s v="00"/>
    <n v="59323"/>
    <s v="Unidade Vieiralves"/>
    <n v="168494"/>
    <m/>
  </r>
  <r>
    <x v="0"/>
    <x v="26"/>
    <s v="Marta Bittencourt Vieira"/>
    <s v="Feminino"/>
    <x v="23"/>
    <x v="5"/>
    <s v="50000853 - Pilates ( 12X Mensais) (R$ 20,60)"/>
    <s v="Pilates"/>
    <m/>
    <s v="Finalizado (2/12)"/>
    <n v="14.007999999999999"/>
    <n v="6.5919999999999996"/>
    <n v="20.6"/>
    <s v="Sessão a Faturar"/>
    <s v="51588888453342300018"/>
    <n v="56696"/>
    <s v="Unidade Vieiralves"/>
    <m/>
    <m/>
  </r>
  <r>
    <x v="0"/>
    <x v="17"/>
    <s v="Sabrina Souza Lins"/>
    <s v="Feminino"/>
    <x v="1"/>
    <x v="5"/>
    <s v="50000861 - Pilates (R$ 40,00)"/>
    <s v="Pilates"/>
    <n v="8685544"/>
    <s v="Finalizado (4/10)"/>
    <n v="27.2"/>
    <n v="12.8"/>
    <n v="40"/>
    <s v="Sessão Faturada"/>
    <s v="0203007737940086"/>
    <n v="59261"/>
    <s v="Unidade Vieiralves"/>
    <n v="8685544"/>
    <m/>
  </r>
  <r>
    <x v="0"/>
    <x v="34"/>
    <s v="Fernando da Silva Passos"/>
    <s v="Masculino"/>
    <x v="23"/>
    <x v="5"/>
    <s v="50000853 - Pilates ( 12X Mensais) (R$ 20,60)"/>
    <s v="Pilates"/>
    <m/>
    <s v="Finalizado (2/12)"/>
    <n v="14.007999999999999"/>
    <n v="6.5919999999999996"/>
    <n v="20.6"/>
    <s v="Sessão a Faturar"/>
    <n v="894245300060000"/>
    <n v="55116"/>
    <s v="Unidade Vieiralves"/>
    <m/>
    <m/>
  </r>
  <r>
    <x v="0"/>
    <x v="46"/>
    <s v="Tiago de Melo Paredio"/>
    <s v="Masculino"/>
    <x v="23"/>
    <x v="5"/>
    <s v="50000853 - Pilates ( 12X Mensais) (R$ 20,60)"/>
    <s v="Pilates"/>
    <m/>
    <s v="Finalizado (7/12)"/>
    <n v="14.007999999999999"/>
    <n v="6.5919999999999996"/>
    <n v="20.6"/>
    <s v="Sessão a Faturar"/>
    <n v="17875"/>
    <n v="49124"/>
    <s v="Unidade Vieiralves"/>
    <m/>
    <m/>
  </r>
  <r>
    <x v="0"/>
    <x v="46"/>
    <s v="Vandressa Patricia de Sousa Melo"/>
    <s v="Feminino"/>
    <x v="23"/>
    <x v="5"/>
    <s v="50000853 - Pilates ( 12X Mensais) (R$ 20,60)"/>
    <s v="Pilates"/>
    <m/>
    <s v="Finalizado (4/12)"/>
    <n v="14.007999999999999"/>
    <n v="6.5919999999999996"/>
    <n v="20.6"/>
    <s v="Sessão a Faturar"/>
    <n v="3410458369162"/>
    <n v="57857"/>
    <s v="Unidade Vieiralves"/>
    <m/>
    <m/>
  </r>
  <r>
    <x v="0"/>
    <x v="46"/>
    <s v="Rebeca Tavares de Oliveira"/>
    <s v="Feminino"/>
    <x v="23"/>
    <x v="5"/>
    <s v="50000853 - Pilates ( 12X Mensais) (R$ 20,60)"/>
    <s v="Pilates"/>
    <m/>
    <s v="Finalizado (4/12)"/>
    <n v="14.007999999999999"/>
    <n v="6.5919999999999996"/>
    <n v="20.6"/>
    <s v="Sessão a Faturar"/>
    <n v="3508482184561"/>
    <n v="59404"/>
    <s v="Unidade Vieiralves"/>
    <m/>
    <m/>
  </r>
  <r>
    <x v="1"/>
    <x v="47"/>
    <s v="Anne Siqueira Martins"/>
    <s v="Feminino"/>
    <x v="20"/>
    <x v="5"/>
    <s v="00011003 - Pilates (R$ 28,80)"/>
    <s v="Pilates"/>
    <n v="55184500"/>
    <s v="Finalizado (8/10)"/>
    <n v="19.584"/>
    <n v="9.2159999999999993"/>
    <n v="28.8"/>
    <s v="Sessão Faturada"/>
    <n v="1051460083390100"/>
    <n v="43576"/>
    <s v="Unidade Vieiralves"/>
    <n v="55184500"/>
    <m/>
  </r>
  <r>
    <x v="1"/>
    <x v="47"/>
    <s v="Adriana Brito de Souza"/>
    <s v="Feminino"/>
    <x v="1"/>
    <x v="5"/>
    <s v="50000861 - Pilates (R$ 40,00)"/>
    <s v="Pilates"/>
    <n v="8755192"/>
    <s v="Finalizado (6/10)"/>
    <n v="27.2"/>
    <n v="12.8"/>
    <n v="40"/>
    <s v="Sessão Faturada"/>
    <n v="1301013731160100"/>
    <n v="58802"/>
    <s v="Unidade Vieiralves"/>
    <n v="8755192"/>
    <s v="Guia assinada!"/>
  </r>
  <r>
    <x v="1"/>
    <x v="2"/>
    <s v="Miranir da Silva Oliveira"/>
    <s v="Feminino"/>
    <x v="5"/>
    <x v="5"/>
    <s v="50000853 - Pilates - 04/03/2026 (R$ 39,77)"/>
    <s v="Pilates"/>
    <n v="76787070"/>
    <s v="Finalizado (6/10)"/>
    <n v="27.043600000000001"/>
    <n v="12.7264"/>
    <n v="39.770000000000003"/>
    <s v="Sessão a Faturar"/>
    <s v="0101353960010135"/>
    <n v="57596"/>
    <s v="Unidade Vieiralves"/>
    <n v="76787070"/>
    <m/>
  </r>
  <r>
    <x v="1"/>
    <x v="2"/>
    <s v="Antonia Neyre de Souza Chagas"/>
    <s v="Feminino"/>
    <x v="7"/>
    <x v="5"/>
    <s v="Pilates 2x semana (R$ 390,00)"/>
    <s v="Pilates"/>
    <n v="169861"/>
    <s v="Finalizado (5/10)"/>
    <n v="23.4"/>
    <n v="15.6"/>
    <n v="39"/>
    <s v="Pago"/>
    <s v="00"/>
    <n v="59466"/>
    <s v="Unidade Vieiralves"/>
    <n v="169861"/>
    <m/>
  </r>
  <r>
    <x v="1"/>
    <x v="30"/>
    <s v="Ana Regina Marinho Fama"/>
    <s v="Feminino"/>
    <x v="1"/>
    <x v="5"/>
    <s v="50000861 - Pilates (R$ 40,00)"/>
    <s v="Pilates"/>
    <n v="8588995"/>
    <s v="Finalizado (10/10)"/>
    <n v="27.2"/>
    <n v="12.8"/>
    <n v="40"/>
    <s v="Sessão Faturada"/>
    <s v="0301011659290040"/>
    <n v="59178"/>
    <s v="Unidade Vieiralves"/>
    <n v="8588995"/>
    <m/>
  </r>
  <r>
    <x v="1"/>
    <x v="30"/>
    <s v="Estela Maria Galvao Vidal de Abreu"/>
    <s v="Feminino"/>
    <x v="7"/>
    <x v="5"/>
    <s v="Pilates 2x semana (R$ 390,00)"/>
    <s v="Pilates"/>
    <n v="171238"/>
    <s v="Finalizado (2/9)"/>
    <n v="26"/>
    <n v="17.333333333333002"/>
    <n v="43.333333333333002"/>
    <s v="Pago"/>
    <n v="836922200019000"/>
    <n v="45049"/>
    <s v="Unidade Vieiralves"/>
    <n v="171238"/>
    <m/>
  </r>
  <r>
    <x v="1"/>
    <x v="46"/>
    <s v="Vannessa Costa Gurgel"/>
    <s v="Feminino"/>
    <x v="23"/>
    <x v="5"/>
    <s v="50000853 - Pilates ( 12X Mensais) (R$ 20,60)"/>
    <s v="Pilates"/>
    <n v="164775"/>
    <s v="Finalizado (11/12)"/>
    <n v="14.007999999999999"/>
    <n v="6.5919999999999996"/>
    <n v="20.6"/>
    <s v="Sessão a Faturar"/>
    <s v="0901014117090172"/>
    <n v="58947"/>
    <s v="Unidade Vieiralves"/>
    <n v="164775"/>
    <m/>
  </r>
  <r>
    <x v="1"/>
    <x v="46"/>
    <s v="Bryan Piterson da Silva Gurgel"/>
    <s v="Masculino"/>
    <x v="23"/>
    <x v="5"/>
    <s v="50000853 - Pilates ( 12X Mensais) (R$ 20,60)"/>
    <s v="Pilates"/>
    <m/>
    <s v="Finalizado (8/12)"/>
    <n v="14.007999999999999"/>
    <n v="6.5919999999999996"/>
    <n v="20.6"/>
    <s v="Sessão a Faturar"/>
    <s v="0901014117090091"/>
    <n v="58822"/>
    <s v="Unidade Vieiralves"/>
    <m/>
    <m/>
  </r>
  <r>
    <x v="2"/>
    <x v="2"/>
    <s v="Rosenira Monteiro da Costa Oliveira"/>
    <s v="Feminino"/>
    <x v="1"/>
    <x v="5"/>
    <s v="50000861 - Pilates (R$ 40,00)"/>
    <s v="Pilates"/>
    <n v="8258081"/>
    <s v="Finalizado (6/10)"/>
    <n v="27.2"/>
    <n v="12.8"/>
    <n v="40"/>
    <s v="Sessão Faturada"/>
    <s v="0901007026270191"/>
    <n v="58986"/>
    <s v="Unidade Vieiralves"/>
    <n v="8258081"/>
    <m/>
  </r>
  <r>
    <x v="2"/>
    <x v="2"/>
    <s v="Livia Costa de Freitas"/>
    <s v="Feminino"/>
    <x v="1"/>
    <x v="5"/>
    <s v="50000861 - Pilates (R$ 40,00)"/>
    <s v="Pilates"/>
    <n v="8897210"/>
    <s v="Finalizado (6/10)"/>
    <n v="27.2"/>
    <n v="12.8"/>
    <n v="40"/>
    <s v="Sessão Faturada"/>
    <n v="2001012767450000"/>
    <n v="58949"/>
    <s v="Unidade Vieiralves"/>
    <n v="8897210"/>
    <m/>
  </r>
  <r>
    <x v="2"/>
    <x v="26"/>
    <s v="Marcos Eduardo de Oliveira da Silva"/>
    <s v="Masculino"/>
    <x v="23"/>
    <x v="5"/>
    <s v="50000144 - Primeira Sessão - Sessão Experimental (R$ 0,00)"/>
    <s v="Pilates"/>
    <n v="172216"/>
    <s v="Finalizado (1/12)"/>
    <n v="0"/>
    <n v="0"/>
    <n v="0"/>
    <s v="Sessão a Faturar"/>
    <s v="00"/>
    <n v="57237"/>
    <s v="Unidade Vieiralves"/>
    <n v="172216"/>
    <m/>
  </r>
  <r>
    <x v="2"/>
    <x v="17"/>
    <s v="Flavia Cavalcanti Gesta de Melo"/>
    <s v="Feminino"/>
    <x v="23"/>
    <x v="5"/>
    <s v="50000853 - Pilates ( 12X Mensais) (R$ 20,60)"/>
    <s v="Pilates"/>
    <m/>
    <s v="Finalizado (10/12)"/>
    <n v="14.007999999999999"/>
    <n v="6.5919999999999996"/>
    <n v="20.6"/>
    <s v="Sessão a Faturar"/>
    <n v="3601636772303"/>
    <n v="58973"/>
    <s v="Unidade Vieiralves"/>
    <m/>
    <m/>
  </r>
  <r>
    <x v="2"/>
    <x v="17"/>
    <s v="Carolina Moresi Vieira"/>
    <s v="Feminino"/>
    <x v="23"/>
    <x v="5"/>
    <s v="50000853 - Pilates ( 12X Mensais) (R$ 20,60)"/>
    <s v="Pilates"/>
    <n v="164520"/>
    <s v="Finalizado (10/12)"/>
    <n v="14.007999999999999"/>
    <n v="6.5919999999999996"/>
    <n v="20.6"/>
    <s v="Sessão a Faturar"/>
    <s v="00"/>
    <n v="58971"/>
    <s v="Unidade Vieiralves"/>
    <n v="164520"/>
    <m/>
  </r>
  <r>
    <x v="2"/>
    <x v="34"/>
    <s v="Ráifran Silene Souza da Silva"/>
    <s v="Feminino"/>
    <x v="1"/>
    <x v="5"/>
    <s v="50000861 - Pilates (R$ 40,00)"/>
    <s v="Pilates"/>
    <n v="9064926"/>
    <s v="Finalizado (2/10)"/>
    <n v="27.2"/>
    <n v="12.8"/>
    <n v="40"/>
    <s v="Sessão Faturada"/>
    <n v="2001010906740100"/>
    <n v="58560"/>
    <s v="Unidade Vieiralves"/>
    <n v="9064926"/>
    <m/>
  </r>
  <r>
    <x v="2"/>
    <x v="46"/>
    <s v="Rebeca Lizandra da Silva Sales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3512211629282"/>
    <n v="58753"/>
    <s v="Unidade Vieiralves"/>
    <m/>
    <m/>
  </r>
  <r>
    <x v="2"/>
    <x v="46"/>
    <s v="Fernando da Silva Passos"/>
    <s v="Masculino"/>
    <x v="23"/>
    <x v="5"/>
    <s v="50000853 - Pilates ( 12X Mensais) (R$ 20,60)"/>
    <s v="Pilates"/>
    <m/>
    <s v="Finalizado (3/12)"/>
    <n v="14.007999999999999"/>
    <n v="6.5919999999999996"/>
    <n v="20.6"/>
    <s v="Sessão a Faturar"/>
    <n v="894245300060000"/>
    <n v="55116"/>
    <s v="Unidade Vieiralves"/>
    <m/>
    <m/>
  </r>
  <r>
    <x v="3"/>
    <x v="47"/>
    <s v="Livia Costa de Freitas"/>
    <s v="Feminino"/>
    <x v="1"/>
    <x v="5"/>
    <s v="50000861 - Pilates (R$ 40,00)"/>
    <s v="Pilates"/>
    <n v="8897210"/>
    <s v="Finalizado (7/10)"/>
    <n v="27.2"/>
    <n v="12.8"/>
    <n v="40"/>
    <s v="Sessão Faturada"/>
    <n v="2001012767450000"/>
    <n v="58949"/>
    <s v="Unidade Vieiralves"/>
    <n v="8897210"/>
    <m/>
  </r>
  <r>
    <x v="3"/>
    <x v="47"/>
    <s v="Anne Siqueira Martins"/>
    <s v="Feminino"/>
    <x v="20"/>
    <x v="5"/>
    <s v="00011003 - Pilates (R$ 28,80)"/>
    <s v="Pilates"/>
    <n v="55184500"/>
    <s v="Finalizado (9/10)"/>
    <n v="19.584"/>
    <n v="9.2159999999999993"/>
    <n v="28.8"/>
    <s v="Sessão Faturada"/>
    <n v="1051460083390100"/>
    <n v="43576"/>
    <s v="Unidade Vieiralves"/>
    <n v="55184500"/>
    <m/>
  </r>
  <r>
    <x v="3"/>
    <x v="47"/>
    <s v="Adriana Brito de Souza"/>
    <s v="Feminino"/>
    <x v="1"/>
    <x v="5"/>
    <s v="50000861 - Pilates (R$ 40,00)"/>
    <s v="Pilates"/>
    <n v="8755192"/>
    <s v="Finalizado (7/10)"/>
    <n v="27.2"/>
    <n v="12.8"/>
    <n v="40"/>
    <s v="Sessão Faturada"/>
    <n v="1301013731160100"/>
    <n v="58802"/>
    <s v="Unidade Vieiralves"/>
    <n v="8755192"/>
    <s v="Guia assinada!"/>
  </r>
  <r>
    <x v="3"/>
    <x v="2"/>
    <s v="Celia Regina Simonetti Barbalho"/>
    <s v="Feminino"/>
    <x v="1"/>
    <x v="5"/>
    <s v="50000861 - Pilates (R$ 40,00)"/>
    <s v="Pilates"/>
    <n v="9073765"/>
    <s v="Finalizado (1/10)"/>
    <n v="27.2"/>
    <n v="12.8"/>
    <n v="40"/>
    <s v="Sessão a Faturar"/>
    <s v="0901012965130039"/>
    <n v="36041"/>
    <s v="Unidade Vieiralves"/>
    <n v="9073765"/>
    <m/>
  </r>
  <r>
    <x v="3"/>
    <x v="2"/>
    <s v="Antonia Neyre de Souza Chagas"/>
    <s v="Feminino"/>
    <x v="7"/>
    <x v="5"/>
    <s v="Pilates 2x semana (R$ 390,00)"/>
    <s v="Pilates"/>
    <n v="169861"/>
    <s v="Finalizado (6/10)"/>
    <n v="23.4"/>
    <n v="15.6"/>
    <n v="39"/>
    <s v="Pago"/>
    <s v="00"/>
    <n v="59466"/>
    <s v="Unidade Vieiralves"/>
    <n v="169861"/>
    <m/>
  </r>
  <r>
    <x v="3"/>
    <x v="30"/>
    <s v="Estela Maria Galvao Vidal de Abreu"/>
    <s v="Feminino"/>
    <x v="7"/>
    <x v="5"/>
    <s v="Pilates 2x semana (R$ 390,00)"/>
    <s v="Pilates"/>
    <n v="171238"/>
    <s v="Finalizado (3/9)"/>
    <n v="26"/>
    <n v="17.333333333333002"/>
    <n v="43.333333333333002"/>
    <s v="Pago"/>
    <n v="836922200019000"/>
    <n v="45049"/>
    <s v="Unidade Vieiralves"/>
    <n v="171238"/>
    <m/>
  </r>
  <r>
    <x v="3"/>
    <x v="26"/>
    <s v="Sabrina Souza Lins"/>
    <s v="Feminino"/>
    <x v="1"/>
    <x v="5"/>
    <s v="50000861 - Pilates (R$ 40,00)"/>
    <s v="Pilates"/>
    <n v="8685544"/>
    <s v="Finalizado (5/10)"/>
    <n v="27.2"/>
    <n v="12.8"/>
    <n v="40"/>
    <s v="Sessão Faturada"/>
    <s v="0203007737940086"/>
    <n v="59261"/>
    <s v="Unidade Vieiralves"/>
    <n v="8685544"/>
    <m/>
  </r>
  <r>
    <x v="3"/>
    <x v="26"/>
    <s v="Marta Bittencourt Vieira"/>
    <s v="Feminino"/>
    <x v="23"/>
    <x v="5"/>
    <s v="50000853 - Pilates ( 12X Mensais) (R$ 20,60)"/>
    <s v="Pilates"/>
    <m/>
    <s v="Finalizado (3/12)"/>
    <n v="14.007999999999999"/>
    <n v="6.5919999999999996"/>
    <n v="20.6"/>
    <s v="Sessão a Faturar"/>
    <s v="51588888453342300018"/>
    <n v="56696"/>
    <s v="Unidade Vieiralves"/>
    <m/>
    <m/>
  </r>
  <r>
    <x v="3"/>
    <x v="34"/>
    <s v="Ráifran Silene Souza da Silva"/>
    <s v="Feminino"/>
    <x v="1"/>
    <x v="5"/>
    <s v="50000861 - Pilates (R$ 40,00)"/>
    <s v="Pilates"/>
    <n v="9064926"/>
    <s v="Finalizado (3/10)"/>
    <n v="27.2"/>
    <n v="12.8"/>
    <n v="40"/>
    <s v="Sessão Faturada"/>
    <n v="2001010906740100"/>
    <n v="58560"/>
    <s v="Unidade Vieiralves"/>
    <n v="9064926"/>
    <m/>
  </r>
  <r>
    <x v="4"/>
    <x v="26"/>
    <s v="Sabrina Souza Lins"/>
    <s v="Feminino"/>
    <x v="1"/>
    <x v="5"/>
    <s v="50000861 - Pilates (R$ 40,00)"/>
    <s v="Pilates"/>
    <n v="8685544"/>
    <s v="Finalizado (6/10)"/>
    <n v="27.2"/>
    <n v="12.8"/>
    <n v="40"/>
    <s v="Sessão Faturada"/>
    <s v="0203007737940086"/>
    <n v="59261"/>
    <s v="Unidade Vieiralves"/>
    <n v="8685544"/>
    <m/>
  </r>
  <r>
    <x v="4"/>
    <x v="17"/>
    <s v="Marta Bittencourt Vieira"/>
    <s v="Feminino"/>
    <x v="23"/>
    <x v="5"/>
    <s v="50000853 - Pilates ( 12X Mensais) (R$ 20,60)"/>
    <s v="Pilates"/>
    <m/>
    <s v="Finalizado (4/12)"/>
    <n v="14.007999999999999"/>
    <n v="6.5919999999999996"/>
    <n v="20.6"/>
    <s v="Sessão a Faturar"/>
    <s v="51588888453342300018"/>
    <n v="56696"/>
    <s v="Unidade Vieiralves"/>
    <m/>
    <m/>
  </r>
  <r>
    <x v="4"/>
    <x v="34"/>
    <s v="Ráifran Silene Souza da Silva"/>
    <s v="Feminino"/>
    <x v="1"/>
    <x v="5"/>
    <s v="50000861 - Pilates (R$ 40,00)"/>
    <s v="Pilates"/>
    <n v="9064926"/>
    <s v="Finalizado (4/10)"/>
    <n v="27.2"/>
    <n v="12.8"/>
    <n v="40"/>
    <s v="Sessão Faturada"/>
    <n v="2001010906740100"/>
    <n v="58560"/>
    <s v="Unidade Vieiralves"/>
    <n v="9064926"/>
    <m/>
  </r>
  <r>
    <x v="4"/>
    <x v="34"/>
    <s v="Fernando da Silva Passos"/>
    <s v="Masculino"/>
    <x v="23"/>
    <x v="5"/>
    <s v="50000853 - Pilates ( 12X Mensais) (R$ 20,60)"/>
    <s v="Pilates"/>
    <m/>
    <s v="Finalizado (4/12)"/>
    <n v="14.007999999999999"/>
    <n v="6.5919999999999996"/>
    <n v="20.6"/>
    <s v="Sessão a Faturar"/>
    <n v="894245300060000"/>
    <n v="55116"/>
    <s v="Unidade Vieiralves"/>
    <m/>
    <m/>
  </r>
  <r>
    <x v="4"/>
    <x v="46"/>
    <s v="Tiago de Melo Paredio"/>
    <s v="Masculino"/>
    <x v="23"/>
    <x v="5"/>
    <s v="50000853 - Pilates ( 12X Mensais) (R$ 20,60)"/>
    <s v="Pilates"/>
    <m/>
    <s v="Finalizado (8/12)"/>
    <n v="14.007999999999999"/>
    <n v="6.5919999999999996"/>
    <n v="20.6"/>
    <s v="Sessão a Faturar"/>
    <n v="17875"/>
    <n v="49124"/>
    <s v="Unidade Vieiralves"/>
    <m/>
    <m/>
  </r>
  <r>
    <x v="5"/>
    <x v="47"/>
    <s v="Livia Costa de Freitas"/>
    <s v="Feminino"/>
    <x v="1"/>
    <x v="5"/>
    <s v="50000861 - Pilates (R$ 40,00)"/>
    <s v="Pilates"/>
    <n v="8897210"/>
    <s v="Finalizado (9/10)"/>
    <n v="27.2"/>
    <n v="12.8"/>
    <n v="40"/>
    <s v="Sessão Faturada"/>
    <n v="2001012767450000"/>
    <n v="58949"/>
    <s v="Unidade Vieiralves"/>
    <n v="8897210"/>
    <m/>
  </r>
  <r>
    <x v="5"/>
    <x v="47"/>
    <s v="Marcos Eduardo de Oliveira da Silva"/>
    <s v="Masculino"/>
    <x v="23"/>
    <x v="5"/>
    <s v="50000853 - Pilates ( 12X Mensais) (R$ 20,60)"/>
    <s v="Pilates"/>
    <n v="172216"/>
    <s v="Finalizado (3/12)"/>
    <n v="14.007999999999999"/>
    <n v="6.5919999999999996"/>
    <n v="20.6"/>
    <s v="Sessão a Faturar"/>
    <s v="00"/>
    <n v="57237"/>
    <s v="Unidade Vieiralves"/>
    <n v="172216"/>
    <m/>
  </r>
  <r>
    <x v="5"/>
    <x v="2"/>
    <s v="Aldenise Nunes Magalhães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3603722064920"/>
    <n v="59721"/>
    <s v="Unidade Vieiralves"/>
    <m/>
    <m/>
  </r>
  <r>
    <x v="5"/>
    <x v="30"/>
    <s v="Erica de Araujo Macedo"/>
    <s v="Feminino"/>
    <x v="1"/>
    <x v="5"/>
    <s v="50000861 - Pilates (R$ 40,00)"/>
    <s v="Pilates"/>
    <n v="8652324"/>
    <s v="Finalizado (9/10)"/>
    <n v="27.2"/>
    <n v="12.8"/>
    <n v="40"/>
    <s v="Sessão a Faturar"/>
    <s v="0901013081250088"/>
    <n v="16948"/>
    <s v="Unidade Vieiralves"/>
    <n v="8652324"/>
    <s v="GUIA ASSINADA"/>
  </r>
  <r>
    <x v="5"/>
    <x v="26"/>
    <s v="Rutlene Lucas Guimaraes"/>
    <s v="Feminino"/>
    <x v="23"/>
    <x v="5"/>
    <s v="50000853 - Pilates ( 12X Mensais) (R$ 20,60)"/>
    <s v="Pilates"/>
    <n v="169385"/>
    <s v="Finalizado (3/12)"/>
    <n v="14.007999999999999"/>
    <n v="6.5919999999999996"/>
    <n v="20.6"/>
    <s v="Sessão a Faturar"/>
    <s v="0901004027170048"/>
    <n v="58176"/>
    <s v="Unidade Vieiralves"/>
    <n v="169385"/>
    <m/>
  </r>
  <r>
    <x v="5"/>
    <x v="26"/>
    <s v="Marta Bittencourt Vieira"/>
    <s v="Feminino"/>
    <x v="23"/>
    <x v="5"/>
    <s v="50000853 - Pilates ( 12X Mensais) (R$ 20,60)"/>
    <s v="Pilates"/>
    <m/>
    <s v="Finalizado (5/12)"/>
    <n v="14.007999999999999"/>
    <n v="6.5919999999999996"/>
    <n v="20.6"/>
    <s v="Sessão a Faturar"/>
    <s v="51588888453342300018"/>
    <n v="56696"/>
    <s v="Unidade Vieiralves"/>
    <m/>
    <m/>
  </r>
  <r>
    <x v="5"/>
    <x v="34"/>
    <s v="Gabrielly da Silva Mascarin"/>
    <m/>
    <x v="23"/>
    <x v="5"/>
    <s v="50000853 - Pilates ( 12X Mensais) (R$ 20,60)"/>
    <s v="Pilates"/>
    <m/>
    <s v="Finalizado (8/12)"/>
    <n v="14.007999999999999"/>
    <n v="6.5919999999999996"/>
    <n v="20.6"/>
    <s v="Sessão a Faturar"/>
    <n v="954500024520030"/>
    <n v="17683"/>
    <s v="Unidade Vieiralves"/>
    <m/>
    <m/>
  </r>
  <r>
    <x v="5"/>
    <x v="34"/>
    <s v="Rafael Barros Ramos"/>
    <s v="Masculino"/>
    <x v="23"/>
    <x v="5"/>
    <s v="50000853 - Pilates ( 12X Mensais) (R$ 20,60)"/>
    <s v="Pilates"/>
    <m/>
    <s v="Finalizado (9/12)"/>
    <n v="14.007999999999999"/>
    <n v="6.5919999999999996"/>
    <n v="20.6"/>
    <s v="Sessão a Faturar"/>
    <n v="954500024520000"/>
    <n v="47303"/>
    <s v="Unidade Vieiralves"/>
    <m/>
    <m/>
  </r>
  <r>
    <x v="5"/>
    <x v="46"/>
    <s v="Fernando da Silva Passos"/>
    <s v="Masculino"/>
    <x v="23"/>
    <x v="5"/>
    <s v="50000853 - Pilates ( 12X Mensais) (R$ 20,60)"/>
    <s v="Pilates"/>
    <m/>
    <s v="Finalizado (5/12)"/>
    <n v="14.007999999999999"/>
    <n v="6.5919999999999996"/>
    <n v="20.6"/>
    <s v="Sessão a Faturar"/>
    <n v="894245300060000"/>
    <n v="55116"/>
    <s v="Unidade Vieiralves"/>
    <m/>
    <m/>
  </r>
  <r>
    <x v="6"/>
    <x v="47"/>
    <s v="Anne Siqueira Martins"/>
    <s v="Feminino"/>
    <x v="20"/>
    <x v="5"/>
    <s v="00011003 - Pilates (R$ 28,80)"/>
    <s v="Pilates"/>
    <n v="55184500"/>
    <s v="Finalizado (10/10)"/>
    <n v="19.584"/>
    <n v="9.2159999999999993"/>
    <n v="28.8"/>
    <s v="Sessão Faturada"/>
    <n v="1051460083390100"/>
    <n v="43576"/>
    <s v="Unidade Vieiralves"/>
    <n v="55184500"/>
    <m/>
  </r>
  <r>
    <x v="6"/>
    <x v="30"/>
    <s v="Estela Maria Galvao Vidal de Abreu"/>
    <s v="Feminino"/>
    <x v="7"/>
    <x v="5"/>
    <s v="Pilates 2x semana (R$ 390,00)"/>
    <s v="Pilates"/>
    <n v="171238"/>
    <s v="Finalizado (4/9)"/>
    <n v="26"/>
    <n v="17.333333333333002"/>
    <n v="43.333333333333002"/>
    <s v="Pago"/>
    <n v="836922200019000"/>
    <n v="45049"/>
    <s v="Unidade Vieiralves"/>
    <n v="171238"/>
    <m/>
  </r>
  <r>
    <x v="6"/>
    <x v="26"/>
    <s v="Ráifran Silene Souza da Silva"/>
    <s v="Feminino"/>
    <x v="1"/>
    <x v="5"/>
    <s v="50000861 - Pilates (R$ 40,00)"/>
    <s v="Pilates"/>
    <n v="9064926"/>
    <s v="Finalizado (5/10)"/>
    <n v="27.2"/>
    <n v="12.8"/>
    <n v="40"/>
    <s v="Sessão Faturada"/>
    <n v="2001010906740100"/>
    <n v="58560"/>
    <s v="Unidade Vieiralves"/>
    <n v="9064926"/>
    <m/>
  </r>
  <r>
    <x v="6"/>
    <x v="17"/>
    <s v="Carolina Cassia Batista Santos"/>
    <s v="Feminino"/>
    <x v="1"/>
    <x v="5"/>
    <s v="50000861 - Pilates (R$ 40,00)"/>
    <s v="Pilates"/>
    <n v="8823825"/>
    <s v="Finalizado (4/10)"/>
    <n v="27.2"/>
    <n v="12.8"/>
    <n v="40"/>
    <s v="Sessão Faturada"/>
    <s v="0301011642880052"/>
    <n v="58647"/>
    <s v="Unidade Vieiralves"/>
    <n v="8823825"/>
    <m/>
  </r>
  <r>
    <x v="6"/>
    <x v="34"/>
    <s v="Carolina Moresi Vieira"/>
    <s v="Feminino"/>
    <x v="23"/>
    <x v="5"/>
    <s v="50000853 - Pilates ( 12X Mensais) (R$ 20,60)"/>
    <s v="Pilates"/>
    <n v="164520"/>
    <s v="Finalizado (11/12)"/>
    <n v="14.007999999999999"/>
    <n v="6.5919999999999996"/>
    <n v="20.6"/>
    <s v="Sessão a Faturar"/>
    <s v="00"/>
    <n v="58971"/>
    <s v="Unidade Vieiralves"/>
    <n v="164520"/>
    <m/>
  </r>
  <r>
    <x v="6"/>
    <x v="34"/>
    <s v="Flavia Cavalcanti Gesta de Melo"/>
    <s v="Feminino"/>
    <x v="23"/>
    <x v="5"/>
    <s v="50000853 - Pilates ( 12X Mensais) (R$ 20,60)"/>
    <s v="Pilates"/>
    <m/>
    <s v="Finalizado (11/12)"/>
    <n v="14.007999999999999"/>
    <n v="6.5919999999999996"/>
    <n v="20.6"/>
    <s v="Sessão a Faturar"/>
    <n v="3601636772303"/>
    <n v="58973"/>
    <s v="Unidade Vieiralves"/>
    <m/>
    <m/>
  </r>
  <r>
    <x v="6"/>
    <x v="46"/>
    <s v="Vannessa Costa Gurgel"/>
    <s v="Feminino"/>
    <x v="23"/>
    <x v="5"/>
    <s v="50000853 - Pilates ( 12X Mensais) (R$ 20,60)"/>
    <s v="Pilates"/>
    <n v="164775"/>
    <s v="Finalizado (12/12)"/>
    <n v="14.007999999999999"/>
    <n v="6.5919999999999996"/>
    <n v="20.6"/>
    <s v="Sessão a Faturar"/>
    <s v="0901014117090172"/>
    <n v="58947"/>
    <s v="Unidade Vieiralves"/>
    <n v="164775"/>
    <m/>
  </r>
  <r>
    <x v="6"/>
    <x v="46"/>
    <s v="Bryan Piterson da Silva Gurgel"/>
    <s v="Masculino"/>
    <x v="23"/>
    <x v="5"/>
    <s v="50000853 - Pilates ( 12X Mensais) (R$ 20,60)"/>
    <s v="Pilates"/>
    <m/>
    <s v="Finalizado (9/12)"/>
    <n v="14.007999999999999"/>
    <n v="6.5919999999999996"/>
    <n v="20.6"/>
    <s v="Sessão a Faturar"/>
    <s v="0901014117090091"/>
    <n v="58822"/>
    <s v="Unidade Vieiralves"/>
    <m/>
    <m/>
  </r>
  <r>
    <x v="7"/>
    <x v="47"/>
    <s v="Livia Costa de Freitas"/>
    <s v="Feminino"/>
    <x v="1"/>
    <x v="5"/>
    <s v="50000861 - Pilates (R$ 40,00)"/>
    <s v="Pilates"/>
    <n v="8897210"/>
    <s v="Finalizado (10/10)"/>
    <n v="27.2"/>
    <n v="12.8"/>
    <n v="40"/>
    <s v="Sessão Faturada"/>
    <n v="2001012767450000"/>
    <n v="58949"/>
    <s v="Unidade Vieiralves"/>
    <n v="8897210"/>
    <m/>
  </r>
  <r>
    <x v="7"/>
    <x v="2"/>
    <s v="Aldenise Nunes Magalhães"/>
    <s v="Feminino"/>
    <x v="23"/>
    <x v="5"/>
    <s v="50000853 - Pilates ( 12X Mensais) (R$ 20,60)"/>
    <s v="Pilates"/>
    <m/>
    <s v="Finalizado (2/12)"/>
    <n v="14.007999999999999"/>
    <n v="6.5919999999999996"/>
    <n v="20.6"/>
    <s v="Sessão a Faturar"/>
    <n v="3603722064920"/>
    <n v="59721"/>
    <s v="Unidade Vieiralves"/>
    <m/>
    <m/>
  </r>
  <r>
    <x v="7"/>
    <x v="30"/>
    <s v="Sabrina Souza Lins"/>
    <s v="Feminino"/>
    <x v="1"/>
    <x v="5"/>
    <s v="50000861 - Pilates (R$ 40,00)"/>
    <s v="Pilates"/>
    <n v="8685544"/>
    <s v="Finalizado (7/10)"/>
    <n v="27.2"/>
    <n v="12.8"/>
    <n v="40"/>
    <s v="Sessão Faturada"/>
    <s v="0203007737940086"/>
    <n v="59261"/>
    <s v="Unidade Vieiralves"/>
    <n v="8685544"/>
    <m/>
  </r>
  <r>
    <x v="7"/>
    <x v="30"/>
    <s v="Erica de Araujo Macedo"/>
    <s v="Feminino"/>
    <x v="1"/>
    <x v="5"/>
    <s v="50000861 - Pilates (R$ 40,00)"/>
    <s v="Pilates"/>
    <n v="8652324"/>
    <s v="Finalizado (10/10)"/>
    <n v="27.2"/>
    <n v="12.8"/>
    <n v="40"/>
    <s v="Sessão a Faturar"/>
    <s v="0901013081250088"/>
    <n v="16948"/>
    <s v="Unidade Vieiralves"/>
    <n v="8652324"/>
    <s v="GUIA ASSINADA"/>
  </r>
  <r>
    <x v="8"/>
    <x v="47"/>
    <s v="Milena Maria Figueiredo Almeida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771015041734010"/>
    <n v="57956"/>
    <s v="Unidade Vieiralves"/>
    <m/>
    <m/>
  </r>
  <r>
    <x v="8"/>
    <x v="47"/>
    <s v="Anne Siqueira Martins"/>
    <s v="Feminino"/>
    <x v="20"/>
    <x v="5"/>
    <s v="00011003 - Pilates (R$ 28,80)"/>
    <s v="Pilates"/>
    <n v="172865"/>
    <s v="Finalizado (1/10)"/>
    <n v="19.584"/>
    <n v="9.2159999999999993"/>
    <n v="28.8"/>
    <s v="Sessão a Faturar"/>
    <n v="1051460083390100"/>
    <n v="43576"/>
    <s v="Unidade Vieiralves"/>
    <n v="172865"/>
    <m/>
  </r>
  <r>
    <x v="8"/>
    <x v="2"/>
    <s v="Isabela de Souza Borges"/>
    <s v="Feminino"/>
    <x v="1"/>
    <x v="5"/>
    <s v="50000861 - Pilates (R$ 40,00)"/>
    <s v="Pilates"/>
    <n v="8989722"/>
    <s v="Finalizado (1/10)"/>
    <n v="27.2"/>
    <n v="12.8"/>
    <n v="40"/>
    <s v="Sessão a Faturar"/>
    <n v="1301012950100000"/>
    <n v="59084"/>
    <s v="Unidade Vieiralves"/>
    <n v="8989722"/>
    <m/>
  </r>
  <r>
    <x v="8"/>
    <x v="2"/>
    <s v="Antonia Neyre de Souza Chagas"/>
    <s v="Feminino"/>
    <x v="7"/>
    <x v="5"/>
    <s v="Pilates 2x semana (R$ 390,00)"/>
    <s v="Pilates"/>
    <n v="169861"/>
    <s v="Finalizado (7/10)"/>
    <n v="23.4"/>
    <n v="15.6"/>
    <n v="39"/>
    <s v="Pago"/>
    <s v="00"/>
    <n v="59466"/>
    <s v="Unidade Vieiralves"/>
    <n v="169861"/>
    <m/>
  </r>
  <r>
    <x v="8"/>
    <x v="30"/>
    <s v="Estela Maria Galvao Vidal de Abreu"/>
    <s v="Feminino"/>
    <x v="7"/>
    <x v="5"/>
    <s v="Pilates 2x semana (R$ 390,00)"/>
    <s v="Pilates"/>
    <n v="171238"/>
    <s v="Finalizado (5/9)"/>
    <n v="26"/>
    <n v="17.333333333333002"/>
    <n v="43.333333333333002"/>
    <s v="Pago"/>
    <n v="836922200019000"/>
    <n v="45049"/>
    <s v="Unidade Vieiralves"/>
    <n v="171238"/>
    <m/>
  </r>
  <r>
    <x v="8"/>
    <x v="26"/>
    <s v="Marta Bittencourt Vieira"/>
    <s v="Feminino"/>
    <x v="23"/>
    <x v="5"/>
    <s v="50000853 - Pilates ( 12X Mensais) (R$ 20,60)"/>
    <s v="Pilates"/>
    <m/>
    <s v="Finalizado (6/12)"/>
    <n v="14.007999999999999"/>
    <n v="6.5919999999999996"/>
    <n v="20.6"/>
    <s v="Sessão a Faturar"/>
    <s v="51588888453342300018"/>
    <n v="56696"/>
    <s v="Unidade Vieiralves"/>
    <m/>
    <m/>
  </r>
  <r>
    <x v="8"/>
    <x v="17"/>
    <s v="Ráifran Silene Souza da Silva"/>
    <s v="Feminino"/>
    <x v="1"/>
    <x v="5"/>
    <s v="50000861 - Pilates (R$ 40,00)"/>
    <s v="Pilates"/>
    <n v="9064926"/>
    <s v="Finalizado (6/10)"/>
    <n v="27.2"/>
    <n v="12.8"/>
    <n v="40"/>
    <s v="Sessão Faturada"/>
    <n v="2001010906740100"/>
    <n v="58560"/>
    <s v="Unidade Vieiralves"/>
    <n v="9064926"/>
    <m/>
  </r>
  <r>
    <x v="8"/>
    <x v="17"/>
    <s v="Sabrina Souza Lins"/>
    <s v="Feminino"/>
    <x v="1"/>
    <x v="5"/>
    <s v="50000861 - Pilates (R$ 40,00)"/>
    <s v="Pilates"/>
    <n v="8685544"/>
    <s v="Finalizado (8/10)"/>
    <n v="27.2"/>
    <n v="12.8"/>
    <n v="40"/>
    <s v="Sessão Faturada"/>
    <s v="0203007737940086"/>
    <n v="59261"/>
    <s v="Unidade Vieiralves"/>
    <n v="8685544"/>
    <m/>
  </r>
  <r>
    <x v="8"/>
    <x v="34"/>
    <s v="Carolina Moresi Vieira"/>
    <s v="Feminino"/>
    <x v="23"/>
    <x v="5"/>
    <s v="50000853 - Pilates ( 12X Mensais) (R$ 20,60)"/>
    <s v="Pilates"/>
    <n v="164520"/>
    <s v="Finalizado (12/12)"/>
    <n v="14.007999999999999"/>
    <n v="6.5919999999999996"/>
    <n v="20.6"/>
    <s v="Sessão a Faturar"/>
    <s v="00"/>
    <n v="58971"/>
    <s v="Unidade Vieiralves"/>
    <n v="164520"/>
    <m/>
  </r>
  <r>
    <x v="8"/>
    <x v="34"/>
    <s v="Flavia Cavalcanti Gesta de Melo"/>
    <s v="Feminino"/>
    <x v="23"/>
    <x v="5"/>
    <s v="50000853 - Pilates ( 12X Mensais) (R$ 20,60)"/>
    <s v="Pilates"/>
    <m/>
    <s v="Finalizado (12/12)"/>
    <n v="14.007999999999999"/>
    <n v="6.5919999999999996"/>
    <n v="20.6"/>
    <s v="Sessão a Faturar"/>
    <n v="3601636772303"/>
    <n v="58973"/>
    <s v="Unidade Vieiralves"/>
    <m/>
    <m/>
  </r>
  <r>
    <x v="9"/>
    <x v="2"/>
    <s v="Antonia Neyre de Souza Chagas"/>
    <s v="Feminino"/>
    <x v="7"/>
    <x v="5"/>
    <s v="Pilates 2x semana (R$ 390,00)"/>
    <s v="Pilates"/>
    <n v="169861"/>
    <s v="Finalizado (8/10)"/>
    <n v="23.4"/>
    <n v="15.6"/>
    <n v="39"/>
    <s v="Pago"/>
    <s v="00"/>
    <n v="59466"/>
    <s v="Unidade Vieiralves"/>
    <n v="169861"/>
    <m/>
  </r>
  <r>
    <x v="9"/>
    <x v="2"/>
    <s v="Aldenise Nunes Magalhães"/>
    <s v="Feminino"/>
    <x v="23"/>
    <x v="5"/>
    <s v="50000853 - Pilates ( 12X Mensais) (R$ 20,60)"/>
    <s v="Pilates"/>
    <m/>
    <s v="Finalizado (3/12)"/>
    <n v="14.007999999999999"/>
    <n v="6.5919999999999996"/>
    <n v="20.6"/>
    <s v="Sessão a Faturar"/>
    <n v="3603722064920"/>
    <n v="59721"/>
    <s v="Unidade Vieiralves"/>
    <m/>
    <m/>
  </r>
  <r>
    <x v="9"/>
    <x v="26"/>
    <s v="Rutlene Lucas Guimaraes"/>
    <s v="Feminino"/>
    <x v="23"/>
    <x v="5"/>
    <s v="50000853 - Pilates ( 12X Mensais) (R$ 20,60)"/>
    <s v="Pilates"/>
    <n v="169385"/>
    <s v="Finalizado (4/12)"/>
    <n v="14.007999999999999"/>
    <n v="6.5919999999999996"/>
    <n v="20.6"/>
    <s v="Sessão a Faturar"/>
    <s v="0901004027170048"/>
    <n v="58176"/>
    <s v="Unidade Vieiralves"/>
    <n v="169385"/>
    <m/>
  </r>
  <r>
    <x v="9"/>
    <x v="26"/>
    <s v="Monique Guerreiro Bastos"/>
    <s v="Femin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2001013562850100"/>
    <n v="55477"/>
    <s v="Unidade Vieiralves"/>
    <m/>
    <m/>
  </r>
  <r>
    <x v="9"/>
    <x v="26"/>
    <s v="Maria de Nazaré Reis Barbosa"/>
    <s v="Feminino"/>
    <x v="1"/>
    <x v="5"/>
    <s v="50000861 - Pilates (R$ 40,00)"/>
    <s v="Pilates"/>
    <n v="9219094"/>
    <s v="Finalizado (1/10)"/>
    <n v="27.2"/>
    <n v="12.8"/>
    <n v="40"/>
    <s v="Sessão a Faturar"/>
    <s v="0901005831260032"/>
    <n v="52372"/>
    <s v="Unidade Vieiralves"/>
    <n v="9219094"/>
    <m/>
  </r>
  <r>
    <x v="9"/>
    <x v="17"/>
    <s v="Ráifran Silene Souza da Silva"/>
    <s v="Feminino"/>
    <x v="1"/>
    <x v="5"/>
    <s v="50000861 - Pilates (R$ 40,00)"/>
    <s v="Pilates"/>
    <n v="9064926"/>
    <s v="Finalizado (7/10)"/>
    <n v="27.2"/>
    <n v="12.8"/>
    <n v="40"/>
    <s v="Sessão Faturada"/>
    <n v="2001010906740100"/>
    <n v="58560"/>
    <s v="Unidade Vieiralves"/>
    <n v="9064926"/>
    <m/>
  </r>
  <r>
    <x v="9"/>
    <x v="17"/>
    <s v="Luiza Silvestre da Silva"/>
    <s v="Feminino"/>
    <x v="23"/>
    <x v="5"/>
    <s v="50000853 - Pilates ( 12X Mensais) (R$ 20,60)"/>
    <s v="Pilates"/>
    <m/>
    <s v="Finalizado (1/12)"/>
    <n v="14.007999999999999"/>
    <n v="6.5919999999999996"/>
    <n v="20.6"/>
    <s v="Sessão a Faturar"/>
    <n v="770179021261010"/>
    <n v="11820"/>
    <s v="Unidade Vieiralves"/>
    <m/>
    <m/>
  </r>
  <r>
    <x v="9"/>
    <x v="34"/>
    <s v="Bryan Piterson da Silva Gurgel"/>
    <s v="Masculino"/>
    <x v="23"/>
    <x v="5"/>
    <s v="50000853 - Pilates ( 12X Mensais) (R$ 20,60)"/>
    <s v="Pilates"/>
    <m/>
    <s v="Finalizado (10/12)"/>
    <n v="14.007999999999999"/>
    <n v="6.5919999999999996"/>
    <n v="20.6"/>
    <s v="Sessão a Faturar"/>
    <s v="0901014117090091"/>
    <n v="58822"/>
    <s v="Unidade Vieiralves"/>
    <m/>
    <m/>
  </r>
  <r>
    <x v="9"/>
    <x v="34"/>
    <s v="Sabrina Souza Lins"/>
    <s v="Feminino"/>
    <x v="1"/>
    <x v="5"/>
    <s v="50000861 - Pilates (R$ 40,00)"/>
    <s v="Pilates"/>
    <n v="8685544"/>
    <s v="Não compareceu (9/10)"/>
    <n v="40"/>
    <n v="0"/>
    <n v="40"/>
    <s v="Sessão Faturada"/>
    <s v="0203007737940086"/>
    <n v="59261"/>
    <s v="Unidade Vieiralves"/>
    <n v="8685544"/>
    <m/>
  </r>
  <r>
    <x v="9"/>
    <x v="34"/>
    <s v="Fernando da Silva Passos"/>
    <s v="Masculino"/>
    <x v="23"/>
    <x v="5"/>
    <s v="50000853 - Pilates ( 12X Mensais) (R$ 20,60)"/>
    <s v="Pilates"/>
    <m/>
    <s v="Finalizado (6/12)"/>
    <n v="14.007999999999999"/>
    <n v="6.5919999999999996"/>
    <n v="20.6"/>
    <s v="Sessão a Faturar"/>
    <n v="894245300060000"/>
    <n v="55116"/>
    <s v="Unidade Vieiralves"/>
    <m/>
    <m/>
  </r>
  <r>
    <x v="9"/>
    <x v="34"/>
    <s v="Grasiely Santos dos Santos"/>
    <s v="Feminino"/>
    <x v="23"/>
    <x v="5"/>
    <s v="50000853 - Pilates ( 12X Mensais) (R$ 20,60)"/>
    <s v="Pilates"/>
    <n v="158219"/>
    <s v="Finalizado (4/12)"/>
    <n v="14.007999999999999"/>
    <n v="6.5919999999999996"/>
    <n v="20.6"/>
    <s v="Sessão a Faturar"/>
    <n v="3510707916763"/>
    <n v="58205"/>
    <s v="Unidade Vieiralves"/>
    <n v="158219"/>
    <m/>
  </r>
  <r>
    <x v="9"/>
    <x v="46"/>
    <s v="Tiago de Melo Paredio"/>
    <s v="Masculino"/>
    <x v="23"/>
    <x v="5"/>
    <s v="50000853 - Pilates ( 12X Mensais) (R$ 20,60)"/>
    <s v="Pilates"/>
    <m/>
    <s v="Finalizado (9/12)"/>
    <n v="14.007999999999999"/>
    <n v="6.5919999999999996"/>
    <n v="20.6"/>
    <s v="Sessão a Faturar"/>
    <n v="17875"/>
    <n v="49124"/>
    <s v="Unidade Vieiralves"/>
    <m/>
    <m/>
  </r>
  <r>
    <x v="9"/>
    <x v="46"/>
    <s v="Rafael Barros Ramos"/>
    <s v="Masculino"/>
    <x v="23"/>
    <x v="5"/>
    <s v="50000853 - Pilates ( 12X Mensais) (R$ 20,60)"/>
    <s v="Pilates"/>
    <m/>
    <s v="Finalizado (10/12)"/>
    <n v="14.007999999999999"/>
    <n v="6.5919999999999996"/>
    <n v="20.6"/>
    <s v="Sessão a Faturar"/>
    <n v="954500024520000"/>
    <n v="47303"/>
    <s v="Unidade Vieiralves"/>
    <m/>
    <m/>
  </r>
  <r>
    <x v="9"/>
    <x v="46"/>
    <s v="Gabrielly da Silva Mascarin"/>
    <m/>
    <x v="23"/>
    <x v="5"/>
    <s v="50000853 - Pilates ( 12X Mensais) (R$ 20,60)"/>
    <s v="Pilates"/>
    <m/>
    <s v="Finalizado (9/12)"/>
    <n v="14.007999999999999"/>
    <n v="6.5919999999999996"/>
    <n v="20.6"/>
    <s v="Sessão a Faturar"/>
    <n v="954500024520030"/>
    <n v="17683"/>
    <s v="Unidade Vieiralves"/>
    <m/>
    <m/>
  </r>
  <r>
    <x v="10"/>
    <x v="2"/>
    <s v="Miranir da Silva Oliveira"/>
    <s v="Feminino"/>
    <x v="5"/>
    <x v="5"/>
    <s v="50000853 - Pilates - 04/03/2026 (R$ 39,77)"/>
    <s v="Pilates"/>
    <n v="76787070"/>
    <s v="Não compareceu (7/10)"/>
    <n v="39.770000000000003"/>
    <n v="0"/>
    <n v="39.770000000000003"/>
    <s v="Sessão a Faturar"/>
    <s v="0101353960010135"/>
    <n v="57596"/>
    <s v="Unidade Vieiralves"/>
    <n v="76787070"/>
    <m/>
  </r>
  <r>
    <x v="10"/>
    <x v="2"/>
    <s v="Isabela de Souza Borges"/>
    <s v="Feminino"/>
    <x v="1"/>
    <x v="5"/>
    <s v="50000861 - Pilates (R$ 40,00)"/>
    <s v="Pilates"/>
    <n v="8989722"/>
    <s v="Não compareceu (2/10)"/>
    <n v="40"/>
    <n v="0"/>
    <n v="40"/>
    <s v="Sessão a Faturar"/>
    <n v="1301012950100000"/>
    <n v="59084"/>
    <s v="Unidade Vieiralves"/>
    <n v="8989722"/>
    <m/>
  </r>
  <r>
    <x v="10"/>
    <x v="2"/>
    <s v="Aldenise Nunes Magalhães"/>
    <s v="Feminino"/>
    <x v="23"/>
    <x v="5"/>
    <s v="50000853 - Pilates ( 12X Mensais) (R$ 20,60)"/>
    <s v="Pilates"/>
    <m/>
    <s v="Finalizado (4/12)"/>
    <n v="14.007999999999999"/>
    <n v="6.5919999999999996"/>
    <n v="20.6"/>
    <s v="Sessão a Faturar"/>
    <n v="3603722064920"/>
    <n v="59721"/>
    <s v="Unidade Vieiralves"/>
    <m/>
    <m/>
  </r>
  <r>
    <x v="10"/>
    <x v="17"/>
    <s v="Sabrina Souza Lins"/>
    <s v="Feminino"/>
    <x v="1"/>
    <x v="5"/>
    <s v="50000861 - Pilates (R$ 40,00)"/>
    <s v="Pilates"/>
    <n v="8685544"/>
    <s v="Finalizado (10/10)"/>
    <n v="27.2"/>
    <n v="12.8"/>
    <n v="40"/>
    <s v="Sessão Faturada"/>
    <s v="0203007737940086"/>
    <n v="59261"/>
    <s v="Unidade Vieiralves"/>
    <n v="8685544"/>
    <m/>
  </r>
  <r>
    <x v="10"/>
    <x v="34"/>
    <s v="Tiago de Melo Paredio"/>
    <s v="Masculino"/>
    <x v="23"/>
    <x v="5"/>
    <s v="50000853 - Pilates ( 12X Mensais) (R$ 20,60)"/>
    <s v="Pilates"/>
    <m/>
    <s v="Finalizado (10/12)"/>
    <n v="14.007999999999999"/>
    <n v="6.5919999999999996"/>
    <n v="20.6"/>
    <s v="Sessão a Faturar"/>
    <n v="17875"/>
    <n v="49124"/>
    <s v="Unidade Vieiralves"/>
    <m/>
    <m/>
  </r>
  <r>
    <x v="10"/>
    <x v="46"/>
    <s v="Maria Vilse Portela Carneiro"/>
    <s v="Feminino"/>
    <x v="5"/>
    <x v="5"/>
    <s v="50000853 - Pilates (R$ 41,46)"/>
    <s v="Pilates"/>
    <n v="79141980"/>
    <s v="Finalizado (1/10)"/>
    <n v="28.192799999999998"/>
    <n v="13.267200000000001"/>
    <n v="41.46"/>
    <s v="Sessão a Faturar"/>
    <s v="010075306002"/>
    <n v="53747"/>
    <s v="Unidade Vieiralves"/>
    <n v="79141980"/>
    <m/>
  </r>
  <r>
    <x v="10"/>
    <x v="46"/>
    <s v="Sofia Portela de Paiva"/>
    <s v="Feminino"/>
    <x v="5"/>
    <x v="5"/>
    <s v="50000853 - Pilates (R$ 41,46)"/>
    <s v="Pilates"/>
    <n v="77968280"/>
    <s v="Finalizado (1/10)"/>
    <n v="28.192799999999998"/>
    <n v="13.267200000000001"/>
    <n v="41.46"/>
    <s v="Sessão a Faturar"/>
    <s v="010563818013"/>
    <n v="45197"/>
    <s v="Unidade Vieiralves"/>
    <n v="77968280"/>
    <m/>
  </r>
  <r>
    <x v="11"/>
    <x v="47"/>
    <s v="Adriana Brito de Souza"/>
    <s v="Feminino"/>
    <x v="1"/>
    <x v="5"/>
    <s v="50000861 - Pilates (R$ 40,00)"/>
    <s v="Pilates"/>
    <n v="8755192"/>
    <s v="Finalizado (8/10)"/>
    <n v="27.2"/>
    <n v="12.8"/>
    <n v="40"/>
    <s v="Sessão Faturada"/>
    <n v="1301013731160100"/>
    <n v="58802"/>
    <s v="Unidade Vieiralves"/>
    <n v="8755192"/>
    <s v="Guia assinada!"/>
  </r>
  <r>
    <x v="11"/>
    <x v="2"/>
    <s v="Rosenira Monteiro da Costa Oliveira"/>
    <s v="Feminino"/>
    <x v="1"/>
    <x v="5"/>
    <s v="50000861 - Pilates (R$ 40,00)"/>
    <s v="Pilates"/>
    <n v="8258081"/>
    <s v="Finalizado (7/10)"/>
    <n v="27.2"/>
    <n v="12.8"/>
    <n v="40"/>
    <s v="Sessão Faturada"/>
    <s v="0901007026270191"/>
    <n v="58986"/>
    <s v="Unidade Vieiralves"/>
    <n v="8258081"/>
    <m/>
  </r>
  <r>
    <x v="11"/>
    <x v="2"/>
    <s v="Antonia Neyre de Souza Chagas"/>
    <s v="Feminino"/>
    <x v="7"/>
    <x v="5"/>
    <s v="Pilates 2x semana (R$ 390,00)"/>
    <s v="Pilates"/>
    <n v="169861"/>
    <s v="Finalizado (9/10)"/>
    <n v="23.4"/>
    <n v="15.6"/>
    <n v="39"/>
    <s v="Pago"/>
    <s v="00"/>
    <n v="59466"/>
    <s v="Unidade Vieiralves"/>
    <n v="169861"/>
    <m/>
  </r>
  <r>
    <x v="11"/>
    <x v="17"/>
    <s v="Larissa Sousa Sena"/>
    <s v="Feminino"/>
    <x v="1"/>
    <x v="5"/>
    <s v="50000861 - Pilates (R$ 40,00)"/>
    <s v="Pilates"/>
    <n v="173180"/>
    <s v="Finalizado (1/10)"/>
    <n v="27.2"/>
    <n v="12.8"/>
    <n v="40"/>
    <s v="Sessão a Faturar"/>
    <n v="1301012962950300"/>
    <n v="57291"/>
    <s v="Unidade Vieiralves"/>
    <n v="173180"/>
    <m/>
  </r>
  <r>
    <x v="11"/>
    <x v="17"/>
    <s v="Monique Guerreiro Bastos"/>
    <s v="Feminino"/>
    <x v="23"/>
    <x v="5"/>
    <s v="50000853 - Pilates ( 12X Mensais) (R$ 20,60)"/>
    <s v="Pilates"/>
    <m/>
    <s v="Finalizado (7/12)"/>
    <n v="14.007999999999999"/>
    <n v="6.5919999999999996"/>
    <n v="20.6"/>
    <s v="Sessão a Faturar"/>
    <n v="2001013562850100"/>
    <n v="55477"/>
    <s v="Unidade Vieiralves"/>
    <m/>
    <m/>
  </r>
  <r>
    <x v="11"/>
    <x v="34"/>
    <s v="Clezia do Rego Sousa Sena"/>
    <m/>
    <x v="1"/>
    <x v="5"/>
    <s v="50000861 - Pilates (R$ 40,00)"/>
    <s v="Pilates"/>
    <n v="8876148"/>
    <s v="Finalizado (1/10)"/>
    <n v="27.2"/>
    <n v="12.8"/>
    <n v="40"/>
    <s v="Sessão a Faturar"/>
    <n v="1301012962950100"/>
    <n v="57262"/>
    <s v="Unidade Vieiralves"/>
    <n v="8876148"/>
    <m/>
  </r>
  <r>
    <x v="11"/>
    <x v="46"/>
    <s v="Marcos Eduardo de Oliveira da Silva"/>
    <s v="Masculino"/>
    <x v="23"/>
    <x v="5"/>
    <s v="50000853 - Pilates ( 12X Mensais) (R$ 20,60)"/>
    <s v="Pilates"/>
    <n v="172216"/>
    <s v="Finalizado (6/12)"/>
    <n v="14.007999999999999"/>
    <n v="6.5919999999999996"/>
    <n v="20.6"/>
    <s v="Sessão a Faturar"/>
    <s v="00"/>
    <n v="57237"/>
    <s v="Unidade Vieiralves"/>
    <n v="172216"/>
    <m/>
  </r>
  <r>
    <x v="12"/>
    <x v="55"/>
    <s v="Angela Maria Brasil Batista"/>
    <s v="Feminino"/>
    <x v="2"/>
    <x v="6"/>
    <s v="20103646 - Reabilitação Perineal Com Biofeedback (R$ 138,17)"/>
    <s v="Fisioterapia Pélvica e Neurológica"/>
    <n v="1700857979"/>
    <s v="Finalizado (4/5)"/>
    <n v="82.902000000000001"/>
    <n v="55.268000000000001"/>
    <n v="138.16999999999999"/>
    <s v="Sessão Faturada"/>
    <n v="774634051578010"/>
    <n v="59260"/>
    <s v="Unidade Vieralves (ANEXO)"/>
    <n v="1700857979"/>
    <m/>
  </r>
  <r>
    <x v="12"/>
    <x v="38"/>
    <s v="Mayline Menezes da Mata"/>
    <s v="Feminino"/>
    <x v="1"/>
    <x v="6"/>
    <s v="50000233 - Fisioterapia Pélvica (R$ 138,17)"/>
    <s v="Fisioterapia Pélvica e Neurológica"/>
    <n v="7610014"/>
    <s v="Finalizado (8/10)"/>
    <n v="82.902000000000001"/>
    <n v="55.268000000000001"/>
    <n v="138.16999999999999"/>
    <s v="Sessão Faturada"/>
    <s v="0901012198770040"/>
    <n v="58531"/>
    <s v="Unidade Vieralves (ANEXO)"/>
    <n v="7610014"/>
    <m/>
  </r>
  <r>
    <x v="12"/>
    <x v="0"/>
    <s v="Thaís dos Santos Pires"/>
    <s v="Feminino"/>
    <x v="6"/>
    <x v="6"/>
    <s v="20103646 - Fisioterapia Perineal Com Biofeedback (R$ 229,39)"/>
    <s v="Fisioterapia Pélvica e Neurológica"/>
    <n v="168235"/>
    <s v="Finalizado (4/6)"/>
    <n v="137.63399999999999"/>
    <n v="91.756"/>
    <n v="229.39"/>
    <s v="Sessão a Faturar"/>
    <s v="56788888459330170032"/>
    <n v="51596"/>
    <s v="Unidade Vieralves (ANEXO)"/>
    <n v="168235"/>
    <m/>
  </r>
  <r>
    <x v="12"/>
    <x v="56"/>
    <s v="Ândrea Eloy Machado Moreira Moura"/>
    <s v="Feminino"/>
    <x v="1"/>
    <x v="6"/>
    <s v="50000233 - Fisioterapia Pélvica (R$ 138,17)"/>
    <s v="Fisioterapia Pélvica e Neurológica"/>
    <n v="8998282"/>
    <s v="Finalizado (3/5)"/>
    <n v="82.902000000000001"/>
    <n v="55.268000000000001"/>
    <n v="138.16999999999999"/>
    <s v="Sessão Faturada"/>
    <n v="901012887340120"/>
    <n v="52825"/>
    <s v="Unidade Vieralves (ANEXO)"/>
    <n v="8998282"/>
    <m/>
  </r>
  <r>
    <x v="12"/>
    <x v="30"/>
    <s v="Aparecida Corrêa da Silva"/>
    <s v="Feminino"/>
    <x v="25"/>
    <x v="6"/>
    <s v="20103646 - Reabilitação Perineal Com Biofeedback (R$ 190,50)"/>
    <s v="Fisioterapia Pélvica e Neurológica"/>
    <n v="141697"/>
    <s v="Finalizado (5/10)"/>
    <n v="114.3"/>
    <n v="76.2"/>
    <n v="190.5"/>
    <s v="Sessão Faturada"/>
    <n v="5401501"/>
    <n v="57035"/>
    <s v="Unidade Vieralves (ANEXO)"/>
    <n v="141697"/>
    <m/>
  </r>
  <r>
    <x v="12"/>
    <x v="6"/>
    <s v="Darcilene de Souza Dias"/>
    <s v="Feminino"/>
    <x v="2"/>
    <x v="6"/>
    <s v="20103646 - Reabilitação Perineal Com Biofeedback (R$ 138,17)"/>
    <s v="Fisioterapia Pélvica e Neurológica"/>
    <n v="1703499185"/>
    <s v="Finalizado (3/5)"/>
    <n v="82.902000000000001"/>
    <n v="55.268000000000001"/>
    <n v="138.16999999999999"/>
    <s v="Sessão Faturada"/>
    <n v="771015044172020"/>
    <n v="42805"/>
    <s v="Unidade Vieralves (ANEXO)"/>
    <n v="1703499185"/>
    <m/>
  </r>
  <r>
    <x v="12"/>
    <x v="25"/>
    <s v="Thais Texeira Moura"/>
    <s v="Feminino"/>
    <x v="2"/>
    <x v="6"/>
    <s v="20103646 - Reabilitação Perineal Com Biofeedback (R$ 138,17)"/>
    <s v="Fisioterapia Pélvica e Neurológica"/>
    <n v="1701988586"/>
    <s v="Finalizado (4/5)"/>
    <n v="82.902000000000001"/>
    <n v="55.268000000000001"/>
    <n v="138.16999999999999"/>
    <s v="Sessão Faturada"/>
    <n v="774642011673000"/>
    <n v="39740"/>
    <s v="Unidade Vieralves (ANEXO)"/>
    <n v="1701988586"/>
    <m/>
  </r>
  <r>
    <x v="12"/>
    <x v="10"/>
    <s v="Josicleide Nunes Santos"/>
    <s v="Feminino"/>
    <x v="2"/>
    <x v="6"/>
    <s v="20103646 - Reabilitação Perineal Com Biofeedback (R$ 138,17)"/>
    <s v="Fisioterapia Pélvica e Neurológica"/>
    <n v="1705968256"/>
    <s v="Finalizado (1/1)"/>
    <n v="82.902000000000001"/>
    <n v="55.268000000000001"/>
    <n v="138.16999999999999"/>
    <s v="Sessão Faturada"/>
    <n v="774981001279000"/>
    <n v="20120"/>
    <s v="Unidade Vieralves (ANEXO)"/>
    <n v="1705968256"/>
    <m/>
  </r>
  <r>
    <x v="12"/>
    <x v="46"/>
    <s v="Gabriele de Souza Cruz"/>
    <s v="Feminino"/>
    <x v="1"/>
    <x v="6"/>
    <s v="50000233 - Fisioterapia Pélvica (R$ 138,17)"/>
    <s v="Fisioterapia Pélvica e Neurológica"/>
    <n v="9135985"/>
    <s v="Finalizado (1/10)"/>
    <n v="82.902000000000001"/>
    <n v="55.268000000000001"/>
    <n v="138.16999999999999"/>
    <s v="Sessão Faturada"/>
    <n v="1301012299900100"/>
    <n v="58226"/>
    <s v="Unidade Vieralves (ANEXO)"/>
    <n v="9135985"/>
    <m/>
  </r>
  <r>
    <x v="13"/>
    <x v="41"/>
    <s v="Maria Morgiana Gonçalves Costa Ausier"/>
    <s v="Feminino"/>
    <x v="2"/>
    <x v="6"/>
    <s v="20103646 - Reabilitação Perineal Com Biofeedback (R$ 138,17)"/>
    <s v="Fisioterapia Pélvica e Neurológica"/>
    <n v="1706150503"/>
    <s v="Finalizado (1/5)"/>
    <n v="82.902000000000001"/>
    <n v="55.268000000000001"/>
    <n v="138.16999999999999"/>
    <s v="Sessão Faturada"/>
    <n v="774642010693010"/>
    <n v="9926"/>
    <s v="Unidade Vieralves (ANEXO)"/>
    <n v="1706150503"/>
    <m/>
  </r>
  <r>
    <x v="13"/>
    <x v="41"/>
    <s v="Maria Morgiana Gonçalves Costa Ausier"/>
    <s v="Feminino"/>
    <x v="2"/>
    <x v="6"/>
    <s v="20203020 - Eletroestimulação do Assoalho Pélvico E/Ou Outra Técnica de Exercícios Perineais (R$ 17,17)"/>
    <s v="Fisioterapia Pélvica e Neurológica"/>
    <n v="1706151341"/>
    <s v="Finalizado (1/5)"/>
    <n v="10.302"/>
    <n v="6.8680000000000003"/>
    <n v="17.170000000000002"/>
    <s v="Sessão Faturada"/>
    <n v="774642010693010"/>
    <n v="9926"/>
    <s v="Unidade Vieralves (ANEXO)"/>
    <n v="1706151341"/>
    <m/>
  </r>
  <r>
    <x v="13"/>
    <x v="57"/>
    <s v="Magda Laiara Bezerra de Lima"/>
    <s v="Feminino"/>
    <x v="2"/>
    <x v="6"/>
    <s v="20103646 - Reabilitação Perineal Com Biofeedback (R$ 138,17)"/>
    <s v="Fisioterapia Pélvica e Neurológica"/>
    <n v="1704230074"/>
    <s v="Finalizado (2/5)"/>
    <n v="82.902000000000001"/>
    <n v="55.268000000000001"/>
    <n v="138.16999999999999"/>
    <s v="Sessão Faturada"/>
    <n v="610894500001020"/>
    <n v="15721"/>
    <s v="Unidade Vieralves (ANEXO)"/>
    <n v="1704230074"/>
    <m/>
  </r>
  <r>
    <x v="13"/>
    <x v="55"/>
    <s v="Aline Cajuhy Trigueiro"/>
    <s v="Feminino"/>
    <x v="1"/>
    <x v="6"/>
    <s v="50000233 - Fisioterapia Pélvica (R$ 138,17)"/>
    <s v="Fisioterapia Pélvica e Neurológica"/>
    <n v="9130751"/>
    <s v="Finalizado (1/10)"/>
    <n v="82.902000000000001"/>
    <n v="55.268000000000001"/>
    <n v="138.16999999999999"/>
    <s v="Sessão Faturada"/>
    <s v="0901013217150187"/>
    <n v="18917"/>
    <s v="Unidade Vieralves (ANEXO)"/>
    <n v="9130751"/>
    <s v="Guia assinada! 12.03"/>
  </r>
  <r>
    <x v="13"/>
    <x v="58"/>
    <s v="Jordana Martins de Almeida"/>
    <s v="Feminino"/>
    <x v="2"/>
    <x v="6"/>
    <s v="20103646 - Reabilitação Perineal Com Biofeedback (R$ 138,17)"/>
    <s v="Fisioterapia Pélvica e Neurológica"/>
    <n v="1703278567"/>
    <s v="Finalizado (3/5)"/>
    <n v="82.902000000000001"/>
    <n v="55.268000000000001"/>
    <n v="138.16999999999999"/>
    <s v="Sessão Faturada"/>
    <n v="610848340001020"/>
    <n v="58334"/>
    <s v="Unidade Vieralves (ANEXO)"/>
    <n v="1703278567"/>
    <m/>
  </r>
  <r>
    <x v="13"/>
    <x v="0"/>
    <s v="Sarah Fernandes de Souza Marinho"/>
    <s v="Feminino"/>
    <x v="6"/>
    <x v="6"/>
    <s v="20103646 - Fisioterapia Perineal Com Biofeedback (R$ 229,39)"/>
    <s v="Fisioterapia Pélvica e Neurológica"/>
    <n v="169768"/>
    <s v="Finalizado (3/10)"/>
    <n v="137.63399999999999"/>
    <n v="91.756"/>
    <n v="229.39"/>
    <s v="Sessão a Faturar"/>
    <s v="54588888459366530020"/>
    <n v="57370"/>
    <s v="Unidade Vieralves (ANEXO)"/>
    <n v="169768"/>
    <m/>
  </r>
  <r>
    <x v="13"/>
    <x v="56"/>
    <s v="Thaís dos Santos Pires"/>
    <s v="Feminino"/>
    <x v="6"/>
    <x v="6"/>
    <s v="20103646 - Fisioterapia Perineal Com Biofeedback (R$ 229,39)"/>
    <s v="Fisioterapia Pélvica e Neurológica"/>
    <n v="168235"/>
    <s v="Finalizado (5/6)"/>
    <n v="137.63399999999999"/>
    <n v="91.756"/>
    <n v="229.39"/>
    <s v="Sessão a Faturar"/>
    <s v="56788888459330170032"/>
    <n v="51596"/>
    <s v="Unidade Vieralves (ANEXO)"/>
    <n v="168235"/>
    <m/>
  </r>
  <r>
    <x v="13"/>
    <x v="30"/>
    <s v="Cristine Lopes de Sousa Possidônio Ribeiro"/>
    <s v="Feminino"/>
    <x v="1"/>
    <x v="6"/>
    <s v="50000233 - Fisioterapia Pélvica (R$ 138,17)"/>
    <s v="Fisioterapia Pélvica e Neurológica"/>
    <n v="8968185"/>
    <s v="Finalizado (4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14"/>
    <x v="56"/>
    <s v="Ândrea Eloy Machado Moreira Moura"/>
    <s v="Feminino"/>
    <x v="1"/>
    <x v="6"/>
    <s v="50000233 - Fisioterapia Pélvica (R$ 138,17)"/>
    <s v="Fisioterapia Pélvica e Neurológica"/>
    <n v="8998282"/>
    <s v="Finalizado (4/5)"/>
    <n v="82.902000000000001"/>
    <n v="55.268000000000001"/>
    <n v="138.16999999999999"/>
    <s v="Sessão Faturada"/>
    <n v="901012887340120"/>
    <n v="52825"/>
    <s v="Unidade Vieralves (ANEXO)"/>
    <n v="8998282"/>
    <m/>
  </r>
  <r>
    <x v="14"/>
    <x v="6"/>
    <s v="Mayline Menezes da Mata"/>
    <s v="Feminino"/>
    <x v="1"/>
    <x v="6"/>
    <s v="50000233 - Fisioterapia Pélvica (R$ 138,17)"/>
    <s v="Fisioterapia Pélvica e Neurológica"/>
    <n v="7610014"/>
    <s v="Finalizado (9/10)"/>
    <n v="82.902000000000001"/>
    <n v="55.268000000000001"/>
    <n v="138.16999999999999"/>
    <s v="Sessão Faturada"/>
    <s v="0901012198770040"/>
    <n v="58531"/>
    <s v="Unidade Vieralves (ANEXO)"/>
    <n v="7610014"/>
    <m/>
  </r>
  <r>
    <x v="15"/>
    <x v="55"/>
    <s v="Magda Laiara Bezerra de Lima"/>
    <s v="Feminino"/>
    <x v="2"/>
    <x v="6"/>
    <s v="20103646 - Reabilitação Perineal Com Biofeedback (R$ 138,17)"/>
    <s v="Fisioterapia Pélvica e Neurológica"/>
    <n v="1704230074"/>
    <s v="Finalizado (3/5)"/>
    <n v="82.902000000000001"/>
    <n v="55.268000000000001"/>
    <n v="138.16999999999999"/>
    <s v="Sessão Faturada"/>
    <n v="610894500001020"/>
    <n v="15721"/>
    <s v="Unidade Vieralves (ANEXO)"/>
    <n v="1704230074"/>
    <m/>
  </r>
  <r>
    <x v="15"/>
    <x v="58"/>
    <s v="Eliana Raposo Sangi Kovalski"/>
    <s v="Feminino"/>
    <x v="2"/>
    <x v="6"/>
    <s v="50000144 - Avaliação de Fisioterapia (R$ 51,42)"/>
    <s v="Fisioterapia Pélvica e Neurológica"/>
    <n v="1707297998"/>
    <s v="Finalizado (1/1)"/>
    <n v="46.277999999999999"/>
    <n v="5.1420000000000003"/>
    <n v="51.42"/>
    <s v="Sessão Faturada"/>
    <n v="841854400035010"/>
    <n v="59206"/>
    <s v="Unidade Vieralves (ANEXO)"/>
    <n v="1707297998"/>
    <m/>
  </r>
  <r>
    <x v="15"/>
    <x v="58"/>
    <s v="Eliana Raposo Sangi Kovalski"/>
    <s v="Feminino"/>
    <x v="2"/>
    <x v="6"/>
    <s v="20103646 - Reabilitação Perineal Com Biofeedback (R$ 138,17)"/>
    <s v="Fisioterapia Pélvica e Neurológica"/>
    <n v="1707298840"/>
    <s v="Finalizado (1/5)"/>
    <n v="82.902000000000001"/>
    <n v="55.268000000000001"/>
    <n v="138.16999999999999"/>
    <s v="Sessão Faturada"/>
    <n v="841854400035010"/>
    <n v="59206"/>
    <s v="Unidade Vieralves (ANEXO)"/>
    <n v="1707298840"/>
    <m/>
  </r>
  <r>
    <x v="15"/>
    <x v="59"/>
    <s v="Helem Cristina da Costa Barbosa Moura"/>
    <s v="Feminino"/>
    <x v="2"/>
    <x v="6"/>
    <s v="20103646 - Reabilitação Perineal Com Biofeedback (R$ 138,17)"/>
    <s v="Fisioterapia Pélvica e Neurológica"/>
    <n v="1707341282"/>
    <s v="Finalizado (1/5)"/>
    <n v="82.902000000000001"/>
    <n v="55.268000000000001"/>
    <n v="138.16999999999999"/>
    <s v="Sessão Faturada"/>
    <n v="960019315614000"/>
    <n v="59443"/>
    <s v="Unidade Vieralves (ANEXO)"/>
    <n v="1707341282"/>
    <m/>
  </r>
  <r>
    <x v="15"/>
    <x v="59"/>
    <s v="Helem Cristina da Costa Barbosa Moura"/>
    <s v="Feminino"/>
    <x v="2"/>
    <x v="6"/>
    <s v="50000144 - Avaliação de Fisioterapia (R$ 51,42)"/>
    <s v="Fisioterapia Pélvica e Neurológica"/>
    <n v="1707340715"/>
    <s v="Finalizado (1/1)"/>
    <n v="46.277999999999999"/>
    <n v="5.1420000000000003"/>
    <n v="51.42"/>
    <s v="Sessão Faturada"/>
    <n v="960019315614000"/>
    <n v="59443"/>
    <s v="Unidade Vieralves (ANEXO)"/>
    <n v="1707340715"/>
    <m/>
  </r>
  <r>
    <x v="16"/>
    <x v="41"/>
    <s v="Maria Morgiana Gonçalves Costa Ausier"/>
    <s v="Feminino"/>
    <x v="2"/>
    <x v="6"/>
    <s v="20103646 - Reabilitação Perineal Com Biofeedback (R$ 138,17)"/>
    <s v="Fisioterapia Pélvica e Neurológica"/>
    <n v="1706150503"/>
    <s v="Finalizado (2/5)"/>
    <n v="82.902000000000001"/>
    <n v="55.268000000000001"/>
    <n v="138.16999999999999"/>
    <s v="Sessão Faturada"/>
    <n v="774642010693010"/>
    <n v="9926"/>
    <s v="Unidade Vieralves (ANEXO)"/>
    <n v="1706150503"/>
    <m/>
  </r>
  <r>
    <x v="16"/>
    <x v="41"/>
    <s v="Maria Morgiana Gonçalves Costa Ausier"/>
    <s v="Feminino"/>
    <x v="2"/>
    <x v="6"/>
    <s v="20203020 - Eletroestimulação do Assoalho Pélvico E/Ou Outra Técnica de Exercícios Perineais (R$ 17,17)"/>
    <s v="Fisioterapia Pélvica e Neurológica"/>
    <n v="1706151341"/>
    <s v="Finalizado (2/5)"/>
    <n v="10.302"/>
    <n v="6.8680000000000003"/>
    <n v="17.170000000000002"/>
    <s v="Sessão Faturada"/>
    <n v="774642010693010"/>
    <n v="9926"/>
    <s v="Unidade Vieralves (ANEXO)"/>
    <n v="1706151341"/>
    <m/>
  </r>
  <r>
    <x v="16"/>
    <x v="57"/>
    <s v="Angela Maria Brasil Batista"/>
    <s v="Feminino"/>
    <x v="2"/>
    <x v="6"/>
    <s v="20103646 - Reabilitação Perineal Com Biofeedback (R$ 138,17)"/>
    <s v="Fisioterapia Pélvica e Neurológica"/>
    <n v="1700857979"/>
    <s v="Finalizado (5/5)"/>
    <n v="82.902000000000001"/>
    <n v="55.268000000000001"/>
    <n v="138.16999999999999"/>
    <s v="Sessão Faturada"/>
    <n v="774634051578010"/>
    <n v="59260"/>
    <s v="Unidade Vieralves (ANEXO)"/>
    <n v="1700857979"/>
    <m/>
  </r>
  <r>
    <x v="16"/>
    <x v="55"/>
    <s v="Mayline Menezes da Mata"/>
    <s v="Feminino"/>
    <x v="1"/>
    <x v="6"/>
    <s v="50000233 - Fisioterapia Pélvica (R$ 138,17)"/>
    <s v="Fisioterapia Pélvica e Neurológica"/>
    <n v="7610014"/>
    <s v="Finalizado (10/10)"/>
    <n v="82.902000000000001"/>
    <n v="55.268000000000001"/>
    <n v="138.16999999999999"/>
    <s v="Sessão Faturada"/>
    <s v="0901012198770040"/>
    <n v="58531"/>
    <s v="Unidade Vieralves (ANEXO)"/>
    <n v="7610014"/>
    <m/>
  </r>
  <r>
    <x v="16"/>
    <x v="38"/>
    <s v="Ândrea Eloy Machado Moreira Moura"/>
    <s v="Feminino"/>
    <x v="1"/>
    <x v="6"/>
    <s v="50000233 - Fisioterapia Pélvica (R$ 138,17)"/>
    <s v="Fisioterapia Pélvica e Neurológica"/>
    <n v="8998282"/>
    <s v="Finalizado (5/5)"/>
    <n v="82.902000000000001"/>
    <n v="55.268000000000001"/>
    <n v="138.16999999999999"/>
    <s v="Sessão Faturada"/>
    <n v="901012887340120"/>
    <n v="52825"/>
    <s v="Unidade Vieralves (ANEXO)"/>
    <n v="8998282"/>
    <m/>
  </r>
  <r>
    <x v="16"/>
    <x v="56"/>
    <s v="Sarah Fernandes de Souza Marinho"/>
    <s v="Feminino"/>
    <x v="6"/>
    <x v="6"/>
    <s v="20103646 - Fisioterapia Perineal Com Biofeedback (R$ 229,39)"/>
    <s v="Fisioterapia Pélvica e Neurológica"/>
    <n v="169768"/>
    <s v="Finalizado (4/10)"/>
    <n v="137.63399999999999"/>
    <n v="91.756"/>
    <n v="229.39"/>
    <s v="Sessão a Faturar"/>
    <s v="54588888459366530020"/>
    <n v="57370"/>
    <s v="Unidade Vieralves (ANEXO)"/>
    <n v="169768"/>
    <m/>
  </r>
  <r>
    <x v="16"/>
    <x v="30"/>
    <s v="Aparecida Corrêa da Silva"/>
    <s v="Feminino"/>
    <x v="25"/>
    <x v="6"/>
    <s v="20103646 - Reabilitação Perineal Com Biofeedback (R$ 190,50)"/>
    <s v="Fisioterapia Pélvica e Neurológica"/>
    <n v="141697"/>
    <s v="Finalizado (6/10)"/>
    <n v="114.3"/>
    <n v="76.2"/>
    <n v="190.5"/>
    <s v="Sessão Faturada"/>
    <n v="5401501"/>
    <n v="57035"/>
    <s v="Unidade Vieralves (ANEXO)"/>
    <n v="141697"/>
    <m/>
  </r>
  <r>
    <x v="16"/>
    <x v="6"/>
    <s v="Darcilene de Souza Dias"/>
    <s v="Feminino"/>
    <x v="2"/>
    <x v="6"/>
    <s v="20103646 - Reabilitação Perineal Com Biofeedback (R$ 138,17)"/>
    <s v="Fisioterapia Pélvica e Neurológica"/>
    <n v="1703499185"/>
    <s v="Finalizado (4/5)"/>
    <n v="82.902000000000001"/>
    <n v="55.268000000000001"/>
    <n v="138.16999999999999"/>
    <s v="Sessão Faturada"/>
    <n v="771015044172020"/>
    <n v="42805"/>
    <s v="Unidade Vieralves (ANEXO)"/>
    <n v="1703499185"/>
    <m/>
  </r>
  <r>
    <x v="17"/>
    <x v="41"/>
    <s v="Maria Morgiana Gonçalves Costa Ausier"/>
    <s v="Feminino"/>
    <x v="2"/>
    <x v="6"/>
    <s v="20103646 - Reabilitação Perineal Com Biofeedback (R$ 138,17)"/>
    <s v="Fisioterapia Pélvica e Neurológica"/>
    <n v="1706150503"/>
    <s v="Finalizado (3/5)"/>
    <n v="82.902000000000001"/>
    <n v="55.268000000000001"/>
    <n v="138.16999999999999"/>
    <s v="Sessão Faturada"/>
    <n v="774642010693010"/>
    <n v="9926"/>
    <s v="Unidade Vieralves (ANEXO)"/>
    <n v="1706150503"/>
    <m/>
  </r>
  <r>
    <x v="17"/>
    <x v="41"/>
    <s v="Maria Morgiana Gonçalves Costa Ausier"/>
    <s v="Feminino"/>
    <x v="2"/>
    <x v="6"/>
    <s v="20203020 - Eletroestimulação do Assoalho Pélvico E/Ou Outra Técnica de Exercícios Perineais (R$ 17,17)"/>
    <s v="Fisioterapia Pélvica e Neurológica"/>
    <n v="1706151341"/>
    <s v="Finalizado (3/5)"/>
    <n v="10.302"/>
    <n v="6.8680000000000003"/>
    <n v="17.170000000000002"/>
    <s v="Sessão Faturada"/>
    <n v="774642010693010"/>
    <n v="9926"/>
    <s v="Unidade Vieralves (ANEXO)"/>
    <n v="1706151341"/>
    <m/>
  </r>
  <r>
    <x v="17"/>
    <x v="6"/>
    <s v="Aparecida Corrêa da Silva"/>
    <s v="Feminino"/>
    <x v="25"/>
    <x v="6"/>
    <s v="20103646 - Reabilitação Perineal Com Biofeedback (R$ 190,50)"/>
    <s v="Fisioterapia Pélvica e Neurológica"/>
    <n v="141697"/>
    <s v="Finalizado (7/10)"/>
    <n v="114.3"/>
    <n v="76.2"/>
    <n v="190.5"/>
    <s v="Sessão Faturada"/>
    <n v="5401501"/>
    <n v="57035"/>
    <s v="Unidade Vieralves (ANEXO)"/>
    <n v="141697"/>
    <m/>
  </r>
  <r>
    <x v="17"/>
    <x v="52"/>
    <s v="Thais Texeira Moura"/>
    <s v="Feminino"/>
    <x v="2"/>
    <x v="6"/>
    <s v="20103646 - Reabilitação Perineal Com Biofeedback (R$ 138,17)"/>
    <s v="Fisioterapia Pélvica e Neurológica"/>
    <n v="1701988586"/>
    <s v="Finalizado (5/5)"/>
    <n v="82.902000000000001"/>
    <n v="55.268000000000001"/>
    <n v="138.16999999999999"/>
    <s v="Sessão Faturada"/>
    <n v="774642011673000"/>
    <n v="39740"/>
    <s v="Unidade Vieralves (ANEXO)"/>
    <n v="1701988586"/>
    <m/>
  </r>
  <r>
    <x v="17"/>
    <x v="25"/>
    <s v="Cristine Lopes de Sousa Possidônio Ribeiro"/>
    <s v="Feminino"/>
    <x v="1"/>
    <x v="6"/>
    <s v="50000233 - Fisioterapia Pélvica (R$ 138,17)"/>
    <s v="Fisioterapia Pélvica e Neurológica"/>
    <n v="8968185"/>
    <s v="Finalizado (5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18"/>
    <x v="57"/>
    <s v="Janice Morgado de Lara Maquine"/>
    <s v="Feminino"/>
    <x v="1"/>
    <x v="6"/>
    <s v="50000144 - Consulta de Fisioterapia (R$ 16,00)"/>
    <s v="Fisioterapia Pélvica e Neurológica"/>
    <n v="9257327"/>
    <s v="Finalizado (1/1)"/>
    <n v="14.4"/>
    <n v="1.6"/>
    <n v="16"/>
    <s v="Sessão Faturada"/>
    <n v="1101013095450200"/>
    <n v="41951"/>
    <s v="Unidade Vieralves (ANEXO)"/>
    <n v="9257327"/>
    <m/>
  </r>
  <r>
    <x v="18"/>
    <x v="57"/>
    <s v="Janice Morgado de Lara Maquine"/>
    <s v="Feminino"/>
    <x v="1"/>
    <x v="6"/>
    <s v="50000233 - Fisioterapia Pélvica (R$ 138,17)"/>
    <s v="Fisioterapia Pélvica e Neurológica"/>
    <n v="9257462"/>
    <s v="Finalizado (1/5)"/>
    <n v="82.902000000000001"/>
    <n v="55.268000000000001"/>
    <n v="138.16999999999999"/>
    <s v="Sessão Faturada"/>
    <n v="1101013095450200"/>
    <n v="41951"/>
    <s v="Unidade Vieralves (ANEXO)"/>
    <n v="9257462"/>
    <m/>
  </r>
  <r>
    <x v="18"/>
    <x v="38"/>
    <s v="Ildeana Verisssimo da Silva"/>
    <s v="Feminino"/>
    <x v="6"/>
    <x v="6"/>
    <s v="20103646 - Fisioterapia Perineal Com Biofeedback (R$ 229,39)"/>
    <s v="Fisioterapia Pélvica e Neurológica"/>
    <n v="170515"/>
    <s v="Finalizado (1/10)"/>
    <n v="137.63399999999999"/>
    <n v="91.756"/>
    <n v="229.39"/>
    <s v="Sessão a Faturar"/>
    <s v="55788888492306580015"/>
    <n v="15967"/>
    <s v="Unidade Vieralves (ANEXO)"/>
    <n v="170515"/>
    <s v="Guia assinada! 12/03"/>
  </r>
  <r>
    <x v="18"/>
    <x v="58"/>
    <s v="Aline Cajuhy Trigueiro"/>
    <s v="Feminino"/>
    <x v="1"/>
    <x v="6"/>
    <s v="50000233 - Fisioterapia Pélvica (R$ 138,17)"/>
    <s v="Fisioterapia Pélvica e Neurológica"/>
    <n v="9130751"/>
    <s v="Finalizado (2/10)"/>
    <n v="82.902000000000001"/>
    <n v="55.268000000000001"/>
    <n v="138.16999999999999"/>
    <s v="Sessão Faturada"/>
    <s v="0901013217150187"/>
    <n v="18917"/>
    <s v="Unidade Vieralves (ANEXO)"/>
    <n v="9130751"/>
    <s v="Guia assinada! 12.03"/>
  </r>
  <r>
    <x v="18"/>
    <x v="0"/>
    <s v="Sarah Fernandes de Souza Marinho"/>
    <s v="Feminino"/>
    <x v="6"/>
    <x v="6"/>
    <s v="20103646 - Fisioterapia Perineal Com Biofeedback (R$ 229,39)"/>
    <s v="Fisioterapia Pélvica e Neurológica"/>
    <n v="169768"/>
    <s v="Finalizado (5/10)"/>
    <n v="137.63399999999999"/>
    <n v="91.756"/>
    <n v="229.39"/>
    <s v="Sessão a Faturar"/>
    <s v="54588888459366530020"/>
    <n v="57370"/>
    <s v="Unidade Vieralves (ANEXO)"/>
    <n v="169768"/>
    <m/>
  </r>
  <r>
    <x v="18"/>
    <x v="30"/>
    <s v="Mayline Menezes da Mata"/>
    <s v="Feminino"/>
    <x v="1"/>
    <x v="6"/>
    <s v="50000233 - Fisioterapia Pélvica (R$ 138,17)"/>
    <s v="Fisioterapia Pélvica e Neurológica"/>
    <n v="9274180"/>
    <s v="Finalizado (1/1)"/>
    <n v="82.902000000000001"/>
    <n v="55.268000000000001"/>
    <n v="138.16999999999999"/>
    <s v="Sessão Faturada"/>
    <s v="0901012198770040"/>
    <n v="58531"/>
    <s v="Unidade Vieralves (ANEXO)"/>
    <n v="9274180"/>
    <m/>
  </r>
  <r>
    <x v="18"/>
    <x v="6"/>
    <s v="Thaís dos Santos Pires"/>
    <s v="Feminino"/>
    <x v="6"/>
    <x v="6"/>
    <s v="20103646 - Fisioterapia Perineal Com Biofeedback (R$ 229,39)"/>
    <s v="Fisioterapia Pélvica e Neurológica"/>
    <n v="168235"/>
    <s v="Finalizado (6/6)"/>
    <n v="137.63399999999999"/>
    <n v="91.756"/>
    <n v="229.39"/>
    <s v="Sessão a Faturar"/>
    <s v="56788888459330170032"/>
    <n v="51596"/>
    <s v="Unidade Vieralves (ANEXO)"/>
    <n v="168235"/>
    <m/>
  </r>
  <r>
    <x v="22"/>
    <x v="57"/>
    <s v="Gabriele de Souza Cruz"/>
    <s v="Feminino"/>
    <x v="1"/>
    <x v="6"/>
    <s v="50000233 - Fisioterapia Pélvica (R$ 138,17)"/>
    <s v="Fisioterapia Pélvica e Neurológica"/>
    <n v="9135985"/>
    <s v="Finalizado (2/10)"/>
    <n v="82.902000000000001"/>
    <n v="55.268000000000001"/>
    <n v="138.16999999999999"/>
    <s v="Sessão Faturada"/>
    <n v="1301012299900100"/>
    <n v="58226"/>
    <s v="Unidade Vieralves (ANEXO)"/>
    <n v="9135985"/>
    <m/>
  </r>
  <r>
    <x v="22"/>
    <x v="55"/>
    <s v="Angela Maria Brasil Batista"/>
    <s v="Feminino"/>
    <x v="2"/>
    <x v="6"/>
    <s v="20103646 - Reabilitação Perineal Com Biofeedback (R$ 138,17)"/>
    <s v="Fisioterapia Pélvica e Neurológica"/>
    <n v="1710170188"/>
    <s v="Finalizado (1/5)"/>
    <n v="82.902000000000001"/>
    <n v="55.268000000000001"/>
    <n v="138.16999999999999"/>
    <s v="Sessão Faturada"/>
    <n v="774634051578010"/>
    <n v="59260"/>
    <s v="Unidade Vieralves (ANEXO)"/>
    <n v="1710170188"/>
    <m/>
  </r>
  <r>
    <x v="22"/>
    <x v="38"/>
    <s v="Janice Morgado de Lara Maquine"/>
    <s v="Feminino"/>
    <x v="1"/>
    <x v="6"/>
    <s v="50000233 - Fisioterapia Pélvica (R$ 138,17)"/>
    <s v="Fisioterapia Pélvica e Neurológica"/>
    <n v="9257462"/>
    <s v="Finalizado (2/5)"/>
    <n v="82.902000000000001"/>
    <n v="55.268000000000001"/>
    <n v="138.16999999999999"/>
    <s v="Sessão Faturada"/>
    <n v="1101013095450200"/>
    <n v="41951"/>
    <s v="Unidade Vieralves (ANEXO)"/>
    <n v="9257462"/>
    <m/>
  </r>
  <r>
    <x v="22"/>
    <x v="58"/>
    <s v="Jordana Martins de Almeida"/>
    <s v="Feminino"/>
    <x v="2"/>
    <x v="6"/>
    <s v="20103646 - Reabilitação Perineal Com Biofeedback (R$ 138,17)"/>
    <s v="Fisioterapia Pélvica e Neurológica"/>
    <n v="1703278567"/>
    <s v="Finalizado (4/5)"/>
    <n v="82.902000000000001"/>
    <n v="55.268000000000001"/>
    <n v="138.16999999999999"/>
    <s v="Sessão Faturada"/>
    <n v="610848340001020"/>
    <n v="58334"/>
    <s v="Unidade Vieralves (ANEXO)"/>
    <n v="1703278567"/>
    <m/>
  </r>
  <r>
    <x v="22"/>
    <x v="59"/>
    <s v="Helem Cristina da Costa Barbosa Moura"/>
    <s v="Feminino"/>
    <x v="2"/>
    <x v="6"/>
    <s v="20103646 - Reabilitação Perineal Com Biofeedback (R$ 138,17)"/>
    <s v="Fisioterapia Pélvica e Neurológica"/>
    <n v="1707341282"/>
    <s v="Finalizado (2/5)"/>
    <n v="82.902000000000001"/>
    <n v="55.268000000000001"/>
    <n v="138.16999999999999"/>
    <s v="Sessão Faturada"/>
    <n v="960019315614000"/>
    <n v="59443"/>
    <s v="Unidade Vieralves (ANEXO)"/>
    <n v="1707341282"/>
    <m/>
  </r>
  <r>
    <x v="22"/>
    <x v="52"/>
    <s v="Thais Texeira Moura"/>
    <s v="Feminino"/>
    <x v="2"/>
    <x v="6"/>
    <s v="20103646 - Reabilitação Perineal Com Biofeedback (R$ 138,17)"/>
    <s v="Fisioterapia Pélvica e Neurológica"/>
    <n v="1710472093"/>
    <s v="Finalizado (1/5)"/>
    <n v="82.902000000000001"/>
    <n v="55.268000000000001"/>
    <n v="138.16999999999999"/>
    <s v="Sessão Faturada"/>
    <n v="774642011673000"/>
    <n v="39740"/>
    <s v="Unidade Vieralves (ANEXO)"/>
    <n v="1710472093"/>
    <m/>
  </r>
  <r>
    <x v="22"/>
    <x v="25"/>
    <s v="Darcilene de Souza Dias"/>
    <s v="Feminino"/>
    <x v="2"/>
    <x v="6"/>
    <s v="20103646 - Reabilitação Perineal Com Biofeedback (R$ 138,17)"/>
    <s v="Fisioterapia Pélvica e Neurológica"/>
    <n v="1703499185"/>
    <s v="Finalizado (5/5)"/>
    <n v="82.902000000000001"/>
    <n v="55.268000000000001"/>
    <n v="138.16999999999999"/>
    <s v="Sessão Faturada"/>
    <n v="771015044172020"/>
    <n v="42805"/>
    <s v="Unidade Vieralves (ANEXO)"/>
    <n v="1703499185"/>
    <m/>
  </r>
  <r>
    <x v="19"/>
    <x v="57"/>
    <s v="Gabriele de Souza Cruz"/>
    <s v="Feminino"/>
    <x v="1"/>
    <x v="6"/>
    <s v="50000233 - Fisioterapia Pélvica (R$ 138,17)"/>
    <s v="Fisioterapia Pélvica e Neurológica"/>
    <n v="9135985"/>
    <s v="Finalizado (3/10)"/>
    <n v="82.902000000000001"/>
    <n v="55.268000000000001"/>
    <n v="138.16999999999999"/>
    <s v="Sessão Faturada"/>
    <n v="1301012299900100"/>
    <n v="58226"/>
    <s v="Unidade Vieralves (ANEXO)"/>
    <n v="9135985"/>
    <m/>
  </r>
  <r>
    <x v="19"/>
    <x v="55"/>
    <s v="Aline Cajuhy Trigueiro"/>
    <s v="Feminino"/>
    <x v="1"/>
    <x v="6"/>
    <s v="50000233 - Fisioterapia Pélvica (R$ 138,17)"/>
    <s v="Fisioterapia Pélvica e Neurológica"/>
    <n v="9130751"/>
    <s v="Finalizado (3/10)"/>
    <n v="82.902000000000001"/>
    <n v="55.268000000000001"/>
    <n v="138.16999999999999"/>
    <s v="Sessão Faturada"/>
    <s v="0901013217150187"/>
    <n v="18917"/>
    <s v="Unidade Vieralves (ANEXO)"/>
    <n v="9130751"/>
    <s v="Guia assinada! 12.03"/>
  </r>
  <r>
    <x v="19"/>
    <x v="38"/>
    <s v="Ildeana Verisssimo da Silva"/>
    <s v="Feminino"/>
    <x v="6"/>
    <x v="6"/>
    <s v="20103646 - Fisioterapia Perineal Com Biofeedback (R$ 229,39)"/>
    <s v="Fisioterapia Pélvica e Neurológica"/>
    <n v="170515"/>
    <s v="Finalizado (2/10)"/>
    <n v="137.63399999999999"/>
    <n v="91.756"/>
    <n v="229.39"/>
    <s v="Sessão a Faturar"/>
    <s v="55788888492306580015"/>
    <n v="15967"/>
    <s v="Unidade Vieralves (ANEXO)"/>
    <n v="170515"/>
    <s v="Guia assinada! 12/03"/>
  </r>
  <r>
    <x v="19"/>
    <x v="59"/>
    <s v="Eliana Raposo Sangi Kovalski"/>
    <s v="Feminino"/>
    <x v="2"/>
    <x v="6"/>
    <s v="20103646 - Reabilitação Perineal Com Biofeedback (R$ 138,17)"/>
    <s v="Fisioterapia Pélvica e Neurológica"/>
    <n v="1707298840"/>
    <s v="Finalizado (2/5)"/>
    <n v="82.902000000000001"/>
    <n v="55.268000000000001"/>
    <n v="138.16999999999999"/>
    <s v="Sessão Faturada"/>
    <n v="841854400035010"/>
    <n v="59206"/>
    <s v="Unidade Vieralves (ANEXO)"/>
    <n v="1707298840"/>
    <m/>
  </r>
  <r>
    <x v="20"/>
    <x v="0"/>
    <s v="Sarah Fernandes de Souza Marinho"/>
    <s v="Feminino"/>
    <x v="6"/>
    <x v="6"/>
    <s v="20103646 - Fisioterapia Perineal Com Biofeedback (R$ 229,39)"/>
    <s v="Fisioterapia Pélvica e Neurológica"/>
    <n v="169768"/>
    <s v="Finalizado (6/10)"/>
    <n v="137.63399999999999"/>
    <n v="91.756"/>
    <n v="229.39"/>
    <s v="Sessão a Faturar"/>
    <s v="54588888459366530020"/>
    <n v="57370"/>
    <s v="Unidade Vieralves (ANEXO)"/>
    <n v="169768"/>
    <m/>
  </r>
  <r>
    <x v="20"/>
    <x v="30"/>
    <s v="Aparecida Corrêa da Silva"/>
    <s v="Feminino"/>
    <x v="25"/>
    <x v="6"/>
    <s v="20103646 - Reabilitação Perineal Com Biofeedback (R$ 190,50)"/>
    <s v="Fisioterapia Pélvica e Neurológica"/>
    <n v="141697"/>
    <s v="Finalizado (8/10)"/>
    <n v="114.3"/>
    <n v="76.2"/>
    <n v="190.5"/>
    <s v="Sessão Faturada"/>
    <n v="5401501"/>
    <n v="57035"/>
    <s v="Unidade Vieralves (ANEXO)"/>
    <n v="141697"/>
    <m/>
  </r>
  <r>
    <x v="20"/>
    <x v="6"/>
    <s v="Darcilene de Souza Dias"/>
    <s v="Feminino"/>
    <x v="2"/>
    <x v="6"/>
    <s v="20103646 - Reabilitação Perineal Com Biofeedback (R$ 138,17)"/>
    <s v="Fisioterapia Pélvica e Neurológica"/>
    <n v="1711655759"/>
    <s v="Finalizado (1/3)"/>
    <n v="82.902000000000001"/>
    <n v="55.268000000000001"/>
    <n v="138.16999999999999"/>
    <s v="Sessão Faturada"/>
    <n v="771015044172020"/>
    <n v="42805"/>
    <s v="Unidade Vieralves (ANEXO)"/>
    <n v="1711655759"/>
    <m/>
  </r>
  <r>
    <x v="20"/>
    <x v="52"/>
    <s v="Cristine Lopes de Sousa Possidônio Ribeiro"/>
    <s v="Feminino"/>
    <x v="1"/>
    <x v="6"/>
    <s v="50000233 - Fisioterapia Pélvica (R$ 138,17)"/>
    <s v="Fisioterapia Pélvica e Neurológica"/>
    <n v="8968185"/>
    <s v="Finalizado (6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0"/>
    <x v="55"/>
    <s v="Angela Maria Brasil Batista"/>
    <s v="Feminino"/>
    <x v="2"/>
    <x v="6"/>
    <s v="20103646 - Reabilitação Perineal Com Biofeedback (R$ 138,17)"/>
    <s v="Fisioterapia Pélvica e Neurológica"/>
    <n v="1710170188"/>
    <s v="Finalizado (2/5)"/>
    <n v="82.902000000000001"/>
    <n v="55.268000000000001"/>
    <n v="138.16999999999999"/>
    <s v="Sessão Faturada"/>
    <n v="774634051578010"/>
    <n v="59260"/>
    <s v="Unidade Vieralves (ANEXO)"/>
    <n v="1710170188"/>
    <m/>
  </r>
  <r>
    <x v="0"/>
    <x v="58"/>
    <s v="Eliana Raposo Sangi Kovalski"/>
    <s v="Feminino"/>
    <x v="2"/>
    <x v="6"/>
    <s v="20103646 - Reabilitação Perineal Com Biofeedback (R$ 138,17)"/>
    <s v="Fisioterapia Pélvica e Neurológica"/>
    <n v="1707298840"/>
    <s v="Finalizado (3/5)"/>
    <n v="82.902000000000001"/>
    <n v="55.268000000000001"/>
    <n v="138.16999999999999"/>
    <s v="Sessão Faturada"/>
    <n v="841854400035010"/>
    <n v="59206"/>
    <s v="Unidade Vieralves (ANEXO)"/>
    <n v="1707298840"/>
    <m/>
  </r>
  <r>
    <x v="0"/>
    <x v="30"/>
    <s v="Bruna Michelli Barbosa"/>
    <s v="Feminino"/>
    <x v="2"/>
    <x v="6"/>
    <s v="20103646 - Reabilitação Perineal Com Biofeedback (R$ 138,17)"/>
    <s v="Fisioterapia Pélvica e Neurológica"/>
    <n v="1712923619"/>
    <s v="Finalizado (1/2)"/>
    <n v="82.902000000000001"/>
    <n v="55.268000000000001"/>
    <n v="138.16999999999999"/>
    <s v="Sessão Faturada"/>
    <n v="610187280015000"/>
    <n v="58340"/>
    <s v="Unidade Vieralves (ANEXO)"/>
    <n v="1712923619"/>
    <m/>
  </r>
  <r>
    <x v="1"/>
    <x v="41"/>
    <s v="Magda Laiara Bezerra de Lima"/>
    <s v="Feminino"/>
    <x v="2"/>
    <x v="6"/>
    <s v="20103646 - Reabilitação Perineal Com Biofeedback (R$ 138,17)"/>
    <s v="Fisioterapia Pélvica e Neurológica"/>
    <n v="1704230074"/>
    <s v="Finalizado (4/5)"/>
    <n v="82.902000000000001"/>
    <n v="55.268000000000001"/>
    <n v="138.16999999999999"/>
    <s v="Sessão Faturada"/>
    <n v="610894500001020"/>
    <n v="15721"/>
    <s v="Unidade Vieralves (ANEXO)"/>
    <n v="1704230074"/>
    <m/>
  </r>
  <r>
    <x v="1"/>
    <x v="57"/>
    <s v="Aline Cajuhy Trigueiro"/>
    <s v="Feminino"/>
    <x v="1"/>
    <x v="6"/>
    <s v="50000233 - Fisioterapia Pélvica (R$ 138,17)"/>
    <s v="Fisioterapia Pélvica e Neurológica"/>
    <n v="9130751"/>
    <s v="Finalizado (4/10)"/>
    <n v="82.902000000000001"/>
    <n v="55.268000000000001"/>
    <n v="138.16999999999999"/>
    <s v="Sessão Faturada"/>
    <s v="0901013217150187"/>
    <n v="18917"/>
    <s v="Unidade Vieralves (ANEXO)"/>
    <n v="9130751"/>
    <s v="Guia assinada! 12.03"/>
  </r>
  <r>
    <x v="1"/>
    <x v="55"/>
    <s v="Jordana Martins de Almeida"/>
    <s v="Feminino"/>
    <x v="2"/>
    <x v="6"/>
    <s v="20103646 - Reabilitação Perineal Com Biofeedback (R$ 138,17)"/>
    <s v="Fisioterapia Pélvica e Neurológica"/>
    <n v="1703278567"/>
    <s v="Finalizado (5/5)"/>
    <n v="82.902000000000001"/>
    <n v="55.268000000000001"/>
    <n v="138.16999999999999"/>
    <s v="Sessão Faturada"/>
    <n v="610848340001020"/>
    <n v="58334"/>
    <s v="Unidade Vieralves (ANEXO)"/>
    <n v="1703278567"/>
    <m/>
  </r>
  <r>
    <x v="1"/>
    <x v="56"/>
    <s v="Sarah Fernandes de Souza Marinho"/>
    <s v="Feminino"/>
    <x v="6"/>
    <x v="6"/>
    <s v="20103646 - Fisioterapia Perineal Com Biofeedback (R$ 229,39)"/>
    <s v="Fisioterapia Pélvica e Neurológica"/>
    <n v="169768"/>
    <s v="Finalizado (7/10)"/>
    <n v="137.63399999999999"/>
    <n v="91.756"/>
    <n v="229.39"/>
    <s v="Sessão a Faturar"/>
    <s v="54588888459366530020"/>
    <n v="57370"/>
    <s v="Unidade Vieralves (ANEXO)"/>
    <n v="169768"/>
    <m/>
  </r>
  <r>
    <x v="1"/>
    <x v="30"/>
    <s v="Cristine Lopes de Sousa Possidônio Ribeiro"/>
    <s v="Feminino"/>
    <x v="1"/>
    <x v="6"/>
    <s v="50000233 - Fisioterapia Pélvica (R$ 138,17)"/>
    <s v="Fisioterapia Pélvica e Neurológica"/>
    <n v="8968185"/>
    <s v="Finalizado (7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2"/>
    <x v="41"/>
    <s v="Gabriele de Souza Cruz"/>
    <s v="Feminino"/>
    <x v="1"/>
    <x v="6"/>
    <s v="50000233 - Fisioterapia Pélvica (R$ 138,17)"/>
    <s v="Fisioterapia Pélvica e Neurológica"/>
    <n v="9135985"/>
    <s v="Finalizado (4/10)"/>
    <n v="82.902000000000001"/>
    <n v="55.268000000000001"/>
    <n v="138.16999999999999"/>
    <s v="Sessão Faturada"/>
    <n v="1301012299900100"/>
    <n v="58226"/>
    <s v="Unidade Vieralves (ANEXO)"/>
    <n v="9135985"/>
    <m/>
  </r>
  <r>
    <x v="2"/>
    <x v="57"/>
    <s v="Janice Morgado de Lara Maquine"/>
    <s v="Feminino"/>
    <x v="1"/>
    <x v="6"/>
    <s v="50000233 - Fisioterapia Pélvica (R$ 138,17)"/>
    <s v="Fisioterapia Pélvica e Neurológica"/>
    <n v="9257462"/>
    <s v="Finalizado (3/5)"/>
    <n v="82.902000000000001"/>
    <n v="55.268000000000001"/>
    <n v="138.16999999999999"/>
    <s v="Sessão Faturada"/>
    <n v="1101013095450200"/>
    <n v="41951"/>
    <s v="Unidade Vieralves (ANEXO)"/>
    <n v="9257462"/>
    <m/>
  </r>
  <r>
    <x v="2"/>
    <x v="38"/>
    <s v="Lívia dos Santos Batista da Silva"/>
    <s v="Feminino"/>
    <x v="2"/>
    <x v="6"/>
    <s v="20103646 - Reabilitação Perineal Com Biofeedback (R$ 138,17)"/>
    <s v="Fisioterapia Pélvica e Neurológica"/>
    <n v="1713876527"/>
    <s v="Finalizado (1/5)"/>
    <n v="82.902000000000001"/>
    <n v="55.268000000000001"/>
    <n v="138.16999999999999"/>
    <s v="Sessão a Faturar"/>
    <n v="774642018902020"/>
    <n v="59675"/>
    <s v="Unidade Vieralves (ANEXO)"/>
    <n v="1713876527"/>
    <m/>
  </r>
  <r>
    <x v="2"/>
    <x v="38"/>
    <s v="Lívia dos Santos Batista da Silva"/>
    <s v="Feminino"/>
    <x v="2"/>
    <x v="6"/>
    <s v="50000144 - Avaliação de Fisioterapia (R$ 51,42)"/>
    <s v="Fisioterapia Pélvica e Neurológica"/>
    <n v="1713875349"/>
    <s v="Finalizado (1/1)"/>
    <n v="46.277999999999999"/>
    <n v="5.1420000000000003"/>
    <n v="51.42"/>
    <s v="Sessão Faturada"/>
    <n v="774642018902020"/>
    <n v="59675"/>
    <s v="Unidade Vieralves (ANEXO)"/>
    <n v="1713875349"/>
    <m/>
  </r>
  <r>
    <x v="2"/>
    <x v="58"/>
    <s v="Eliana Raposo Sangi Kovalski"/>
    <s v="Feminino"/>
    <x v="2"/>
    <x v="6"/>
    <s v="20103646 - Reabilitação Perineal Com Biofeedback (R$ 138,17)"/>
    <s v="Fisioterapia Pélvica e Neurológica"/>
    <n v="1707298840"/>
    <s v="Finalizado (4/5)"/>
    <n v="82.902000000000001"/>
    <n v="55.268000000000001"/>
    <n v="138.16999999999999"/>
    <s v="Sessão Faturada"/>
    <n v="841854400035010"/>
    <n v="59206"/>
    <s v="Unidade Vieralves (ANEXO)"/>
    <n v="1707298840"/>
    <m/>
  </r>
  <r>
    <x v="2"/>
    <x v="59"/>
    <s v="Helem Cristina da Costa Barbosa Moura"/>
    <s v="Feminino"/>
    <x v="2"/>
    <x v="6"/>
    <s v="20103646 - Reabilitação Perineal Com Biofeedback (R$ 138,17)"/>
    <s v="Fisioterapia Pélvica e Neurológica"/>
    <n v="1707341282"/>
    <s v="Finalizado (3/5)"/>
    <n v="82.902000000000001"/>
    <n v="55.268000000000001"/>
    <n v="138.16999999999999"/>
    <s v="Sessão Faturada"/>
    <n v="960019315614000"/>
    <n v="59443"/>
    <s v="Unidade Vieralves (ANEXO)"/>
    <n v="1707341282"/>
    <m/>
  </r>
  <r>
    <x v="2"/>
    <x v="56"/>
    <s v="Bruna Michelli Barbosa"/>
    <s v="Feminino"/>
    <x v="2"/>
    <x v="6"/>
    <s v="20103646 - Reabilitação Perineal Com Biofeedback (R$ 138,17)"/>
    <s v="Fisioterapia Pélvica e Neurológica"/>
    <n v="1712923619"/>
    <s v="Finalizado (2/2)"/>
    <n v="82.902000000000001"/>
    <n v="55.268000000000001"/>
    <n v="138.16999999999999"/>
    <s v="Sessão Faturada"/>
    <n v="610187280015000"/>
    <n v="58340"/>
    <s v="Unidade Vieralves (ANEXO)"/>
    <n v="1712923619"/>
    <m/>
  </r>
  <r>
    <x v="2"/>
    <x v="6"/>
    <s v="Darcilene de Souza Dias"/>
    <s v="Feminino"/>
    <x v="2"/>
    <x v="6"/>
    <s v="20103646 - Reabilitação Perineal Com Biofeedback (R$ 138,17)"/>
    <s v="Fisioterapia Pélvica e Neurológica"/>
    <n v="1711655759"/>
    <s v="Finalizado (2/3)"/>
    <n v="82.902000000000001"/>
    <n v="55.268000000000001"/>
    <n v="138.16999999999999"/>
    <s v="Sessão Faturada"/>
    <n v="771015044172020"/>
    <n v="42805"/>
    <s v="Unidade Vieralves (ANEXO)"/>
    <n v="1711655759"/>
    <m/>
  </r>
  <r>
    <x v="2"/>
    <x v="52"/>
    <s v="Thais Texeira Moura"/>
    <s v="Feminino"/>
    <x v="2"/>
    <x v="6"/>
    <s v="20103646 - Reabilitação Perineal Com Biofeedback (R$ 138,17)"/>
    <s v="Fisioterapia Pélvica e Neurológica"/>
    <n v="1710472093"/>
    <s v="Finalizado (2/5)"/>
    <n v="82.902000000000001"/>
    <n v="55.268000000000001"/>
    <n v="138.16999999999999"/>
    <s v="Sessão Faturada"/>
    <n v="774642011673000"/>
    <n v="39740"/>
    <s v="Unidade Vieralves (ANEXO)"/>
    <n v="1710472093"/>
    <m/>
  </r>
  <r>
    <x v="4"/>
    <x v="41"/>
    <s v="Gabriele de Souza Cruz"/>
    <s v="Feminino"/>
    <x v="1"/>
    <x v="6"/>
    <s v="50000233 - Fisioterapia Pélvica (R$ 138,17)"/>
    <s v="Fisioterapia Pélvica e Neurológica"/>
    <n v="9135985"/>
    <s v="Finalizado (5/10)"/>
    <n v="82.902000000000001"/>
    <n v="55.268000000000001"/>
    <n v="138.16999999999999"/>
    <s v="Sessão Faturada"/>
    <n v="1301012299900100"/>
    <n v="58226"/>
    <s v="Unidade Vieralves (ANEXO)"/>
    <n v="9135985"/>
    <m/>
  </r>
  <r>
    <x v="4"/>
    <x v="57"/>
    <s v="Janice Morgado de Lara Maquine"/>
    <s v="Feminino"/>
    <x v="1"/>
    <x v="6"/>
    <s v="50000233 - Fisioterapia Pélvica (R$ 138,17)"/>
    <s v="Fisioterapia Pélvica e Neurológica"/>
    <n v="9257462"/>
    <s v="Finalizado (4/5)"/>
    <n v="82.902000000000001"/>
    <n v="55.268000000000001"/>
    <n v="138.16999999999999"/>
    <s v="Sessão Faturada"/>
    <n v="1101013095450200"/>
    <n v="41951"/>
    <s v="Unidade Vieralves (ANEXO)"/>
    <n v="9257462"/>
    <m/>
  </r>
  <r>
    <x v="4"/>
    <x v="55"/>
    <s v="Angela Maria Brasil Batista"/>
    <s v="Feminino"/>
    <x v="2"/>
    <x v="6"/>
    <s v="20103646 - Reabilitação Perineal Com Biofeedback (R$ 138,17)"/>
    <s v="Fisioterapia Pélvica e Neurológica"/>
    <n v="1710170188"/>
    <s v="Finalizado (3/5)"/>
    <n v="82.902000000000001"/>
    <n v="55.268000000000001"/>
    <n v="138.16999999999999"/>
    <s v="Sessão Faturada"/>
    <n v="774634051578010"/>
    <n v="59260"/>
    <s v="Unidade Vieralves (ANEXO)"/>
    <n v="1710170188"/>
    <m/>
  </r>
  <r>
    <x v="4"/>
    <x v="38"/>
    <s v="Sarah Fernandes de Souza Marinho"/>
    <s v="Feminino"/>
    <x v="6"/>
    <x v="6"/>
    <s v="20103646 - Fisioterapia Perineal Com Biofeedback (R$ 229,39)"/>
    <s v="Fisioterapia Pélvica e Neurológica"/>
    <n v="169768"/>
    <s v="Finalizado (8/10)"/>
    <n v="137.63399999999999"/>
    <n v="91.756"/>
    <n v="229.39"/>
    <s v="Sessão a Faturar"/>
    <s v="54588888459366530020"/>
    <n v="57370"/>
    <s v="Unidade Vieralves (ANEXO)"/>
    <n v="169768"/>
    <m/>
  </r>
  <r>
    <x v="4"/>
    <x v="58"/>
    <s v="Eliana Raposo Sangi Kovalski"/>
    <s v="Feminino"/>
    <x v="2"/>
    <x v="6"/>
    <s v="20103646 - Reabilitação Perineal Com Biofeedback (R$ 138,17)"/>
    <s v="Fisioterapia Pélvica e Neurológica"/>
    <n v="1707298840"/>
    <s v="Finalizado (5/5)"/>
    <n v="82.902000000000001"/>
    <n v="55.268000000000001"/>
    <n v="138.16999999999999"/>
    <s v="Sessão Faturada"/>
    <n v="841854400035010"/>
    <n v="59206"/>
    <s v="Unidade Vieralves (ANEXO)"/>
    <n v="1707298840"/>
    <m/>
  </r>
  <r>
    <x v="4"/>
    <x v="59"/>
    <s v="Helem Cristina da Costa Barbosa Moura"/>
    <s v="Feminino"/>
    <x v="2"/>
    <x v="6"/>
    <s v="20103646 - Reabilitação Perineal Com Biofeedback (R$ 138,17)"/>
    <s v="Fisioterapia Pélvica e Neurológica"/>
    <n v="1707341282"/>
    <s v="Finalizado (4/5)"/>
    <n v="82.902000000000001"/>
    <n v="55.268000000000001"/>
    <n v="138.16999999999999"/>
    <s v="Sessão Faturada"/>
    <n v="960019315614000"/>
    <n v="59443"/>
    <s v="Unidade Vieralves (ANEXO)"/>
    <n v="1707341282"/>
    <m/>
  </r>
  <r>
    <x v="4"/>
    <x v="56"/>
    <s v="Barbara Barros Jacob"/>
    <s v="Feminino"/>
    <x v="1"/>
    <x v="6"/>
    <s v="50000233 - Fisioterapia Pélvica (R$ 138,17)"/>
    <s v="Fisioterapia Pélvica e Neurológica"/>
    <n v="8681189"/>
    <s v="Finalizado (6/10)"/>
    <n v="82.902000000000001"/>
    <n v="55.268000000000001"/>
    <n v="138.16999999999999"/>
    <s v="Sessão Faturada"/>
    <s v="0201013029220011"/>
    <n v="41008"/>
    <s v="Unidade Vieralves (ANEXO)"/>
    <n v="8681189"/>
    <m/>
  </r>
  <r>
    <x v="4"/>
    <x v="30"/>
    <s v="Aparecida Corrêa da Silva"/>
    <s v="Feminino"/>
    <x v="25"/>
    <x v="6"/>
    <s v="20103646 - Reabilitação Perineal Com Biofeedback (R$ 190,50)"/>
    <s v="Fisioterapia Pélvica e Neurológica"/>
    <n v="141697"/>
    <s v="Finalizado (9/10)"/>
    <n v="114.3"/>
    <n v="76.2"/>
    <n v="190.5"/>
    <s v="Sessão Faturada"/>
    <n v="5401501"/>
    <n v="57035"/>
    <s v="Unidade Vieralves (ANEXO)"/>
    <n v="141697"/>
    <m/>
  </r>
  <r>
    <x v="4"/>
    <x v="6"/>
    <s v="Darcilene de Souza Dias"/>
    <s v="Feminino"/>
    <x v="2"/>
    <x v="6"/>
    <s v="20103646 - Reabilitação Perineal Com Biofeedback (R$ 138,17)"/>
    <s v="Fisioterapia Pélvica e Neurológica"/>
    <n v="1711655759"/>
    <s v="Finalizado (3/3)"/>
    <n v="82.902000000000001"/>
    <n v="55.268000000000001"/>
    <n v="138.16999999999999"/>
    <s v="Sessão Faturada"/>
    <n v="771015044172020"/>
    <n v="42805"/>
    <s v="Unidade Vieralves (ANEXO)"/>
    <n v="1711655759"/>
    <m/>
  </r>
  <r>
    <x v="4"/>
    <x v="52"/>
    <s v="Thais Texeira Moura"/>
    <s v="Feminino"/>
    <x v="2"/>
    <x v="6"/>
    <s v="20103646 - Reabilitação Perineal Com Biofeedback (R$ 138,17)"/>
    <s v="Fisioterapia Pélvica e Neurológica"/>
    <n v="1710472093"/>
    <s v="Finalizado (3/5)"/>
    <n v="82.902000000000001"/>
    <n v="55.268000000000001"/>
    <n v="138.16999999999999"/>
    <s v="Sessão Faturada"/>
    <n v="774642011673000"/>
    <n v="39740"/>
    <s v="Unidade Vieralves (ANEXO)"/>
    <n v="1710472093"/>
    <m/>
  </r>
  <r>
    <x v="5"/>
    <x v="41"/>
    <s v="Angela Maria Brasil Batista"/>
    <s v="Feminino"/>
    <x v="2"/>
    <x v="6"/>
    <s v="20103646 - Reabilitação Perineal Com Biofeedback (R$ 138,17)"/>
    <s v="Fisioterapia Pélvica e Neurológica"/>
    <n v="1710170188"/>
    <s v="Finalizado (4/5)"/>
    <n v="82.902000000000001"/>
    <n v="55.268000000000001"/>
    <n v="138.16999999999999"/>
    <s v="Sessão Faturada"/>
    <n v="774634051578010"/>
    <n v="59260"/>
    <s v="Unidade Vieralves (ANEXO)"/>
    <n v="1710170188"/>
    <m/>
  </r>
  <r>
    <x v="5"/>
    <x v="55"/>
    <s v="Gleyciane Alves dos Santos Costa"/>
    <s v="Feminino"/>
    <x v="2"/>
    <x v="6"/>
    <s v="50000144 - Avaliação de Fisioterapia (R$ 51,42)"/>
    <s v="Fisioterapia Pélvica e Neurológica"/>
    <n v="1715912855"/>
    <s v="Finalizado (1/1)"/>
    <n v="46.277999999999999"/>
    <n v="5.1420000000000003"/>
    <n v="51.42"/>
    <s v="Sessão Faturada"/>
    <n v="845892601392000"/>
    <n v="53149"/>
    <s v="Unidade Vieralves (ANEXO)"/>
    <n v="1715912855"/>
    <m/>
  </r>
  <r>
    <x v="5"/>
    <x v="55"/>
    <s v="Gleyciane Alves dos Santos Costa"/>
    <s v="Feminino"/>
    <x v="2"/>
    <x v="6"/>
    <s v="20103646 - Reabilitação Perineal Com Biofeedback (R$ 138,17)"/>
    <s v="Fisioterapia Pélvica e Neurológica"/>
    <n v="1715913729"/>
    <s v="Finalizado (1/4)"/>
    <n v="82.902000000000001"/>
    <n v="55.268000000000001"/>
    <n v="138.16999999999999"/>
    <s v="Sessão a Faturar"/>
    <n v="845892601392000"/>
    <n v="53149"/>
    <s v="Unidade Vieralves (ANEXO)"/>
    <n v="1715913729"/>
    <m/>
  </r>
  <r>
    <x v="5"/>
    <x v="38"/>
    <s v="Maria Morgiana Gonçalves Costa Ausier"/>
    <s v="Feminino"/>
    <x v="2"/>
    <x v="6"/>
    <s v="20103646 - Reabilitação Perineal Com Biofeedback (R$ 138,17)"/>
    <s v="Fisioterapia Pélvica e Neurológica"/>
    <n v="1706150503"/>
    <s v="Finalizado (4/5)"/>
    <n v="82.902000000000001"/>
    <n v="55.268000000000001"/>
    <n v="138.16999999999999"/>
    <s v="Sessão Faturada"/>
    <n v="774642010693010"/>
    <n v="9926"/>
    <s v="Unidade Vieralves (ANEXO)"/>
    <n v="1706150503"/>
    <m/>
  </r>
  <r>
    <x v="5"/>
    <x v="38"/>
    <s v="Maria Morgiana Gonçalves Costa Ausier"/>
    <s v="Feminino"/>
    <x v="2"/>
    <x v="6"/>
    <s v="20203020 - Eletroestimulação do Assoalho Pélvico E/Ou Outra Técnica de Exercícios Perineais (R$ 17,17)"/>
    <s v="Fisioterapia Pélvica e Neurológica"/>
    <n v="1706151341"/>
    <s v="Finalizado (4/5)"/>
    <n v="10.302"/>
    <n v="6.8680000000000003"/>
    <n v="17.170000000000002"/>
    <s v="Sessão Faturada"/>
    <n v="774642010693010"/>
    <n v="9926"/>
    <s v="Unidade Vieralves (ANEXO)"/>
    <n v="1706151341"/>
    <m/>
  </r>
  <r>
    <x v="5"/>
    <x v="58"/>
    <s v="Gabriele de Souza Cruz"/>
    <s v="Feminino"/>
    <x v="1"/>
    <x v="6"/>
    <s v="50000233 - Fisioterapia Pélvica (R$ 138,17)"/>
    <s v="Fisioterapia Pélvica e Neurológica"/>
    <n v="9135985"/>
    <s v="Finalizado (6/10)"/>
    <n v="82.902000000000001"/>
    <n v="55.268000000000001"/>
    <n v="138.16999999999999"/>
    <s v="Sessão Faturada"/>
    <n v="1301012299900100"/>
    <n v="58226"/>
    <s v="Unidade Vieralves (ANEXO)"/>
    <n v="9135985"/>
    <m/>
  </r>
  <r>
    <x v="5"/>
    <x v="0"/>
    <s v="Janice Morgado de Lara Maquine"/>
    <s v="Feminino"/>
    <x v="1"/>
    <x v="6"/>
    <s v="50000233 - Fisioterapia Pélvica (R$ 138,17)"/>
    <s v="Fisioterapia Pélvica e Neurológica"/>
    <n v="9257462"/>
    <s v="Finalizado (5/5)"/>
    <n v="82.902000000000001"/>
    <n v="55.268000000000001"/>
    <n v="138.16999999999999"/>
    <s v="Sessão Faturada"/>
    <n v="1101013095450200"/>
    <n v="41951"/>
    <s v="Unidade Vieralves (ANEXO)"/>
    <n v="9257462"/>
    <m/>
  </r>
  <r>
    <x v="5"/>
    <x v="56"/>
    <s v="Sarah Fernandes de Souza Marinho"/>
    <s v="Feminino"/>
    <x v="6"/>
    <x v="6"/>
    <s v="20103646 - Fisioterapia Perineal Com Biofeedback (R$ 229,39)"/>
    <s v="Fisioterapia Pélvica e Neurológica"/>
    <n v="169768"/>
    <s v="Finalizado (9/10)"/>
    <n v="137.63399999999999"/>
    <n v="91.756"/>
    <n v="229.39"/>
    <s v="Sessão a Faturar"/>
    <s v="54588888459366530020"/>
    <n v="57370"/>
    <s v="Unidade Vieralves (ANEXO)"/>
    <n v="169768"/>
    <m/>
  </r>
  <r>
    <x v="5"/>
    <x v="6"/>
    <s v="Cristine Lopes de Sousa Possidônio Ribeiro"/>
    <s v="Feminino"/>
    <x v="1"/>
    <x v="6"/>
    <s v="50000233 - Fisioterapia Pélvica (R$ 138,17)"/>
    <s v="Fisioterapia Pélvica e Neurológica"/>
    <n v="8968185"/>
    <s v="Finalizado (8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5"/>
    <x v="25"/>
    <s v="Thais Texeira Moura"/>
    <s v="Feminino"/>
    <x v="2"/>
    <x v="6"/>
    <s v="20103646 - Reabilitação Perineal Com Biofeedback (R$ 138,17)"/>
    <s v="Fisioterapia Pélvica e Neurológica"/>
    <n v="1710472093"/>
    <s v="Finalizado (4/5)"/>
    <n v="82.902000000000001"/>
    <n v="55.268000000000001"/>
    <n v="138.16999999999999"/>
    <s v="Sessão Faturada"/>
    <n v="774642011673000"/>
    <n v="39740"/>
    <s v="Unidade Vieralves (ANEXO)"/>
    <n v="1710472093"/>
    <m/>
  </r>
  <r>
    <x v="7"/>
    <x v="41"/>
    <s v="Magda Laiara Bezerra de Lima"/>
    <s v="Feminino"/>
    <x v="2"/>
    <x v="6"/>
    <s v="20103646 - Reabilitação Perineal Com Biofeedback (R$ 138,17)"/>
    <s v="Fisioterapia Pélvica e Neurológica"/>
    <n v="1704230074"/>
    <s v="Finalizado (5/5)"/>
    <n v="82.902000000000001"/>
    <n v="55.268000000000001"/>
    <n v="138.16999999999999"/>
    <s v="Sessão Faturada"/>
    <n v="610894500001020"/>
    <n v="15721"/>
    <s v="Unidade Vieralves (ANEXO)"/>
    <n v="1704230074"/>
    <m/>
  </r>
  <r>
    <x v="7"/>
    <x v="57"/>
    <s v="Maria Morgiana Gonçalves Costa Ausier"/>
    <s v="Feminino"/>
    <x v="2"/>
    <x v="6"/>
    <s v="20103646 - Reabilitação Perineal Com Biofeedback (R$ 138,17)"/>
    <s v="Fisioterapia Pélvica e Neurológica"/>
    <n v="1706150503"/>
    <s v="Finalizado (5/5)"/>
    <n v="82.902000000000001"/>
    <n v="55.268000000000001"/>
    <n v="138.16999999999999"/>
    <s v="Sessão Faturada"/>
    <n v="774642010693010"/>
    <n v="9926"/>
    <s v="Unidade Vieralves (ANEXO)"/>
    <n v="1706150503"/>
    <m/>
  </r>
  <r>
    <x v="7"/>
    <x v="57"/>
    <s v="Maria Morgiana Gonçalves Costa Ausier"/>
    <s v="Feminino"/>
    <x v="2"/>
    <x v="6"/>
    <s v="20203020 - Eletroestimulação do Assoalho Pélvico E/Ou Outra Técnica de Exercícios Perineais (R$ 17,17)"/>
    <s v="Fisioterapia Pélvica e Neurológica"/>
    <n v="1706151341"/>
    <s v="Finalizado (5/5)"/>
    <n v="10.302"/>
    <n v="6.8680000000000003"/>
    <n v="17.170000000000002"/>
    <s v="Sessão Faturada"/>
    <n v="774642010693010"/>
    <n v="9926"/>
    <s v="Unidade Vieralves (ANEXO)"/>
    <n v="1706151341"/>
    <m/>
  </r>
  <r>
    <x v="7"/>
    <x v="55"/>
    <s v="Lívia dos Santos Batista da Silva"/>
    <s v="Feminino"/>
    <x v="2"/>
    <x v="6"/>
    <s v="20103646 - Reabilitação Perineal Com Biofeedback (R$ 138,17)"/>
    <s v="Fisioterapia Pélvica e Neurológica"/>
    <n v="1713876527"/>
    <s v="Finalizado (2/5)"/>
    <n v="82.902000000000001"/>
    <n v="55.268000000000001"/>
    <n v="138.16999999999999"/>
    <s v="Sessão a Faturar"/>
    <n v="774642018902020"/>
    <n v="59675"/>
    <s v="Unidade Vieralves (ANEXO)"/>
    <n v="1713876527"/>
    <m/>
  </r>
  <r>
    <x v="7"/>
    <x v="38"/>
    <s v="Gabriele de Souza Cruz"/>
    <s v="Feminino"/>
    <x v="1"/>
    <x v="6"/>
    <s v="50000233 - Fisioterapia Pélvica (R$ 138,17)"/>
    <s v="Fisioterapia Pélvica e Neurológica"/>
    <n v="9135985"/>
    <s v="Finalizado (7/10)"/>
    <n v="82.902000000000001"/>
    <n v="55.268000000000001"/>
    <n v="138.16999999999999"/>
    <s v="Sessão Faturada"/>
    <n v="1301012299900100"/>
    <n v="58226"/>
    <s v="Unidade Vieralves (ANEXO)"/>
    <n v="9135985"/>
    <m/>
  </r>
  <r>
    <x v="7"/>
    <x v="58"/>
    <s v="Eliana Raposo Sangi Kovalski"/>
    <s v="Feminino"/>
    <x v="2"/>
    <x v="6"/>
    <s v="20103646 - Reabilitação Perineal Com Biofeedback (R$ 138,17)"/>
    <s v="Fisioterapia Pélvica e Neurológica"/>
    <n v="1717076514"/>
    <s v="Finalizado (1/5)"/>
    <n v="82.902000000000001"/>
    <n v="55.268000000000001"/>
    <n v="138.16999999999999"/>
    <s v="Sessão a Faturar"/>
    <n v="841854400035010"/>
    <n v="59206"/>
    <s v="Unidade Vieralves (ANEXO)"/>
    <n v="1717076514"/>
    <m/>
  </r>
  <r>
    <x v="7"/>
    <x v="59"/>
    <s v="Helem Cristina da Costa Barbosa Moura"/>
    <s v="Feminino"/>
    <x v="2"/>
    <x v="6"/>
    <s v="20103646 - Reabilitação Perineal Com Biofeedback (R$ 138,17)"/>
    <s v="Fisioterapia Pélvica e Neurológica"/>
    <n v="1707341282"/>
    <s v="Finalizado (5/5)"/>
    <n v="82.902000000000001"/>
    <n v="55.268000000000001"/>
    <n v="138.16999999999999"/>
    <s v="Sessão Faturada"/>
    <n v="960019315614000"/>
    <n v="59443"/>
    <s v="Unidade Vieralves (ANEXO)"/>
    <n v="1707341282"/>
    <m/>
  </r>
  <r>
    <x v="9"/>
    <x v="41"/>
    <s v="Magda Laiara Bezerra de Lima"/>
    <s v="Feminino"/>
    <x v="2"/>
    <x v="6"/>
    <s v="20103646 - Reabilitação Perineal Com Biofeedback (R$ 138,17)"/>
    <s v="Fisioterapia Pélvica e Neurológica"/>
    <n v="1717983091"/>
    <s v="Finalizado (1/5)"/>
    <n v="82.902000000000001"/>
    <n v="55.268000000000001"/>
    <n v="138.16999999999999"/>
    <s v="Sessão a Faturar"/>
    <n v="610894500001020"/>
    <n v="15721"/>
    <s v="Unidade Vieralves (ANEXO)"/>
    <n v="1717983091"/>
    <m/>
  </r>
  <r>
    <x v="9"/>
    <x v="55"/>
    <s v="Lívia dos Santos Batista da Silva"/>
    <s v="Feminino"/>
    <x v="2"/>
    <x v="6"/>
    <s v="20103646 - Reabilitação Perineal Com Biofeedback (R$ 138,17)"/>
    <s v="Fisioterapia Pélvica e Neurológica"/>
    <n v="1713876527"/>
    <s v="Finalizado (3/5)"/>
    <n v="82.902000000000001"/>
    <n v="55.268000000000001"/>
    <n v="138.16999999999999"/>
    <s v="Sessão a Faturar"/>
    <n v="774642018902020"/>
    <n v="59675"/>
    <s v="Unidade Vieralves (ANEXO)"/>
    <n v="1713876527"/>
    <m/>
  </r>
  <r>
    <x v="9"/>
    <x v="58"/>
    <s v="Eliana Raposo Sangi Kovalski"/>
    <s v="Feminino"/>
    <x v="2"/>
    <x v="6"/>
    <s v="20103646 - Reabilitação Perineal Com Biofeedback (R$ 138,17)"/>
    <s v="Fisioterapia Pélvica e Neurológica"/>
    <n v="1717076514"/>
    <s v="Finalizado (2/5)"/>
    <n v="82.902000000000001"/>
    <n v="55.268000000000001"/>
    <n v="138.16999999999999"/>
    <s v="Sessão a Faturar"/>
    <n v="841854400035010"/>
    <n v="59206"/>
    <s v="Unidade Vieralves (ANEXO)"/>
    <n v="1717076514"/>
    <m/>
  </r>
  <r>
    <x v="9"/>
    <x v="56"/>
    <s v="Sarah Fernandes de Souza Marinho"/>
    <s v="Feminino"/>
    <x v="6"/>
    <x v="6"/>
    <s v="20103646 - Fisioterapia Perineal Com Biofeedback (R$ 229,39)"/>
    <s v="Fisioterapia Pélvica e Neurológica"/>
    <n v="169768"/>
    <s v="Finalizado (10/10)"/>
    <n v="137.63399999999999"/>
    <n v="91.756"/>
    <n v="229.39"/>
    <s v="Sessão a Faturar"/>
    <s v="54588888459366530020"/>
    <n v="57370"/>
    <s v="Unidade Vieralves (ANEXO)"/>
    <n v="169768"/>
    <m/>
  </r>
  <r>
    <x v="9"/>
    <x v="30"/>
    <s v="Aparecida Corrêa da Silva"/>
    <s v="Feminino"/>
    <x v="25"/>
    <x v="6"/>
    <s v="20103646 - Reabilitação Perineal Com Biofeedback (R$ 190,50)"/>
    <s v="Fisioterapia Pélvica e Neurológica"/>
    <n v="141697"/>
    <s v="Finalizado (10/10)"/>
    <n v="114.3"/>
    <n v="76.2"/>
    <n v="190.5"/>
    <s v="Sessão Faturada"/>
    <n v="5401501"/>
    <n v="57035"/>
    <s v="Unidade Vieralves (ANEXO)"/>
    <n v="141697"/>
    <m/>
  </r>
  <r>
    <x v="9"/>
    <x v="52"/>
    <s v="Gleyciane Alves dos Santos Costa"/>
    <s v="Feminino"/>
    <x v="2"/>
    <x v="6"/>
    <s v="20103646 - Reabilitação Perineal Com Biofeedback (R$ 138,17)"/>
    <s v="Fisioterapia Pélvica e Neurológica"/>
    <n v="1715913729"/>
    <s v="Finalizado (2/4)"/>
    <n v="82.902000000000001"/>
    <n v="55.268000000000001"/>
    <n v="138.16999999999999"/>
    <s v="Sessão a Faturar"/>
    <n v="845892601392000"/>
    <n v="53149"/>
    <s v="Unidade Vieralves (ANEXO)"/>
    <n v="1715913729"/>
    <m/>
  </r>
  <r>
    <x v="10"/>
    <x v="41"/>
    <s v="Gabriele de Souza Cruz"/>
    <s v="Feminino"/>
    <x v="1"/>
    <x v="6"/>
    <s v="50000233 - Fisioterapia Pélvica (R$ 138,17)"/>
    <s v="Fisioterapia Pélvica e Neurológica"/>
    <n v="9135985"/>
    <s v="Finalizado (8/10)"/>
    <n v="82.902000000000001"/>
    <n v="55.268000000000001"/>
    <n v="138.16999999999999"/>
    <s v="Sessão Faturada"/>
    <n v="1301012299900100"/>
    <n v="58226"/>
    <s v="Unidade Vieralves (ANEXO)"/>
    <n v="9135985"/>
    <m/>
  </r>
  <r>
    <x v="10"/>
    <x v="55"/>
    <s v="Magda Laiara Bezerra de Lima"/>
    <s v="Feminino"/>
    <x v="2"/>
    <x v="6"/>
    <s v="20103646 - Reabilitação Perineal Com Biofeedback (R$ 138,17)"/>
    <s v="Fisioterapia Pélvica e Neurológica"/>
    <n v="1717983091"/>
    <s v="Finalizado (2/5)"/>
    <n v="82.902000000000001"/>
    <n v="55.268000000000001"/>
    <n v="138.16999999999999"/>
    <s v="Sessão a Faturar"/>
    <n v="610894500001020"/>
    <n v="15721"/>
    <s v="Unidade Vieralves (ANEXO)"/>
    <n v="1717983091"/>
    <m/>
  </r>
  <r>
    <x v="10"/>
    <x v="38"/>
    <s v="Gleyciane Alves dos Santos Costa"/>
    <s v="Feminino"/>
    <x v="2"/>
    <x v="6"/>
    <s v="20103646 - Reabilitação Perineal Com Biofeedback (R$ 138,17)"/>
    <s v="Fisioterapia Pélvica e Neurológica"/>
    <n v="1715913729"/>
    <s v="Finalizado (3/4)"/>
    <n v="82.902000000000001"/>
    <n v="55.268000000000001"/>
    <n v="138.16999999999999"/>
    <s v="Sessão a Faturar"/>
    <n v="845892601392000"/>
    <n v="53149"/>
    <s v="Unidade Vieralves (ANEXO)"/>
    <n v="1715913729"/>
    <m/>
  </r>
  <r>
    <x v="10"/>
    <x v="56"/>
    <s v="Alana Barbosa Valerio Tomaz"/>
    <s v="Feminino"/>
    <x v="7"/>
    <x v="6"/>
    <s v="Vieiralves - 22 - Fisioterapia Pélvica - Pacote (R$ 200,00)"/>
    <s v="Fisioterapia Pélvica e Neurológica"/>
    <n v="167866"/>
    <s v="Finalizado (3/10)"/>
    <n v="120"/>
    <n v="80"/>
    <n v="200"/>
    <s v="Pago"/>
    <s v="000743193777880209"/>
    <n v="36266"/>
    <s v="Unidade Vieralves (ANEXO)"/>
    <n v="167866"/>
    <m/>
  </r>
  <r>
    <x v="10"/>
    <x v="30"/>
    <s v="Cristine Lopes de Sousa Possidônio Ribeiro"/>
    <s v="Feminino"/>
    <x v="1"/>
    <x v="6"/>
    <s v="50000233 - Fisioterapia Pélvica (R$ 138,17)"/>
    <s v="Fisioterapia Pélvica e Neurológica"/>
    <n v="8968185"/>
    <s v="Finalizado (9/10)"/>
    <n v="82.902000000000001"/>
    <n v="55.268000000000001"/>
    <n v="138.16999999999999"/>
    <s v="Sessão Faturada"/>
    <n v="1301013321470000"/>
    <n v="59399"/>
    <s v="Unidade Vieralves (ANEXO)"/>
    <n v="8968185"/>
    <s v="Guia assinada! 17.03"/>
  </r>
  <r>
    <x v="12"/>
    <x v="44"/>
    <s v="Raimundo Nonato de Souza Costa"/>
    <s v="Masculino"/>
    <x v="8"/>
    <x v="7"/>
    <s v="20103484 - Patologia Em Um Membro (R$ 12,22), 20103506 - Patologia Em Um Segmento Na Coluna (R$ 12,22)"/>
    <s v="Fisioterapia"/>
    <n v="1704624853"/>
    <s v="Finalizado (2/5)"/>
    <n v="21.507200000000001"/>
    <n v="2.9327999999999999"/>
    <n v="24.44"/>
    <s v="Sessão Faturada"/>
    <n v="954580018660010"/>
    <n v="56580"/>
    <s v="Unidade Vieralves (ANEXO)"/>
    <n v="1704624853"/>
    <m/>
  </r>
  <r>
    <x v="12"/>
    <x v="44"/>
    <s v="Alice Viana Franklin"/>
    <s v="Feminino"/>
    <x v="2"/>
    <x v="7"/>
    <s v="20103514 - Fisioterapia - Patologia Em Diferentes Segmentos da Coluna (R$ 14,83)"/>
    <s v="Fisioterapia"/>
    <n v="1704740997"/>
    <s v="Finalizado (2/5)"/>
    <n v="13.0504"/>
    <n v="1.7796000000000001"/>
    <n v="14.83"/>
    <s v="Sessão Faturada"/>
    <n v="812980300922010"/>
    <n v="59437"/>
    <s v="Unidade Vieralves (ANEXO)"/>
    <n v="1704740997"/>
    <m/>
  </r>
  <r>
    <x v="12"/>
    <x v="60"/>
    <s v="Raimundo Nonato de Souza Costa"/>
    <s v="Masculino"/>
    <x v="8"/>
    <x v="7"/>
    <s v="20103115 - Atividade Reflexa Cinesioterápica (R$ 20,81)"/>
    <s v="Fisioterapia"/>
    <n v="1704626185"/>
    <s v="Finalizado (2/5)"/>
    <n v="18.312799999999999"/>
    <n v="2.4971999999999999"/>
    <n v="20.81"/>
    <s v="Sessão Faturada"/>
    <n v="954580018660010"/>
    <n v="56580"/>
    <s v="Unidade Vieralves (ANEXO)"/>
    <n v="1704626185"/>
    <m/>
  </r>
  <r>
    <x v="12"/>
    <x v="60"/>
    <s v="Alice Viana Franklin"/>
    <s v="Feminino"/>
    <x v="2"/>
    <x v="7"/>
    <s v="20103115 - Atividade Reflexa Cinesioterápica (R$ 20,81)"/>
    <s v="Fisioterapia"/>
    <n v="1704742038"/>
    <s v="Finalizado (2/5)"/>
    <n v="18.312799999999999"/>
    <n v="2.4971999999999999"/>
    <n v="20.81"/>
    <s v="Sessão Faturada"/>
    <n v="812980300922010"/>
    <n v="59437"/>
    <s v="Unidade Vieralves (ANEXO)"/>
    <n v="1704742038"/>
    <m/>
  </r>
  <r>
    <x v="12"/>
    <x v="36"/>
    <s v="Ingrid Roseane Magno Viana"/>
    <s v="Feminino"/>
    <x v="8"/>
    <x v="7"/>
    <s v="20103484 - Patologia Em Um Membro (R$ 12,22)"/>
    <s v="Fisioterapia"/>
    <n v="1702621930"/>
    <s v="Finalizado (4/5)"/>
    <n v="10.7536"/>
    <n v="1.4663999999999999"/>
    <n v="12.22"/>
    <s v="Sessão Faturada"/>
    <n v="954440006904010"/>
    <n v="58326"/>
    <s v="Unidade Vieralves (ANEXO)"/>
    <n v="1702621930"/>
    <m/>
  </r>
  <r>
    <x v="12"/>
    <x v="61"/>
    <s v="Ingrid Roseane Magno Viana"/>
    <s v="Feminino"/>
    <x v="8"/>
    <x v="7"/>
    <s v="20103115 - Atividade Reflexa Cinesioterápica (R$ 20,81)"/>
    <s v="Fisioterapia"/>
    <n v="1702623232"/>
    <s v="Finalizado (4/5)"/>
    <n v="18.312799999999999"/>
    <n v="2.4971999999999999"/>
    <n v="20.81"/>
    <s v="Sessão Faturada"/>
    <n v="954440006904010"/>
    <n v="58326"/>
    <s v="Unidade Vieralves (ANEXO)"/>
    <n v="1702623232"/>
    <m/>
  </r>
  <r>
    <x v="12"/>
    <x v="40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3/9)"/>
    <n v="30.8"/>
    <n v="4.2"/>
    <n v="35"/>
    <s v="Sessão Faturada"/>
    <s v="0901013218730128"/>
    <n v="59450"/>
    <s v="Unidade Vieralves (ANEXO)"/>
    <n v="9025442"/>
    <m/>
  </r>
  <r>
    <x v="12"/>
    <x v="40"/>
    <s v="Gabriel Toledano Feitosa"/>
    <s v="Masculino"/>
    <x v="1"/>
    <x v="7"/>
    <s v="50000160 - Fisioterapia Ortopédica (R$ 20,00), 98980327 - Taxa de Eletroterapia (Tens) (R$ 15,00)"/>
    <s v="Fisioterapia"/>
    <n v="9100774"/>
    <s v="Finalizado (2/10)"/>
    <n v="30.8"/>
    <n v="4.2"/>
    <n v="35"/>
    <s v="Sessão Faturada"/>
    <n v="2001013187450100"/>
    <n v="59108"/>
    <s v="Unidade Vieralves (ANEXO)"/>
    <n v="9100774"/>
    <m/>
  </r>
  <r>
    <x v="12"/>
    <x v="35"/>
    <s v="Stela Fortes da Silva"/>
    <s v="Feminino"/>
    <x v="1"/>
    <x v="7"/>
    <s v="50000144 - Consulta de Fisioterapia (R$ 16,00)"/>
    <s v="Fisioterapia"/>
    <n v="9108963"/>
    <s v="Finalizado (1/1)"/>
    <n v="14.4"/>
    <n v="1.6"/>
    <n v="16"/>
    <s v="Sessão Faturada"/>
    <n v="1901013467060100"/>
    <n v="21179"/>
    <s v="Unidade Vieralves (ANEXO)"/>
    <n v="9108963"/>
    <m/>
  </r>
  <r>
    <x v="12"/>
    <x v="35"/>
    <s v="Andreya Fabiana Rodrigues Cavalcante"/>
    <s v="Feminino"/>
    <x v="2"/>
    <x v="7"/>
    <s v="20103484 - Fisioterapia - Patologia Em Um Membro (R$ 12,22)"/>
    <s v="Fisioterapia"/>
    <n v="1702659915"/>
    <s v="Finalizado (5/5)"/>
    <n v="10.7536"/>
    <n v="1.4663999999999999"/>
    <n v="12.22"/>
    <s v="Sessão Faturada"/>
    <n v="811494100019040"/>
    <n v="59418"/>
    <s v="Unidade Vieralves (ANEXO)"/>
    <n v="1702659915"/>
    <m/>
  </r>
  <r>
    <x v="12"/>
    <x v="42"/>
    <s v="Andreya Fabiana Rodrigues Cavalcante"/>
    <s v="Feminino"/>
    <x v="2"/>
    <x v="7"/>
    <s v="20103115 - Atividade Reflexa Cinesioterápica (R$ 20,81)"/>
    <s v="Fisioterapia"/>
    <n v="1702661090"/>
    <s v="Finalizado (5/5)"/>
    <n v="18.312799999999999"/>
    <n v="2.4971999999999999"/>
    <n v="20.81"/>
    <s v="Sessão Faturada"/>
    <n v="811494100019040"/>
    <n v="59418"/>
    <s v="Unidade Vieralves (ANEXO)"/>
    <n v="1702661090"/>
    <m/>
  </r>
  <r>
    <x v="12"/>
    <x v="42"/>
    <s v="Stela Fortes da Silva"/>
    <s v="Feminino"/>
    <x v="1"/>
    <x v="7"/>
    <s v="50000160 - Fisioterapia Ortopédica (R$ 20,00), 98980327 - Taxa de Eletroterapia (Tens) (R$ 15,00)"/>
    <s v="Fisioterapia"/>
    <n v="9109099"/>
    <s v="Finalizado (1/9)"/>
    <n v="30.8"/>
    <n v="4.2"/>
    <n v="35"/>
    <s v="Sessão Faturada"/>
    <n v="1901013467060100"/>
    <n v="21179"/>
    <s v="Unidade Vieralves (ANEXO)"/>
    <n v="9109099"/>
    <m/>
  </r>
  <r>
    <x v="12"/>
    <x v="38"/>
    <s v="Suellem Cristian Oliveira Epifânio"/>
    <s v="Feminino"/>
    <x v="2"/>
    <x v="7"/>
    <s v="20103492 - Fisioterapia - Patologia Em Dois Ou Mais Membros (R$ 14,83)"/>
    <s v="Fisioterapia"/>
    <n v="1705672340"/>
    <s v="Finalizado (1/4)"/>
    <n v="13.0504"/>
    <n v="1.7796000000000001"/>
    <n v="14.83"/>
    <s v="Sessão Faturada"/>
    <n v="775340003336000"/>
    <n v="55780"/>
    <s v="Unidade Vieralves (ANEXO)"/>
    <n v="1705672340"/>
    <m/>
  </r>
  <r>
    <x v="12"/>
    <x v="62"/>
    <s v="Suellem Cristian Oliveira Epifânio"/>
    <s v="Feminino"/>
    <x v="2"/>
    <x v="7"/>
    <s v="20103115 - Atividade Reflexa Cinesioterápica (R$ 20,81)"/>
    <s v="Fisioterapia"/>
    <n v="1705673222"/>
    <s v="Finalizado (1/3)"/>
    <n v="18.312799999999999"/>
    <n v="2.4971999999999999"/>
    <n v="20.81"/>
    <s v="Sessão Faturada"/>
    <n v="775340003336000"/>
    <n v="55780"/>
    <s v="Unidade Vieralves (ANEXO)"/>
    <n v="1705673222"/>
    <m/>
  </r>
  <r>
    <x v="12"/>
    <x v="37"/>
    <s v="Adriano Camacho Chaves"/>
    <s v="Masculino"/>
    <x v="19"/>
    <x v="7"/>
    <s v="20103484 - Patol. Em Um Membro - 17/03/2026 (R$ 55,79)"/>
    <s v="Fisioterapia"/>
    <n v="5814130"/>
    <s v="Finalizado (8/9)"/>
    <n v="49.095199999999998"/>
    <n v="6.6947999999999999"/>
    <n v="55.79"/>
    <s v="Sessão Faturada"/>
    <s v="0100010129000382"/>
    <n v="59112"/>
    <s v="Unidade Vieralves (ANEXO)"/>
    <n v="5814130"/>
    <m/>
  </r>
  <r>
    <x v="12"/>
    <x v="63"/>
    <s v="Adriano Camacho Chaves"/>
    <s v="Masculino"/>
    <x v="19"/>
    <x v="7"/>
    <s v="31602185 - Estimulação Elétrica Transcutanea (Tens) - 17/03/2026 (R$ 138,64)"/>
    <s v="Fisioterapia"/>
    <n v="5814150"/>
    <s v="Finalizado (8/9)"/>
    <n v="122.00320000000001"/>
    <n v="16.636800000000001"/>
    <n v="138.63999999999999"/>
    <s v="Sessão Faturada"/>
    <s v="0100010129000382"/>
    <n v="59112"/>
    <s v="Unidade Vieralves (ANEXO)"/>
    <n v="5814150"/>
    <m/>
  </r>
  <r>
    <x v="12"/>
    <x v="39"/>
    <s v="Lúcia Ignéz Abreu de Sá"/>
    <s v="Feminino"/>
    <x v="1"/>
    <x v="7"/>
    <s v="50000160 - Fisioterapia Ortopédica (R$ 20,00), 98980327 - Taxa de Eletroterapia (Tens) (R$ 15,00)"/>
    <s v="Fisioterapia"/>
    <n v="8929197"/>
    <s v="Finalizado (3/10)"/>
    <n v="30.8"/>
    <n v="4.2"/>
    <n v="35"/>
    <s v="Sessão Faturada"/>
    <s v="0701010861030123"/>
    <n v="58903"/>
    <s v="Unidade Vieralves (ANEXO)"/>
    <n v="8929197"/>
    <m/>
  </r>
  <r>
    <x v="12"/>
    <x v="39"/>
    <s v="Larissa Castro Barbosa"/>
    <s v="Feminino"/>
    <x v="1"/>
    <x v="7"/>
    <s v="50000144 - Consulta de Fisioterapia (R$ 16,00)"/>
    <s v="Fisioterapia"/>
    <n v="9107393"/>
    <s v="Finalizado (1/1)"/>
    <n v="14.4"/>
    <n v="1.6"/>
    <n v="16"/>
    <s v="Sessão Faturada"/>
    <s v="0901010162540294"/>
    <n v="53890"/>
    <s v="Unidade Vieralves (ANEXO)"/>
    <n v="9107393"/>
    <m/>
  </r>
  <r>
    <x v="12"/>
    <x v="39"/>
    <s v="Ediane da Silveira Vieira"/>
    <s v="Feminino"/>
    <x v="2"/>
    <x v="7"/>
    <s v="20103484 - Fisioterapia - Patologia Em Um Membro (R$ 12,22)"/>
    <s v="Fisioterapia"/>
    <n v="1705212855"/>
    <s v="Finalizado (2/5)"/>
    <n v="10.7536"/>
    <n v="1.4663999999999999"/>
    <n v="12.22"/>
    <s v="Sessão Faturada"/>
    <n v="775262001287000"/>
    <n v="17985"/>
    <s v="Unidade Vieralves (ANEXO)"/>
    <n v="1705212855"/>
    <m/>
  </r>
  <r>
    <x v="12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1/10)"/>
    <n v="30.8"/>
    <n v="4.2"/>
    <n v="35"/>
    <s v="Sessão Faturada"/>
    <s v="0901010162540294"/>
    <n v="53890"/>
    <s v="Unidade Vieralves (ANEXO)"/>
    <n v="9107766"/>
    <m/>
  </r>
  <r>
    <x v="12"/>
    <x v="64"/>
    <s v="Ediane da Silveira Vieira"/>
    <s v="Feminino"/>
    <x v="2"/>
    <x v="7"/>
    <s v="20103115 - Atividade Reflexa Cinesioterápica (R$ 20,81)"/>
    <s v="Fisioterapia"/>
    <n v="1705213672"/>
    <s v="Finalizado (2/5)"/>
    <n v="18.312799999999999"/>
    <n v="2.4971999999999999"/>
    <n v="20.81"/>
    <s v="Sessão Faturada"/>
    <n v="775262001287000"/>
    <n v="17985"/>
    <s v="Unidade Vieralves (ANEXO)"/>
    <n v="1705213672"/>
    <m/>
  </r>
  <r>
    <x v="13"/>
    <x v="44"/>
    <s v="Alice Viana Franklin"/>
    <s v="Feminino"/>
    <x v="2"/>
    <x v="7"/>
    <s v="20103514 - Fisioterapia - Patologia Em Diferentes Segmentos da Coluna (R$ 14,83)"/>
    <s v="Fisioterapia"/>
    <n v="1704740997"/>
    <s v="Finalizado (3/5)"/>
    <n v="13.0504"/>
    <n v="1.7796000000000001"/>
    <n v="14.83"/>
    <s v="Sessão Faturada"/>
    <n v="812980300922010"/>
    <n v="59437"/>
    <s v="Unidade Vieralves (ANEXO)"/>
    <n v="1704740997"/>
    <m/>
  </r>
  <r>
    <x v="13"/>
    <x v="60"/>
    <s v="Alice Viana Franklin"/>
    <s v="Feminino"/>
    <x v="2"/>
    <x v="7"/>
    <s v="20103115 - Atividade Reflexa Cinesioterápica (R$ 20,81)"/>
    <s v="Fisioterapia"/>
    <n v="1704742038"/>
    <s v="Finalizado (3/5)"/>
    <n v="18.312799999999999"/>
    <n v="2.4971999999999999"/>
    <n v="20.81"/>
    <s v="Sessão Faturada"/>
    <n v="812980300922010"/>
    <n v="59437"/>
    <s v="Unidade Vieralves (ANEXO)"/>
    <n v="1704742038"/>
    <m/>
  </r>
  <r>
    <x v="13"/>
    <x v="41"/>
    <s v="Jacineide Garcia de Carvalho Neves"/>
    <m/>
    <x v="0"/>
    <x v="7"/>
    <s v="50000160 - Fisioterapia Ortopedica (R$ 49,72)"/>
    <s v="Fisioterapia"/>
    <s v="42263120260219312725"/>
    <s v="Finalizado (4/10)"/>
    <n v="43.753599999999999"/>
    <n v="5.9664000000000001"/>
    <n v="49.72"/>
    <s v="Sessão Faturada"/>
    <s v="010650432906"/>
    <n v="59393"/>
    <s v="Unidade Vieralves (ANEXO)"/>
    <s v="42263120260219312725"/>
    <m/>
  </r>
  <r>
    <x v="13"/>
    <x v="65"/>
    <s v="Jacineide Garcia de Carvalho Neves"/>
    <m/>
    <x v="0"/>
    <x v="7"/>
    <s v="31602185 - Estimulação Elétrica Transcutânea Fisioterapia (Novo - 01/12) (R$ 54,13)"/>
    <s v="Fisioterapia"/>
    <s v="42263120260219312753"/>
    <s v="Finalizado (4/10)"/>
    <n v="47.634399999999999"/>
    <n v="6.4955999999999996"/>
    <n v="54.13"/>
    <s v="Sessão Faturada"/>
    <s v="010650432906"/>
    <n v="59393"/>
    <s v="Unidade Vieralves (ANEXO)"/>
    <s v="42263120260219312753"/>
    <m/>
  </r>
  <r>
    <x v="13"/>
    <x v="36"/>
    <s v="Kleiton da Silva Romão"/>
    <s v="Masculino"/>
    <x v="2"/>
    <x v="7"/>
    <s v="50000144 - Avaliação de Fisioterapia (R$ 51,42)"/>
    <s v="Fisioterapia"/>
    <n v="1706171433"/>
    <s v="Finalizado (1/1)"/>
    <n v="46.277999999999999"/>
    <n v="5.1420000000000003"/>
    <n v="51.42"/>
    <s v="Sessão Faturada"/>
    <n v="610693570018000"/>
    <n v="59497"/>
    <s v="Unidade Vieralves (ANEXO)"/>
    <n v="1706171433"/>
    <m/>
  </r>
  <r>
    <x v="13"/>
    <x v="61"/>
    <s v="Kleiton da Silva Romão"/>
    <s v="Masculino"/>
    <x v="2"/>
    <x v="7"/>
    <s v="20103506 - Fisioterapia - Patologia Em Um Segmento da Coluna (R$ 12,22)"/>
    <s v="Fisioterapia"/>
    <n v="1706174329"/>
    <s v="Finalizado (1/2)"/>
    <n v="10.7536"/>
    <n v="1.4663999999999999"/>
    <n v="12.22"/>
    <s v="Sessão Faturada"/>
    <n v="610693570018000"/>
    <n v="59497"/>
    <s v="Unidade Vieralves (ANEXO)"/>
    <n v="1706174329"/>
    <m/>
  </r>
  <r>
    <x v="13"/>
    <x v="40"/>
    <s v="Maria Morgiana Gonçalves Costa Ausier"/>
    <s v="Feminino"/>
    <x v="2"/>
    <x v="7"/>
    <s v="20103492 - Fisioterapia - Patologia Em Dois Ou Mais Membros (R$ 14,83)"/>
    <s v="Fisioterapia"/>
    <n v="1706159360"/>
    <s v="Finalizado (1/5)"/>
    <n v="13.0504"/>
    <n v="1.7796000000000001"/>
    <n v="14.83"/>
    <s v="Sessão Faturada"/>
    <n v="774642010693010"/>
    <n v="9926"/>
    <s v="Unidade Vieralves (ANEXO)"/>
    <n v="1706159360"/>
    <m/>
  </r>
  <r>
    <x v="13"/>
    <x v="40"/>
    <s v="Andreya Fabiana Rodrigues Cavalcante"/>
    <s v="Feminino"/>
    <x v="2"/>
    <x v="7"/>
    <s v="20103484 - Fisioterapia - Patologia Em Um Membro (R$ 12,22)"/>
    <s v="Fisioterapia"/>
    <n v="1706210841"/>
    <s v="Finalizado (1/5)"/>
    <n v="10.7536"/>
    <n v="1.4663999999999999"/>
    <n v="12.22"/>
    <s v="Sessão Faturada"/>
    <n v="811494100019040"/>
    <n v="59418"/>
    <s v="Unidade Vieralves (ANEXO)"/>
    <n v="1706210841"/>
    <m/>
  </r>
  <r>
    <x v="13"/>
    <x v="45"/>
    <s v="Andreya Fabiana Rodrigues Cavalcante"/>
    <s v="Feminino"/>
    <x v="2"/>
    <x v="7"/>
    <s v="20103115 - Atividade Reflexa Cinesioterápica (R$ 20,81)"/>
    <s v="Fisioterapia"/>
    <n v="1706211649"/>
    <s v="Finalizado (1/4)"/>
    <n v="18.312799999999999"/>
    <n v="2.4971999999999999"/>
    <n v="20.81"/>
    <s v="Sessão Faturada"/>
    <n v="811494100019040"/>
    <n v="59418"/>
    <s v="Unidade Vieralves (ANEXO)"/>
    <n v="1706211649"/>
    <m/>
  </r>
  <r>
    <x v="13"/>
    <x v="45"/>
    <s v="Maria Morgiana Gonçalves Costa Ausier"/>
    <s v="Feminino"/>
    <x v="2"/>
    <x v="7"/>
    <s v="20103115 - Atividade Reflexa Cinesioterápica (R$ 20,81)"/>
    <s v="Fisioterapia"/>
    <n v="1706156028"/>
    <s v="Finalizado (1/3)"/>
    <n v="18.312799999999999"/>
    <n v="2.4971999999999999"/>
    <n v="20.81"/>
    <s v="Sessão Faturada"/>
    <n v="774642010693010"/>
    <n v="9926"/>
    <s v="Unidade Vieralves (ANEXO)"/>
    <n v="1706156028"/>
    <m/>
  </r>
  <r>
    <x v="13"/>
    <x v="35"/>
    <s v="Adriana Saboia Oviedo Molinari"/>
    <m/>
    <x v="1"/>
    <x v="7"/>
    <s v="50000160 - Fisioterapia Ortopédica (R$ 20,00), 98980327 - Taxa de Eletroterapia (Tens) (R$ 15,00)"/>
    <s v="Fisioterapia"/>
    <n v="8823875"/>
    <s v="Finalizado (7/10)"/>
    <n v="30.8"/>
    <n v="4.2"/>
    <n v="35"/>
    <s v="Sessão Faturada"/>
    <s v="0701010972150119"/>
    <n v="59006"/>
    <s v="Unidade Vieralves (ANEXO)"/>
    <n v="8823875"/>
    <m/>
  </r>
  <r>
    <x v="13"/>
    <x v="35"/>
    <s v="Barbara Barros Jacob"/>
    <s v="Feminino"/>
    <x v="1"/>
    <x v="7"/>
    <s v="50000160 - Fisioterapia Ortopédica (R$ 20,00), 98980327 - Taxa de Eletroterapia (Tens) (R$ 15,00)"/>
    <s v="Fisioterapia"/>
    <n v="8280735"/>
    <s v="Finalizado (5/10)"/>
    <n v="30.8"/>
    <n v="4.2"/>
    <n v="35"/>
    <s v="Sessão Faturada"/>
    <s v="0201013029220011"/>
    <n v="41008"/>
    <s v="Unidade Vieralves (ANEXO)"/>
    <n v="8280735"/>
    <m/>
  </r>
  <r>
    <x v="13"/>
    <x v="38"/>
    <s v="Rafaele Lima Melo"/>
    <s v="Feminino"/>
    <x v="1"/>
    <x v="7"/>
    <s v="50000144 - Consulta de Fisioterapia (R$ 16,00)"/>
    <s v="Fisioterapia"/>
    <n v="9129694"/>
    <s v="Finalizado (1/1)"/>
    <n v="14.4"/>
    <n v="1.6"/>
    <n v="16"/>
    <s v="Sessão Faturada"/>
    <s v="0901013958740470"/>
    <n v="59498"/>
    <s v="Unidade Vieralves (ANEXO)"/>
    <n v="9129694"/>
    <m/>
  </r>
  <r>
    <x v="13"/>
    <x v="38"/>
    <s v="Heloisa Helena Pinheiro Alves"/>
    <m/>
    <x v="1"/>
    <x v="7"/>
    <s v="50000160 - Fisioterapia Ortopédica (R$ 20,00), 98980327 - Taxa de Eletroterapia (Tens) (R$ 15,00)"/>
    <s v="Fisioterapia"/>
    <n v="8606899"/>
    <s v="Finalizado (7/10)"/>
    <n v="30.8"/>
    <n v="4.2"/>
    <n v="35"/>
    <s v="Sessão Faturada"/>
    <n v="1301013299930000"/>
    <n v="52771"/>
    <s v="Unidade Vieralves (ANEXO)"/>
    <n v="8606899"/>
    <s v="Guia assinada! 10/02"/>
  </r>
  <r>
    <x v="13"/>
    <x v="38"/>
    <s v="Rosana Silva dos Santos"/>
    <s v="Feminino"/>
    <x v="1"/>
    <x v="7"/>
    <s v="50000160 - Fisioterapia Ortopédica (R$ 20,00), 98980327 - Taxa de Eletroterapia (Tens) (R$ 15,00)"/>
    <s v="Fisioterapia"/>
    <n v="9036802"/>
    <s v="Finalizado (6/10)"/>
    <n v="30.8"/>
    <n v="4.2"/>
    <n v="35"/>
    <s v="Sessão Faturada"/>
    <n v="1101006073830400"/>
    <n v="58800"/>
    <s v="Unidade Vieralves (ANEXO)"/>
    <n v="9036802"/>
    <m/>
  </r>
  <r>
    <x v="13"/>
    <x v="38"/>
    <s v="Adriano Camacho Chaves"/>
    <s v="Masculino"/>
    <x v="19"/>
    <x v="7"/>
    <s v="20103484 - Patol. Em Um Membro - 17/03/2026 (R$ 55,79)"/>
    <s v="Fisioterapia"/>
    <n v="5814130"/>
    <s v="Finalizado (9/9)"/>
    <n v="49.095199999999998"/>
    <n v="6.6947999999999999"/>
    <n v="55.79"/>
    <s v="Sessão Faturada"/>
    <s v="0100010129000382"/>
    <n v="59112"/>
    <s v="Unidade Vieralves (ANEXO)"/>
    <n v="5814130"/>
    <m/>
  </r>
  <r>
    <x v="13"/>
    <x v="62"/>
    <s v="Adriano Camacho Chaves"/>
    <s v="Masculino"/>
    <x v="19"/>
    <x v="7"/>
    <s v="31602185 - Estimulação Elétrica Transcutanea (Tens) - 17/03/2026 (R$ 138,64)"/>
    <s v="Fisioterapia"/>
    <n v="5814150"/>
    <s v="Finalizado (9/9)"/>
    <n v="122.00320000000001"/>
    <n v="16.636800000000001"/>
    <n v="138.63999999999999"/>
    <s v="Sessão Faturada"/>
    <s v="0100010129000382"/>
    <n v="59112"/>
    <s v="Unidade Vieralves (ANEXO)"/>
    <n v="5814150"/>
    <m/>
  </r>
  <r>
    <x v="13"/>
    <x v="62"/>
    <s v="Rafaele Lima Melo"/>
    <s v="Feminino"/>
    <x v="1"/>
    <x v="7"/>
    <s v="50000160 - Fisioterapia Ortopédica (R$ 20,00), 98980327 - Taxa de Eletroterapia (Tens) (R$ 15,00)"/>
    <s v="Fisioterapia"/>
    <n v="9129842"/>
    <s v="Finalizado (1/8)"/>
    <n v="30.8"/>
    <n v="4.2"/>
    <n v="35"/>
    <s v="Sessão Faturada"/>
    <s v="0901013958740470"/>
    <n v="59498"/>
    <s v="Unidade Vieralves (ANEXO)"/>
    <n v="9129842"/>
    <m/>
  </r>
  <r>
    <x v="13"/>
    <x v="39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3/10)"/>
    <n v="30.8"/>
    <n v="4.2"/>
    <n v="35"/>
    <s v="Sessão Faturada"/>
    <s v="0903006735450160"/>
    <n v="58787"/>
    <s v="Unidade Vieralves (ANEXO)"/>
    <n v="9032635"/>
    <m/>
  </r>
  <r>
    <x v="13"/>
    <x v="43"/>
    <s v="Ediane da Silveira Vieira"/>
    <s v="Feminino"/>
    <x v="2"/>
    <x v="7"/>
    <s v="20103484 - Fisioterapia - Patologia Em Um Membro (R$ 12,22)"/>
    <s v="Fisioterapia"/>
    <n v="1705212855"/>
    <s v="Finalizado (3/5)"/>
    <n v="10.7536"/>
    <n v="1.4663999999999999"/>
    <n v="12.22"/>
    <s v="Sessão Faturada"/>
    <n v="775262001287000"/>
    <n v="17985"/>
    <s v="Unidade Vieralves (ANEXO)"/>
    <n v="1705212855"/>
    <m/>
  </r>
  <r>
    <x v="13"/>
    <x v="66"/>
    <s v="Ediane da Silveira Vieira"/>
    <s v="Feminino"/>
    <x v="2"/>
    <x v="7"/>
    <s v="20103115 - Atividade Reflexa Cinesioterápica (R$ 20,81)"/>
    <s v="Fisioterapia"/>
    <n v="1705213672"/>
    <s v="Finalizado (3/5)"/>
    <n v="18.312799999999999"/>
    <n v="2.4971999999999999"/>
    <n v="20.81"/>
    <s v="Sessão Faturada"/>
    <n v="775262001287000"/>
    <n v="17985"/>
    <s v="Unidade Vieralves (ANEXO)"/>
    <n v="1705213672"/>
    <m/>
  </r>
  <r>
    <x v="14"/>
    <x v="44"/>
    <s v="Raimundo Nonato de Souza Costa"/>
    <s v="Masculino"/>
    <x v="8"/>
    <x v="7"/>
    <s v="20103484 - Patologia Em Um Membro (R$ 12,22), 20103506 - Patologia Em Um Segmento Na Coluna (R$ 12,22)"/>
    <s v="Fisioterapia"/>
    <n v="1704624853"/>
    <s v="Finalizado (3/5)"/>
    <n v="21.507200000000001"/>
    <n v="2.9327999999999999"/>
    <n v="24.44"/>
    <s v="Sessão Faturada"/>
    <n v="954580018660010"/>
    <n v="56580"/>
    <s v="Unidade Vieralves (ANEXO)"/>
    <n v="1704624853"/>
    <m/>
  </r>
  <r>
    <x v="14"/>
    <x v="44"/>
    <s v="Alice Viana Franklin"/>
    <s v="Feminino"/>
    <x v="2"/>
    <x v="7"/>
    <s v="20103514 - Fisioterapia - Patologia Em Diferentes Segmentos da Coluna (R$ 14,83)"/>
    <s v="Fisioterapia"/>
    <n v="1704740997"/>
    <s v="Finalizado (4/5)"/>
    <n v="13.0504"/>
    <n v="1.7796000000000001"/>
    <n v="14.83"/>
    <s v="Sessão Faturada"/>
    <n v="812980300922010"/>
    <n v="59437"/>
    <s v="Unidade Vieralves (ANEXO)"/>
    <n v="1704740997"/>
    <m/>
  </r>
  <r>
    <x v="14"/>
    <x v="60"/>
    <s v="Raimundo Nonato de Souza Costa"/>
    <s v="Masculino"/>
    <x v="8"/>
    <x v="7"/>
    <s v="20103115 - Atividade Reflexa Cinesioterápica (R$ 20,81)"/>
    <s v="Fisioterapia"/>
    <n v="1704626185"/>
    <s v="Finalizado (3/5)"/>
    <n v="18.312799999999999"/>
    <n v="2.4971999999999999"/>
    <n v="20.81"/>
    <s v="Sessão Faturada"/>
    <n v="954580018660010"/>
    <n v="56580"/>
    <s v="Unidade Vieralves (ANEXO)"/>
    <n v="1704626185"/>
    <m/>
  </r>
  <r>
    <x v="14"/>
    <x v="60"/>
    <s v="Alice Viana Franklin"/>
    <s v="Feminino"/>
    <x v="2"/>
    <x v="7"/>
    <s v="20103115 - Atividade Reflexa Cinesioterápica (R$ 20,81)"/>
    <s v="Fisioterapia"/>
    <n v="1704742038"/>
    <s v="Finalizado (4/5)"/>
    <n v="18.312799999999999"/>
    <n v="2.4971999999999999"/>
    <n v="20.81"/>
    <s v="Sessão Faturada"/>
    <n v="812980300922010"/>
    <n v="59437"/>
    <s v="Unidade Vieralves (ANEXO)"/>
    <n v="1704742038"/>
    <m/>
  </r>
  <r>
    <x v="14"/>
    <x v="41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4/9)"/>
    <n v="30.8"/>
    <n v="4.2"/>
    <n v="35"/>
    <s v="Sessão Faturada"/>
    <s v="0901013218730128"/>
    <n v="59450"/>
    <s v="Unidade Vieralves (ANEXO)"/>
    <n v="9025442"/>
    <m/>
  </r>
  <r>
    <x v="14"/>
    <x v="41"/>
    <s v="Stela Fortes da Silva"/>
    <s v="Feminino"/>
    <x v="1"/>
    <x v="7"/>
    <s v="50000160 - Fisioterapia Ortopédica (R$ 20,00), 98980327 - Taxa de Eletroterapia (Tens) (R$ 15,00)"/>
    <s v="Fisioterapia"/>
    <n v="9109099"/>
    <s v="Finalizado (2/9)"/>
    <n v="30.8"/>
    <n v="4.2"/>
    <n v="35"/>
    <s v="Sessão Faturada"/>
    <n v="1901013467060100"/>
    <n v="21179"/>
    <s v="Unidade Vieralves (ANEXO)"/>
    <n v="9109099"/>
    <m/>
  </r>
  <r>
    <x v="14"/>
    <x v="36"/>
    <s v="Kleiton da Silva Romão"/>
    <s v="Masculino"/>
    <x v="2"/>
    <x v="7"/>
    <s v="20103506 - Fisioterapia - Patologia Em Um Segmento da Coluna (R$ 12,22)"/>
    <s v="Fisioterapia"/>
    <n v="1706174329"/>
    <s v="Finalizado (2/2)"/>
    <n v="10.7536"/>
    <n v="1.4663999999999999"/>
    <n v="12.22"/>
    <s v="Sessão Faturada"/>
    <n v="610693570018000"/>
    <n v="59497"/>
    <s v="Unidade Vieralves (ANEXO)"/>
    <n v="1706174329"/>
    <m/>
  </r>
  <r>
    <x v="14"/>
    <x v="36"/>
    <s v="Rafaele Lima Melo"/>
    <s v="Feminino"/>
    <x v="1"/>
    <x v="7"/>
    <s v="50000160 - Fisioterapia Ortopédica (R$ 20,00), 98980327 - Taxa de Eletroterapia (Tens) (R$ 15,00)"/>
    <s v="Fisioterapia"/>
    <n v="9129842"/>
    <s v="Finalizado (2/8)"/>
    <n v="30.8"/>
    <n v="4.2"/>
    <n v="35"/>
    <s v="Sessão Faturada"/>
    <s v="0901013958740470"/>
    <n v="59498"/>
    <s v="Unidade Vieralves (ANEXO)"/>
    <n v="9129842"/>
    <m/>
  </r>
  <r>
    <x v="14"/>
    <x v="36"/>
    <s v="Claudia Ferreira de Souza Cutar"/>
    <s v="Feminino"/>
    <x v="6"/>
    <x v="7"/>
    <s v="50000144 - Avaliação de Fisioterapia (R$ 56,52)"/>
    <s v="Fisioterapia"/>
    <n v="7700047086"/>
    <s v="Finalizado (1/1)"/>
    <n v="50.868000000000002"/>
    <n v="5.6520000000000001"/>
    <n v="56.52"/>
    <s v="Sessão Faturada"/>
    <s v="54588888010050710012"/>
    <n v="9658"/>
    <s v="Unidade Vieralves (ANEXO)"/>
    <n v="7700047086"/>
    <m/>
  </r>
  <r>
    <x v="14"/>
    <x v="36"/>
    <s v="Ingrid Roseane Magno Viana"/>
    <s v="Feminino"/>
    <x v="8"/>
    <x v="7"/>
    <s v="20103484 - Patologia Em Um Membro (R$ 12,22)"/>
    <s v="Fisioterapia"/>
    <n v="1702621930"/>
    <s v="Finalizado (5/5)"/>
    <n v="10.7536"/>
    <n v="1.4663999999999999"/>
    <n v="12.22"/>
    <s v="Sessão Faturada"/>
    <n v="954440006904010"/>
    <n v="58326"/>
    <s v="Unidade Vieralves (ANEXO)"/>
    <n v="1702621930"/>
    <m/>
  </r>
  <r>
    <x v="14"/>
    <x v="57"/>
    <s v="Claudia Ferreira de Souza Cutar"/>
    <s v="Feminino"/>
    <x v="6"/>
    <x v="7"/>
    <s v="20103484 - Patologia Em Um Membro (R$ 14,16), 20103506 - Patologia Em Um Segmento da Coluna (R$ 14,16)"/>
    <s v="Fisioterapia"/>
    <n v="170418"/>
    <s v="Finalizado (1/5)"/>
    <n v="24.921600000000002"/>
    <n v="3.3984000000000001"/>
    <n v="28.32"/>
    <s v="Sessão a Faturar"/>
    <s v="54588888010050710012"/>
    <n v="9658"/>
    <s v="Unidade Vieralves (ANEXO)"/>
    <n v="170418"/>
    <m/>
  </r>
  <r>
    <x v="14"/>
    <x v="61"/>
    <s v="Ingrid Roseane Magno Viana"/>
    <s v="Feminino"/>
    <x v="8"/>
    <x v="7"/>
    <s v="20103115 - Atividade Reflexa Cinesioterápica (R$ 20,81)"/>
    <s v="Fisioterapia"/>
    <n v="1702623232"/>
    <s v="Finalizado (5/5)"/>
    <n v="18.312799999999999"/>
    <n v="2.4971999999999999"/>
    <n v="20.81"/>
    <s v="Sessão Faturada"/>
    <n v="954440006904010"/>
    <n v="58326"/>
    <s v="Unidade Vieralves (ANEXO)"/>
    <n v="1702623232"/>
    <m/>
  </r>
  <r>
    <x v="14"/>
    <x v="67"/>
    <s v="Claudia Ferreira de Souza Cutar"/>
    <s v="Feminino"/>
    <x v="6"/>
    <x v="7"/>
    <s v="31602185 - Estimulação Elétrica Transcutanea (Tens) (R$ 40,00)"/>
    <s v="Fisioterapia"/>
    <n v="170419"/>
    <s v="Finalizado (1/5)"/>
    <n v="35.200000000000003"/>
    <n v="4.8"/>
    <n v="40"/>
    <s v="Sessão a Faturar"/>
    <s v="54588888010050710012"/>
    <n v="9658"/>
    <s v="Unidade Vieralves (ANEXO)"/>
    <n v="170419"/>
    <m/>
  </r>
  <r>
    <x v="14"/>
    <x v="40"/>
    <s v="Andreya Fabiana Rodrigues Cavalcante"/>
    <s v="Feminino"/>
    <x v="2"/>
    <x v="7"/>
    <s v="20103484 - Fisioterapia - Patologia Em Um Membro (R$ 12,22)"/>
    <s v="Fisioterapia"/>
    <n v="1706210841"/>
    <s v="Finalizado (2/5)"/>
    <n v="10.7536"/>
    <n v="1.4663999999999999"/>
    <n v="12.22"/>
    <s v="Sessão Faturada"/>
    <n v="811494100019040"/>
    <n v="59418"/>
    <s v="Unidade Vieralves (ANEXO)"/>
    <n v="1706210841"/>
    <m/>
  </r>
  <r>
    <x v="14"/>
    <x v="40"/>
    <s v="Gabriel Toledano Feitosa"/>
    <s v="Masculino"/>
    <x v="1"/>
    <x v="7"/>
    <s v="50000160 - Fisioterapia Ortopédica (R$ 20,00), 98980327 - Taxa de Eletroterapia (Tens) (R$ 15,00)"/>
    <s v="Fisioterapia"/>
    <n v="9100774"/>
    <s v="Finalizado (3/10)"/>
    <n v="30.8"/>
    <n v="4.2"/>
    <n v="35"/>
    <s v="Sessão Faturada"/>
    <n v="2001013187450100"/>
    <n v="59108"/>
    <s v="Unidade Vieralves (ANEXO)"/>
    <n v="9100774"/>
    <m/>
  </r>
  <r>
    <x v="14"/>
    <x v="40"/>
    <s v="Jackeline de Oliveira"/>
    <s v="Feminino"/>
    <x v="2"/>
    <x v="7"/>
    <s v="20103514 - Fisioterapia - Patologia Em Diferentes Segmentos da Coluna (R$ 14,83)"/>
    <s v="Fisioterapia"/>
    <n v="1702914060"/>
    <s v="Finalizado (4/5)"/>
    <n v="13.0504"/>
    <n v="1.7796000000000001"/>
    <n v="14.83"/>
    <s v="Sessão Faturada"/>
    <n v="895789500019010"/>
    <n v="3659"/>
    <s v="Unidade Vieralves (ANEXO)"/>
    <n v="1702914060"/>
    <m/>
  </r>
  <r>
    <x v="14"/>
    <x v="45"/>
    <s v="Jackeline de Oliveira"/>
    <s v="Feminino"/>
    <x v="2"/>
    <x v="7"/>
    <s v="20103115 - Atividade Reflexa Cinesioterápica (R$ 20,81)"/>
    <s v="Fisioterapia"/>
    <n v="1702915214"/>
    <s v="Finalizado (4/5)"/>
    <n v="18.312799999999999"/>
    <n v="2.4971999999999999"/>
    <n v="20.81"/>
    <s v="Sessão Faturada"/>
    <n v="895789500019010"/>
    <n v="3659"/>
    <s v="Unidade Vieralves (ANEXO)"/>
    <n v="1702915214"/>
    <m/>
  </r>
  <r>
    <x v="14"/>
    <x v="45"/>
    <s v="Andreya Fabiana Rodrigues Cavalcante"/>
    <s v="Feminino"/>
    <x v="2"/>
    <x v="7"/>
    <s v="20103115 - Atividade Reflexa Cinesioterápica (R$ 20,81)"/>
    <s v="Fisioterapia"/>
    <n v="1706211649"/>
    <s v="Finalizado (2/4)"/>
    <n v="18.312799999999999"/>
    <n v="2.4971999999999999"/>
    <n v="20.81"/>
    <s v="Sessão Faturada"/>
    <n v="811494100019040"/>
    <n v="59418"/>
    <s v="Unidade Vieralves (ANEXO)"/>
    <n v="1706211649"/>
    <m/>
  </r>
  <r>
    <x v="14"/>
    <x v="38"/>
    <s v="Simone Batista Ferreira"/>
    <s v="Feminino"/>
    <x v="2"/>
    <x v="7"/>
    <s v="50000144 - Avaliação de Fisioterapia (R$ 51,42)"/>
    <s v="Fisioterapia"/>
    <n v="1706779622"/>
    <s v="Finalizado (1/1)"/>
    <n v="46.277999999999999"/>
    <n v="5.1420000000000003"/>
    <n v="51.42"/>
    <s v="Sessão Faturada"/>
    <n v="775494004987010"/>
    <n v="39292"/>
    <s v="Unidade Vieralves (ANEXO)"/>
    <n v="1706779622"/>
    <m/>
  </r>
  <r>
    <x v="14"/>
    <x v="68"/>
    <s v="Simone Batista Ferreira"/>
    <s v="Feminino"/>
    <x v="2"/>
    <x v="7"/>
    <s v="20103484 - Fisioterapia - Patologia Em Um Membro (R$ 12,22)"/>
    <s v="Fisioterapia"/>
    <n v="1706781175"/>
    <s v="Finalizado (1/4)"/>
    <n v="10.7536"/>
    <n v="1.4663999999999999"/>
    <n v="12.22"/>
    <s v="Sessão Faturada"/>
    <n v="775494004987010"/>
    <n v="39292"/>
    <s v="Unidade Vieralves (ANEXO)"/>
    <n v="1706781175"/>
    <m/>
  </r>
  <r>
    <x v="14"/>
    <x v="69"/>
    <s v="Simone Batista Ferreira"/>
    <s v="Feminino"/>
    <x v="2"/>
    <x v="7"/>
    <s v="20103115 - Atividade Reflexa Cinesioterápica (R$ 20,81)"/>
    <s v="Fisioterapia"/>
    <n v="1706782040"/>
    <s v="Finalizado (1/3)"/>
    <n v="18.312799999999999"/>
    <n v="2.4971999999999999"/>
    <n v="20.81"/>
    <s v="Sessão Faturada"/>
    <n v="775494004987010"/>
    <n v="39292"/>
    <s v="Unidade Vieralves (ANEXO)"/>
    <n v="1706782040"/>
    <m/>
  </r>
  <r>
    <x v="14"/>
    <x v="37"/>
    <s v="Larissa Castro Barbosa"/>
    <s v="Feminino"/>
    <x v="1"/>
    <x v="7"/>
    <s v="50000160 - Fisioterapia Ortopédica (R$ 20,00), 98980327 - Taxa de Eletroterapia (Tens) (R$ 15,00)"/>
    <s v="Fisioterapia"/>
    <n v="9107766"/>
    <s v="Finalizado (3/10)"/>
    <n v="30.8"/>
    <n v="4.2"/>
    <n v="35"/>
    <s v="Sessão Faturada"/>
    <s v="0901010162540294"/>
    <n v="53890"/>
    <s v="Unidade Vieralves (ANEXO)"/>
    <n v="9107766"/>
    <m/>
  </r>
  <r>
    <x v="14"/>
    <x v="39"/>
    <s v="Irleda de Carvalho Leal Nobre Leao"/>
    <s v="Feminino"/>
    <x v="1"/>
    <x v="7"/>
    <s v="50000160 - Fisioterapia Ortopédica (R$ 20,00), 98980327 - Taxa de Eletroterapia (Tens) (R$ 15,00)"/>
    <s v="Fisioterapia"/>
    <n v="9032635"/>
    <s v="Não compareceu (4/10)"/>
    <n v="35"/>
    <n v="0"/>
    <n v="35"/>
    <s v="Sessão Faturada"/>
    <s v="0903006735450160"/>
    <n v="58787"/>
    <s v="Unidade Vieralves (ANEXO)"/>
    <n v="9032635"/>
    <m/>
  </r>
  <r>
    <x v="14"/>
    <x v="39"/>
    <s v="Albejamere Pereira de Castro"/>
    <s v="Feminino"/>
    <x v="1"/>
    <x v="7"/>
    <s v="50000144 - Consulta de Fisioterapia (R$ 16,00)"/>
    <s v="Fisioterapia"/>
    <n v="9158157"/>
    <s v="Finalizado (1/1)"/>
    <n v="14.4"/>
    <n v="1.6"/>
    <n v="16"/>
    <s v="Sessão Faturada"/>
    <n v="1901010162540100"/>
    <n v="53882"/>
    <s v="Unidade Vieralves (ANEXO)"/>
    <n v="9158157"/>
    <m/>
  </r>
  <r>
    <x v="14"/>
    <x v="39"/>
    <s v="Marivaldo Porto Sampaio"/>
    <s v="Masculino"/>
    <x v="6"/>
    <x v="7"/>
    <s v="31602185 - Estimulação Elétrica Transcutanea (Tens) (R$ 40,00)"/>
    <s v="Fisioterapia"/>
    <n v="169295"/>
    <s v="Finalizado (4/4)"/>
    <n v="35.200000000000003"/>
    <n v="4.8"/>
    <n v="40"/>
    <s v="Sessão a Faturar"/>
    <s v="55788888477338620027"/>
    <n v="50333"/>
    <s v="Unidade Vieralves (ANEXO)"/>
    <n v="169295"/>
    <m/>
  </r>
  <r>
    <x v="14"/>
    <x v="39"/>
    <s v="Cristiane Gomes Barcelar Gonçalves"/>
    <s v="Feminino"/>
    <x v="0"/>
    <x v="7"/>
    <s v="50000160 - Fisioterapia Ortopedica (R$ 49,72)"/>
    <s v="Fisioterapia"/>
    <s v="42263120260305415598"/>
    <s v="Finalizado (1/10)"/>
    <n v="43.753599999999999"/>
    <n v="5.9664000000000001"/>
    <n v="49.72"/>
    <s v="Sessão a Faturar"/>
    <s v="010033652753"/>
    <n v="27217"/>
    <s v="Unidade Vieralves (ANEXO)"/>
    <s v="42263120260305415598"/>
    <m/>
  </r>
  <r>
    <x v="14"/>
    <x v="39"/>
    <s v="Cristiane Gomes Barcelar Gonçalves"/>
    <s v="Feminino"/>
    <x v="0"/>
    <x v="7"/>
    <s v="31602185 - Estimulação Elétrica Transcutânea Fisioterapia (Novo - 01/12) (R$ 54,13)"/>
    <s v="Fisioterapia"/>
    <s v="42263120260305415649"/>
    <s v="Finalizado (1/10)"/>
    <n v="47.634399999999999"/>
    <n v="6.4955999999999996"/>
    <n v="54.13"/>
    <s v="Sessão a Faturar"/>
    <s v="010033652753"/>
    <n v="27217"/>
    <s v="Unidade Vieralves (ANEXO)"/>
    <s v="42263120260305415649"/>
    <m/>
  </r>
  <r>
    <x v="14"/>
    <x v="64"/>
    <s v="Albejamere Pereira de Castro"/>
    <s v="Feminino"/>
    <x v="1"/>
    <x v="7"/>
    <s v="50000160 - Fisioterapia Ortopédica (R$ 20,00), 98980327 - Taxa de Eletroterapia (Tens) (R$ 15,00)"/>
    <s v="Fisioterapia"/>
    <n v="9158214"/>
    <s v="Finalizado (1/10)"/>
    <n v="30.8"/>
    <n v="4.2"/>
    <n v="35"/>
    <s v="Sessão Faturada"/>
    <n v="1901010162540100"/>
    <n v="53882"/>
    <s v="Unidade Vieralves (ANEXO)"/>
    <n v="9158214"/>
    <m/>
  </r>
  <r>
    <x v="14"/>
    <x v="43"/>
    <s v="Ediane da Silveira Vieira"/>
    <s v="Feminino"/>
    <x v="2"/>
    <x v="7"/>
    <s v="20103484 - Fisioterapia - Patologia Em Um Membro (R$ 12,22)"/>
    <s v="Fisioterapia"/>
    <n v="1705212855"/>
    <s v="Finalizado (4/5)"/>
    <n v="10.7536"/>
    <n v="1.4663999999999999"/>
    <n v="12.22"/>
    <s v="Sessão Faturada"/>
    <n v="775262001287000"/>
    <n v="17985"/>
    <s v="Unidade Vieralves (ANEXO)"/>
    <n v="1705212855"/>
    <m/>
  </r>
  <r>
    <x v="14"/>
    <x v="66"/>
    <s v="Ediane da Silveira Vieira"/>
    <s v="Feminino"/>
    <x v="2"/>
    <x v="7"/>
    <s v="20103115 - Atividade Reflexa Cinesioterápica (R$ 20,81)"/>
    <s v="Fisioterapia"/>
    <n v="1705213672"/>
    <s v="Finalizado (4/5)"/>
    <n v="18.312799999999999"/>
    <n v="2.4971999999999999"/>
    <n v="20.81"/>
    <s v="Sessão Faturada"/>
    <n v="775262001287000"/>
    <n v="17985"/>
    <s v="Unidade Vieralves (ANEXO)"/>
    <n v="1705213672"/>
    <m/>
  </r>
  <r>
    <x v="14"/>
    <x v="22"/>
    <s v="Tiago Godoy Lopes"/>
    <s v="Masculino"/>
    <x v="2"/>
    <x v="7"/>
    <s v="20103484 - Fisioterapia - Patologia Em Um Membro (R$ 12,22)"/>
    <s v="Fisioterapia"/>
    <n v="1702819658"/>
    <s v="Finalizado (5/5)"/>
    <n v="10.7536"/>
    <n v="1.4663999999999999"/>
    <n v="12.22"/>
    <s v="Sessão Faturada"/>
    <n v="611265590001020"/>
    <n v="58056"/>
    <s v="Unidade Vieralves (ANEXO)"/>
    <n v="1702819658"/>
    <m/>
  </r>
  <r>
    <x v="14"/>
    <x v="22"/>
    <s v="Alziane Lima da Silva"/>
    <s v="Feminino"/>
    <x v="1"/>
    <x v="7"/>
    <s v="50000160 - Fisioterapia Ortopédica (R$ 20,00), 98980327 - Taxa de Eletroterapia (Tens) (R$ 15,00)"/>
    <s v="Fisioterapia"/>
    <n v="8868917"/>
    <s v="Finalizado (9/10)"/>
    <n v="30.8"/>
    <n v="4.2"/>
    <n v="35"/>
    <s v="Sessão Faturada"/>
    <s v="0901012961870097"/>
    <n v="57558"/>
    <s v="Unidade Vieralves (ANEXO)"/>
    <n v="8868917"/>
    <m/>
  </r>
  <r>
    <x v="14"/>
    <x v="22"/>
    <s v="Ricardo Takashi Yamashita"/>
    <s v="Masculino"/>
    <x v="2"/>
    <x v="7"/>
    <s v="20103506 - Fisioterapia - Patologia Em Um Segmento da Coluna (R$ 12,22)"/>
    <s v="Fisioterapia"/>
    <n v="1704848270"/>
    <s v="Finalizado (4/5)"/>
    <n v="10.7536"/>
    <n v="1.4663999999999999"/>
    <n v="12.22"/>
    <s v="Sessão Faturada"/>
    <n v="891007000019000"/>
    <n v="52119"/>
    <s v="Unidade Vieralves (ANEXO)"/>
    <n v="1704848270"/>
    <m/>
  </r>
  <r>
    <x v="14"/>
    <x v="23"/>
    <s v="Tiago Godoy Lopes"/>
    <s v="Masculino"/>
    <x v="2"/>
    <x v="7"/>
    <s v="20103115 - Atividade Reflexa Cinesioterápica (R$ 20,81)"/>
    <s v="Fisioterapia"/>
    <n v="1702821160"/>
    <s v="Finalizado (5/5)"/>
    <n v="18.312799999999999"/>
    <n v="2.4971999999999999"/>
    <n v="20.81"/>
    <s v="Sessão Faturada"/>
    <n v="611265590001020"/>
    <n v="58056"/>
    <s v="Unidade Vieralves (ANEXO)"/>
    <n v="1702821160"/>
    <m/>
  </r>
  <r>
    <x v="14"/>
    <x v="23"/>
    <s v="Ricardo Takashi Yamashita"/>
    <s v="Masculino"/>
    <x v="2"/>
    <x v="7"/>
    <s v="20103115 - Atividade Reflexa Cinesioterápica (R$ 20,81)"/>
    <s v="Fisioterapia"/>
    <n v="1704848829"/>
    <s v="Finalizado (4/5)"/>
    <n v="18.312799999999999"/>
    <n v="2.4971999999999999"/>
    <n v="20.81"/>
    <s v="Sessão Faturada"/>
    <n v="891007000019000"/>
    <n v="52119"/>
    <s v="Unidade Vieralves (ANEXO)"/>
    <n v="1704848829"/>
    <m/>
  </r>
  <r>
    <x v="14"/>
    <x v="0"/>
    <s v="Jose Mario Chaves Gomes de Oliveira"/>
    <s v="Masculino"/>
    <x v="11"/>
    <x v="7"/>
    <s v="20103484 - Fisioterapia - Patologia Em Um Membro (R$ 80,33), 20103514 - Fisioterapia-Patologia Osteomioarticular Em  Diferentes Segmentos da Coluna. (R$ 118,44)"/>
    <s v="Fisioterapia"/>
    <n v="2631"/>
    <s v="Finalizado (6/10)"/>
    <n v="174.91759999999999"/>
    <n v="23.852399999999999"/>
    <n v="198.77"/>
    <s v="Sessão a Faturar"/>
    <n v="2301648"/>
    <n v="7982"/>
    <s v="Unidade Vieralves (ANEXO)"/>
    <n v="2631"/>
    <m/>
  </r>
  <r>
    <x v="14"/>
    <x v="0"/>
    <s v="Erika da Silva Guedes"/>
    <s v="Feminino"/>
    <x v="6"/>
    <x v="7"/>
    <s v="20103492 - Patologia Em Dois Ou Mais Membros (R$ 30,26)"/>
    <s v="Fisioterapia"/>
    <n v="170311"/>
    <s v="Finalizado (2/5)"/>
    <n v="26.628799999999998"/>
    <n v="3.6312000000000002"/>
    <n v="30.26"/>
    <s v="Sessão a Faturar"/>
    <s v="58200789998086170014"/>
    <n v="59434"/>
    <s v="Unidade Vieralves (ANEXO)"/>
    <n v="170311"/>
    <m/>
  </r>
  <r>
    <x v="14"/>
    <x v="0"/>
    <s v="Marcia Helena Cruz Figueira"/>
    <s v="Feminino"/>
    <x v="2"/>
    <x v="7"/>
    <s v="20103484 - Fisioterapia - Patologia Em Um Membro (R$ 12,22)"/>
    <s v="Fisioterapia"/>
    <n v="1703459943"/>
    <s v="Finalizado (2/2)"/>
    <n v="10.7536"/>
    <n v="1.4663999999999999"/>
    <n v="12.22"/>
    <s v="Sessão Faturada"/>
    <n v="610399500002010"/>
    <n v="59420"/>
    <s v="Unidade Vieralves (ANEXO)"/>
    <n v="1703459943"/>
    <m/>
  </r>
  <r>
    <x v="14"/>
    <x v="1"/>
    <s v="Erika da Silva Guedes"/>
    <s v="Feminino"/>
    <x v="6"/>
    <x v="7"/>
    <s v="31602185 - Estimulação Elétrica Transcutanea (Tens) (R$ 40,00)"/>
    <s v="Fisioterapia"/>
    <n v="170493"/>
    <s v="Finalizado (1/4)"/>
    <n v="35.200000000000003"/>
    <n v="4.8"/>
    <n v="40"/>
    <s v="Sessão a Faturar"/>
    <s v="58200789998086170014"/>
    <n v="59434"/>
    <s v="Unidade Vieralves (ANEXO)"/>
    <n v="170493"/>
    <m/>
  </r>
  <r>
    <x v="14"/>
    <x v="2"/>
    <s v="Sonia Pereira de Oliveira"/>
    <s v="Feminino"/>
    <x v="26"/>
    <x v="7"/>
    <s v="20103492 - Fisioterapia - Patologia Em Dois Ou Mais Membros (R$ 23,85)"/>
    <s v="Fisioterapia"/>
    <n v="275539188"/>
    <s v="Finalizado (2/10)"/>
    <n v="20.988"/>
    <n v="2.8620000000000001"/>
    <n v="23.85"/>
    <s v="Sessão Faturada"/>
    <s v="TWXUA000427004"/>
    <n v="59313"/>
    <s v="Unidade Vieralves (ANEXO)"/>
    <n v="275539188"/>
    <s v="Guia assinada!"/>
  </r>
  <r>
    <x v="14"/>
    <x v="2"/>
    <s v="Rui Jorge Rodrigues Fialho"/>
    <s v="Masculino"/>
    <x v="2"/>
    <x v="7"/>
    <s v="20103506 - Fisioterapia - Patologia Em Um Segmento da Coluna (R$ 12,22)"/>
    <s v="Fisioterapia"/>
    <n v="1705830636"/>
    <s v="Finalizado (2/5)"/>
    <n v="10.7536"/>
    <n v="1.4663999999999999"/>
    <n v="12.22"/>
    <s v="Sessão Faturada"/>
    <n v="771015043265010"/>
    <n v="35722"/>
    <s v="Unidade Vieralves (ANEXO)"/>
    <n v="1705830636"/>
    <m/>
  </r>
  <r>
    <x v="14"/>
    <x v="2"/>
    <s v="Sophia Rodrigues Dias Leão"/>
    <s v="Feminino"/>
    <x v="6"/>
    <x v="7"/>
    <s v="20103514 - Patologia Em Dois Ou Mais Segmentos da Coluna (R$ 32,82)"/>
    <s v="Fisioterapia"/>
    <n v="169728"/>
    <s v="Finalizado (4/4)"/>
    <n v="28.881599999999999"/>
    <n v="3.9384000000000001"/>
    <n v="32.82"/>
    <s v="Sessão a Faturar"/>
    <s v="59200277003273040105"/>
    <n v="10002"/>
    <s v="Unidade Vieralves (ANEXO)"/>
    <n v="169728"/>
    <m/>
  </r>
  <r>
    <x v="14"/>
    <x v="3"/>
    <s v="Sophia Rodrigues Dias Leão"/>
    <s v="Feminino"/>
    <x v="6"/>
    <x v="7"/>
    <s v="31602185 - Estimulação Elétrica Transcutanea (Tens) (R$ 40,00)"/>
    <s v="Fisioterapia"/>
    <n v="169729"/>
    <s v="Finalizado (4/4)"/>
    <n v="35.200000000000003"/>
    <n v="4.8"/>
    <n v="40"/>
    <s v="Sessão a Faturar"/>
    <s v="59200277003273040105"/>
    <n v="10002"/>
    <s v="Unidade Vieralves (ANEXO)"/>
    <n v="169729"/>
    <m/>
  </r>
  <r>
    <x v="14"/>
    <x v="3"/>
    <s v="Rui Jorge Rodrigues Fialho"/>
    <s v="Masculino"/>
    <x v="2"/>
    <x v="7"/>
    <s v="20103115 - Atividade Reflexa Cinesioterápica (R$ 20,81)"/>
    <s v="Fisioterapia"/>
    <n v="1705831877"/>
    <s v="Finalizado (2/3)"/>
    <n v="18.312799999999999"/>
    <n v="2.4971999999999999"/>
    <n v="20.81"/>
    <s v="Sessão Faturada"/>
    <n v="771015043265010"/>
    <n v="35722"/>
    <s v="Unidade Vieralves (ANEXO)"/>
    <n v="1705831877"/>
    <m/>
  </r>
  <r>
    <x v="14"/>
    <x v="4"/>
    <s v="Paulo André Assis de Moura"/>
    <s v="Masculino"/>
    <x v="6"/>
    <x v="7"/>
    <s v="31602185 - Estimulação Elétrica Transcutanea (Tens) (R$ 40,00)"/>
    <s v="Fisioterapia"/>
    <n v="169856"/>
    <s v="Finalizado (3/5)"/>
    <n v="35.200000000000003"/>
    <n v="4.8"/>
    <n v="40"/>
    <s v="Sessão a Faturar"/>
    <s v="54588888488043100010"/>
    <n v="59356"/>
    <s v="Unidade Vieralves (ANEXO)"/>
    <n v="169856"/>
    <m/>
  </r>
  <r>
    <x v="14"/>
    <x v="4"/>
    <s v="Paulo André Assis de Moura"/>
    <s v="Masculino"/>
    <x v="6"/>
    <x v="7"/>
    <s v="20103484 - Patologia Em Um Membro (R$ 14,16)"/>
    <s v="Fisioterapia"/>
    <n v="169855"/>
    <s v="Finalizado (5/5)"/>
    <n v="12.460800000000001"/>
    <n v="1.6992"/>
    <n v="14.16"/>
    <s v="Sessão a Faturar"/>
    <s v="54588888488043100010"/>
    <n v="59356"/>
    <s v="Unidade Vieralves (ANEXO)"/>
    <n v="169855"/>
    <m/>
  </r>
  <r>
    <x v="14"/>
    <x v="4"/>
    <s v="Bruno Marques da Silva"/>
    <s v="Masculino"/>
    <x v="6"/>
    <x v="7"/>
    <s v="50000144 - Avaliação de Fisioterapia (R$ 56,52)"/>
    <s v="Fisioterapia"/>
    <n v="7700047094"/>
    <s v="Finalizado (1/1)"/>
    <n v="50.868000000000002"/>
    <n v="5.6520000000000001"/>
    <n v="56.52"/>
    <s v="Sessão Faturada"/>
    <s v="51588888485478760019"/>
    <n v="59478"/>
    <s v="Unidade Vieralves (ANEXO)"/>
    <n v="7700047094"/>
    <m/>
  </r>
  <r>
    <x v="14"/>
    <x v="4"/>
    <s v="Edivaldo Soares de Brito"/>
    <s v="Masculino"/>
    <x v="1"/>
    <x v="7"/>
    <s v="50000160 - Fisioterapia Ortopédica (R$ 20,00), 98980327 - Taxa de Eletroterapia (Tens) (R$ 15,00)"/>
    <s v="Fisioterapia"/>
    <n v="9141416"/>
    <s v="Finalizado (2/5)"/>
    <n v="30.8"/>
    <n v="4.2"/>
    <n v="35"/>
    <s v="Sessão Faturada"/>
    <s v="0901012950880070"/>
    <n v="57955"/>
    <s v="Unidade Vieralves (ANEXO)"/>
    <n v="9141416"/>
    <m/>
  </r>
  <r>
    <x v="14"/>
    <x v="29"/>
    <s v="Bruno Marques da Silva"/>
    <s v="Masculino"/>
    <x v="6"/>
    <x v="7"/>
    <s v="20103506 - Patologia Em Um Segmento da Coluna (R$ 14,16)"/>
    <s v="Fisioterapia"/>
    <n v="170504"/>
    <s v="Finalizado (1/4)"/>
    <n v="12.460800000000001"/>
    <n v="1.6992"/>
    <n v="14.16"/>
    <s v="Sessão a Faturar"/>
    <s v="51588888485478760019"/>
    <n v="59478"/>
    <s v="Unidade Vieralves (ANEXO)"/>
    <n v="170504"/>
    <m/>
  </r>
  <r>
    <x v="14"/>
    <x v="5"/>
    <s v="Conceição Andrade Viana"/>
    <s v="Feminino"/>
    <x v="6"/>
    <x v="7"/>
    <s v="31602185 - Estimulação Elétrica Transcutanea (Tens) (R$ 40,00)"/>
    <s v="Fisioterapia"/>
    <n v="170496"/>
    <s v="Finalizado (1/4)"/>
    <n v="35.200000000000003"/>
    <n v="4.8"/>
    <n v="40"/>
    <s v="Sessão a Faturar"/>
    <s v="54588888003485490021"/>
    <n v="59381"/>
    <s v="Unidade Vieralves (ANEXO)"/>
    <n v="170496"/>
    <m/>
  </r>
  <r>
    <x v="14"/>
    <x v="5"/>
    <s v="Conceição Andrade Viana"/>
    <s v="Feminino"/>
    <x v="6"/>
    <x v="7"/>
    <s v="20103484 - Patologia Em Um Membro (R$ 14,16)"/>
    <s v="Fisioterapia"/>
    <n v="170495"/>
    <s v="Finalizado (1/4)"/>
    <n v="12.460800000000001"/>
    <n v="1.6992"/>
    <n v="14.16"/>
    <s v="Sessão a Faturar"/>
    <s v="54588888003485490021"/>
    <n v="59381"/>
    <s v="Unidade Vieralves (ANEXO)"/>
    <n v="170495"/>
    <m/>
  </r>
  <r>
    <x v="14"/>
    <x v="30"/>
    <s v="Bruno Marques da Silva"/>
    <s v="Masculino"/>
    <x v="6"/>
    <x v="7"/>
    <s v="31602185 - Estimulação Elétrica Transcutanea (Tens) (R$ 40,00)"/>
    <s v="Fisioterapia"/>
    <n v="170505"/>
    <s v="Finalizado (1/4)"/>
    <n v="35.200000000000003"/>
    <n v="4.8"/>
    <n v="40"/>
    <s v="Sessão a Faturar"/>
    <s v="51588888485478760019"/>
    <n v="59478"/>
    <s v="Unidade Vieralves (ANEXO)"/>
    <n v="170505"/>
    <m/>
  </r>
  <r>
    <x v="14"/>
    <x v="13"/>
    <s v="Ladyane Moreno Rosa de Almeida"/>
    <s v="Feminino"/>
    <x v="6"/>
    <x v="7"/>
    <s v="31602185 - Estimulação Elétrica Transcutanea (Tens) (R$ 40,00)"/>
    <s v="Fisioterapia"/>
    <n v="170201"/>
    <s v="Finalizado (2/5)"/>
    <n v="35.200000000000003"/>
    <n v="4.8"/>
    <n v="40"/>
    <s v="Sessão a Faturar"/>
    <s v="56788888487957080014"/>
    <n v="56246"/>
    <s v="Unidade Vieralves (ANEXO)"/>
    <n v="170201"/>
    <m/>
  </r>
  <r>
    <x v="14"/>
    <x v="13"/>
    <s v="Ladyane Moreno Rosa de Almeida"/>
    <s v="Feminino"/>
    <x v="6"/>
    <x v="7"/>
    <s v="20103484 - Patologia Em Um Membro (R$ 14,16)"/>
    <s v="Fisioterapia"/>
    <n v="170200"/>
    <s v="Finalizado (2/5)"/>
    <n v="12.460800000000001"/>
    <n v="1.6992"/>
    <n v="14.16"/>
    <s v="Sessão a Faturar"/>
    <s v="56788888487957080014"/>
    <n v="56246"/>
    <s v="Unidade Vieralves (ANEXO)"/>
    <n v="170200"/>
    <m/>
  </r>
  <r>
    <x v="14"/>
    <x v="13"/>
    <s v="Maykel Célio Costa de Souza"/>
    <s v="Masculino"/>
    <x v="1"/>
    <x v="7"/>
    <s v="50000160 - Fisioterapia Ortopédica (R$ 20,00), 98980327 - Taxa de Eletroterapia (Tens) (R$ 15,00)"/>
    <s v="Fisioterapia"/>
    <n v="9122845"/>
    <s v="Finalizado (2/10)"/>
    <n v="30.8"/>
    <n v="4.2"/>
    <n v="35"/>
    <s v="Sessão Faturada"/>
    <n v="1101014113820300"/>
    <n v="59487"/>
    <s v="Unidade Vieralves (ANEXO)"/>
    <n v="9122845"/>
    <m/>
  </r>
  <r>
    <x v="14"/>
    <x v="6"/>
    <s v="Rosana Silva dos Santos"/>
    <s v="Feminino"/>
    <x v="1"/>
    <x v="7"/>
    <s v="50000160 - Fisioterapia Ortopédica (R$ 20,00), 98980327 - Taxa de Eletroterapia (Tens) (R$ 15,00)"/>
    <s v="Fisioterapia"/>
    <n v="9036802"/>
    <s v="Finalizado (7/10)"/>
    <n v="30.8"/>
    <n v="4.2"/>
    <n v="35"/>
    <s v="Sessão Faturada"/>
    <n v="1101006073830400"/>
    <n v="58800"/>
    <s v="Unidade Vieralves (ANEXO)"/>
    <n v="9036802"/>
    <m/>
  </r>
  <r>
    <x v="14"/>
    <x v="6"/>
    <s v="Rayana Santos Mendes"/>
    <s v="Feminino"/>
    <x v="6"/>
    <x v="7"/>
    <s v="31602185 - Estimulação Elétrica Transcutanea (Tens) (R$ 40,00)"/>
    <s v="Fisioterapia"/>
    <n v="170529"/>
    <s v="Finalizado (1/4)"/>
    <n v="35.200000000000003"/>
    <n v="4.8"/>
    <n v="40"/>
    <s v="Sessão a Faturar"/>
    <s v="54588888013038380010"/>
    <n v="18466"/>
    <s v="Unidade Vieralves (ANEXO)"/>
    <n v="170529"/>
    <m/>
  </r>
  <r>
    <x v="14"/>
    <x v="6"/>
    <s v="Rayana Santos Mendes"/>
    <s v="Feminino"/>
    <x v="6"/>
    <x v="7"/>
    <s v="20103514 - Patologia Em Dois Ou Mais Segmentos da Coluna (R$ 32,82)"/>
    <s v="Fisioterapia"/>
    <n v="169885"/>
    <s v="Finalizado (1/4)"/>
    <n v="28.881599999999999"/>
    <n v="3.9384000000000001"/>
    <n v="32.82"/>
    <s v="Sessão a Faturar"/>
    <s v="54588888013038380010"/>
    <n v="18466"/>
    <s v="Unidade Vieralves (ANEXO)"/>
    <n v="169885"/>
    <m/>
  </r>
  <r>
    <x v="14"/>
    <x v="15"/>
    <s v="André Luís Moreira de Araújo"/>
    <m/>
    <x v="2"/>
    <x v="7"/>
    <s v="20103484 - Fisioterapia - Patologia Em Um Membro (R$ 12,22)"/>
    <s v="Fisioterapia"/>
    <n v="1707008292"/>
    <s v="Finalizado (1/5)"/>
    <n v="10.7536"/>
    <n v="1.4663999999999999"/>
    <n v="12.22"/>
    <s v="Sessão Faturada"/>
    <n v="856201100027010"/>
    <n v="55381"/>
    <s v="Unidade Vieralves (ANEXO)"/>
    <n v="1707008292"/>
    <m/>
  </r>
  <r>
    <x v="14"/>
    <x v="15"/>
    <s v="Maria Fernanda Cabral Ribeiro"/>
    <s v="Feminino"/>
    <x v="2"/>
    <x v="7"/>
    <s v="20103484 - Fisioterapia - Patologia Em Um Membro (R$ 12,22)"/>
    <s v="Fisioterapia"/>
    <n v="1703499026"/>
    <s v="Finalizado (4/5)"/>
    <n v="10.7536"/>
    <n v="1.4663999999999999"/>
    <n v="12.22"/>
    <s v="Sessão Faturada"/>
    <n v="774981007498000"/>
    <n v="55356"/>
    <s v="Unidade Vieralves (ANEXO)"/>
    <n v="1703499026"/>
    <m/>
  </r>
  <r>
    <x v="14"/>
    <x v="16"/>
    <s v="André Luís Moreira de Araújo"/>
    <m/>
    <x v="2"/>
    <x v="7"/>
    <s v="20103115 - Atividade Reflexa Cinesioterápica (R$ 20,81)"/>
    <s v="Fisioterapia"/>
    <n v="1707009211"/>
    <s v="Finalizado (1/2)"/>
    <n v="18.312799999999999"/>
    <n v="2.4971999999999999"/>
    <n v="20.81"/>
    <s v="Sessão Faturada"/>
    <n v="856201100027010"/>
    <n v="55381"/>
    <s v="Unidade Vieralves (ANEXO)"/>
    <n v="1707009211"/>
    <m/>
  </r>
  <r>
    <x v="14"/>
    <x v="16"/>
    <s v="Maria Fernanda Cabral Ribeiro"/>
    <s v="Feminino"/>
    <x v="2"/>
    <x v="7"/>
    <s v="20103115 - Atividade Reflexa Cinesioterápica (R$ 20,81)"/>
    <s v="Fisioterapia"/>
    <n v="1703499493"/>
    <s v="Finalizado (4/5)"/>
    <n v="18.312799999999999"/>
    <n v="2.4971999999999999"/>
    <n v="20.81"/>
    <s v="Sessão Faturada"/>
    <n v="774981007498000"/>
    <n v="55356"/>
    <s v="Unidade Vieralves (ANEXO)"/>
    <n v="1703499493"/>
    <m/>
  </r>
  <r>
    <x v="14"/>
    <x v="17"/>
    <s v="Nayara Talassa Damasceno Inácio"/>
    <s v="Feminino"/>
    <x v="2"/>
    <x v="7"/>
    <s v="20103484 - Fisioterapia - Patologia Em Um Membro (R$ 12,22)"/>
    <s v="Fisioterapia"/>
    <n v="1707013645"/>
    <s v="Finalizado (1/5)"/>
    <n v="10.7536"/>
    <n v="1.4663999999999999"/>
    <n v="12.22"/>
    <s v="Sessão Faturada"/>
    <n v="774981007498010"/>
    <n v="55360"/>
    <s v="Unidade Vieralves (ANEXO)"/>
    <n v="1707013645"/>
    <m/>
  </r>
  <r>
    <x v="14"/>
    <x v="17"/>
    <s v="Ronaldo Pereira Santos"/>
    <s v="Masculino"/>
    <x v="1"/>
    <x v="7"/>
    <s v="50000160 - Fisioterapia Ortopédica (R$ 20,00), 98980327 - Taxa de Eletroterapia (Tens) (R$ 15,00)"/>
    <s v="Fisioterapia"/>
    <n v="8923073"/>
    <s v="Finalizado (7/10)"/>
    <n v="30.8"/>
    <n v="4.2"/>
    <n v="35"/>
    <s v="Sessão Faturada"/>
    <n v="1901011231270100"/>
    <n v="45793"/>
    <s v="Unidade Vieralves (ANEXO)"/>
    <n v="8923073"/>
    <m/>
  </r>
  <r>
    <x v="14"/>
    <x v="17"/>
    <s v="Williams Valerio do Nascimento"/>
    <s v="Masculino"/>
    <x v="2"/>
    <x v="7"/>
    <s v="20103484 - Fisioterapia - Patologia Em Um Membro (R$ 12,22)"/>
    <s v="Fisioterapia"/>
    <n v="1706497332"/>
    <s v="Finalizado (2/4)"/>
    <n v="10.7536"/>
    <n v="1.4663999999999999"/>
    <n v="12.22"/>
    <s v="Sessão Faturada"/>
    <n v="774438016047000"/>
    <n v="18013"/>
    <s v="Unidade Vieralves (ANEXO)"/>
    <n v="1706497332"/>
    <m/>
  </r>
  <r>
    <x v="14"/>
    <x v="18"/>
    <s v="Nayara Talassa Damasceno Inácio"/>
    <s v="Feminino"/>
    <x v="2"/>
    <x v="7"/>
    <s v="20103115 - Atividade Reflexa Cinesioterápica (R$ 20,81)"/>
    <s v="Fisioterapia"/>
    <n v="1707014451"/>
    <s v="Finalizado (1/4)"/>
    <n v="18.312799999999999"/>
    <n v="2.4971999999999999"/>
    <n v="20.81"/>
    <s v="Sessão Faturada"/>
    <n v="774981007498010"/>
    <n v="55360"/>
    <s v="Unidade Vieralves (ANEXO)"/>
    <n v="1707014451"/>
    <m/>
  </r>
  <r>
    <x v="14"/>
    <x v="18"/>
    <s v="Williams Valerio do Nascimento"/>
    <s v="Masculino"/>
    <x v="2"/>
    <x v="7"/>
    <s v="20103115 - Atividade Reflexa Cinesioterápica (R$ 20,81)"/>
    <s v="Fisioterapia"/>
    <n v="1706498049"/>
    <s v="Finalizado (2/4)"/>
    <n v="18.312799999999999"/>
    <n v="2.4971999999999999"/>
    <n v="20.81"/>
    <s v="Sessão Faturada"/>
    <n v="774438016047000"/>
    <n v="18013"/>
    <s v="Unidade Vieralves (ANEXO)"/>
    <n v="1706498049"/>
    <m/>
  </r>
  <r>
    <x v="14"/>
    <x v="10"/>
    <s v="Luciana Nascimento da Silva"/>
    <s v="Feminino"/>
    <x v="7"/>
    <x v="7"/>
    <s v="Vieiralves - 1 - Fisioterapia Ortopedica - Pacote (R$ 40,00)"/>
    <s v="Fisioterapia"/>
    <m/>
    <s v="Finalizado (9/10)"/>
    <n v="31.2"/>
    <n v="8.8000000000000007"/>
    <n v="40"/>
    <s v="Pago"/>
    <s v="00"/>
    <n v="31909"/>
    <s v="Unidade Vieralves (ANEXO)"/>
    <m/>
    <m/>
  </r>
  <r>
    <x v="14"/>
    <x v="10"/>
    <s v="Simone Carvalho da Silva Grijo"/>
    <s v="Feminino"/>
    <x v="5"/>
    <x v="7"/>
    <s v="98860020 - Fisioterapia Complexidade 2 - 04/03/2026 (R$ 70,79)"/>
    <s v="Fisioterapia"/>
    <n v="76803750"/>
    <s v="Finalizado (3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14"/>
    <x v="10"/>
    <s v="Edineia de Medeiros Castro"/>
    <s v="Feminino"/>
    <x v="2"/>
    <x v="7"/>
    <s v="20103115 - Atividade Reflexa Cinesioterápica (R$ 20,81)"/>
    <s v="Fisioterapia"/>
    <n v="1707039578"/>
    <s v="Finalizado (1/4)"/>
    <n v="18.312799999999999"/>
    <n v="2.4971999999999999"/>
    <n v="20.81"/>
    <s v="Sessão Faturada"/>
    <n v="960016147526000"/>
    <n v="59383"/>
    <s v="Unidade Vieralves (ANEXO)"/>
    <n v="1707039578"/>
    <m/>
  </r>
  <r>
    <x v="14"/>
    <x v="10"/>
    <s v="Leandro Guimaraes dos Santos"/>
    <m/>
    <x v="1"/>
    <x v="7"/>
    <s v="50000160 - Fisioterapia Ortopédica (R$ 20,00), 98980327 - Taxa de Eletroterapia (Tens) (R$ 15,00)"/>
    <s v="Fisioterapia"/>
    <n v="8713472"/>
    <s v="Finalizado (9/10)"/>
    <n v="30.8"/>
    <n v="4.2"/>
    <n v="35"/>
    <s v="Sessão Faturada"/>
    <n v="1901013998000200"/>
    <n v="59051"/>
    <s v="Unidade Vieralves (ANEXO)"/>
    <n v="8713472"/>
    <m/>
  </r>
  <r>
    <x v="14"/>
    <x v="11"/>
    <s v="Simone Carvalho da Silva Grijo"/>
    <s v="Feminino"/>
    <x v="5"/>
    <x v="7"/>
    <s v="31602185 - Estimulação Elétrica Transcutânea (Tens) (R$ 125,40)"/>
    <s v="Fisioterapia"/>
    <n v="79227650"/>
    <s v="Finalizado (2/10)"/>
    <n v="110.352"/>
    <n v="15.048"/>
    <n v="125.4"/>
    <s v="Sessão a Faturar"/>
    <s v="0101072415010378"/>
    <n v="11558"/>
    <s v="Unidade Vieralves (ANEXO)"/>
    <n v="79227650"/>
    <m/>
  </r>
  <r>
    <x v="14"/>
    <x v="11"/>
    <s v="Edineia de Medeiros Castro"/>
    <s v="Feminino"/>
    <x v="2"/>
    <x v="7"/>
    <s v="20103484 - Fisioterapia - Patologia Em Um Membro (R$ 12,22)"/>
    <s v="Fisioterapia"/>
    <n v="1707039271"/>
    <s v="Finalizado (1/5)"/>
    <n v="10.7536"/>
    <n v="1.4663999999999999"/>
    <n v="12.22"/>
    <s v="Sessão Faturada"/>
    <n v="960016147526000"/>
    <n v="59383"/>
    <s v="Unidade Vieralves (ANEXO)"/>
    <n v="1707039271"/>
    <m/>
  </r>
  <r>
    <x v="14"/>
    <x v="12"/>
    <s v="Hyggor da Silva Medeiros"/>
    <s v="Masculino"/>
    <x v="2"/>
    <x v="7"/>
    <s v="20103484 - Fisioterapia - Patologia Em Um Membro (R$ 12,22)"/>
    <s v="Fisioterapia"/>
    <n v="1704503696"/>
    <s v="Finalizado (3/5)"/>
    <n v="10.7536"/>
    <n v="1.4663999999999999"/>
    <n v="12.22"/>
    <s v="Sessão Faturada"/>
    <n v="774642025895010"/>
    <n v="59368"/>
    <s v="Unidade Vieralves (ANEXO)"/>
    <n v="1704503696"/>
    <m/>
  </r>
  <r>
    <x v="14"/>
    <x v="19"/>
    <s v="Hyggor da Silva Medeiros"/>
    <s v="Masculino"/>
    <x v="2"/>
    <x v="7"/>
    <s v="20103115 - Atividade Reflexa Cinesioterápica (R$ 20,81)"/>
    <s v="Fisioterapia"/>
    <n v="1704503963"/>
    <s v="Finalizado (3/5)"/>
    <n v="18.312799999999999"/>
    <n v="2.4971999999999999"/>
    <n v="20.81"/>
    <s v="Sessão Faturada"/>
    <n v="774642025895010"/>
    <n v="59368"/>
    <s v="Unidade Vieralves (ANEXO)"/>
    <n v="1704503963"/>
    <m/>
  </r>
  <r>
    <x v="15"/>
    <x v="44"/>
    <s v="Francisca Queiroz de Souza"/>
    <s v="Feminino"/>
    <x v="20"/>
    <x v="7"/>
    <s v="20103484 - Patologia Em Um Membro (R$ 29,04)"/>
    <s v="Fisioterapia"/>
    <n v="55545960"/>
    <s v="Finalizado (2/5)"/>
    <n v="25.555199999999999"/>
    <n v="3.4847999999999999"/>
    <n v="29.04"/>
    <s v="Sessão Faturada"/>
    <n v="10511000650703"/>
    <n v="59271"/>
    <s v="Unidade Vieralves (ANEXO)"/>
    <n v="55545960"/>
    <m/>
  </r>
  <r>
    <x v="15"/>
    <x v="44"/>
    <s v="Alice Viana Franklin"/>
    <s v="Feminino"/>
    <x v="2"/>
    <x v="7"/>
    <s v="20103514 - Fisioterapia - Patologia Em Diferentes Segmentos da Coluna (R$ 14,83)"/>
    <s v="Fisioterapia"/>
    <n v="1704740997"/>
    <s v="Finalizado (5/5)"/>
    <n v="13.0504"/>
    <n v="1.7796000000000001"/>
    <n v="14.83"/>
    <s v="Sessão Faturada"/>
    <n v="812980300922010"/>
    <n v="59437"/>
    <s v="Unidade Vieralves (ANEXO)"/>
    <n v="1704740997"/>
    <m/>
  </r>
  <r>
    <x v="15"/>
    <x v="60"/>
    <s v="Alice Viana Franklin"/>
    <s v="Feminino"/>
    <x v="2"/>
    <x v="7"/>
    <s v="20103115 - Atividade Reflexa Cinesioterápica (R$ 20,81)"/>
    <s v="Fisioterapia"/>
    <n v="1704742038"/>
    <s v="Finalizado (5/5)"/>
    <n v="18.312799999999999"/>
    <n v="2.4971999999999999"/>
    <n v="20.81"/>
    <s v="Sessão Faturada"/>
    <n v="812980300922010"/>
    <n v="59437"/>
    <s v="Unidade Vieralves (ANEXO)"/>
    <n v="1704742038"/>
    <m/>
  </r>
  <r>
    <x v="15"/>
    <x v="41"/>
    <s v="Jacineide Garcia de Carvalho Neves"/>
    <m/>
    <x v="0"/>
    <x v="7"/>
    <s v="50000160 - Fisioterapia Ortopedica (R$ 49,72)"/>
    <s v="Fisioterapia"/>
    <s v="42263120260219312725"/>
    <s v="Finalizado (5/10)"/>
    <n v="43.753599999999999"/>
    <n v="5.9664000000000001"/>
    <n v="49.72"/>
    <s v="Sessão Faturada"/>
    <s v="010650432906"/>
    <n v="59393"/>
    <s v="Unidade Vieralves (ANEXO)"/>
    <s v="42263120260219312725"/>
    <m/>
  </r>
  <r>
    <x v="15"/>
    <x v="65"/>
    <s v="Jacineide Garcia de Carvalho Neves"/>
    <m/>
    <x v="0"/>
    <x v="7"/>
    <s v="31602185 - Estimulação Elétrica Transcutânea Fisioterapia (Novo - 01/12) (R$ 54,13)"/>
    <s v="Fisioterapia"/>
    <s v="42263120260219312753"/>
    <s v="Finalizado (5/10)"/>
    <n v="47.634399999999999"/>
    <n v="6.4955999999999996"/>
    <n v="54.13"/>
    <s v="Sessão Faturada"/>
    <s v="010650432906"/>
    <n v="59393"/>
    <s v="Unidade Vieralves (ANEXO)"/>
    <s v="42263120260219312753"/>
    <m/>
  </r>
  <r>
    <x v="15"/>
    <x v="36"/>
    <s v="Bruno Barbosa dos Santos"/>
    <s v="Masculino"/>
    <x v="8"/>
    <x v="7"/>
    <s v="20103662 - Pos Operatorio Em Um Membro (R$ 14,99)"/>
    <s v="Fisioterapia"/>
    <n v="1702187041"/>
    <s v="Finalizado (5/5)"/>
    <n v="13.1912"/>
    <n v="1.7988"/>
    <n v="14.99"/>
    <s v="Sessão Faturada"/>
    <n v="954600007650010"/>
    <n v="59241"/>
    <s v="Unidade Vieralves (ANEXO)"/>
    <n v="1702187041"/>
    <m/>
  </r>
  <r>
    <x v="15"/>
    <x v="61"/>
    <s v="Bruno Barbosa dos Santos"/>
    <s v="Masculino"/>
    <x v="8"/>
    <x v="7"/>
    <s v="20103115 - Atividade Reflexa Cinesioterápica (R$ 20,81)"/>
    <s v="Fisioterapia"/>
    <n v="1702187932"/>
    <s v="Finalizado (5/5)"/>
    <n v="18.312799999999999"/>
    <n v="2.4971999999999999"/>
    <n v="20.81"/>
    <s v="Sessão Faturada"/>
    <n v="954600007650010"/>
    <n v="59241"/>
    <s v="Unidade Vieralves (ANEXO)"/>
    <n v="1702187932"/>
    <m/>
  </r>
  <r>
    <x v="15"/>
    <x v="40"/>
    <s v="Stela Fortes da Silva"/>
    <s v="Feminino"/>
    <x v="1"/>
    <x v="7"/>
    <s v="50000160 - Fisioterapia Ortopédica (R$ 20,00), 98980327 - Taxa de Eletroterapia (Tens) (R$ 15,00)"/>
    <s v="Fisioterapia"/>
    <n v="9109099"/>
    <s v="Finalizado (3/9)"/>
    <n v="30.8"/>
    <n v="4.2"/>
    <n v="35"/>
    <s v="Sessão Faturada"/>
    <n v="1901013467060100"/>
    <n v="21179"/>
    <s v="Unidade Vieralves (ANEXO)"/>
    <n v="9109099"/>
    <m/>
  </r>
  <r>
    <x v="15"/>
    <x v="35"/>
    <s v="Cleide Furtado Guimaraes"/>
    <s v="Feminino"/>
    <x v="6"/>
    <x v="7"/>
    <s v="20103484 - Patologia Em Um Membro (R$ 14,16)"/>
    <s v="Fisioterapia"/>
    <n v="170252"/>
    <s v="Finalizado (1/2)"/>
    <n v="12.460800000000001"/>
    <n v="1.6992"/>
    <n v="14.16"/>
    <s v="Sessão a Faturar"/>
    <s v="55788888490540650010"/>
    <n v="20396"/>
    <s v="Unidade Vieralves (ANEXO)"/>
    <n v="170252"/>
    <m/>
  </r>
  <r>
    <x v="15"/>
    <x v="42"/>
    <s v="Cleide Furtado Guimaraes"/>
    <s v="Feminino"/>
    <x v="6"/>
    <x v="7"/>
    <s v="31602185 - Estimulação Elétrica Transcutanea (Tens) (R$ 40,00)"/>
    <s v="Fisioterapia"/>
    <n v="170604"/>
    <s v="Finalizado (1/2)"/>
    <n v="35.200000000000003"/>
    <n v="4.8"/>
    <n v="40"/>
    <s v="Sessão a Faturar"/>
    <s v="55788888490540650010"/>
    <n v="20396"/>
    <s v="Unidade Vieralves (ANEXO)"/>
    <n v="170604"/>
    <m/>
  </r>
  <r>
    <x v="15"/>
    <x v="37"/>
    <s v="Areta Pinto Figueiredo"/>
    <s v="Feminino"/>
    <x v="1"/>
    <x v="7"/>
    <s v="50000160 - Fisioterapia Ortopédica (R$ 20,00), 98980327 - Taxa de Eletroterapia (Tens) (R$ 15,00)"/>
    <s v="Fisioterapia"/>
    <n v="9263292"/>
    <s v="Finalizado (8/10)"/>
    <n v="30.8"/>
    <n v="4.2"/>
    <n v="35"/>
    <s v="Sessão Faturada"/>
    <n v="1301013001650100"/>
    <n v="20611"/>
    <s v="Unidade Vieralves (ANEXO)"/>
    <n v="9263292"/>
    <s v="Guia assinada! 21.02"/>
  </r>
  <r>
    <x v="15"/>
    <x v="37"/>
    <s v="Lúcia Ignéz Abreu de Sá"/>
    <s v="Feminino"/>
    <x v="1"/>
    <x v="7"/>
    <s v="50000160 - Fisioterapia Ortopédica (R$ 20,00), 98980327 - Taxa de Eletroterapia (Tens) (R$ 15,00)"/>
    <s v="Fisioterapia"/>
    <n v="8929197"/>
    <s v="Finalizado (4/10)"/>
    <n v="30.8"/>
    <n v="4.2"/>
    <n v="35"/>
    <s v="Sessão Faturada"/>
    <s v="0701010861030123"/>
    <n v="58903"/>
    <s v="Unidade Vieralves (ANEXO)"/>
    <n v="8929197"/>
    <m/>
  </r>
  <r>
    <x v="15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4/10)"/>
    <n v="30.8"/>
    <n v="4.2"/>
    <n v="35"/>
    <s v="Sessão Faturada"/>
    <s v="0901010162540294"/>
    <n v="53890"/>
    <s v="Unidade Vieralves (ANEXO)"/>
    <n v="9107766"/>
    <m/>
  </r>
  <r>
    <x v="15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2/10)"/>
    <n v="30.8"/>
    <n v="4.2"/>
    <n v="35"/>
    <s v="Sessão Faturada"/>
    <n v="1901010162540100"/>
    <n v="53882"/>
    <s v="Unidade Vieralves (ANEXO)"/>
    <n v="9158214"/>
    <m/>
  </r>
  <r>
    <x v="15"/>
    <x v="39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5/10)"/>
    <n v="30.8"/>
    <n v="4.2"/>
    <n v="35"/>
    <s v="Sessão Faturada"/>
    <s v="0903006735450160"/>
    <n v="58787"/>
    <s v="Unidade Vieralves (ANEXO)"/>
    <n v="9032635"/>
    <m/>
  </r>
  <r>
    <x v="15"/>
    <x v="43"/>
    <s v="Ediane da Silveira Vieira"/>
    <s v="Feminino"/>
    <x v="2"/>
    <x v="7"/>
    <s v="20103484 - Fisioterapia - Patologia Em Um Membro (R$ 12,22)"/>
    <s v="Fisioterapia"/>
    <n v="1705212855"/>
    <s v="Finalizado (5/5)"/>
    <n v="10.7536"/>
    <n v="1.4663999999999999"/>
    <n v="12.22"/>
    <s v="Sessão Faturada"/>
    <n v="775262001287000"/>
    <n v="17985"/>
    <s v="Unidade Vieralves (ANEXO)"/>
    <n v="1705212855"/>
    <m/>
  </r>
  <r>
    <x v="15"/>
    <x v="66"/>
    <s v="Ediane da Silveira Vieira"/>
    <s v="Feminino"/>
    <x v="2"/>
    <x v="7"/>
    <s v="20103115 - Atividade Reflexa Cinesioterápica (R$ 20,81)"/>
    <s v="Fisioterapia"/>
    <n v="1705213672"/>
    <s v="Finalizado (5/5)"/>
    <n v="18.312799999999999"/>
    <n v="2.4971999999999999"/>
    <n v="20.81"/>
    <s v="Sessão Faturada"/>
    <n v="775262001287000"/>
    <n v="17985"/>
    <s v="Unidade Vieralves (ANEXO)"/>
    <n v="1705213672"/>
    <m/>
  </r>
  <r>
    <x v="16"/>
    <x v="44"/>
    <s v="Raimundo Nonato de Souza Costa"/>
    <s v="Masculino"/>
    <x v="8"/>
    <x v="7"/>
    <s v="20103484 - Patologia Em Um Membro (R$ 12,22), 20103506 - Patologia Em Um Segmento Na Coluna (R$ 12,22)"/>
    <s v="Fisioterapia"/>
    <n v="1704624853"/>
    <s v="Finalizado (4/5)"/>
    <n v="21.507200000000001"/>
    <n v="2.9327999999999999"/>
    <n v="24.44"/>
    <s v="Sessão Faturada"/>
    <n v="954580018660010"/>
    <n v="56580"/>
    <s v="Unidade Vieralves (ANEXO)"/>
    <n v="1704624853"/>
    <m/>
  </r>
  <r>
    <x v="16"/>
    <x v="44"/>
    <s v="Alice Viana Franklin"/>
    <s v="Feminino"/>
    <x v="2"/>
    <x v="7"/>
    <s v="20103514 - Fisioterapia - Patologia Em Diferentes Segmentos da Coluna (R$ 14,83)"/>
    <s v="Fisioterapia"/>
    <n v="1707684981"/>
    <s v="Finalizado (1/5)"/>
    <n v="13.0504"/>
    <n v="1.7796000000000001"/>
    <n v="14.83"/>
    <s v="Sessão Faturada"/>
    <n v="812980300922010"/>
    <n v="59437"/>
    <s v="Unidade Vieralves (ANEXO)"/>
    <n v="1707684981"/>
    <m/>
  </r>
  <r>
    <x v="16"/>
    <x v="60"/>
    <s v="Raimundo Nonato de Souza Costa"/>
    <s v="Masculino"/>
    <x v="8"/>
    <x v="7"/>
    <s v="20103115 - Atividade Reflexa Cinesioterápica (R$ 20,81)"/>
    <s v="Fisioterapia"/>
    <n v="1704626185"/>
    <s v="Finalizado (4/5)"/>
    <n v="18.312799999999999"/>
    <n v="2.4971999999999999"/>
    <n v="20.81"/>
    <s v="Sessão Faturada"/>
    <n v="954580018660010"/>
    <n v="56580"/>
    <s v="Unidade Vieralves (ANEXO)"/>
    <n v="1704626185"/>
    <m/>
  </r>
  <r>
    <x v="16"/>
    <x v="60"/>
    <s v="Alice Viana Franklin"/>
    <s v="Feminino"/>
    <x v="2"/>
    <x v="7"/>
    <s v="20103115 - Atividade Reflexa Cinesioterápica (R$ 20,81)"/>
    <s v="Fisioterapia"/>
    <n v="1707686277"/>
    <s v="Finalizado (1/3)"/>
    <n v="18.312799999999999"/>
    <n v="2.4971999999999999"/>
    <n v="20.81"/>
    <s v="Sessão Faturada"/>
    <n v="812980300922010"/>
    <n v="59437"/>
    <s v="Unidade Vieralves (ANEXO)"/>
    <n v="1707686277"/>
    <m/>
  </r>
  <r>
    <x v="16"/>
    <x v="36"/>
    <s v="Rafaele Lima Melo"/>
    <s v="Feminino"/>
    <x v="1"/>
    <x v="7"/>
    <s v="50000160 - Fisioterapia Ortopédica (R$ 20,00), 98980327 - Taxa de Eletroterapia (Tens) (R$ 15,00)"/>
    <s v="Fisioterapia"/>
    <n v="9129842"/>
    <s v="Finalizado (3/8)"/>
    <n v="30.8"/>
    <n v="4.2"/>
    <n v="35"/>
    <s v="Sessão Faturada"/>
    <s v="0901013958740470"/>
    <n v="59498"/>
    <s v="Unidade Vieralves (ANEXO)"/>
    <n v="9129842"/>
    <m/>
  </r>
  <r>
    <x v="16"/>
    <x v="36"/>
    <s v="Stela Fortes da Silva"/>
    <s v="Feminino"/>
    <x v="1"/>
    <x v="7"/>
    <s v="50000160 - Fisioterapia Ortopédica (R$ 20,00), 98980327 - Taxa de Eletroterapia (Tens) (R$ 15,00)"/>
    <s v="Fisioterapia"/>
    <n v="9109099"/>
    <s v="Finalizado (4/9)"/>
    <n v="30.8"/>
    <n v="4.2"/>
    <n v="35"/>
    <s v="Sessão Faturada"/>
    <n v="1901013467060100"/>
    <n v="21179"/>
    <s v="Unidade Vieralves (ANEXO)"/>
    <n v="9109099"/>
    <m/>
  </r>
  <r>
    <x v="16"/>
    <x v="40"/>
    <s v="Jackeline de Oliveira"/>
    <s v="Feminino"/>
    <x v="2"/>
    <x v="7"/>
    <s v="20103514 - Fisioterapia - Patologia Em Diferentes Segmentos da Coluna (R$ 14,83)"/>
    <s v="Fisioterapia"/>
    <n v="1702914060"/>
    <s v="Finalizado (5/5)"/>
    <n v="13.0504"/>
    <n v="1.7796000000000001"/>
    <n v="14.83"/>
    <s v="Sessão Faturada"/>
    <n v="895789500019010"/>
    <n v="3659"/>
    <s v="Unidade Vieralves (ANEXO)"/>
    <n v="1702914060"/>
    <m/>
  </r>
  <r>
    <x v="16"/>
    <x v="40"/>
    <s v="Ingrid Roseane Magno Viana"/>
    <s v="Feminino"/>
    <x v="8"/>
    <x v="7"/>
    <s v="20103115 - Atividade Reflexa Cinesioterápica (R$ 20,81)"/>
    <s v="Fisioterapia"/>
    <n v="1707776517"/>
    <s v="Finalizado (1/2)"/>
    <n v="18.312799999999999"/>
    <n v="2.4971999999999999"/>
    <n v="20.81"/>
    <s v="Sessão Faturada"/>
    <n v="954440006904010"/>
    <n v="58326"/>
    <s v="Unidade Vieralves (ANEXO)"/>
    <n v="1707776517"/>
    <m/>
  </r>
  <r>
    <x v="16"/>
    <x v="40"/>
    <s v="Jackeline de Oliveira"/>
    <s v="Feminino"/>
    <x v="2"/>
    <x v="7"/>
    <s v="20103115 - Atividade Reflexa Cinesioterápica (R$ 20,81)"/>
    <s v="Fisioterapia"/>
    <n v="1702915214"/>
    <s v="Finalizado (5/5)"/>
    <n v="18.312799999999999"/>
    <n v="2.4971999999999999"/>
    <n v="20.81"/>
    <s v="Sessão Faturada"/>
    <n v="895789500019010"/>
    <n v="3659"/>
    <s v="Unidade Vieralves (ANEXO)"/>
    <n v="1702915214"/>
    <m/>
  </r>
  <r>
    <x v="16"/>
    <x v="40"/>
    <s v="Maria Morgiana Gonçalves Costa Ausier"/>
    <s v="Feminino"/>
    <x v="2"/>
    <x v="7"/>
    <s v="20103492 - Fisioterapia - Patologia Em Dois Ou Mais Membros (R$ 14,83)"/>
    <s v="Fisioterapia"/>
    <n v="1706159360"/>
    <s v="Finalizado (2/5)"/>
    <n v="13.0504"/>
    <n v="1.7796000000000001"/>
    <n v="14.83"/>
    <s v="Sessão Faturada"/>
    <n v="774642010693010"/>
    <n v="9926"/>
    <s v="Unidade Vieralves (ANEXO)"/>
    <n v="1706159360"/>
    <m/>
  </r>
  <r>
    <x v="16"/>
    <x v="45"/>
    <s v="Maria Morgiana Gonçalves Costa Ausier"/>
    <s v="Feminino"/>
    <x v="2"/>
    <x v="7"/>
    <s v="20103115 - Atividade Reflexa Cinesioterápica (R$ 20,81)"/>
    <s v="Fisioterapia"/>
    <n v="1706156028"/>
    <s v="Finalizado (2/3)"/>
    <n v="18.312799999999999"/>
    <n v="2.4971999999999999"/>
    <n v="20.81"/>
    <s v="Sessão Faturada"/>
    <n v="774642010693010"/>
    <n v="9926"/>
    <s v="Unidade Vieralves (ANEXO)"/>
    <n v="1706156028"/>
    <m/>
  </r>
  <r>
    <x v="16"/>
    <x v="45"/>
    <s v="Ingrid Roseane Magno Viana"/>
    <s v="Feminino"/>
    <x v="8"/>
    <x v="7"/>
    <s v="20103484 - Patologia Em Um Membro (R$ 12,22)"/>
    <s v="Fisioterapia"/>
    <n v="1707774004"/>
    <s v="Finalizado (1/5)"/>
    <n v="10.7536"/>
    <n v="1.4663999999999999"/>
    <n v="12.22"/>
    <s v="Sessão Faturada"/>
    <n v="954440006904010"/>
    <n v="58326"/>
    <s v="Unidade Vieralves (ANEXO)"/>
    <n v="1707774004"/>
    <m/>
  </r>
  <r>
    <x v="16"/>
    <x v="35"/>
    <s v="Simone Batista Ferreira"/>
    <s v="Feminino"/>
    <x v="2"/>
    <x v="7"/>
    <s v="20103484 - Fisioterapia - Patologia Em Um Membro (R$ 12,22)"/>
    <s v="Fisioterapia"/>
    <n v="1706781175"/>
    <s v="Finalizado (2/4)"/>
    <n v="10.7536"/>
    <n v="1.4663999999999999"/>
    <n v="12.22"/>
    <s v="Sessão Faturada"/>
    <n v="775494004987010"/>
    <n v="39292"/>
    <s v="Unidade Vieralves (ANEXO)"/>
    <n v="1706781175"/>
    <m/>
  </r>
  <r>
    <x v="16"/>
    <x v="35"/>
    <s v="Ilza Maria  Drumond Vilaça"/>
    <s v="Feminino"/>
    <x v="2"/>
    <x v="7"/>
    <s v="50000144 - Avaliação de Fisioterapia (R$ 51,42)"/>
    <s v="Fisioterapia"/>
    <n v="1707781377"/>
    <s v="Finalizado (1/1)"/>
    <n v="46.277999999999999"/>
    <n v="5.1420000000000003"/>
    <n v="51.42"/>
    <s v="Sessão Faturada"/>
    <n v="843486100140010"/>
    <n v="49639"/>
    <s v="Unidade Vieralves (ANEXO)"/>
    <n v="1707781377"/>
    <m/>
  </r>
  <r>
    <x v="16"/>
    <x v="70"/>
    <s v="Ilza Maria  Drumond Vilaça"/>
    <s v="Feminino"/>
    <x v="2"/>
    <x v="7"/>
    <s v="20103484 - Fisioterapia - Patologia Em Um Membro (R$ 12,22)"/>
    <s v="Fisioterapia"/>
    <n v="1707783576"/>
    <s v="Finalizado (1/5)"/>
    <n v="10.7536"/>
    <n v="1.4663999999999999"/>
    <n v="12.22"/>
    <s v="Sessão Faturada"/>
    <n v="843486100140010"/>
    <n v="49639"/>
    <s v="Unidade Vieralves (ANEXO)"/>
    <n v="1707783576"/>
    <m/>
  </r>
  <r>
    <x v="16"/>
    <x v="42"/>
    <s v="Simone Batista Ferreira"/>
    <s v="Feminino"/>
    <x v="2"/>
    <x v="7"/>
    <s v="20103115 - Atividade Reflexa Cinesioterápica (R$ 20,81)"/>
    <s v="Fisioterapia"/>
    <n v="1706782040"/>
    <s v="Finalizado (2/3)"/>
    <n v="18.312799999999999"/>
    <n v="2.4971999999999999"/>
    <n v="20.81"/>
    <s v="Sessão Faturada"/>
    <n v="775494004987010"/>
    <n v="39292"/>
    <s v="Unidade Vieralves (ANEXO)"/>
    <n v="1706782040"/>
    <m/>
  </r>
  <r>
    <x v="16"/>
    <x v="71"/>
    <s v="Ilza Maria  Drumond Vilaça"/>
    <s v="Feminino"/>
    <x v="2"/>
    <x v="7"/>
    <s v="20103115 - Atividade Reflexa Cinesioterápica (R$ 20,81)"/>
    <s v="Fisioterapia"/>
    <n v="1707787266"/>
    <s v="Finalizado (1/3)"/>
    <n v="18.312799999999999"/>
    <n v="2.4971999999999999"/>
    <n v="20.81"/>
    <s v="Sessão Faturada"/>
    <n v="843486100140010"/>
    <n v="49639"/>
    <s v="Unidade Vieralves (ANEXO)"/>
    <n v="1707787266"/>
    <m/>
  </r>
  <r>
    <x v="16"/>
    <x v="39"/>
    <s v="Edred Calixto de Araujo"/>
    <m/>
    <x v="2"/>
    <x v="7"/>
    <s v="50000144 - Avaliação de Fisioterapia (R$ 51,42)"/>
    <s v="Fisioterapia"/>
    <n v="1707870368"/>
    <s v="Finalizado (1/1)"/>
    <n v="46.277999999999999"/>
    <n v="5.1420000000000003"/>
    <n v="51.42"/>
    <s v="Sessão Faturada"/>
    <n v="893331302429000"/>
    <n v="59541"/>
    <s v="Unidade Vieralves (ANEXO)"/>
    <n v="1707870368"/>
    <m/>
  </r>
  <r>
    <x v="16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5/10)"/>
    <n v="30.8"/>
    <n v="4.2"/>
    <n v="35"/>
    <s v="Sessão Faturada"/>
    <s v="0901010162540294"/>
    <n v="53890"/>
    <s v="Unidade Vieralves (ANEXO)"/>
    <n v="9107766"/>
    <m/>
  </r>
  <r>
    <x v="16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3/10)"/>
    <n v="30.8"/>
    <n v="4.2"/>
    <n v="35"/>
    <s v="Sessão Faturada"/>
    <n v="1901010162540100"/>
    <n v="53882"/>
    <s v="Unidade Vieralves (ANEXO)"/>
    <n v="9158214"/>
    <m/>
  </r>
  <r>
    <x v="16"/>
    <x v="39"/>
    <s v="Ronaldo Pereira Santos"/>
    <s v="Masculino"/>
    <x v="1"/>
    <x v="7"/>
    <s v="50000160 - Fisioterapia Ortopédica (R$ 20,00), 98980327 - Taxa de Eletroterapia (Tens) (R$ 15,00)"/>
    <s v="Fisioterapia"/>
    <n v="8923073"/>
    <s v="Finalizado (8/10)"/>
    <n v="30.8"/>
    <n v="4.2"/>
    <n v="35"/>
    <s v="Sessão Faturada"/>
    <n v="1901011231270100"/>
    <n v="45793"/>
    <s v="Unidade Vieralves (ANEXO)"/>
    <n v="8923073"/>
    <m/>
  </r>
  <r>
    <x v="16"/>
    <x v="72"/>
    <s v="Edred Calixto de Araujo"/>
    <m/>
    <x v="2"/>
    <x v="7"/>
    <s v="20103492 - Fisioterapia - Patologia Em Dois Ou Mais Membros (R$ 14,83)"/>
    <s v="Fisioterapia"/>
    <n v="1707871986"/>
    <s v="Finalizado (1/5)"/>
    <n v="13.0504"/>
    <n v="1.7796000000000001"/>
    <n v="14.83"/>
    <s v="Sessão Faturada"/>
    <n v="893331302429000"/>
    <n v="59541"/>
    <s v="Unidade Vieralves (ANEXO)"/>
    <n v="1707871986"/>
    <m/>
  </r>
  <r>
    <x v="16"/>
    <x v="59"/>
    <s v="Edred Calixto de Araujo"/>
    <m/>
    <x v="2"/>
    <x v="7"/>
    <s v="20103115 - Atividade Reflexa Cinesioterápica (R$ 20,81)"/>
    <s v="Fisioterapia"/>
    <n v="1707873218"/>
    <s v="Finalizado (1/4)"/>
    <n v="18.312799999999999"/>
    <n v="2.4971999999999999"/>
    <n v="20.81"/>
    <s v="Sessão Faturada"/>
    <n v="893331302429000"/>
    <n v="59541"/>
    <s v="Unidade Vieralves (ANEXO)"/>
    <n v="1707873218"/>
    <m/>
  </r>
  <r>
    <x v="16"/>
    <x v="43"/>
    <s v="Ediane da Silveira Vieira"/>
    <s v="Feminino"/>
    <x v="2"/>
    <x v="7"/>
    <s v="20103484 - Fisioterapia - Patologia Em Um Membro (R$ 12,22)"/>
    <s v="Fisioterapia"/>
    <n v="1707881370"/>
    <s v="Finalizado (1/10)"/>
    <n v="10.7536"/>
    <n v="1.4663999999999999"/>
    <n v="12.22"/>
    <s v="Sessão Faturada"/>
    <n v="775262001287000"/>
    <n v="17985"/>
    <s v="Unidade Vieralves (ANEXO)"/>
    <n v="1707881370"/>
    <m/>
  </r>
  <r>
    <x v="16"/>
    <x v="43"/>
    <s v="Ediane da Silveira Vieira"/>
    <s v="Feminino"/>
    <x v="2"/>
    <x v="7"/>
    <s v="20103115 - Atividade Reflexa Cinesioterápica (R$ 20,81)"/>
    <s v="Fisioterapia"/>
    <n v="1707882475"/>
    <s v="Finalizado (1/2)"/>
    <n v="18.312799999999999"/>
    <n v="2.4971999999999999"/>
    <n v="20.81"/>
    <s v="Sessão Faturada"/>
    <n v="775262001287000"/>
    <n v="17985"/>
    <s v="Unidade Vieralves (ANEXO)"/>
    <n v="1707882475"/>
    <m/>
  </r>
  <r>
    <x v="21"/>
    <x v="44"/>
    <s v="Josicleide Nunes Santos"/>
    <s v="Feminino"/>
    <x v="2"/>
    <x v="7"/>
    <s v="20103115 - Atividade Reflexa Cinesioterápica (R$ 20,81)"/>
    <s v="Fisioterapia"/>
    <n v="1708240801"/>
    <s v="Finalizado (1/1)"/>
    <n v="18.312799999999999"/>
    <n v="2.4971999999999999"/>
    <n v="20.81"/>
    <s v="Sessão Faturada"/>
    <n v="774981001279000"/>
    <n v="20120"/>
    <s v="Unidade Vieralves (ANEXO)"/>
    <n v="1708240801"/>
    <m/>
  </r>
  <r>
    <x v="21"/>
    <x v="44"/>
    <s v="Josicleide Nunes Santos"/>
    <s v="Feminino"/>
    <x v="2"/>
    <x v="7"/>
    <s v="20103492 - Fisioterapia - Patologia Em Dois Ou Mais Membros (R$ 14,83)"/>
    <s v="Fisioterapia"/>
    <n v="1708238595"/>
    <s v="Finalizado (1/5)"/>
    <n v="13.0504"/>
    <n v="1.7796000000000001"/>
    <n v="14.83"/>
    <s v="Sessão Faturada"/>
    <n v="774981001279000"/>
    <n v="20120"/>
    <s v="Unidade Vieralves (ANEXO)"/>
    <n v="1708238595"/>
    <m/>
  </r>
  <r>
    <x v="21"/>
    <x v="36"/>
    <s v="Claudia Ferreira de Souza Cutar"/>
    <s v="Feminino"/>
    <x v="6"/>
    <x v="7"/>
    <s v="20103484 - Patologia Em Um Membro (R$ 14,16), 20103506 - Patologia Em Um Segmento da Coluna (R$ 14,16)"/>
    <s v="Fisioterapia"/>
    <n v="170418"/>
    <s v="Finalizado (2/5)"/>
    <n v="24.921600000000002"/>
    <n v="3.3984000000000001"/>
    <n v="28.32"/>
    <s v="Sessão a Faturar"/>
    <s v="54588888010050710012"/>
    <n v="9658"/>
    <s v="Unidade Vieralves (ANEXO)"/>
    <n v="170418"/>
    <m/>
  </r>
  <r>
    <x v="21"/>
    <x v="36"/>
    <s v="Rodrigo Barros Carvalho"/>
    <s v="Masculino"/>
    <x v="6"/>
    <x v="7"/>
    <s v="31602185 - Estimulação Elétrica Transcutanea (Tens) (R$ 40,00)"/>
    <s v="Fisioterapia"/>
    <n v="170879"/>
    <s v="Finalizado (1/4)"/>
    <n v="35.200000000000003"/>
    <n v="4.8"/>
    <n v="40"/>
    <s v="Sessão a Faturar"/>
    <s v="54588888470206320029"/>
    <n v="42015"/>
    <s v="Unidade Vieralves (ANEXO)"/>
    <n v="170879"/>
    <m/>
  </r>
  <r>
    <x v="21"/>
    <x v="36"/>
    <s v="Élida Marinho de Souza"/>
    <s v="Feminino"/>
    <x v="6"/>
    <x v="7"/>
    <s v="31602185 - Estimulação Elétrica Transcutanea (Tens) (R$ 40,00)"/>
    <s v="Fisioterapia"/>
    <n v="170048"/>
    <s v="Finalizado (3/3)"/>
    <n v="35.200000000000003"/>
    <n v="4.8"/>
    <n v="40"/>
    <s v="Sessão a Faturar"/>
    <s v="54588888013038110013"/>
    <n v="59459"/>
    <s v="Unidade Vieralves (ANEXO)"/>
    <n v="170048"/>
    <m/>
  </r>
  <r>
    <x v="21"/>
    <x v="36"/>
    <s v="Élida Marinho de Souza"/>
    <s v="Feminino"/>
    <x v="6"/>
    <x v="7"/>
    <s v="20103484 - Patologia Em Um Membro (R$ 14,16)"/>
    <s v="Fisioterapia"/>
    <n v="170047"/>
    <s v="Finalizado (3/3)"/>
    <n v="12.460800000000001"/>
    <n v="1.6992"/>
    <n v="14.16"/>
    <s v="Sessão a Faturar"/>
    <s v="54588888013038110013"/>
    <n v="59459"/>
    <s v="Unidade Vieralves (ANEXO)"/>
    <n v="170047"/>
    <m/>
  </r>
  <r>
    <x v="21"/>
    <x v="61"/>
    <s v="Rodrigo Barros Carvalho"/>
    <s v="Masculino"/>
    <x v="6"/>
    <x v="7"/>
    <s v="20103484 - Patologia Em Um Membro (R$ 14,16)"/>
    <s v="Fisioterapia"/>
    <n v="169146"/>
    <s v="Finalizado (1/4)"/>
    <n v="12.460800000000001"/>
    <n v="1.6992"/>
    <n v="14.16"/>
    <s v="Sessão a Faturar"/>
    <s v="54588888470206320029"/>
    <n v="42015"/>
    <s v="Unidade Vieralves (ANEXO)"/>
    <n v="169146"/>
    <m/>
  </r>
  <r>
    <x v="21"/>
    <x v="61"/>
    <s v="Claudia Ferreira de Souza Cutar"/>
    <s v="Feminino"/>
    <x v="6"/>
    <x v="7"/>
    <s v="31602185 - Estimulação Elétrica Transcutanea (Tens) (R$ 40,00)"/>
    <s v="Fisioterapia"/>
    <n v="170419"/>
    <s v="Finalizado (2/5)"/>
    <n v="35.200000000000003"/>
    <n v="4.8"/>
    <n v="40"/>
    <s v="Sessão a Faturar"/>
    <s v="54588888010050710012"/>
    <n v="9658"/>
    <s v="Unidade Vieralves (ANEXO)"/>
    <n v="170419"/>
    <m/>
  </r>
  <r>
    <x v="21"/>
    <x v="40"/>
    <s v="Soraia Joffely da Silva"/>
    <s v="Feminino"/>
    <x v="18"/>
    <x v="7"/>
    <s v="50000160 - Fisioterapia Ortopedica - Sessao (R$ 45,00)"/>
    <s v="Fisioterapia"/>
    <m/>
    <s v="Finalizado (1/1)"/>
    <n v="39.6"/>
    <n v="5.4"/>
    <n v="45"/>
    <s v="Sessão a Faturar"/>
    <s v="000007309"/>
    <n v="58452"/>
    <s v="Unidade Vieralves (ANEXO)"/>
    <m/>
    <m/>
  </r>
  <r>
    <x v="21"/>
    <x v="40"/>
    <s v="Jacineide Garcia de Carvalho Neves"/>
    <m/>
    <x v="0"/>
    <x v="7"/>
    <s v="50000160 - Fisioterapia Ortopedica (R$ 49,72)"/>
    <s v="Fisioterapia"/>
    <s v="42263120260219312725"/>
    <s v="Finalizado (6/10)"/>
    <n v="43.753599999999999"/>
    <n v="5.9664000000000001"/>
    <n v="49.72"/>
    <s v="Sessão Faturada"/>
    <s v="010650432906"/>
    <n v="59393"/>
    <s v="Unidade Vieralves (ANEXO)"/>
    <s v="42263120260219312725"/>
    <m/>
  </r>
  <r>
    <x v="21"/>
    <x v="40"/>
    <s v="Andreya Fabiana Rodrigues Cavalcante"/>
    <s v="Feminino"/>
    <x v="2"/>
    <x v="7"/>
    <s v="20103484 - Fisioterapia - Patologia Em Um Membro (R$ 12,22)"/>
    <s v="Fisioterapia"/>
    <n v="1706210841"/>
    <s v="Finalizado (3/5)"/>
    <n v="10.7536"/>
    <n v="1.4663999999999999"/>
    <n v="12.22"/>
    <s v="Sessão Faturada"/>
    <n v="811494100019040"/>
    <n v="59418"/>
    <s v="Unidade Vieralves (ANEXO)"/>
    <n v="1706210841"/>
    <m/>
  </r>
  <r>
    <x v="21"/>
    <x v="45"/>
    <s v="Andreya Fabiana Rodrigues Cavalcante"/>
    <s v="Feminino"/>
    <x v="2"/>
    <x v="7"/>
    <s v="20103115 - Atividade Reflexa Cinesioterápica (R$ 20,81)"/>
    <s v="Fisioterapia"/>
    <n v="1706211649"/>
    <s v="Finalizado (3/4)"/>
    <n v="18.312799999999999"/>
    <n v="2.4971999999999999"/>
    <n v="20.81"/>
    <s v="Sessão Faturada"/>
    <n v="811494100019040"/>
    <n v="59418"/>
    <s v="Unidade Vieralves (ANEXO)"/>
    <n v="1706211649"/>
    <m/>
  </r>
  <r>
    <x v="21"/>
    <x v="45"/>
    <s v="Jacineide Garcia de Carvalho Neves"/>
    <m/>
    <x v="0"/>
    <x v="7"/>
    <s v="31602185 - Estimulação Elétrica Transcutânea Fisioterapia (Novo - 01/12) (R$ 54,13)"/>
    <s v="Fisioterapia"/>
    <s v="42263120260219312753"/>
    <s v="Finalizado (6/10)"/>
    <n v="47.634399999999999"/>
    <n v="6.4955999999999996"/>
    <n v="54.13"/>
    <s v="Sessão Faturada"/>
    <s v="010650432906"/>
    <n v="59393"/>
    <s v="Unidade Vieralves (ANEXO)"/>
    <s v="42263120260219312753"/>
    <m/>
  </r>
  <r>
    <x v="21"/>
    <x v="35"/>
    <s v="Edred Calixto de Araujo"/>
    <m/>
    <x v="2"/>
    <x v="7"/>
    <s v="20103492 - Fisioterapia - Patologia Em Dois Ou Mais Membros (R$ 14,83)"/>
    <s v="Fisioterapia"/>
    <n v="1707871986"/>
    <s v="Finalizado (2/5)"/>
    <n v="13.0504"/>
    <n v="1.7796000000000001"/>
    <n v="14.83"/>
    <s v="Sessão Faturada"/>
    <n v="893331302429000"/>
    <n v="59541"/>
    <s v="Unidade Vieralves (ANEXO)"/>
    <n v="1707871986"/>
    <m/>
  </r>
  <r>
    <x v="21"/>
    <x v="35"/>
    <s v="Edred Calixto de Araujo"/>
    <m/>
    <x v="2"/>
    <x v="7"/>
    <s v="20103115 - Atividade Reflexa Cinesioterápica (R$ 20,81)"/>
    <s v="Fisioterapia"/>
    <n v="1707873218"/>
    <s v="Finalizado (2/4)"/>
    <n v="18.312799999999999"/>
    <n v="2.4971999999999999"/>
    <n v="20.81"/>
    <s v="Sessão Faturada"/>
    <n v="893331302429000"/>
    <n v="59541"/>
    <s v="Unidade Vieralves (ANEXO)"/>
    <n v="1707873218"/>
    <m/>
  </r>
  <r>
    <x v="21"/>
    <x v="35"/>
    <s v="Edred Calixto de Araujo"/>
    <m/>
    <x v="4"/>
    <x v="7"/>
    <s v="31602185 - Estimulação Elétrica Transcutânea - Removido 13/04/2026 (R$ 40,00)"/>
    <s v="Fisioterapia"/>
    <n v="1708297714"/>
    <s v="Finalizado (1/1)"/>
    <n v="35.200000000000003"/>
    <n v="4.8"/>
    <n v="40"/>
    <s v="Sessão Faturada"/>
    <n v="893331302429000"/>
    <n v="59541"/>
    <s v="Unidade Vieralves (ANEXO)"/>
    <n v="1708297714"/>
    <m/>
  </r>
  <r>
    <x v="21"/>
    <x v="38"/>
    <s v="Roberleno Ferreira de Souza"/>
    <m/>
    <x v="7"/>
    <x v="7"/>
    <s v="Vieiralves - 1 - Fisioterapia Ortopedica - Pacote (R$ 40,00)"/>
    <s v="Fisioterapia"/>
    <m/>
    <s v="Finalizado (1/10)"/>
    <n v="31.2"/>
    <n v="8.8000000000000007"/>
    <n v="40"/>
    <s v="No Prazo"/>
    <n v="0"/>
    <n v="59545"/>
    <s v="Unidade Vieralves (ANEXO)"/>
    <m/>
    <m/>
  </r>
  <r>
    <x v="21"/>
    <x v="38"/>
    <s v="Rosana Silva dos Santos"/>
    <s v="Feminino"/>
    <x v="1"/>
    <x v="7"/>
    <s v="50000160 - Fisioterapia Ortopédica (R$ 20,00), 98980327 - Taxa de Eletroterapia (Tens) (R$ 15,00)"/>
    <s v="Fisioterapia"/>
    <n v="9036802"/>
    <s v="Finalizado (10/10)"/>
    <n v="30.8"/>
    <n v="4.2"/>
    <n v="35"/>
    <s v="Sessão Faturada"/>
    <n v="1101006073830400"/>
    <n v="58800"/>
    <s v="Unidade Vieralves (ANEXO)"/>
    <n v="9036802"/>
    <m/>
  </r>
  <r>
    <x v="21"/>
    <x v="38"/>
    <s v="Lucinete Viana da Cunha"/>
    <s v="Feminino"/>
    <x v="6"/>
    <x v="7"/>
    <s v="20103484 - Patologia Em Um Membro (R$ 14,16)"/>
    <s v="Fisioterapia"/>
    <n v="170866"/>
    <s v="Não compareceu (2/5)"/>
    <n v="14.16"/>
    <n v="0"/>
    <n v="14.16"/>
    <s v="Sessão a Faturar"/>
    <s v="56788888020819320013"/>
    <n v="59377"/>
    <s v="Unidade Vieralves (ANEXO)"/>
    <n v="170866"/>
    <m/>
  </r>
  <r>
    <x v="21"/>
    <x v="38"/>
    <s v="Lucinete Viana da Cunha"/>
    <s v="Feminino"/>
    <x v="6"/>
    <x v="7"/>
    <s v="31602185 - Estimulação Elétrica Transcutanea (Tens) (R$ 40,00)"/>
    <s v="Fisioterapia"/>
    <n v="170867"/>
    <s v="Não compareceu (2/5)"/>
    <n v="40"/>
    <n v="0"/>
    <n v="40"/>
    <s v="Sessão a Faturar"/>
    <s v="56788888020819320013"/>
    <n v="59377"/>
    <s v="Unidade Vieralves (ANEXO)"/>
    <n v="170867"/>
    <m/>
  </r>
  <r>
    <x v="17"/>
    <x v="44"/>
    <s v="Ilza Maria  Drumond Vilaça"/>
    <s v="Feminino"/>
    <x v="2"/>
    <x v="7"/>
    <s v="20103115 - Atividade Reflexa Cinesioterápica (R$ 20,81)"/>
    <s v="Fisioterapia"/>
    <n v="1707787266"/>
    <s v="Finalizado (2/3)"/>
    <n v="18.312799999999999"/>
    <n v="2.4971999999999999"/>
    <n v="20.81"/>
    <s v="Sessão Faturada"/>
    <n v="843486100140010"/>
    <n v="49639"/>
    <s v="Unidade Vieralves (ANEXO)"/>
    <n v="1707787266"/>
    <m/>
  </r>
  <r>
    <x v="17"/>
    <x v="44"/>
    <s v="Alice Viana Franklin"/>
    <s v="Feminino"/>
    <x v="2"/>
    <x v="7"/>
    <s v="20103514 - Fisioterapia - Patologia Em Diferentes Segmentos da Coluna (R$ 14,83)"/>
    <s v="Fisioterapia"/>
    <n v="1707684981"/>
    <s v="Finalizado (2/5)"/>
    <n v="13.0504"/>
    <n v="1.7796000000000001"/>
    <n v="14.83"/>
    <s v="Sessão Faturada"/>
    <n v="812980300922010"/>
    <n v="59437"/>
    <s v="Unidade Vieralves (ANEXO)"/>
    <n v="1707684981"/>
    <m/>
  </r>
  <r>
    <x v="17"/>
    <x v="44"/>
    <s v="Raimundo Nonato de Souza Costa"/>
    <s v="Masculino"/>
    <x v="8"/>
    <x v="7"/>
    <s v="20103484 - Patologia Em Um Membro (R$ 12,22), 20103506 - Patologia Em Um Segmento Na Coluna (R$ 12,22)"/>
    <s v="Fisioterapia"/>
    <n v="1704624853"/>
    <s v="Finalizado (5/5)"/>
    <n v="21.507200000000001"/>
    <n v="2.9327999999999999"/>
    <n v="24.44"/>
    <s v="Sessão Faturada"/>
    <n v="954580018660010"/>
    <n v="56580"/>
    <s v="Unidade Vieralves (ANEXO)"/>
    <n v="1704624853"/>
    <m/>
  </r>
  <r>
    <x v="17"/>
    <x v="44"/>
    <s v="Ilza Maria  Drumond Vilaça"/>
    <s v="Feminino"/>
    <x v="2"/>
    <x v="7"/>
    <s v="20103484 - Fisioterapia - Patologia Em Um Membro (R$ 12,22)"/>
    <s v="Fisioterapia"/>
    <n v="1707783576"/>
    <s v="Finalizado (2/5)"/>
    <n v="10.7536"/>
    <n v="1.4663999999999999"/>
    <n v="12.22"/>
    <s v="Sessão Faturada"/>
    <n v="843486100140010"/>
    <n v="49639"/>
    <s v="Unidade Vieralves (ANEXO)"/>
    <n v="1707783576"/>
    <m/>
  </r>
  <r>
    <x v="17"/>
    <x v="60"/>
    <s v="Alice Viana Franklin"/>
    <s v="Feminino"/>
    <x v="2"/>
    <x v="7"/>
    <s v="20103115 - Atividade Reflexa Cinesioterápica (R$ 20,81)"/>
    <s v="Fisioterapia"/>
    <n v="1707686277"/>
    <s v="Finalizado (2/3)"/>
    <n v="18.312799999999999"/>
    <n v="2.4971999999999999"/>
    <n v="20.81"/>
    <s v="Sessão Faturada"/>
    <n v="812980300922010"/>
    <n v="59437"/>
    <s v="Unidade Vieralves (ANEXO)"/>
    <n v="1707686277"/>
    <m/>
  </r>
  <r>
    <x v="17"/>
    <x v="60"/>
    <s v="Raimundo Nonato de Souza Costa"/>
    <s v="Masculino"/>
    <x v="8"/>
    <x v="7"/>
    <s v="20103115 - Atividade Reflexa Cinesioterápica (R$ 20,81)"/>
    <s v="Fisioterapia"/>
    <n v="1704626185"/>
    <s v="Finalizado (5/5)"/>
    <n v="18.312799999999999"/>
    <n v="2.4971999999999999"/>
    <n v="20.81"/>
    <s v="Sessão Faturada"/>
    <n v="954580018660010"/>
    <n v="56580"/>
    <s v="Unidade Vieralves (ANEXO)"/>
    <n v="1704626185"/>
    <m/>
  </r>
  <r>
    <x v="17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4/10)"/>
    <n v="30.8"/>
    <n v="4.2"/>
    <n v="35"/>
    <s v="Sessão Faturada"/>
    <n v="2001013187450100"/>
    <n v="59108"/>
    <s v="Unidade Vieralves (ANEXO)"/>
    <n v="9100774"/>
    <m/>
  </r>
  <r>
    <x v="17"/>
    <x v="41"/>
    <s v="Barbara Barros Jacob"/>
    <s v="Feminino"/>
    <x v="1"/>
    <x v="7"/>
    <s v="50000160 - Fisioterapia Ortopédica (R$ 20,00), 98980327 - Taxa de Eletroterapia (Tens) (R$ 15,00)"/>
    <s v="Fisioterapia"/>
    <n v="8280735"/>
    <s v="Finalizado (6/10)"/>
    <n v="30.8"/>
    <n v="4.2"/>
    <n v="35"/>
    <s v="Sessão Faturada"/>
    <s v="0201013029220011"/>
    <n v="41008"/>
    <s v="Unidade Vieralves (ANEXO)"/>
    <n v="8280735"/>
    <m/>
  </r>
  <r>
    <x v="17"/>
    <x v="36"/>
    <s v="Ingrid Roseane Magno Viana"/>
    <s v="Feminino"/>
    <x v="8"/>
    <x v="7"/>
    <s v="20103115 - Atividade Reflexa Cinesioterápica (R$ 20,81)"/>
    <s v="Fisioterapia"/>
    <n v="1707776517"/>
    <s v="Finalizado (2/2)"/>
    <n v="18.312799999999999"/>
    <n v="2.4971999999999999"/>
    <n v="20.81"/>
    <s v="Sessão Faturada"/>
    <n v="954440006904010"/>
    <n v="58326"/>
    <s v="Unidade Vieralves (ANEXO)"/>
    <n v="1707776517"/>
    <m/>
  </r>
  <r>
    <x v="17"/>
    <x v="36"/>
    <s v="Rafaele Lima Melo"/>
    <s v="Feminino"/>
    <x v="1"/>
    <x v="7"/>
    <s v="50000160 - Fisioterapia Ortopédica (R$ 20,00), 98980327 - Taxa de Eletroterapia (Tens) (R$ 15,00)"/>
    <s v="Fisioterapia"/>
    <n v="9129842"/>
    <s v="Finalizado (4/8)"/>
    <n v="30.8"/>
    <n v="4.2"/>
    <n v="35"/>
    <s v="Sessão Faturada"/>
    <s v="0901013958740470"/>
    <n v="59498"/>
    <s v="Unidade Vieralves (ANEXO)"/>
    <n v="9129842"/>
    <m/>
  </r>
  <r>
    <x v="17"/>
    <x v="36"/>
    <s v="Ingrid Roseane Magno Viana"/>
    <s v="Feminino"/>
    <x v="8"/>
    <x v="7"/>
    <s v="20103484 - Patologia Em Um Membro (R$ 12,22)"/>
    <s v="Fisioterapia"/>
    <n v="1707774004"/>
    <s v="Finalizado (2/5)"/>
    <n v="10.7536"/>
    <n v="1.4663999999999999"/>
    <n v="12.22"/>
    <s v="Sessão Faturada"/>
    <n v="954440006904010"/>
    <n v="58326"/>
    <s v="Unidade Vieralves (ANEXO)"/>
    <n v="1707774004"/>
    <m/>
  </r>
  <r>
    <x v="17"/>
    <x v="36"/>
    <s v="Karina do Carmo de Souza"/>
    <s v="Feminino"/>
    <x v="2"/>
    <x v="7"/>
    <s v="20103484 - Fisioterapia - Patologia Em Um Membro (R$ 12,22)"/>
    <s v="Fisioterapia"/>
    <n v="1708799490"/>
    <s v="Finalizado (1/1)"/>
    <n v="10.7536"/>
    <n v="1.4663999999999999"/>
    <n v="12.22"/>
    <s v="Sessão Faturada"/>
    <n v="774642019933000"/>
    <n v="9620"/>
    <s v="Unidade Vieralves (ANEXO)"/>
    <n v="1708799490"/>
    <m/>
  </r>
  <r>
    <x v="17"/>
    <x v="61"/>
    <s v="Karina do Carmo de Souza"/>
    <s v="Feminino"/>
    <x v="2"/>
    <x v="7"/>
    <s v="20103115 - Atividade Reflexa Cinesioterápica (R$ 20,81)"/>
    <s v="Fisioterapia"/>
    <n v="1708800774"/>
    <s v="Finalizado (1/1)"/>
    <n v="18.312799999999999"/>
    <n v="2.4971999999999999"/>
    <n v="20.81"/>
    <s v="Sessão Faturada"/>
    <n v="774642019933000"/>
    <n v="9620"/>
    <s v="Unidade Vieralves (ANEXO)"/>
    <n v="1708800774"/>
    <m/>
  </r>
  <r>
    <x v="17"/>
    <x v="40"/>
    <s v="Edred Calixto de Araujo"/>
    <m/>
    <x v="2"/>
    <x v="7"/>
    <s v="20103492 - Fisioterapia - Patologia Em Dois Ou Mais Membros (R$ 14,83)"/>
    <s v="Fisioterapia"/>
    <n v="1707871986"/>
    <s v="Finalizado (3/5)"/>
    <n v="13.0504"/>
    <n v="1.7796000000000001"/>
    <n v="14.83"/>
    <s v="Sessão Faturada"/>
    <n v="893331302429000"/>
    <n v="59541"/>
    <s v="Unidade Vieralves (ANEXO)"/>
    <n v="1707871986"/>
    <m/>
  </r>
  <r>
    <x v="17"/>
    <x v="40"/>
    <s v="Maria Morgiana Gonçalves Costa Ausier"/>
    <s v="Feminino"/>
    <x v="2"/>
    <x v="7"/>
    <s v="20103492 - Fisioterapia - Patologia Em Dois Ou Mais Membros (R$ 14,83)"/>
    <s v="Fisioterapia"/>
    <n v="1706159360"/>
    <s v="Finalizado (3/5)"/>
    <n v="13.0504"/>
    <n v="1.7796000000000001"/>
    <n v="14.83"/>
    <s v="Sessão Faturada"/>
    <n v="774642010693010"/>
    <n v="9926"/>
    <s v="Unidade Vieralves (ANEXO)"/>
    <n v="1706159360"/>
    <m/>
  </r>
  <r>
    <x v="17"/>
    <x v="49"/>
    <s v="Edred Calixto de Araujo"/>
    <m/>
    <x v="2"/>
    <x v="7"/>
    <s v="20103115 - Atividade Reflexa Cinesioterápica (R$ 20,81)"/>
    <s v="Fisioterapia"/>
    <n v="1707873218"/>
    <s v="Finalizado (3/4)"/>
    <n v="18.312799999999999"/>
    <n v="2.4971999999999999"/>
    <n v="20.81"/>
    <s v="Sessão Faturada"/>
    <n v="893331302429000"/>
    <n v="59541"/>
    <s v="Unidade Vieralves (ANEXO)"/>
    <n v="1707873218"/>
    <m/>
  </r>
  <r>
    <x v="17"/>
    <x v="45"/>
    <s v="Maria Morgiana Gonçalves Costa Ausier"/>
    <s v="Feminino"/>
    <x v="2"/>
    <x v="7"/>
    <s v="20103115 - Atividade Reflexa Cinesioterápica (R$ 20,81)"/>
    <s v="Fisioterapia"/>
    <n v="1706156028"/>
    <s v="Finalizado (3/3)"/>
    <n v="18.312799999999999"/>
    <n v="2.4971999999999999"/>
    <n v="20.81"/>
    <s v="Sessão Faturada"/>
    <n v="774642010693010"/>
    <n v="9926"/>
    <s v="Unidade Vieralves (ANEXO)"/>
    <n v="1706156028"/>
    <m/>
  </r>
  <r>
    <x v="17"/>
    <x v="38"/>
    <s v="Roberleno Ferreira de Souza"/>
    <m/>
    <x v="7"/>
    <x v="7"/>
    <s v="Vieiralves - 1 - Fisioterapia Ortopedica - Pacote (R$ 40,00)"/>
    <s v="Fisioterapia"/>
    <m/>
    <s v="Finalizado (2/10)"/>
    <n v="31.2"/>
    <n v="8.8000000000000007"/>
    <n v="40"/>
    <s v="No Prazo"/>
    <n v="0"/>
    <n v="59545"/>
    <s v="Unidade Vieralves (ANEXO)"/>
    <m/>
    <m/>
  </r>
  <r>
    <x v="17"/>
    <x v="38"/>
    <s v="Cleide Furtado Guimaraes"/>
    <s v="Feminino"/>
    <x v="6"/>
    <x v="7"/>
    <s v="20103484 - Patologia Em Um Membro (R$ 14,16)"/>
    <s v="Fisioterapia"/>
    <n v="170252"/>
    <s v="Finalizado (2/2)"/>
    <n v="12.460800000000001"/>
    <n v="1.6992"/>
    <n v="14.16"/>
    <s v="Sessão a Faturar"/>
    <s v="55788888490540650010"/>
    <n v="20396"/>
    <s v="Unidade Vieralves (ANEXO)"/>
    <n v="170252"/>
    <m/>
  </r>
  <r>
    <x v="17"/>
    <x v="62"/>
    <s v="Cleide Furtado Guimaraes"/>
    <s v="Feminino"/>
    <x v="6"/>
    <x v="7"/>
    <s v="31602185 - Estimulação Elétrica Transcutanea (Tens) (R$ 40,00)"/>
    <s v="Fisioterapia"/>
    <n v="170604"/>
    <s v="Finalizado (2/2)"/>
    <n v="35.200000000000003"/>
    <n v="4.8"/>
    <n v="40"/>
    <s v="Sessão a Faturar"/>
    <s v="55788888490540650010"/>
    <n v="20396"/>
    <s v="Unidade Vieralves (ANEXO)"/>
    <n v="170604"/>
    <m/>
  </r>
  <r>
    <x v="17"/>
    <x v="37"/>
    <s v="Simone Ferreira Marinho da Silva"/>
    <m/>
    <x v="2"/>
    <x v="7"/>
    <s v="50000144 - Avaliação de Fisioterapia (R$ 51,42)"/>
    <s v="Fisioterapia"/>
    <n v="1708920206"/>
    <s v="Finalizado (1/1)"/>
    <n v="46.277999999999999"/>
    <n v="5.1420000000000003"/>
    <n v="51.42"/>
    <s v="Sessão Faturada"/>
    <n v="775426001635010"/>
    <n v="59543"/>
    <s v="Unidade Vieralves (ANEXO)"/>
    <n v="1708920206"/>
    <m/>
  </r>
  <r>
    <x v="17"/>
    <x v="37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4/10)"/>
    <n v="30.8"/>
    <n v="4.2"/>
    <n v="35"/>
    <s v="Sessão Faturada"/>
    <s v="0503007111620017"/>
    <n v="58376"/>
    <s v="Unidade Vieralves (ANEXO)"/>
    <n v="8769159"/>
    <s v="Guia assinada! 20/02"/>
  </r>
  <r>
    <x v="17"/>
    <x v="37"/>
    <s v="Walter Jose Firmo Gonçalves Filho"/>
    <s v="Masculino"/>
    <x v="0"/>
    <x v="7"/>
    <s v="50000160 - Fisioterapia Ortopedica (R$ 49,72)"/>
    <s v="Fisioterapia"/>
    <s v="42263120260310449344"/>
    <s v="Finalizado (2/10)"/>
    <n v="43.753599999999999"/>
    <n v="5.9664000000000001"/>
    <n v="49.72"/>
    <s v="Sessão a Faturar"/>
    <s v="010033652700"/>
    <n v="41064"/>
    <s v="Unidade Vieralves (ANEXO)"/>
    <s v="42263120260310449344"/>
    <s v="Guia assinada! 02/04"/>
  </r>
  <r>
    <x v="17"/>
    <x v="37"/>
    <s v="Cristiane Gomes Barcelar Gonçalves"/>
    <s v="Feminino"/>
    <x v="0"/>
    <x v="7"/>
    <s v="50000160 - Fisioterapia Ortopedica (R$ 49,72)"/>
    <s v="Fisioterapia"/>
    <s v="42263120260305415598"/>
    <s v="Finalizado (3/10)"/>
    <n v="43.753599999999999"/>
    <n v="5.9664000000000001"/>
    <n v="49.72"/>
    <s v="Sessão a Faturar"/>
    <s v="010033652753"/>
    <n v="27217"/>
    <s v="Unidade Vieralves (ANEXO)"/>
    <s v="42263120260305415598"/>
    <m/>
  </r>
  <r>
    <x v="17"/>
    <x v="37"/>
    <s v="Simone Ferreira Marinho da Silva"/>
    <m/>
    <x v="2"/>
    <x v="7"/>
    <s v="20103492 - Fisioterapia - Patologia Em Dois Ou Mais Membros (R$ 14,83)"/>
    <s v="Fisioterapia"/>
    <n v="1708925208"/>
    <s v="Finalizado (1/5)"/>
    <n v="13.0504"/>
    <n v="1.7796000000000001"/>
    <n v="14.83"/>
    <s v="Sessão Faturada"/>
    <n v="775426001635010"/>
    <n v="59543"/>
    <s v="Unidade Vieralves (ANEXO)"/>
    <n v="1708925208"/>
    <m/>
  </r>
  <r>
    <x v="17"/>
    <x v="37"/>
    <s v="Cristiane Gomes Barcelar Gonçalves"/>
    <s v="Feminino"/>
    <x v="0"/>
    <x v="7"/>
    <s v="31602185 - Estimulação Elétrica Transcutânea Fisioterapia (Novo - 01/12) (R$ 54,13)"/>
    <s v="Fisioterapia"/>
    <s v="42263120260305415649"/>
    <s v="Finalizado (3/10)"/>
    <n v="47.634399999999999"/>
    <n v="6.4955999999999996"/>
    <n v="54.13"/>
    <s v="Sessão a Faturar"/>
    <s v="010033652753"/>
    <n v="27217"/>
    <s v="Unidade Vieralves (ANEXO)"/>
    <s v="42263120260305415649"/>
    <m/>
  </r>
  <r>
    <x v="17"/>
    <x v="37"/>
    <s v="Walter Jose Firmo Gonçalves Filho"/>
    <s v="Masculino"/>
    <x v="0"/>
    <x v="7"/>
    <s v="31602185 - Estimulação Elétrica Transcutânea Fisioterapia (Novo - 01/12) (R$ 54,13)"/>
    <s v="Fisioterapia"/>
    <s v="42263120260311457584"/>
    <s v="Finalizado (2/10)"/>
    <n v="47.634399999999999"/>
    <n v="6.4955999999999996"/>
    <n v="54.13"/>
    <s v="Sessão a Faturar"/>
    <s v="010033652700"/>
    <n v="41064"/>
    <s v="Unidade Vieralves (ANEXO)"/>
    <s v="42263120260311457584"/>
    <s v="Guia assinada! 02/04"/>
  </r>
  <r>
    <x v="17"/>
    <x v="39"/>
    <s v="Claudia Ferreira de Souza Cutar"/>
    <s v="Feminino"/>
    <x v="6"/>
    <x v="7"/>
    <s v="20103484 - Patologia Em Um Membro (R$ 14,16), 20103506 - Patologia Em Um Segmento da Coluna (R$ 14,16)"/>
    <s v="Fisioterapia"/>
    <n v="170418"/>
    <s v="Não compareceu (3/5)"/>
    <n v="28.32"/>
    <n v="0"/>
    <n v="28.32"/>
    <s v="Sessão a Faturar"/>
    <s v="54588888010050710012"/>
    <n v="9658"/>
    <s v="Unidade Vieralves (ANEXO)"/>
    <n v="170418"/>
    <m/>
  </r>
  <r>
    <x v="17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6/10)"/>
    <n v="30.8"/>
    <n v="4.2"/>
    <n v="35"/>
    <s v="Sessão Faturada"/>
    <s v="0901010162540294"/>
    <n v="53890"/>
    <s v="Unidade Vieralves (ANEXO)"/>
    <n v="9107766"/>
    <m/>
  </r>
  <r>
    <x v="17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4/10)"/>
    <n v="30.8"/>
    <n v="4.2"/>
    <n v="35"/>
    <s v="Sessão Faturada"/>
    <n v="1901010162540100"/>
    <n v="53882"/>
    <s v="Unidade Vieralves (ANEXO)"/>
    <n v="9158214"/>
    <m/>
  </r>
  <r>
    <x v="17"/>
    <x v="39"/>
    <s v="Osvaldo Bezerra Junior"/>
    <s v="Masculino"/>
    <x v="6"/>
    <x v="7"/>
    <s v="20103484 - Patologia Em Um Membro (R$ 14,16)"/>
    <s v="Fisioterapia"/>
    <n v="170884"/>
    <s v="Finalizado (2/5)"/>
    <n v="12.460800000000001"/>
    <n v="1.6992"/>
    <n v="14.16"/>
    <s v="Sessão a Faturar"/>
    <s v="54588888001634210010"/>
    <n v="17814"/>
    <s v="Unidade Vieralves (ANEXO)"/>
    <n v="170884"/>
    <m/>
  </r>
  <r>
    <x v="17"/>
    <x v="64"/>
    <s v="Osvaldo Bezerra Junior"/>
    <s v="Masculino"/>
    <x v="6"/>
    <x v="7"/>
    <s v="31602185 - Estimulação Elétrica Transcutanea (Tens) (R$ 40,00)"/>
    <s v="Fisioterapia"/>
    <n v="170885"/>
    <s v="Finalizado (2/5)"/>
    <n v="35.200000000000003"/>
    <n v="4.8"/>
    <n v="40"/>
    <s v="Sessão a Faturar"/>
    <s v="54588888001634210010"/>
    <n v="17814"/>
    <s v="Unidade Vieralves (ANEXO)"/>
    <n v="170885"/>
    <s v="GUIA ASSINADA"/>
  </r>
  <r>
    <x v="17"/>
    <x v="64"/>
    <s v="Claudia Ferreira de Souza Cutar"/>
    <s v="Feminino"/>
    <x v="6"/>
    <x v="7"/>
    <s v="31602185 - Estimulação Elétrica Transcutanea (Tens) (R$ 40,00)"/>
    <s v="Fisioterapia"/>
    <n v="170419"/>
    <s v="Não compareceu (3/5)"/>
    <n v="40"/>
    <n v="0"/>
    <n v="40"/>
    <s v="Sessão a Faturar"/>
    <s v="54588888010050710012"/>
    <n v="9658"/>
    <s v="Unidade Vieralves (ANEXO)"/>
    <n v="170419"/>
    <m/>
  </r>
  <r>
    <x v="17"/>
    <x v="43"/>
    <s v="Ediane da Silveira Vieira"/>
    <s v="Feminino"/>
    <x v="2"/>
    <x v="7"/>
    <s v="20103484 - Fisioterapia - Patologia Em Um Membro (R$ 12,22)"/>
    <s v="Fisioterapia"/>
    <n v="1707881370"/>
    <s v="Finalizado (2/10)"/>
    <n v="10.7536"/>
    <n v="1.4663999999999999"/>
    <n v="12.22"/>
    <s v="Sessão Faturada"/>
    <n v="775262001287000"/>
    <n v="17985"/>
    <s v="Unidade Vieralves (ANEXO)"/>
    <n v="1707881370"/>
    <m/>
  </r>
  <r>
    <x v="17"/>
    <x v="43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6/10)"/>
    <n v="30.8"/>
    <n v="4.2"/>
    <n v="35"/>
    <s v="Sessão Faturada"/>
    <s v="0903006735450160"/>
    <n v="58787"/>
    <s v="Unidade Vieralves (ANEXO)"/>
    <n v="9032635"/>
    <m/>
  </r>
  <r>
    <x v="17"/>
    <x v="43"/>
    <s v="Alison Moura da Gama"/>
    <s v="Masculino"/>
    <x v="6"/>
    <x v="7"/>
    <s v="20103484 - Patologia Em Um Membro (R$ 14,16)"/>
    <s v="Fisioterapia"/>
    <n v="168892"/>
    <s v="Finalizado (4/5)"/>
    <n v="12.460800000000001"/>
    <n v="1.6992"/>
    <n v="14.16"/>
    <s v="Sessão a Faturar"/>
    <s v="54588888460743530017"/>
    <n v="44296"/>
    <s v="Unidade Vieralves (ANEXO)"/>
    <n v="168892"/>
    <m/>
  </r>
  <r>
    <x v="17"/>
    <x v="66"/>
    <s v="Alison Moura da Gama"/>
    <s v="Masculino"/>
    <x v="6"/>
    <x v="7"/>
    <s v="31602185 - Estimulação Elétrica Transcutanea (Tens) (R$ 40,00)"/>
    <s v="Fisioterapia"/>
    <n v="169463"/>
    <s v="Finalizado (4/5)"/>
    <n v="35.200000000000003"/>
    <n v="4.8"/>
    <n v="40"/>
    <s v="Sessão a Faturar"/>
    <s v="54588888460743530017"/>
    <n v="44296"/>
    <s v="Unidade Vieralves (ANEXO)"/>
    <n v="169463"/>
    <m/>
  </r>
  <r>
    <x v="17"/>
    <x v="66"/>
    <s v="Ediane da Silveira Vieira"/>
    <s v="Feminino"/>
    <x v="2"/>
    <x v="7"/>
    <s v="20103115 - Atividade Reflexa Cinesioterápica (R$ 20,81)"/>
    <s v="Fisioterapia"/>
    <n v="1707882475"/>
    <s v="Finalizado (2/2)"/>
    <n v="18.312799999999999"/>
    <n v="2.4971999999999999"/>
    <n v="20.81"/>
    <s v="Sessão Faturada"/>
    <n v="775262001287000"/>
    <n v="17985"/>
    <s v="Unidade Vieralves (ANEXO)"/>
    <n v="1707882475"/>
    <m/>
  </r>
  <r>
    <x v="18"/>
    <x v="44"/>
    <s v="Alice Viana Franklin"/>
    <s v="Feminino"/>
    <x v="2"/>
    <x v="7"/>
    <s v="20103514 - Fisioterapia - Patologia Em Diferentes Segmentos da Coluna (R$ 14,83)"/>
    <s v="Fisioterapia"/>
    <n v="1707684981"/>
    <s v="Finalizado (3/5)"/>
    <n v="13.0504"/>
    <n v="1.7796000000000001"/>
    <n v="14.83"/>
    <s v="Sessão Faturada"/>
    <n v="812980300922010"/>
    <n v="59437"/>
    <s v="Unidade Vieralves (ANEXO)"/>
    <n v="1707684981"/>
    <m/>
  </r>
  <r>
    <x v="18"/>
    <x v="44"/>
    <s v="Ilza Maria  Drumond Vilaça"/>
    <s v="Feminino"/>
    <x v="2"/>
    <x v="7"/>
    <s v="20103484 - Fisioterapia - Patologia Em Um Membro (R$ 12,22)"/>
    <s v="Fisioterapia"/>
    <n v="1707783576"/>
    <s v="Finalizado (3/5)"/>
    <n v="10.7536"/>
    <n v="1.4663999999999999"/>
    <n v="12.22"/>
    <s v="Sessão Faturada"/>
    <n v="843486100140010"/>
    <n v="49639"/>
    <s v="Unidade Vieralves (ANEXO)"/>
    <n v="1707783576"/>
    <m/>
  </r>
  <r>
    <x v="18"/>
    <x v="60"/>
    <s v="Alice Viana Franklin"/>
    <s v="Feminino"/>
    <x v="2"/>
    <x v="7"/>
    <s v="20103115 - Atividade Reflexa Cinesioterápica (R$ 20,81)"/>
    <s v="Fisioterapia"/>
    <n v="1707686277"/>
    <s v="Finalizado (3/3)"/>
    <n v="18.312799999999999"/>
    <n v="2.4971999999999999"/>
    <n v="20.81"/>
    <s v="Sessão Faturada"/>
    <n v="812980300922010"/>
    <n v="59437"/>
    <s v="Unidade Vieralves (ANEXO)"/>
    <n v="1707686277"/>
    <m/>
  </r>
  <r>
    <x v="18"/>
    <x v="60"/>
    <s v="Ilza Maria  Drumond Vilaça"/>
    <s v="Feminino"/>
    <x v="2"/>
    <x v="7"/>
    <s v="20103115 - Atividade Reflexa Cinesioterápica (R$ 20,81)"/>
    <s v="Fisioterapia"/>
    <n v="1707787266"/>
    <s v="Finalizado (3/3)"/>
    <n v="18.312799999999999"/>
    <n v="2.4971999999999999"/>
    <n v="20.81"/>
    <s v="Sessão Faturada"/>
    <n v="843486100140010"/>
    <n v="49639"/>
    <s v="Unidade Vieralves (ANEXO)"/>
    <n v="1707787266"/>
    <m/>
  </r>
  <r>
    <x v="18"/>
    <x v="41"/>
    <s v="Jacineide Garcia de Carvalho Neves"/>
    <m/>
    <x v="0"/>
    <x v="7"/>
    <s v="50000160 - Fisioterapia Ortopedica (R$ 49,72)"/>
    <s v="Fisioterapia"/>
    <s v="42263120260219312725"/>
    <s v="Finalizado (7/10)"/>
    <n v="43.753599999999999"/>
    <n v="5.9664000000000001"/>
    <n v="49.72"/>
    <s v="Sessão Faturada"/>
    <s v="010650432906"/>
    <n v="59393"/>
    <s v="Unidade Vieralves (ANEXO)"/>
    <s v="42263120260219312725"/>
    <m/>
  </r>
  <r>
    <x v="18"/>
    <x v="41"/>
    <s v="Enio Nichollas Cordeiro Tavares"/>
    <s v="Masculino"/>
    <x v="2"/>
    <x v="7"/>
    <s v="20103514 - Fisioterapia - Patologia Em Diferentes Segmentos da Coluna (R$ 14,83)"/>
    <s v="Fisioterapia"/>
    <n v="1704153322"/>
    <s v="Finalizado (2/4)"/>
    <n v="13.0504"/>
    <n v="1.7796000000000001"/>
    <n v="14.83"/>
    <s v="Sessão Faturada"/>
    <n v="774642022675010"/>
    <n v="59077"/>
    <s v="Unidade Vieralves (ANEXO)"/>
    <n v="1704153322"/>
    <m/>
  </r>
  <r>
    <x v="18"/>
    <x v="41"/>
    <s v="Maria Eduarda Valente Oliveira"/>
    <s v="Feminino"/>
    <x v="2"/>
    <x v="7"/>
    <s v="20103484 - Fisioterapia - Patologia Em Um Membro (R$ 12,22)"/>
    <s v="Fisioterapia"/>
    <n v="1699678646"/>
    <s v="Finalizado (4/4)"/>
    <n v="10.7536"/>
    <n v="1.4663999999999999"/>
    <n v="12.22"/>
    <s v="Sessão Faturada"/>
    <n v="774642030210000"/>
    <n v="59322"/>
    <s v="Unidade Vieralves (ANEXO)"/>
    <n v="1699678646"/>
    <m/>
  </r>
  <r>
    <x v="18"/>
    <x v="41"/>
    <s v="Eloise Miranda dos Santos"/>
    <s v="Feminino"/>
    <x v="2"/>
    <x v="7"/>
    <s v="20103506 - Fisioterapia - Patologia Em Um Segmento da Coluna (R$ 12,22)"/>
    <s v="Fisioterapia"/>
    <n v="1709465706"/>
    <s v="Finalizado (1/10)"/>
    <n v="10.7536"/>
    <n v="1.4663999999999999"/>
    <n v="12.22"/>
    <s v="Sessão a Faturar"/>
    <n v="774642019992020"/>
    <n v="56839"/>
    <s v="Unidade Vieralves (ANEXO)"/>
    <n v="1709465706"/>
    <m/>
  </r>
  <r>
    <x v="18"/>
    <x v="41"/>
    <s v="Jacineide Garcia de Carvalho Neves"/>
    <m/>
    <x v="0"/>
    <x v="7"/>
    <s v="31602185 - Estimulação Elétrica Transcutânea Fisioterapia (Novo - 01/12) (R$ 54,13)"/>
    <s v="Fisioterapia"/>
    <s v="42263120260219312753"/>
    <s v="Finalizado (7/10)"/>
    <n v="47.634399999999999"/>
    <n v="6.4955999999999996"/>
    <n v="54.13"/>
    <s v="Sessão Faturada"/>
    <s v="010650432906"/>
    <n v="59393"/>
    <s v="Unidade Vieralves (ANEXO)"/>
    <s v="42263120260219312753"/>
    <m/>
  </r>
  <r>
    <x v="18"/>
    <x v="65"/>
    <s v="Eloise Miranda dos Santos"/>
    <s v="Feminino"/>
    <x v="2"/>
    <x v="7"/>
    <s v="20103115 - Atividade Reflexa Cinesioterápica (R$ 20,81)"/>
    <s v="Fisioterapia"/>
    <n v="1709467073"/>
    <s v="Finalizado (1/1)"/>
    <n v="18.312799999999999"/>
    <n v="2.4971999999999999"/>
    <n v="20.81"/>
    <s v="Sessão Faturada"/>
    <n v="774642019992020"/>
    <n v="56839"/>
    <s v="Unidade Vieralves (ANEXO)"/>
    <n v="1709467073"/>
    <m/>
  </r>
  <r>
    <x v="18"/>
    <x v="65"/>
    <s v="Enio Nichollas Cordeiro Tavares"/>
    <s v="Masculino"/>
    <x v="2"/>
    <x v="7"/>
    <s v="20103115 - Atividade Reflexa Cinesioterápica (R$ 20,81)"/>
    <s v="Fisioterapia"/>
    <n v="1704154513"/>
    <s v="Finalizado (2/2)"/>
    <n v="18.312799999999999"/>
    <n v="2.4971999999999999"/>
    <n v="20.81"/>
    <s v="Sessão Faturada"/>
    <n v="774642022675010"/>
    <n v="59077"/>
    <s v="Unidade Vieralves (ANEXO)"/>
    <n v="1704154513"/>
    <m/>
  </r>
  <r>
    <x v="18"/>
    <x v="65"/>
    <s v="Maria Eduarda Valente Oliveira"/>
    <s v="Feminino"/>
    <x v="2"/>
    <x v="7"/>
    <s v="20103115 - Atividade Reflexa Cinesioterápica (R$ 20,81)"/>
    <s v="Fisioterapia"/>
    <n v="1699678906"/>
    <s v="Finalizado (4/4)"/>
    <n v="18.312799999999999"/>
    <n v="2.4971999999999999"/>
    <n v="20.81"/>
    <s v="Sessão Faturada"/>
    <n v="774642030210000"/>
    <n v="59322"/>
    <s v="Unidade Vieralves (ANEXO)"/>
    <n v="1699678906"/>
    <m/>
  </r>
  <r>
    <x v="18"/>
    <x v="36"/>
    <s v="Bruno Barbosa dos Santos"/>
    <s v="Masculino"/>
    <x v="8"/>
    <x v="7"/>
    <s v="20103662 - Pos Operatorio Em Um Membro (R$ 14,99)"/>
    <s v="Fisioterapia"/>
    <n v="1709475907"/>
    <s v="Finalizado (1/10)"/>
    <n v="13.1912"/>
    <n v="1.7988"/>
    <n v="14.99"/>
    <s v="Sessão a Faturar"/>
    <n v="954600007650010"/>
    <n v="59241"/>
    <s v="Unidade Vieralves (ANEXO)"/>
    <n v="1709475907"/>
    <m/>
  </r>
  <r>
    <x v="18"/>
    <x v="36"/>
    <s v="Francisca Queiroz de Souza"/>
    <s v="Feminino"/>
    <x v="20"/>
    <x v="7"/>
    <s v="20103484 - Patologia Em Um Membro (R$ 29,04)"/>
    <s v="Fisioterapia"/>
    <n v="55545960"/>
    <s v="Finalizado (3/5)"/>
    <n v="25.555199999999999"/>
    <n v="3.4847999999999999"/>
    <n v="29.04"/>
    <s v="Sessão Faturada"/>
    <n v="10511000650703"/>
    <n v="59271"/>
    <s v="Unidade Vieralves (ANEXO)"/>
    <n v="55545960"/>
    <m/>
  </r>
  <r>
    <x v="18"/>
    <x v="61"/>
    <s v="Bruno Barbosa dos Santos"/>
    <s v="Masculino"/>
    <x v="8"/>
    <x v="7"/>
    <s v="20103115 - Atividade Reflexa Cinesioterápica (R$ 20,81)"/>
    <s v="Fisioterapia"/>
    <n v="1709477304"/>
    <s v="Finalizado (1/1)"/>
    <n v="18.312799999999999"/>
    <n v="2.4971999999999999"/>
    <n v="20.81"/>
    <s v="Sessão Faturada"/>
    <n v="954600007650010"/>
    <n v="59241"/>
    <s v="Unidade Vieralves (ANEXO)"/>
    <n v="1709477304"/>
    <m/>
  </r>
  <r>
    <x v="18"/>
    <x v="40"/>
    <s v="Adriana Saboia Oviedo Molinari"/>
    <m/>
    <x v="1"/>
    <x v="7"/>
    <s v="50000160 - Fisioterapia Ortopédica (R$ 20,00), 98980327 - Taxa de Eletroterapia (Tens) (R$ 15,00)"/>
    <s v="Fisioterapia"/>
    <n v="8823875"/>
    <s v="Finalizado (8/10)"/>
    <n v="30.8"/>
    <n v="4.2"/>
    <n v="35"/>
    <s v="Sessão Faturada"/>
    <s v="0701010972150119"/>
    <n v="59006"/>
    <s v="Unidade Vieralves (ANEXO)"/>
    <n v="8823875"/>
    <m/>
  </r>
  <r>
    <x v="18"/>
    <x v="40"/>
    <s v="Edred Calixto de Araujo"/>
    <m/>
    <x v="2"/>
    <x v="7"/>
    <s v="20103492 - Fisioterapia - Patologia Em Dois Ou Mais Membros (R$ 14,83)"/>
    <s v="Fisioterapia"/>
    <n v="1707871986"/>
    <s v="Finalizado (4/5)"/>
    <n v="13.0504"/>
    <n v="1.7796000000000001"/>
    <n v="14.83"/>
    <s v="Sessão Faturada"/>
    <n v="893331302429000"/>
    <n v="59541"/>
    <s v="Unidade Vieralves (ANEXO)"/>
    <n v="1707871986"/>
    <m/>
  </r>
  <r>
    <x v="18"/>
    <x v="45"/>
    <s v="Edred Calixto de Araujo"/>
    <m/>
    <x v="2"/>
    <x v="7"/>
    <s v="20103115 - Atividade Reflexa Cinesioterápica (R$ 20,81)"/>
    <s v="Fisioterapia"/>
    <n v="1707873218"/>
    <s v="Finalizado (4/4)"/>
    <n v="18.312799999999999"/>
    <n v="2.4971999999999999"/>
    <n v="20.81"/>
    <s v="Sessão Faturada"/>
    <n v="893331302429000"/>
    <n v="59541"/>
    <s v="Unidade Vieralves (ANEXO)"/>
    <n v="1707873218"/>
    <m/>
  </r>
  <r>
    <x v="18"/>
    <x v="35"/>
    <s v="Simone Batista Ferreira"/>
    <s v="Feminino"/>
    <x v="2"/>
    <x v="7"/>
    <s v="20103484 - Fisioterapia - Patologia Em Um Membro (R$ 12,22)"/>
    <s v="Fisioterapia"/>
    <n v="1706781175"/>
    <s v="Finalizado (3/4)"/>
    <n v="10.7536"/>
    <n v="1.4663999999999999"/>
    <n v="12.22"/>
    <s v="Sessão Faturada"/>
    <n v="775494004987010"/>
    <n v="39292"/>
    <s v="Unidade Vieralves (ANEXO)"/>
    <n v="1706781175"/>
    <m/>
  </r>
  <r>
    <x v="18"/>
    <x v="35"/>
    <s v="Andreya Fabiana Rodrigues Cavalcante"/>
    <s v="Feminino"/>
    <x v="2"/>
    <x v="7"/>
    <s v="20103484 - Fisioterapia - Patologia Em Um Membro (R$ 12,22)"/>
    <s v="Fisioterapia"/>
    <n v="1706210841"/>
    <s v="Finalizado (4/5)"/>
    <n v="10.7536"/>
    <n v="1.4663999999999999"/>
    <n v="12.22"/>
    <s v="Sessão Faturada"/>
    <n v="811494100019040"/>
    <n v="59418"/>
    <s v="Unidade Vieralves (ANEXO)"/>
    <n v="1706210841"/>
    <m/>
  </r>
  <r>
    <x v="18"/>
    <x v="42"/>
    <s v="Andreya Fabiana Rodrigues Cavalcante"/>
    <s v="Feminino"/>
    <x v="2"/>
    <x v="7"/>
    <s v="20103115 - Atividade Reflexa Cinesioterápica (R$ 20,81)"/>
    <s v="Fisioterapia"/>
    <n v="1706211649"/>
    <s v="Finalizado (4/4)"/>
    <n v="18.312799999999999"/>
    <n v="2.4971999999999999"/>
    <n v="20.81"/>
    <s v="Sessão Faturada"/>
    <n v="811494100019040"/>
    <n v="59418"/>
    <s v="Unidade Vieralves (ANEXO)"/>
    <n v="1706211649"/>
    <m/>
  </r>
  <r>
    <x v="18"/>
    <x v="42"/>
    <s v="Simone Batista Ferreira"/>
    <s v="Feminino"/>
    <x v="2"/>
    <x v="7"/>
    <s v="20103115 - Atividade Reflexa Cinesioterápica (R$ 20,81)"/>
    <s v="Fisioterapia"/>
    <n v="1706782040"/>
    <s v="Finalizado (3/3)"/>
    <n v="18.312799999999999"/>
    <n v="2.4971999999999999"/>
    <n v="20.81"/>
    <s v="Sessão Faturada"/>
    <n v="775494004987010"/>
    <n v="39292"/>
    <s v="Unidade Vieralves (ANEXO)"/>
    <n v="1706782040"/>
    <m/>
  </r>
  <r>
    <x v="18"/>
    <x v="38"/>
    <s v="Simone Ferreira Marinho da Silva"/>
    <m/>
    <x v="2"/>
    <x v="7"/>
    <s v="20103492 - Fisioterapia - Patologia Em Dois Ou Mais Membros (R$ 14,83)"/>
    <s v="Fisioterapia"/>
    <n v="1708925208"/>
    <s v="Finalizado (2/5)"/>
    <n v="13.0504"/>
    <n v="1.7796000000000001"/>
    <n v="14.83"/>
    <s v="Sessão Faturada"/>
    <n v="775426001635010"/>
    <n v="59543"/>
    <s v="Unidade Vieralves (ANEXO)"/>
    <n v="1708925208"/>
    <m/>
  </r>
  <r>
    <x v="18"/>
    <x v="38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5/9)"/>
    <n v="30.8"/>
    <n v="4.2"/>
    <n v="35"/>
    <s v="Sessão Faturada"/>
    <s v="0901013218730128"/>
    <n v="59450"/>
    <s v="Unidade Vieralves (ANEXO)"/>
    <n v="9025442"/>
    <m/>
  </r>
  <r>
    <x v="18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7/10)"/>
    <n v="30.8"/>
    <n v="4.2"/>
    <n v="35"/>
    <s v="Sessão Faturada"/>
    <s v="0901010162540294"/>
    <n v="53890"/>
    <s v="Unidade Vieralves (ANEXO)"/>
    <n v="9107766"/>
    <m/>
  </r>
  <r>
    <x v="18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5/10)"/>
    <n v="30.8"/>
    <n v="4.2"/>
    <n v="35"/>
    <s v="Sessão Faturada"/>
    <n v="1901010162540100"/>
    <n v="53882"/>
    <s v="Unidade Vieralves (ANEXO)"/>
    <n v="9158214"/>
    <m/>
  </r>
  <r>
    <x v="18"/>
    <x v="51"/>
    <s v="Ediane da Silveira Vieira"/>
    <s v="Feminino"/>
    <x v="2"/>
    <x v="7"/>
    <s v="20103484 - Fisioterapia - Patologia Em Um Membro (R$ 12,22)"/>
    <s v="Fisioterapia"/>
    <n v="1707881370"/>
    <s v="Finalizado (3/10)"/>
    <n v="10.7536"/>
    <n v="1.4663999999999999"/>
    <n v="12.22"/>
    <s v="Sessão Faturada"/>
    <n v="775262001287000"/>
    <n v="17985"/>
    <s v="Unidade Vieralves (ANEXO)"/>
    <n v="1707881370"/>
    <m/>
  </r>
  <r>
    <x v="22"/>
    <x v="44"/>
    <s v="Alice Viana Franklin"/>
    <s v="Feminino"/>
    <x v="2"/>
    <x v="7"/>
    <s v="20103514 - Fisioterapia - Patologia Em Diferentes Segmentos da Coluna (R$ 14,83)"/>
    <s v="Fisioterapia"/>
    <n v="1707684981"/>
    <s v="Finalizado (4/5)"/>
    <n v="13.0504"/>
    <n v="1.7796000000000001"/>
    <n v="14.83"/>
    <s v="Sessão Faturada"/>
    <n v="812980300922010"/>
    <n v="59437"/>
    <s v="Unidade Vieralves (ANEXO)"/>
    <n v="1707684981"/>
    <m/>
  </r>
  <r>
    <x v="22"/>
    <x v="44"/>
    <s v="Bruno Marques da Silva"/>
    <s v="Masculino"/>
    <x v="6"/>
    <x v="7"/>
    <s v="20103506 - Patologia Em Um Segmento da Coluna (R$ 14,16)"/>
    <s v="Fisioterapia"/>
    <n v="170504"/>
    <s v="Finalizado (2/4)"/>
    <n v="12.460800000000001"/>
    <n v="1.6992"/>
    <n v="14.16"/>
    <s v="Sessão a Faturar"/>
    <s v="51588888485478760019"/>
    <n v="59478"/>
    <s v="Unidade Vieralves (ANEXO)"/>
    <n v="170504"/>
    <m/>
  </r>
  <r>
    <x v="22"/>
    <x v="44"/>
    <s v="Ilza Maria  Drumond Vilaça"/>
    <s v="Feminino"/>
    <x v="2"/>
    <x v="7"/>
    <s v="20103484 - Fisioterapia - Patologia Em Um Membro (R$ 12,22)"/>
    <s v="Fisioterapia"/>
    <n v="1707783576"/>
    <s v="Finalizado (4/5)"/>
    <n v="10.7536"/>
    <n v="1.4663999999999999"/>
    <n v="12.22"/>
    <s v="Sessão Faturada"/>
    <n v="843486100140010"/>
    <n v="49639"/>
    <s v="Unidade Vieralves (ANEXO)"/>
    <n v="1707783576"/>
    <m/>
  </r>
  <r>
    <x v="22"/>
    <x v="60"/>
    <s v="Bruno Marques da Silva"/>
    <s v="Masculino"/>
    <x v="6"/>
    <x v="7"/>
    <s v="31602185 - Estimulação Elétrica Transcutanea (Tens) (R$ 40,00)"/>
    <s v="Fisioterapia"/>
    <n v="170505"/>
    <s v="Finalizado (2/4)"/>
    <n v="35.200000000000003"/>
    <n v="4.8"/>
    <n v="40"/>
    <s v="Sessão a Faturar"/>
    <s v="51588888485478760019"/>
    <n v="59478"/>
    <s v="Unidade Vieralves (ANEXO)"/>
    <n v="170505"/>
    <m/>
  </r>
  <r>
    <x v="22"/>
    <x v="41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6/9)"/>
    <n v="30.8"/>
    <n v="4.2"/>
    <n v="35"/>
    <s v="Sessão Faturada"/>
    <s v="0901013218730128"/>
    <n v="59450"/>
    <s v="Unidade Vieralves (ANEXO)"/>
    <n v="9025442"/>
    <m/>
  </r>
  <r>
    <x v="22"/>
    <x v="41"/>
    <s v="Mayco Grijó da Silva"/>
    <s v="Masculino"/>
    <x v="7"/>
    <x v="7"/>
    <s v="Vieiralves - 1 - Fisioterapia Ortopedica - Pacote (R$ 40,00)"/>
    <s v="Fisioterapia"/>
    <m/>
    <s v="Finalizado (1/10)"/>
    <n v="31.2"/>
    <n v="8.8000000000000007"/>
    <n v="40"/>
    <s v="Pago"/>
    <n v="0"/>
    <n v="59587"/>
    <s v="Unidade Vieralves (ANEXO)"/>
    <m/>
    <m/>
  </r>
  <r>
    <x v="22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5/10)"/>
    <n v="30.8"/>
    <n v="4.2"/>
    <n v="35"/>
    <s v="Sessão Faturada"/>
    <n v="2001013187450100"/>
    <n v="59108"/>
    <s v="Unidade Vieralves (ANEXO)"/>
    <n v="9100774"/>
    <m/>
  </r>
  <r>
    <x v="22"/>
    <x v="36"/>
    <s v="Roberson Paulo da Silva"/>
    <s v="Masculino"/>
    <x v="2"/>
    <x v="7"/>
    <s v="20103484 - Fisioterapia - Patologia Em Um Membro (R$ 12,22)"/>
    <s v="Fisioterapia"/>
    <n v="1710104606"/>
    <s v="Finalizado (1/3)"/>
    <n v="10.7536"/>
    <n v="1.4663999999999999"/>
    <n v="12.22"/>
    <s v="Sessão Faturada"/>
    <n v="898927800019020"/>
    <n v="53881"/>
    <s v="Unidade Vieralves (ANEXO)"/>
    <n v="1710104606"/>
    <m/>
  </r>
  <r>
    <x v="22"/>
    <x v="40"/>
    <s v="Rita de Cassia Saraiva Nunomura"/>
    <s v="Feminino"/>
    <x v="1"/>
    <x v="7"/>
    <s v="50000144 - Consulta de Fisioterapia (R$ 16,00)"/>
    <s v="Fisioterapia"/>
    <n v="9281048"/>
    <s v="Finalizado (1/1)"/>
    <n v="14.4"/>
    <n v="1.6"/>
    <n v="16"/>
    <s v="Sessão Faturada"/>
    <n v="901013262310200"/>
    <n v="52486"/>
    <s v="Unidade Vieralves (ANEXO)"/>
    <n v="9281048"/>
    <m/>
  </r>
  <r>
    <x v="22"/>
    <x v="40"/>
    <s v="Edred Calixto de Araujo"/>
    <m/>
    <x v="2"/>
    <x v="7"/>
    <s v="20103492 - Fisioterapia - Patologia Em Dois Ou Mais Membros (R$ 14,83)"/>
    <s v="Fisioterapia"/>
    <n v="1707871986"/>
    <s v="Finalizado (5/5)"/>
    <n v="13.0504"/>
    <n v="1.7796000000000001"/>
    <n v="14.83"/>
    <s v="Sessão Faturada"/>
    <n v="893331302429000"/>
    <n v="59541"/>
    <s v="Unidade Vieralves (ANEXO)"/>
    <n v="1707871986"/>
    <m/>
  </r>
  <r>
    <x v="22"/>
    <x v="40"/>
    <s v="Samira Farias Costa de Souza"/>
    <s v="Feminino"/>
    <x v="2"/>
    <x v="7"/>
    <s v="20103484 - Fisioterapia - Patologia Em Um Membro (R$ 12,22)"/>
    <s v="Fisioterapia"/>
    <n v="1709716473"/>
    <s v="Finalizado (2/10)"/>
    <n v="10.7536"/>
    <n v="1.4663999999999999"/>
    <n v="12.22"/>
    <s v="Sessão Faturada"/>
    <n v="774981013048010"/>
    <n v="59585"/>
    <s v="Unidade Vieralves (ANEXO)"/>
    <n v="1709716473"/>
    <m/>
  </r>
  <r>
    <x v="22"/>
    <x v="40"/>
    <s v="Ingrid Roseane Magno Viana"/>
    <s v="Feminino"/>
    <x v="8"/>
    <x v="7"/>
    <s v="20103484 - Patologia Em Um Membro (R$ 12,22)"/>
    <s v="Fisioterapia"/>
    <n v="1707774004"/>
    <s v="Finalizado (3/5)"/>
    <n v="10.7536"/>
    <n v="1.4663999999999999"/>
    <n v="12.22"/>
    <s v="Sessão Faturada"/>
    <n v="954440006904010"/>
    <n v="58326"/>
    <s v="Unidade Vieralves (ANEXO)"/>
    <n v="1707774004"/>
    <m/>
  </r>
  <r>
    <x v="22"/>
    <x v="45"/>
    <s v="Edred Calixto de Araujo"/>
    <m/>
    <x v="4"/>
    <x v="7"/>
    <s v="31602185 - Estimulação Elétrica Transcutânea - Removido 13/04/2026 (R$ 40,00)"/>
    <s v="Fisioterapia"/>
    <n v="1710139606"/>
    <s v="Finalizado (1/1)"/>
    <n v="35.200000000000003"/>
    <n v="4.8"/>
    <n v="40"/>
    <s v="Sessão Faturada"/>
    <n v="893331302429000"/>
    <n v="59541"/>
    <s v="Unidade Vieralves (ANEXO)"/>
    <n v="1710139606"/>
    <m/>
  </r>
  <r>
    <x v="22"/>
    <x v="45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1/10)"/>
    <n v="30.8"/>
    <n v="4.2"/>
    <n v="35"/>
    <s v="Sessão Faturada"/>
    <n v="901013262310200"/>
    <n v="52486"/>
    <s v="Unidade Vieralves (ANEXO)"/>
    <n v="9287218"/>
    <s v="Guia assinada! 07/04"/>
  </r>
  <r>
    <x v="22"/>
    <x v="35"/>
    <s v="Rafaele Lima Melo"/>
    <s v="Feminino"/>
    <x v="1"/>
    <x v="7"/>
    <s v="50000160 - Fisioterapia Ortopédica (R$ 20,00), 98980327 - Taxa de Eletroterapia (Tens) (R$ 15,00)"/>
    <s v="Fisioterapia"/>
    <n v="9129842"/>
    <s v="Finalizado (5/8)"/>
    <n v="30.8"/>
    <n v="4.2"/>
    <n v="35"/>
    <s v="Sessão Faturada"/>
    <s v="0901013958740470"/>
    <n v="59498"/>
    <s v="Unidade Vieralves (ANEXO)"/>
    <n v="9129842"/>
    <m/>
  </r>
  <r>
    <x v="22"/>
    <x v="35"/>
    <s v="Andreya Fabiana Rodrigues Cavalcante"/>
    <s v="Feminino"/>
    <x v="2"/>
    <x v="7"/>
    <s v="20103484 - Fisioterapia - Patologia Em Um Membro (R$ 12,22)"/>
    <s v="Fisioterapia"/>
    <n v="1706210841"/>
    <s v="Finalizado (5/5)"/>
    <n v="10.7536"/>
    <n v="1.4663999999999999"/>
    <n v="12.22"/>
    <s v="Sessão Faturada"/>
    <n v="811494100019040"/>
    <n v="59418"/>
    <s v="Unidade Vieralves (ANEXO)"/>
    <n v="1706210841"/>
    <m/>
  </r>
  <r>
    <x v="22"/>
    <x v="38"/>
    <s v="Alessandra Silveira Rocha"/>
    <s v="Feminino"/>
    <x v="2"/>
    <x v="7"/>
    <s v="20103492 - Fisioterapia - Patologia Em Dois Ou Mais Membros (R$ 14,83)"/>
    <s v="Fisioterapia"/>
    <n v="1707002611"/>
    <s v="Finalizado (3/10)"/>
    <n v="13.0504"/>
    <n v="1.7796000000000001"/>
    <n v="14.83"/>
    <s v="Sessão a Faturar"/>
    <n v="774063023809020"/>
    <n v="58966"/>
    <s v="Unidade Vieralves (ANEXO)"/>
    <n v="1707002611"/>
    <m/>
  </r>
  <r>
    <x v="22"/>
    <x v="37"/>
    <s v="Roberleno Ferreira de Souza"/>
    <m/>
    <x v="7"/>
    <x v="7"/>
    <s v="Vieiralves - 1 - Fisioterapia Ortopedica - Pacote (R$ 40,00)"/>
    <s v="Fisioterapia"/>
    <m/>
    <s v="Finalizado (3/10)"/>
    <n v="31.2"/>
    <n v="8.8000000000000007"/>
    <n v="40"/>
    <s v="No Prazo"/>
    <n v="0"/>
    <n v="59545"/>
    <s v="Unidade Vieralves (ANEXO)"/>
    <m/>
    <m/>
  </r>
  <r>
    <x v="22"/>
    <x v="39"/>
    <s v="Sidnea Batista Vieira"/>
    <s v="Feminino"/>
    <x v="17"/>
    <x v="7"/>
    <s v="50000160 - Fisioterapia Ortopedica (R$ 45,00)"/>
    <s v="Fisioterapia"/>
    <n v="3981027"/>
    <s v="Finalizado (3/10)"/>
    <n v="39.6"/>
    <n v="5.4"/>
    <n v="45"/>
    <s v="Sessão a Faturar"/>
    <s v="000915777624101"/>
    <n v="56158"/>
    <s v="Unidade Vieralves (ANEXO)"/>
    <n v="3981027"/>
    <m/>
  </r>
  <r>
    <x v="22"/>
    <x v="39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5/10)"/>
    <n v="30.8"/>
    <n v="4.2"/>
    <n v="35"/>
    <s v="Sessão Faturada"/>
    <s v="0503007111620017"/>
    <n v="58376"/>
    <s v="Unidade Vieralves (ANEXO)"/>
    <n v="8769159"/>
    <s v="Guia assinada! 20/02"/>
  </r>
  <r>
    <x v="22"/>
    <x v="39"/>
    <s v="Claudia Ferreira de Souza Cutar"/>
    <s v="Feminino"/>
    <x v="6"/>
    <x v="7"/>
    <s v="20103484 - Patologia Em Um Membro (R$ 14,16), 20103506 - Patologia Em Um Segmento da Coluna (R$ 14,16)"/>
    <s v="Fisioterapia"/>
    <n v="170418"/>
    <s v="Finalizado (4/5)"/>
    <n v="24.921600000000002"/>
    <n v="3.3984000000000001"/>
    <n v="28.32"/>
    <s v="Sessão a Faturar"/>
    <s v="54588888010050710012"/>
    <n v="9658"/>
    <s v="Unidade Vieralves (ANEXO)"/>
    <n v="170418"/>
    <m/>
  </r>
  <r>
    <x v="22"/>
    <x v="64"/>
    <s v="Claudia Ferreira de Souza Cutar"/>
    <s v="Feminino"/>
    <x v="6"/>
    <x v="7"/>
    <s v="31602185 - Estimulação Elétrica Transcutanea (Tens) (R$ 40,00)"/>
    <s v="Fisioterapia"/>
    <n v="170419"/>
    <s v="Finalizado (4/5)"/>
    <n v="35.200000000000003"/>
    <n v="4.8"/>
    <n v="40"/>
    <s v="Sessão a Faturar"/>
    <s v="54588888010050710012"/>
    <n v="9658"/>
    <s v="Unidade Vieralves (ANEXO)"/>
    <n v="170419"/>
    <m/>
  </r>
  <r>
    <x v="22"/>
    <x v="43"/>
    <s v="Alison Moura da Gama"/>
    <s v="Masculino"/>
    <x v="6"/>
    <x v="7"/>
    <s v="20103484 - Patologia Em Um Membro (R$ 14,16)"/>
    <s v="Fisioterapia"/>
    <n v="168892"/>
    <s v="Finalizado (5/5)"/>
    <n v="12.460800000000001"/>
    <n v="1.6992"/>
    <n v="14.16"/>
    <s v="Sessão a Faturar"/>
    <s v="54588888460743530017"/>
    <n v="44296"/>
    <s v="Unidade Vieralves (ANEXO)"/>
    <n v="168892"/>
    <m/>
  </r>
  <r>
    <x v="22"/>
    <x v="43"/>
    <s v="Eberth Lucas Vasconcelos de Santana"/>
    <s v="Masculino"/>
    <x v="7"/>
    <x v="7"/>
    <s v="Vieiralves - 1 - Fisioterapia Ortopedica - Pacote (R$ 40,00)"/>
    <s v="Fisioterapia"/>
    <n v="171209"/>
    <s v="Finalizado (1/10)"/>
    <n v="31.2"/>
    <n v="8.8000000000000007"/>
    <n v="40"/>
    <s v="No Prazo"/>
    <s v="00"/>
    <n v="59597"/>
    <s v="Unidade Vieralves (ANEXO)"/>
    <n v="171209"/>
    <m/>
  </r>
  <r>
    <x v="22"/>
    <x v="43"/>
    <s v="Osvaldo Bezerra Junior"/>
    <s v="Masculino"/>
    <x v="6"/>
    <x v="7"/>
    <s v="31602185 - Estimulação Elétrica Transcutanea (Tens) (R$ 40,00)"/>
    <s v="Fisioterapia"/>
    <n v="170885"/>
    <s v="Finalizado (3/5)"/>
    <n v="35.200000000000003"/>
    <n v="4.8"/>
    <n v="40"/>
    <s v="Sessão a Faturar"/>
    <s v="54588888001634210010"/>
    <n v="17814"/>
    <s v="Unidade Vieralves (ANEXO)"/>
    <n v="170885"/>
    <s v="GUIA ASSINADA"/>
  </r>
  <r>
    <x v="22"/>
    <x v="66"/>
    <s v="Alison Moura da Gama"/>
    <s v="Masculino"/>
    <x v="6"/>
    <x v="7"/>
    <s v="31602185 - Estimulação Elétrica Transcutanea (Tens) (R$ 40,00)"/>
    <s v="Fisioterapia"/>
    <n v="169463"/>
    <s v="Finalizado (5/5)"/>
    <n v="35.200000000000003"/>
    <n v="4.8"/>
    <n v="40"/>
    <s v="Sessão a Faturar"/>
    <s v="54588888460743530017"/>
    <n v="44296"/>
    <s v="Unidade Vieralves (ANEXO)"/>
    <n v="169463"/>
    <m/>
  </r>
  <r>
    <x v="22"/>
    <x v="66"/>
    <s v="Osvaldo Bezerra Junior"/>
    <s v="Masculino"/>
    <x v="6"/>
    <x v="7"/>
    <s v="20103484 - Patologia Em Um Membro (R$ 14,16)"/>
    <s v="Fisioterapia"/>
    <n v="170884"/>
    <s v="Finalizado (4/5)"/>
    <n v="12.460800000000001"/>
    <n v="1.6992"/>
    <n v="14.16"/>
    <s v="Sessão a Faturar"/>
    <s v="54588888001634210010"/>
    <n v="17814"/>
    <s v="Unidade Vieralves (ANEXO)"/>
    <n v="170884"/>
    <m/>
  </r>
  <r>
    <x v="22"/>
    <x v="22"/>
    <s v="Jandui Diniz Araujo"/>
    <s v="Masculino"/>
    <x v="2"/>
    <x v="7"/>
    <s v="20103492 - Fisioterapia - Patologia Em Dois Ou Mais Membros (R$ 14,83)"/>
    <s v="Fisioterapia"/>
    <n v="1706378880"/>
    <s v="Finalizado (5/10)"/>
    <n v="13.0504"/>
    <n v="1.7796000000000001"/>
    <n v="14.83"/>
    <s v="Sessão Faturada"/>
    <n v="836407200035000"/>
    <n v="42187"/>
    <s v="Unidade Vieiralves"/>
    <n v="1706378880"/>
    <m/>
  </r>
  <r>
    <x v="22"/>
    <x v="0"/>
    <s v="Maria de Nazare Frota de Oliveira"/>
    <s v="Feminino"/>
    <x v="1"/>
    <x v="7"/>
    <s v="50000160 - Fisioterapia Ortopédica (R$ 20,00), 98980327 - Taxa de Eletroterapia (Tens) (R$ 15,00)"/>
    <s v="Fisioterapia"/>
    <n v="9245426"/>
    <s v="Finalizado (2/10)"/>
    <n v="30.8"/>
    <n v="4.2"/>
    <n v="35"/>
    <s v="Sessão Faturada"/>
    <s v="0501013884910089"/>
    <n v="59237"/>
    <s v="Unidade Vieiralves"/>
    <n v="9245426"/>
    <m/>
  </r>
  <r>
    <x v="22"/>
    <x v="0"/>
    <s v="Ruan Sayone Braga e Silva"/>
    <s v="Masculino"/>
    <x v="19"/>
    <x v="7"/>
    <s v="20103484 - Patol. Em Um Membro (R$ 58,02)"/>
    <s v="Fisioterapia"/>
    <n v="5923220"/>
    <s v="Finalizado (2/4)"/>
    <n v="51.057600000000001"/>
    <n v="6.9623999999999997"/>
    <n v="58.02"/>
    <s v="Sessão Faturada"/>
    <s v="0001000129480069"/>
    <n v="50056"/>
    <s v="Unidade Vieiralves"/>
    <n v="5923220"/>
    <m/>
  </r>
  <r>
    <x v="22"/>
    <x v="2"/>
    <s v="Suely Borges da Silva"/>
    <s v="Feminino"/>
    <x v="6"/>
    <x v="7"/>
    <s v="20103492 - Patologia Em Dois Ou Mais Membros (R$ 30,26)"/>
    <s v="Fisioterapia"/>
    <n v="171356"/>
    <s v="Finalizado (1/5)"/>
    <n v="26.628799999999998"/>
    <n v="3.6312000000000002"/>
    <n v="30.26"/>
    <s v="Sessão a Faturar"/>
    <s v="55788888489898650014"/>
    <n v="59150"/>
    <s v="Unidade Vieiralves"/>
    <n v="171356"/>
    <m/>
  </r>
  <r>
    <x v="22"/>
    <x v="2"/>
    <s v="Anna Danielle Oliveira dos Santos Cardozo"/>
    <s v="Feminino"/>
    <x v="2"/>
    <x v="7"/>
    <s v="20103492 - Fisioterapia - Patologia Em Dois Ou Mais Membros (R$ 14,83)"/>
    <s v="Fisioterapia"/>
    <n v="1706457872"/>
    <s v="Finalizado (5/10)"/>
    <n v="13.0504"/>
    <n v="1.7796000000000001"/>
    <n v="14.83"/>
    <s v="Sessão a Faturar"/>
    <n v="830416700230010"/>
    <n v="57193"/>
    <s v="Unidade Vieiralves"/>
    <n v="1706457872"/>
    <m/>
  </r>
  <r>
    <x v="22"/>
    <x v="3"/>
    <s v="Suely Borges da Silva"/>
    <s v="Feminino"/>
    <x v="6"/>
    <x v="7"/>
    <s v="31602185 - Estimulação Elétrica Transcutanea (Tens) (R$ 40,00)"/>
    <s v="Fisioterapia"/>
    <n v="171361"/>
    <s v="Finalizado (1/5)"/>
    <n v="35.200000000000003"/>
    <n v="4.8"/>
    <n v="40"/>
    <s v="Sessão a Faturar"/>
    <s v="55788888489898650014"/>
    <n v="59150"/>
    <s v="Unidade Vieiralves"/>
    <n v="171361"/>
    <m/>
  </r>
  <r>
    <x v="22"/>
    <x v="4"/>
    <s v="Thereza Janara Sarmanho Lima"/>
    <s v="Feminino"/>
    <x v="1"/>
    <x v="7"/>
    <s v="50000144 - Consulta de Fisioterapia (R$ 16,00)"/>
    <s v="Fisioterapia"/>
    <n v="9294971"/>
    <s v="Finalizado (1/1)"/>
    <n v="14.4"/>
    <n v="1.6"/>
    <n v="16"/>
    <s v="Sessão Faturada"/>
    <n v="1301013043650000"/>
    <n v="57993"/>
    <s v="Unidade Vieiralves"/>
    <n v="9294971"/>
    <m/>
  </r>
  <r>
    <x v="22"/>
    <x v="4"/>
    <s v="Joao Augusto de Oliveira Lopes"/>
    <s v="Masculino"/>
    <x v="1"/>
    <x v="7"/>
    <s v="50000160 - Fisioterapia Ortopédica (R$ 20,00), 98980327 - Taxa de Eletroterapia (Tens) (R$ 15,00)"/>
    <s v="Fisioterapia"/>
    <n v="9086970"/>
    <s v="Finalizado (5/10)"/>
    <n v="30.8"/>
    <n v="4.2"/>
    <n v="35"/>
    <s v="Sessão Faturada"/>
    <s v="0501012567250102"/>
    <n v="59272"/>
    <s v="Unidade Vieiralves"/>
    <n v="9086970"/>
    <m/>
  </r>
  <r>
    <x v="22"/>
    <x v="5"/>
    <s v="Thereza Janara Sarmanho Lima"/>
    <s v="Feminino"/>
    <x v="1"/>
    <x v="7"/>
    <s v="50000160 - Fisioterapia Ortopédica (R$ 20,00), 98980327 - Taxa de Eletroterapia (Tens) (R$ 15,00)"/>
    <s v="Fisioterapia"/>
    <n v="9317870"/>
    <s v="Finalizado (1/10)"/>
    <n v="30.8"/>
    <n v="4.2"/>
    <n v="35"/>
    <s v="Sessão Faturada"/>
    <n v="1301013043650000"/>
    <n v="57993"/>
    <s v="Unidade Vieiralves"/>
    <n v="9317870"/>
    <s v="Guia assinada!"/>
  </r>
  <r>
    <x v="22"/>
    <x v="13"/>
    <s v="Fernanda Santos Fachinello"/>
    <s v="Feminino"/>
    <x v="1"/>
    <x v="7"/>
    <s v="50000160 - Fisioterapia Ortopédica (R$ 20,00), 98980327 - Taxa de Eletroterapia (Tens) (R$ 15,00)"/>
    <s v="Fisioterapia"/>
    <n v="9167027"/>
    <s v="Finalizado (5/10)"/>
    <n v="30.8"/>
    <n v="4.2"/>
    <n v="35"/>
    <s v="Sessão Faturada"/>
    <n v="1301014095850300"/>
    <n v="21927"/>
    <s v="Unidade Vieiralves"/>
    <n v="9167027"/>
    <m/>
  </r>
  <r>
    <x v="22"/>
    <x v="13"/>
    <s v="Frank Figueiredo Cesar"/>
    <s v="Feminino"/>
    <x v="2"/>
    <x v="7"/>
    <s v="20103514 - Fisioterapia - Patologia Em Diferentes Segmentos da Coluna (R$ 14,83)"/>
    <s v="Fisioterapia"/>
    <n v="1709180301"/>
    <s v="Finalizado (2/4)"/>
    <n v="13.0504"/>
    <n v="1.7796000000000001"/>
    <n v="14.83"/>
    <s v="Sessão Faturada"/>
    <n v="840382100019010"/>
    <n v="59567"/>
    <s v="Unidade Vieiralves"/>
    <n v="1709180301"/>
    <m/>
  </r>
  <r>
    <x v="22"/>
    <x v="13"/>
    <s v="Maria Louzeni Oliveira de Almeida"/>
    <s v="Feminino"/>
    <x v="16"/>
    <x v="7"/>
    <s v="50000160 - Fisioterapia Ortopedica (R$ 25,00)"/>
    <s v="Fisioterapia"/>
    <n v="171125"/>
    <s v="Finalizado (1/10)"/>
    <n v="22"/>
    <n v="3"/>
    <n v="25"/>
    <s v="Sessão a Faturar"/>
    <n v="4094"/>
    <n v="56831"/>
    <s v="Unidade Vieiralves"/>
    <n v="171125"/>
    <m/>
  </r>
  <r>
    <x v="22"/>
    <x v="14"/>
    <s v="Frank Figueiredo Cesar"/>
    <s v="Feminino"/>
    <x v="2"/>
    <x v="7"/>
    <s v="20103115 - Atividade Reflexa Cinesioterápica (R$ 20,81)"/>
    <s v="Fisioterapia"/>
    <n v="1709181154"/>
    <s v="Finalizado (2/2)"/>
    <n v="18.312799999999999"/>
    <n v="2.4971999999999999"/>
    <n v="20.81"/>
    <s v="Sessão Faturada"/>
    <n v="840382100019010"/>
    <n v="59567"/>
    <s v="Unidade Vieiralves"/>
    <n v="1709181154"/>
    <m/>
  </r>
  <r>
    <x v="22"/>
    <x v="6"/>
    <s v="Felipe Lunieri dos Santos"/>
    <s v="Masculino"/>
    <x v="2"/>
    <x v="7"/>
    <s v="20103484 - Fisioterapia - Patologia Em Um Membro (R$ 12,22)"/>
    <s v="Fisioterapia"/>
    <n v="1706986367"/>
    <s v="Finalizado (3/5)"/>
    <n v="10.7536"/>
    <n v="1.4663999999999999"/>
    <n v="12.22"/>
    <s v="Sessão Faturada"/>
    <n v="774642009164010"/>
    <n v="43924"/>
    <s v="Unidade Vieiralves"/>
    <n v="1706986367"/>
    <m/>
  </r>
  <r>
    <x v="22"/>
    <x v="15"/>
    <s v="Elisa Marinho França"/>
    <s v="Feminino"/>
    <x v="1"/>
    <x v="7"/>
    <s v="50000144 - Consulta de Fisioterapia (R$ 16,00)"/>
    <s v="Fisioterapia"/>
    <n v="9297793"/>
    <s v="Finalizado (1/1)"/>
    <n v="14.4"/>
    <n v="1.6"/>
    <n v="16"/>
    <s v="Sessão Faturada"/>
    <s v="0701013703740256"/>
    <n v="56443"/>
    <s v="Unidade Vieiralves"/>
    <n v="9297793"/>
    <m/>
  </r>
  <r>
    <x v="22"/>
    <x v="15"/>
    <s v="Nauber de Castro Guimarães"/>
    <s v="Masculino"/>
    <x v="1"/>
    <x v="7"/>
    <s v="50000160 - Fisioterapia Ortopédica (R$ 20,00), 98980327 - Taxa de Eletroterapia (Tens) (R$ 15,00)"/>
    <s v="Fisioterapia"/>
    <n v="9299524"/>
    <s v="Finalizado (1/7)"/>
    <n v="30.8"/>
    <n v="4.2"/>
    <n v="35"/>
    <s v="Sessão Faturada"/>
    <n v="1901012887750100"/>
    <n v="44369"/>
    <s v="Unidade Vieiralves"/>
    <n v="9299524"/>
    <m/>
  </r>
  <r>
    <x v="22"/>
    <x v="15"/>
    <s v="Elisa Marinho França"/>
    <s v="Feminino"/>
    <x v="1"/>
    <x v="7"/>
    <s v="50000160 - Fisioterapia Ortopédica (R$ 20,00), 98980327 - Taxa de Eletroterapia (Tens) (R$ 15,00)"/>
    <s v="Fisioterapia"/>
    <n v="9297956"/>
    <s v="Finalizado (1/10)"/>
    <n v="30.8"/>
    <n v="4.2"/>
    <n v="35"/>
    <s v="Sessão Faturada"/>
    <s v="0701013703740256"/>
    <n v="56443"/>
    <s v="Unidade Vieiralves"/>
    <n v="9297956"/>
    <m/>
  </r>
  <r>
    <x v="22"/>
    <x v="17"/>
    <s v="Anthony Jesus Farias Villarroel"/>
    <s v="Masculino"/>
    <x v="8"/>
    <x v="7"/>
    <s v="20103484 - Patologia Em Um Membro (R$ 12,22)"/>
    <s v="Fisioterapia"/>
    <n v="1710475319"/>
    <s v="Finalizado (1/5)"/>
    <n v="10.7536"/>
    <n v="1.4663999999999999"/>
    <n v="12.22"/>
    <s v="Sessão a Faturar"/>
    <n v="954600016969020"/>
    <n v="53566"/>
    <s v="Unidade Vieiralves"/>
    <n v="1710475319"/>
    <m/>
  </r>
  <r>
    <x v="22"/>
    <x v="18"/>
    <s v="Anthony Jesus Farias Villarroel"/>
    <s v="Masculino"/>
    <x v="9"/>
    <x v="7"/>
    <s v="31602185 - Estimulação Elétrica Transcutânea (Tens) - Removido 13/04/2026 (R$ 40,00)"/>
    <s v="Fisioterapia"/>
    <n v="1709227578"/>
    <s v="Finalizado (3/5)"/>
    <n v="35.200000000000003"/>
    <n v="4.8"/>
    <n v="40"/>
    <s v="Sessão Faturada"/>
    <n v="954600016969020"/>
    <n v="53566"/>
    <s v="Unidade Vieiralves"/>
    <n v="1709227578"/>
    <m/>
  </r>
  <r>
    <x v="22"/>
    <x v="8"/>
    <s v="Vania Maria Lima da Silva Aracaty"/>
    <s v="Feminino"/>
    <x v="5"/>
    <x v="7"/>
    <s v="98860011 - Fisioterapia Complexidade 1 (R$ 55,26)"/>
    <s v="Fisioterapia"/>
    <n v="79185120"/>
    <s v="Finalizado (1/10)"/>
    <n v="48.628799999999998"/>
    <n v="6.6311999999999998"/>
    <n v="55.26"/>
    <s v="Sessão a Faturar"/>
    <s v="0100275211060174"/>
    <n v="56455"/>
    <s v="Unidade Vieiralves"/>
    <n v="79185120"/>
    <m/>
  </r>
  <r>
    <x v="22"/>
    <x v="9"/>
    <s v="Vania Maria Lima da Silva Aracaty"/>
    <s v="Feminino"/>
    <x v="5"/>
    <x v="7"/>
    <s v="31602185 - Estimulação Elétrica Transcutânea (Tens) (R$ 125,40)"/>
    <s v="Fisioterapia"/>
    <n v="79185170"/>
    <s v="Finalizado (1/10)"/>
    <n v="110.352"/>
    <n v="15.048"/>
    <n v="125.4"/>
    <s v="Sessão a Faturar"/>
    <s v="0100275211060174"/>
    <n v="56455"/>
    <s v="Unidade Vieiralves"/>
    <n v="79185170"/>
    <m/>
  </r>
  <r>
    <x v="22"/>
    <x v="10"/>
    <s v="Antonio Jorge Martins de Queiroz"/>
    <s v="Masculino"/>
    <x v="10"/>
    <x v="7"/>
    <s v="50000160 - Fisioterapia Ortopédica (R$ 15,00)"/>
    <s v="Fisioterapia"/>
    <n v="15098530"/>
    <s v="Finalizado (4/10)"/>
    <n v="13.2"/>
    <n v="1.8"/>
    <n v="15"/>
    <s v="Sessão Faturada"/>
    <s v="00010064268023001"/>
    <n v="59517"/>
    <s v="Unidade Vieiralves"/>
    <n v="15098530"/>
    <m/>
  </r>
  <r>
    <x v="22"/>
    <x v="12"/>
    <s v="Vanderson de Lima Silva"/>
    <s v="Masculino"/>
    <x v="0"/>
    <x v="7"/>
    <s v="50000160 - Fisioterapia Ortopedica (R$ 49,72)"/>
    <s v="Fisioterapia"/>
    <s v="42263120260227372403"/>
    <s v="Finalizado (4/10)"/>
    <n v="43.753599999999999"/>
    <n v="5.9664000000000001"/>
    <n v="49.72"/>
    <s v="Sessão Faturada"/>
    <s v="010245156200"/>
    <n v="42714"/>
    <s v="Unidade Vieiralves"/>
    <s v="42263120260227372403"/>
    <m/>
  </r>
  <r>
    <x v="22"/>
    <x v="12"/>
    <s v="Pedro Balsini Peixoto Porto"/>
    <s v="Masculino"/>
    <x v="2"/>
    <x v="7"/>
    <s v="20103492 - Fisioterapia - Patologia Em Dois Ou Mais Membros (R$ 14,83)"/>
    <s v="Fisioterapia"/>
    <n v="1703877097"/>
    <s v="Finalizado (5/5)"/>
    <n v="13.0504"/>
    <n v="1.7796000000000001"/>
    <n v="14.83"/>
    <s v="Sessão a Faturar"/>
    <n v="893331300736020"/>
    <n v="59321"/>
    <s v="Unidade Vieiralves"/>
    <n v="1703877097"/>
    <m/>
  </r>
  <r>
    <x v="22"/>
    <x v="12"/>
    <s v="Cizia Freitas de Silva Costa"/>
    <s v="Feminino"/>
    <x v="2"/>
    <x v="7"/>
    <s v="20103492 - Fisioterapia - Patologia Em Dois Ou Mais Membros (R$ 14,83)"/>
    <s v="Fisioterapia"/>
    <n v="1709241178"/>
    <s v="Finalizado (2/6)"/>
    <n v="13.0504"/>
    <n v="1.7796000000000001"/>
    <n v="14.83"/>
    <s v="Sessão a Faturar"/>
    <n v="960016147089050"/>
    <n v="46973"/>
    <s v="Unidade Vieiralves"/>
    <n v="1709241178"/>
    <m/>
  </r>
  <r>
    <x v="22"/>
    <x v="12"/>
    <s v="Isaac Castelo Branco Encarnação"/>
    <s v="Masculino"/>
    <x v="1"/>
    <x v="7"/>
    <s v="50000217 - Fisioterapia Pré e Pós Operatória (R$ 25,00), 98980327 - Taxa de Eletroterapia (Tens) (R$ 15,00)"/>
    <s v="Fisioterapia"/>
    <n v="8855365"/>
    <s v="Finalizado (9/10)"/>
    <n v="35.200000000000003"/>
    <n v="4.8"/>
    <n v="40"/>
    <s v="Sessão Faturada"/>
    <s v="0201013611300006"/>
    <n v="41139"/>
    <s v="Unidade Vieiralves"/>
    <n v="8855365"/>
    <m/>
  </r>
  <r>
    <x v="22"/>
    <x v="19"/>
    <s v="Vanderson de Lima Silva"/>
    <s v="Masculino"/>
    <x v="0"/>
    <x v="7"/>
    <s v="31602185 - Estimulação Elétrica Transcutânea Fisioterapia (Novo - 01/12) (R$ 54,13)"/>
    <s v="Fisioterapia"/>
    <s v="42263120260227372449"/>
    <s v="Finalizado (4/10)"/>
    <n v="47.634399999999999"/>
    <n v="6.4955999999999996"/>
    <n v="54.13"/>
    <s v="Sessão Faturada"/>
    <s v="010245156200"/>
    <n v="42714"/>
    <s v="Unidade Vieiralves"/>
    <s v="42263120260227372449"/>
    <m/>
  </r>
  <r>
    <x v="19"/>
    <x v="44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7/9)"/>
    <n v="30.8"/>
    <n v="4.2"/>
    <n v="35"/>
    <s v="Sessão Faturada"/>
    <s v="0901013218730128"/>
    <n v="59450"/>
    <s v="Unidade Vieralves (ANEXO)"/>
    <n v="9025442"/>
    <m/>
  </r>
  <r>
    <x v="19"/>
    <x v="44"/>
    <s v="Alice Viana Franklin"/>
    <s v="Feminino"/>
    <x v="2"/>
    <x v="7"/>
    <s v="20103514 - Fisioterapia - Patologia Em Diferentes Segmentos da Coluna (R$ 14,83)"/>
    <s v="Fisioterapia"/>
    <n v="1707684981"/>
    <s v="Finalizado (5/5)"/>
    <n v="13.0504"/>
    <n v="1.7796000000000001"/>
    <n v="14.83"/>
    <s v="Sessão Faturada"/>
    <n v="812980300922010"/>
    <n v="59437"/>
    <s v="Unidade Vieralves (ANEXO)"/>
    <n v="1707684981"/>
    <m/>
  </r>
  <r>
    <x v="19"/>
    <x v="44"/>
    <s v="Francisca Queiroz de Souza"/>
    <s v="Feminino"/>
    <x v="20"/>
    <x v="7"/>
    <s v="20103484 - Patologia Em Um Membro (R$ 29,04)"/>
    <s v="Fisioterapia"/>
    <n v="55545960"/>
    <s v="Finalizado (4/5)"/>
    <n v="25.555199999999999"/>
    <n v="3.4847999999999999"/>
    <n v="29.04"/>
    <s v="Sessão Faturada"/>
    <n v="10511000650703"/>
    <n v="59271"/>
    <s v="Unidade Vieralves (ANEXO)"/>
    <n v="55545960"/>
    <m/>
  </r>
  <r>
    <x v="19"/>
    <x v="44"/>
    <s v="Ilza Maria  Drumond Vilaça"/>
    <s v="Feminino"/>
    <x v="2"/>
    <x v="7"/>
    <s v="20103484 - Fisioterapia - Patologia Em Um Membro (R$ 12,22)"/>
    <s v="Fisioterapia"/>
    <n v="1707783576"/>
    <s v="Finalizado (5/5)"/>
    <n v="10.7536"/>
    <n v="1.4663999999999999"/>
    <n v="12.22"/>
    <s v="Sessão Faturada"/>
    <n v="843486100140010"/>
    <n v="49639"/>
    <s v="Unidade Vieralves (ANEXO)"/>
    <n v="1707783576"/>
    <m/>
  </r>
  <r>
    <x v="19"/>
    <x v="60"/>
    <s v="Ilza Maria  Drumond Vilaça"/>
    <s v="Feminino"/>
    <x v="4"/>
    <x v="7"/>
    <s v="31602185 - Estimulação Elétrica Transcutânea - Removido 13/04/2026 (R$ 40,00)"/>
    <s v="Fisioterapia"/>
    <n v="1710681815"/>
    <s v="Finalizado (1/6)"/>
    <n v="35.200000000000003"/>
    <n v="4.8"/>
    <n v="40"/>
    <s v="Sessão Faturada"/>
    <n v="843486100140010"/>
    <n v="49639"/>
    <s v="Unidade Vieralves (ANEXO)"/>
    <n v="1710681815"/>
    <m/>
  </r>
  <r>
    <x v="19"/>
    <x v="41"/>
    <s v="Enio Nichollas Cordeiro Tavares"/>
    <s v="Masculino"/>
    <x v="2"/>
    <x v="7"/>
    <s v="20103514 - Fisioterapia - Patologia Em Diferentes Segmentos da Coluna (R$ 14,83)"/>
    <s v="Fisioterapia"/>
    <n v="1704153322"/>
    <s v="Finalizado (4/4)"/>
    <n v="13.0504"/>
    <n v="1.7796000000000001"/>
    <n v="14.83"/>
    <s v="Sessão Faturada"/>
    <n v="774642022675010"/>
    <n v="59077"/>
    <s v="Unidade Vieralves (ANEXO)"/>
    <n v="1704153322"/>
    <m/>
  </r>
  <r>
    <x v="19"/>
    <x v="41"/>
    <s v="Nikolas Ygor do Nascimento Pereira"/>
    <s v="Masculino"/>
    <x v="16"/>
    <x v="7"/>
    <s v="50000160 - Fisioterapia Ortopedica (R$ 25,00)"/>
    <s v="Fisioterapia"/>
    <n v="171235"/>
    <s v="Finalizado (1/10)"/>
    <n v="22"/>
    <n v="3"/>
    <n v="25"/>
    <s v="Sessão a Faturar"/>
    <n v="30003889"/>
    <n v="56597"/>
    <s v="Unidade Vieralves (ANEXO)"/>
    <n v="171235"/>
    <m/>
  </r>
  <r>
    <x v="19"/>
    <x v="41"/>
    <s v="Jacineide Garcia de Carvalho Neves"/>
    <m/>
    <x v="0"/>
    <x v="7"/>
    <s v="50000160 - Fisioterapia Ortopedica (R$ 49,72)"/>
    <s v="Fisioterapia"/>
    <s v="42263120260219312725"/>
    <s v="Finalizado (8/10)"/>
    <n v="43.753599999999999"/>
    <n v="5.9664000000000001"/>
    <n v="49.72"/>
    <s v="Sessão Faturada"/>
    <s v="010650432906"/>
    <n v="59393"/>
    <s v="Unidade Vieralves (ANEXO)"/>
    <s v="42263120260219312725"/>
    <m/>
  </r>
  <r>
    <x v="19"/>
    <x v="65"/>
    <s v="Jacineide Garcia de Carvalho Neves"/>
    <m/>
    <x v="0"/>
    <x v="7"/>
    <s v="31602185 - Estimulação Elétrica Transcutânea Fisioterapia (Novo - 01/12) (R$ 54,13)"/>
    <s v="Fisioterapia"/>
    <s v="42263120260219312753"/>
    <s v="Finalizado (8/10)"/>
    <n v="47.634399999999999"/>
    <n v="6.4955999999999996"/>
    <n v="54.13"/>
    <s v="Sessão Faturada"/>
    <s v="010650432906"/>
    <n v="59393"/>
    <s v="Unidade Vieralves (ANEXO)"/>
    <s v="42263120260219312753"/>
    <m/>
  </r>
  <r>
    <x v="19"/>
    <x v="36"/>
    <s v="Lucivaldo Junio da Silva Pinto"/>
    <s v="Masculino"/>
    <x v="2"/>
    <x v="7"/>
    <s v="20103492 - Fisioterapia - Patologia Em Dois Ou Mais Membros (R$ 14,83)"/>
    <s v="Fisioterapia"/>
    <n v="1710658907"/>
    <s v="Finalizado (1/6)"/>
    <n v="13.0504"/>
    <n v="1.7796000000000001"/>
    <n v="14.83"/>
    <s v="Sessão a Faturar"/>
    <n v="770179018740010"/>
    <n v="55925"/>
    <s v="Unidade Vieralves (ANEXO)"/>
    <n v="1710658907"/>
    <m/>
  </r>
  <r>
    <x v="19"/>
    <x v="36"/>
    <s v="Mayco Grijó da Silva"/>
    <s v="Masculino"/>
    <x v="7"/>
    <x v="7"/>
    <s v="Vieiralves - 1 - Fisioterapia Ortopedica - Pacote (R$ 40,00)"/>
    <s v="Fisioterapia"/>
    <m/>
    <s v="Finalizado (2/10)"/>
    <n v="31.2"/>
    <n v="8.8000000000000007"/>
    <n v="40"/>
    <s v="Pago"/>
    <n v="0"/>
    <n v="59587"/>
    <s v="Unidade Vieralves (ANEXO)"/>
    <m/>
    <m/>
  </r>
  <r>
    <x v="19"/>
    <x v="36"/>
    <s v="Bruno Barbosa dos Santos"/>
    <s v="Masculino"/>
    <x v="8"/>
    <x v="7"/>
    <s v="20103662 - Pos Operatorio Em Um Membro (R$ 14,99)"/>
    <s v="Fisioterapia"/>
    <n v="1709475907"/>
    <s v="Finalizado (2/10)"/>
    <n v="13.1912"/>
    <n v="1.7988"/>
    <n v="14.99"/>
    <s v="Sessão a Faturar"/>
    <n v="954600007650010"/>
    <n v="59241"/>
    <s v="Unidade Vieralves (ANEXO)"/>
    <n v="1709475907"/>
    <m/>
  </r>
  <r>
    <x v="19"/>
    <x v="61"/>
    <s v="Bruno Barbosa dos Santos"/>
    <s v="Masculino"/>
    <x v="9"/>
    <x v="7"/>
    <s v="31602185 - Estimulação Elétrica Transcutânea (Tens) - Removido 13/04/2026 (R$ 40,00)"/>
    <s v="Fisioterapia"/>
    <n v="1710720618"/>
    <s v="Finalizado (1/10)"/>
    <n v="35.200000000000003"/>
    <n v="4.8"/>
    <n v="40"/>
    <s v="Sessão a Faturar"/>
    <n v="954600007650010"/>
    <n v="59241"/>
    <s v="Unidade Vieralves (ANEXO)"/>
    <n v="1710720618"/>
    <m/>
  </r>
  <r>
    <x v="19"/>
    <x v="40"/>
    <s v="Adriana Saboia Oviedo Molinari"/>
    <m/>
    <x v="1"/>
    <x v="7"/>
    <s v="50000160 - Fisioterapia Ortopédica (R$ 20,00), 98980327 - Taxa de Eletroterapia (Tens) (R$ 15,00)"/>
    <s v="Fisioterapia"/>
    <n v="8823875"/>
    <s v="Finalizado (9/10)"/>
    <n v="30.8"/>
    <n v="4.2"/>
    <n v="35"/>
    <s v="Sessão Faturada"/>
    <s v="0701010972150119"/>
    <n v="59006"/>
    <s v="Unidade Vieralves (ANEXO)"/>
    <n v="8823875"/>
    <m/>
  </r>
  <r>
    <x v="19"/>
    <x v="35"/>
    <s v="Simone Batista Ferreira"/>
    <s v="Feminino"/>
    <x v="2"/>
    <x v="7"/>
    <s v="20103484 - Fisioterapia - Patologia Em Um Membro (R$ 12,22)"/>
    <s v="Fisioterapia"/>
    <n v="1706781175"/>
    <s v="Finalizado (4/4)"/>
    <n v="10.7536"/>
    <n v="1.4663999999999999"/>
    <n v="12.22"/>
    <s v="Sessão Faturada"/>
    <n v="775494004987010"/>
    <n v="39292"/>
    <s v="Unidade Vieralves (ANEXO)"/>
    <n v="1706781175"/>
    <m/>
  </r>
  <r>
    <x v="19"/>
    <x v="35"/>
    <s v="Andreya Fabiana Rodrigues Cavalcante"/>
    <s v="Feminino"/>
    <x v="2"/>
    <x v="7"/>
    <s v="20103484 - Fisioterapia - Patologia Em Um Membro (R$ 12,22)"/>
    <s v="Fisioterapia"/>
    <n v="1710785843"/>
    <s v="Finalizado (1/3)"/>
    <n v="10.7536"/>
    <n v="1.4663999999999999"/>
    <n v="12.22"/>
    <s v="Sessão Faturada"/>
    <n v="811494100019040"/>
    <n v="59418"/>
    <s v="Unidade Vieralves (ANEXO)"/>
    <n v="1710785843"/>
    <m/>
  </r>
  <r>
    <x v="19"/>
    <x v="38"/>
    <s v="Simone Ferreira Marinho da Silva"/>
    <m/>
    <x v="2"/>
    <x v="7"/>
    <s v="20103492 - Fisioterapia - Patologia Em Dois Ou Mais Membros (R$ 14,83)"/>
    <s v="Fisioterapia"/>
    <n v="1708925208"/>
    <s v="Finalizado (3/5)"/>
    <n v="13.0504"/>
    <n v="1.7796000000000001"/>
    <n v="14.83"/>
    <s v="Sessão Faturada"/>
    <n v="775426001635010"/>
    <n v="59543"/>
    <s v="Unidade Vieralves (ANEXO)"/>
    <n v="1708925208"/>
    <m/>
  </r>
  <r>
    <x v="19"/>
    <x v="62"/>
    <s v="Simone Ferreira Marinho da Silva"/>
    <m/>
    <x v="4"/>
    <x v="7"/>
    <s v="31602185 - Estimulação Elétrica Transcutânea - Removido 13/04/2026 (R$ 40,00)"/>
    <s v="Fisioterapia"/>
    <n v="1710796060"/>
    <s v="Finalizado (1/5)"/>
    <n v="35.200000000000003"/>
    <n v="4.8"/>
    <n v="40"/>
    <s v="Sessão Faturada"/>
    <n v="775426001635010"/>
    <n v="59543"/>
    <s v="Unidade Vieralves (ANEXO)"/>
    <n v="1710796060"/>
    <m/>
  </r>
  <r>
    <x v="19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8/10)"/>
    <n v="30.8"/>
    <n v="4.2"/>
    <n v="35"/>
    <s v="Sessão Faturada"/>
    <s v="0901010162540294"/>
    <n v="53890"/>
    <s v="Unidade Vieralves (ANEXO)"/>
    <n v="9107766"/>
    <m/>
  </r>
  <r>
    <x v="19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6/10)"/>
    <n v="30.8"/>
    <n v="4.2"/>
    <n v="35"/>
    <s v="Sessão Faturada"/>
    <n v="1901010162540100"/>
    <n v="53882"/>
    <s v="Unidade Vieralves (ANEXO)"/>
    <n v="9158214"/>
    <m/>
  </r>
  <r>
    <x v="19"/>
    <x v="43"/>
    <s v="Osvaldo Bezerra Junior"/>
    <s v="Masculino"/>
    <x v="6"/>
    <x v="7"/>
    <s v="20103484 - Patologia Em Um Membro (R$ 14,16)"/>
    <s v="Fisioterapia"/>
    <n v="170884"/>
    <s v="Finalizado (5/5)"/>
    <n v="12.460800000000001"/>
    <n v="1.6992"/>
    <n v="14.16"/>
    <s v="Sessão a Faturar"/>
    <s v="54588888001634210010"/>
    <n v="17814"/>
    <s v="Unidade Vieralves (ANEXO)"/>
    <n v="170884"/>
    <m/>
  </r>
  <r>
    <x v="20"/>
    <x v="44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2/10)"/>
    <n v="30.8"/>
    <n v="4.2"/>
    <n v="35"/>
    <s v="Sessão Faturada"/>
    <n v="901013262310200"/>
    <n v="52486"/>
    <s v="Unidade Vieralves (ANEXO)"/>
    <n v="9287218"/>
    <s v="Guia assinada! 07/04"/>
  </r>
  <r>
    <x v="20"/>
    <x v="44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8/9)"/>
    <n v="30.8"/>
    <n v="4.2"/>
    <n v="35"/>
    <s v="Sessão Faturada"/>
    <s v="0901013218730128"/>
    <n v="59450"/>
    <s v="Unidade Vieralves (ANEXO)"/>
    <n v="9025442"/>
    <m/>
  </r>
  <r>
    <x v="20"/>
    <x v="44"/>
    <s v="Ilza Maria  Drumond Vilaça"/>
    <s v="Feminino"/>
    <x v="2"/>
    <x v="7"/>
    <s v="20103484 - Fisioterapia - Patologia Em Um Membro (R$ 12,22)"/>
    <s v="Fisioterapia"/>
    <n v="1711286090"/>
    <s v="Finalizado (1/5)"/>
    <n v="10.7536"/>
    <n v="1.4663999999999999"/>
    <n v="12.22"/>
    <s v="Sessão Faturada"/>
    <n v="843486100140010"/>
    <n v="49639"/>
    <s v="Unidade Vieralves (ANEXO)"/>
    <n v="1711286090"/>
    <m/>
  </r>
  <r>
    <x v="20"/>
    <x v="60"/>
    <s v="Ilza Maria  Drumond Vilaça"/>
    <s v="Feminino"/>
    <x v="4"/>
    <x v="7"/>
    <s v="31602185 - Estimulação Elétrica Transcutânea - Removido 13/04/2026 (R$ 40,00)"/>
    <s v="Fisioterapia"/>
    <n v="1710681815"/>
    <s v="Finalizado (2/6)"/>
    <n v="35.200000000000003"/>
    <n v="4.8"/>
    <n v="40"/>
    <s v="Sessão Faturada"/>
    <n v="843486100140010"/>
    <n v="49639"/>
    <s v="Unidade Vieralves (ANEXO)"/>
    <n v="1710681815"/>
    <m/>
  </r>
  <r>
    <x v="20"/>
    <x v="41"/>
    <s v="Roberson Paulo da Silva"/>
    <s v="Masculino"/>
    <x v="2"/>
    <x v="7"/>
    <s v="20103484 - Fisioterapia - Patologia Em Um Membro (R$ 12,22)"/>
    <s v="Fisioterapia"/>
    <n v="1710104606"/>
    <s v="Finalizado (2/3)"/>
    <n v="10.7536"/>
    <n v="1.4663999999999999"/>
    <n v="12.22"/>
    <s v="Sessão Faturada"/>
    <n v="898927800019020"/>
    <n v="53881"/>
    <s v="Unidade Vieralves (ANEXO)"/>
    <n v="1710104606"/>
    <m/>
  </r>
  <r>
    <x v="20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6/10)"/>
    <n v="30.8"/>
    <n v="4.2"/>
    <n v="35"/>
    <s v="Sessão Faturada"/>
    <n v="2001013187450100"/>
    <n v="59108"/>
    <s v="Unidade Vieralves (ANEXO)"/>
    <n v="9100774"/>
    <m/>
  </r>
  <r>
    <x v="20"/>
    <x v="36"/>
    <s v="Rafaele Lima Melo"/>
    <s v="Feminino"/>
    <x v="1"/>
    <x v="7"/>
    <s v="50000160 - Fisioterapia Ortopédica (R$ 20,00), 98980327 - Taxa de Eletroterapia (Tens) (R$ 15,00)"/>
    <s v="Fisioterapia"/>
    <n v="9129842"/>
    <s v="Finalizado (6/8)"/>
    <n v="30.8"/>
    <n v="4.2"/>
    <n v="35"/>
    <s v="Sessão Faturada"/>
    <s v="0901013958740470"/>
    <n v="59498"/>
    <s v="Unidade Vieralves (ANEXO)"/>
    <n v="9129842"/>
    <m/>
  </r>
  <r>
    <x v="20"/>
    <x v="36"/>
    <s v="Samira Farias Costa de Souza"/>
    <s v="Feminino"/>
    <x v="2"/>
    <x v="7"/>
    <s v="20103484 - Fisioterapia - Patologia Em Um Membro (R$ 12,22)"/>
    <s v="Fisioterapia"/>
    <n v="1709716473"/>
    <s v="Finalizado (4/10)"/>
    <n v="10.7536"/>
    <n v="1.4663999999999999"/>
    <n v="12.22"/>
    <s v="Sessão Faturada"/>
    <n v="774981013048010"/>
    <n v="59585"/>
    <s v="Unidade Vieralves (ANEXO)"/>
    <n v="1709716473"/>
    <m/>
  </r>
  <r>
    <x v="20"/>
    <x v="36"/>
    <s v="Mayco Grijó da Silva"/>
    <s v="Masculino"/>
    <x v="7"/>
    <x v="7"/>
    <s v="Vieiralves - 1 - Fisioterapia Ortopedica - Pacote (R$ 40,00)"/>
    <s v="Fisioterapia"/>
    <m/>
    <s v="Finalizado (3/10)"/>
    <n v="31.2"/>
    <n v="8.8000000000000007"/>
    <n v="40"/>
    <s v="Pago"/>
    <n v="0"/>
    <n v="59587"/>
    <s v="Unidade Vieralves (ANEXO)"/>
    <m/>
    <m/>
  </r>
  <r>
    <x v="20"/>
    <x v="36"/>
    <s v="Ingrid Roseane Magno Viana"/>
    <s v="Feminino"/>
    <x v="8"/>
    <x v="7"/>
    <s v="20103484 - Patologia Em Um Membro (R$ 12,22)"/>
    <s v="Fisioterapia"/>
    <n v="1707774004"/>
    <s v="Finalizado (4/5)"/>
    <n v="10.7536"/>
    <n v="1.4663999999999999"/>
    <n v="12.22"/>
    <s v="Sessão Faturada"/>
    <n v="954440006904010"/>
    <n v="58326"/>
    <s v="Unidade Vieralves (ANEXO)"/>
    <n v="1707774004"/>
    <m/>
  </r>
  <r>
    <x v="20"/>
    <x v="61"/>
    <s v="Samira Farias Costa de Souza"/>
    <s v="Feminino"/>
    <x v="4"/>
    <x v="7"/>
    <s v="31602185 - Estimulação Elétrica Transcutânea - Removido 13/04/2026 (R$ 40,00)"/>
    <s v="Fisioterapia"/>
    <n v="1711321666"/>
    <s v="Finalizado (1/9)"/>
    <n v="35.200000000000003"/>
    <n v="4.8"/>
    <n v="40"/>
    <s v="Sessão a Faturar"/>
    <n v="774981013048010"/>
    <n v="59585"/>
    <s v="Unidade Vieralves (ANEXO)"/>
    <n v="1711321666"/>
    <m/>
  </r>
  <r>
    <x v="20"/>
    <x v="40"/>
    <s v="Lucivaldo Junio da Silva Pinto"/>
    <s v="Masculino"/>
    <x v="2"/>
    <x v="7"/>
    <s v="20103492 - Fisioterapia - Patologia Em Dois Ou Mais Membros (R$ 14,83)"/>
    <s v="Fisioterapia"/>
    <n v="1710658907"/>
    <s v="Finalizado (2/6)"/>
    <n v="13.0504"/>
    <n v="1.7796000000000001"/>
    <n v="14.83"/>
    <s v="Sessão a Faturar"/>
    <n v="770179018740010"/>
    <n v="55925"/>
    <s v="Unidade Vieralves (ANEXO)"/>
    <n v="1710658907"/>
    <m/>
  </r>
  <r>
    <x v="20"/>
    <x v="40"/>
    <s v="Lúcia Ignéz Abreu de Sá"/>
    <s v="Feminino"/>
    <x v="1"/>
    <x v="7"/>
    <s v="50000160 - Fisioterapia Ortopédica (R$ 20,00), 98980327 - Taxa de Eletroterapia (Tens) (R$ 15,00)"/>
    <s v="Fisioterapia"/>
    <n v="8929197"/>
    <s v="Finalizado (5/10)"/>
    <n v="30.8"/>
    <n v="4.2"/>
    <n v="35"/>
    <s v="Sessão Faturada"/>
    <s v="0701010861030123"/>
    <n v="58903"/>
    <s v="Unidade Vieralves (ANEXO)"/>
    <n v="8929197"/>
    <m/>
  </r>
  <r>
    <x v="20"/>
    <x v="40"/>
    <s v="Eberth Lucas Vasconcelos de Santana"/>
    <s v="Masculino"/>
    <x v="7"/>
    <x v="7"/>
    <s v="Vieiralves - 1 - Fisioterapia Ortopedica - Pacote (R$ 40,00)"/>
    <s v="Fisioterapia"/>
    <n v="171209"/>
    <s v="Finalizado (2/10)"/>
    <n v="31.2"/>
    <n v="8.8000000000000007"/>
    <n v="40"/>
    <s v="No Prazo"/>
    <s v="00"/>
    <n v="59597"/>
    <s v="Unidade Vieralves (ANEXO)"/>
    <n v="171209"/>
    <m/>
  </r>
  <r>
    <x v="20"/>
    <x v="45"/>
    <s v="Lucivaldo Junio da Silva Pinto"/>
    <s v="Masculino"/>
    <x v="4"/>
    <x v="7"/>
    <s v="31602185 - Estimulação Elétrica Transcutânea - Removido 13/04/2026 (R$ 40,00)"/>
    <s v="Fisioterapia"/>
    <n v="1711252099"/>
    <s v="Finalizado (1/5)"/>
    <n v="35.200000000000003"/>
    <n v="4.8"/>
    <n v="40"/>
    <s v="Sessão a Faturar"/>
    <n v="770179018740010"/>
    <n v="55925"/>
    <s v="Unidade Vieralves (ANEXO)"/>
    <n v="1711252099"/>
    <m/>
  </r>
  <r>
    <x v="20"/>
    <x v="38"/>
    <s v="Rosana Silva dos Santos"/>
    <s v="Feminino"/>
    <x v="1"/>
    <x v="7"/>
    <s v="50000160 - Fisioterapia Ortopédica (R$ 20,00), 98980327 - Taxa de Eletroterapia (Tens) (R$ 15,00)"/>
    <s v="Fisioterapia"/>
    <n v="9592647"/>
    <s v="Finalizado (4/10)"/>
    <n v="30.8"/>
    <n v="4.2"/>
    <n v="35"/>
    <s v="Sessão a Faturar"/>
    <n v="1101006073830400"/>
    <n v="58800"/>
    <s v="Unidade Vieralves (ANEXO)"/>
    <n v="9592647"/>
    <m/>
  </r>
  <r>
    <x v="20"/>
    <x v="38"/>
    <s v="Laresca Cunha Moreira Altomar"/>
    <s v="Feminino"/>
    <x v="2"/>
    <x v="7"/>
    <s v="20103492 - Fisioterapia - Patologia Em Dois Ou Mais Membros (R$ 14,83)"/>
    <s v="Fisioterapia"/>
    <n v="1711432896"/>
    <s v="Finalizado (1/4)"/>
    <n v="13.0504"/>
    <n v="1.7796000000000001"/>
    <n v="14.83"/>
    <s v="Sessão a Faturar"/>
    <n v="771015061557010"/>
    <n v="36894"/>
    <s v="Unidade Vieralves (ANEXO)"/>
    <n v="1711432896"/>
    <m/>
  </r>
  <r>
    <x v="20"/>
    <x v="37"/>
    <s v="José Roberto Teixeira Pereira"/>
    <s v="Masculino"/>
    <x v="6"/>
    <x v="7"/>
    <s v="50000144 - Avaliação de Fisioterapia (R$ 56,52)"/>
    <s v="Fisioterapia"/>
    <n v="7700047214"/>
    <s v="Finalizado (1/1)"/>
    <n v="50.868000000000002"/>
    <n v="5.6520000000000001"/>
    <n v="56.52"/>
    <s v="Sessão Faturada"/>
    <s v="56788888488537970015"/>
    <n v="56491"/>
    <s v="Unidade Vieralves (ANEXO)"/>
    <n v="7700047214"/>
    <m/>
  </r>
  <r>
    <x v="20"/>
    <x v="58"/>
    <s v="José Roberto Teixeira Pereira"/>
    <s v="Masculino"/>
    <x v="6"/>
    <x v="7"/>
    <s v="20103506 - Patologia Em Um Segmento da Coluna (R$ 14,16)"/>
    <s v="Fisioterapia"/>
    <n v="171595"/>
    <s v="Finalizado (1/6)"/>
    <n v="12.460800000000001"/>
    <n v="1.6992"/>
    <n v="14.16"/>
    <s v="Sessão a Faturar"/>
    <s v="56788888488537970015"/>
    <n v="56491"/>
    <s v="Unidade Vieralves (ANEXO)"/>
    <n v="171595"/>
    <m/>
  </r>
  <r>
    <x v="20"/>
    <x v="50"/>
    <s v="José Roberto Teixeira Pereira"/>
    <s v="Masculino"/>
    <x v="6"/>
    <x v="7"/>
    <s v="31602185 - Estimulação Elétrica Transcutanea (Tens) (R$ 40,00)"/>
    <s v="Fisioterapia"/>
    <n v="171596"/>
    <s v="Finalizado (1/6)"/>
    <n v="35.200000000000003"/>
    <n v="4.8"/>
    <n v="40"/>
    <s v="Sessão a Faturar"/>
    <s v="56788888488537970015"/>
    <n v="56491"/>
    <s v="Unidade Vieralves (ANEXO)"/>
    <n v="171596"/>
    <m/>
  </r>
  <r>
    <x v="20"/>
    <x v="39"/>
    <s v="Roberleno Ferreira de Souza"/>
    <m/>
    <x v="7"/>
    <x v="7"/>
    <s v="Vieiralves - 1 - Fisioterapia Ortopedica - Pacote (R$ 40,00)"/>
    <s v="Fisioterapia"/>
    <m/>
    <s v="Finalizado (4/10)"/>
    <n v="31.2"/>
    <n v="8.8000000000000007"/>
    <n v="40"/>
    <s v="No Prazo"/>
    <n v="0"/>
    <n v="59545"/>
    <s v="Unidade Vieralves (ANEXO)"/>
    <m/>
    <m/>
  </r>
  <r>
    <x v="20"/>
    <x v="39"/>
    <s v="Larissa Castro Barbosa"/>
    <s v="Feminino"/>
    <x v="1"/>
    <x v="7"/>
    <s v="50000160 - Fisioterapia Ortopédica (R$ 20,00), 98980327 - Taxa de Eletroterapia (Tens) (R$ 15,00)"/>
    <s v="Fisioterapia"/>
    <n v="9107766"/>
    <s v="Finalizado (9/10)"/>
    <n v="30.8"/>
    <n v="4.2"/>
    <n v="35"/>
    <s v="Sessão Faturada"/>
    <s v="0901010162540294"/>
    <n v="53890"/>
    <s v="Unidade Vieralves (ANEXO)"/>
    <n v="9107766"/>
    <m/>
  </r>
  <r>
    <x v="20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7/10)"/>
    <n v="30.8"/>
    <n v="4.2"/>
    <n v="35"/>
    <s v="Sessão Faturada"/>
    <n v="1901010162540100"/>
    <n v="53882"/>
    <s v="Unidade Vieralves (ANEXO)"/>
    <n v="9158214"/>
    <m/>
  </r>
  <r>
    <x v="20"/>
    <x v="43"/>
    <s v="Ediane da Silveira Vieira"/>
    <s v="Feminino"/>
    <x v="2"/>
    <x v="7"/>
    <s v="20103484 - Fisioterapia - Patologia Em Um Membro (R$ 12,22)"/>
    <s v="Fisioterapia"/>
    <n v="1707881370"/>
    <s v="Não compareceu (4/10)"/>
    <n v="12.22"/>
    <n v="0"/>
    <n v="12.22"/>
    <s v="Sessão Faturada"/>
    <n v="775262001287000"/>
    <n v="17985"/>
    <s v="Unidade Vieralves (ANEXO)"/>
    <n v="1707881370"/>
    <m/>
  </r>
  <r>
    <x v="20"/>
    <x v="43"/>
    <s v="Irleda de Carvalho Leal Nobre Leao"/>
    <s v="Feminino"/>
    <x v="1"/>
    <x v="7"/>
    <s v="50000160 - Fisioterapia Ortopédica (R$ 20,00), 98980327 - Taxa de Eletroterapia (Tens) (R$ 15,00)"/>
    <s v="Fisioterapia"/>
    <n v="9032635"/>
    <s v="Não compareceu (7/10)"/>
    <n v="35"/>
    <n v="0"/>
    <n v="35"/>
    <s v="Sessão Faturada"/>
    <s v="0903006735450160"/>
    <n v="58787"/>
    <s v="Unidade Vieralves (ANEXO)"/>
    <n v="9032635"/>
    <m/>
  </r>
  <r>
    <x v="23"/>
    <x v="44"/>
    <s v="Josicleide Nunes Santos"/>
    <s v="Feminino"/>
    <x v="2"/>
    <x v="7"/>
    <s v="20103492 - Fisioterapia - Patologia Em Dois Ou Mais Membros (R$ 14,83)"/>
    <s v="Fisioterapia"/>
    <n v="1708238595"/>
    <s v="Finalizado (3/5)"/>
    <n v="13.0504"/>
    <n v="1.7796000000000001"/>
    <n v="14.83"/>
    <s v="Sessão Faturada"/>
    <n v="774981001279000"/>
    <n v="20120"/>
    <s v="Unidade Vieralves (ANEXO)"/>
    <n v="1708238595"/>
    <m/>
  </r>
  <r>
    <x v="23"/>
    <x v="44"/>
    <s v="Ilza Maria  Drumond Vilaça"/>
    <s v="Feminino"/>
    <x v="2"/>
    <x v="7"/>
    <s v="20103484 - Fisioterapia - Patologia Em Um Membro (R$ 12,22)"/>
    <s v="Fisioterapia"/>
    <n v="1711286090"/>
    <s v="Finalizado (2/5)"/>
    <n v="10.7536"/>
    <n v="1.4663999999999999"/>
    <n v="12.22"/>
    <s v="Sessão Faturada"/>
    <n v="843486100140010"/>
    <n v="49639"/>
    <s v="Unidade Vieralves (ANEXO)"/>
    <n v="1711286090"/>
    <m/>
  </r>
  <r>
    <x v="23"/>
    <x v="60"/>
    <s v="Ilza Maria  Drumond Vilaça"/>
    <s v="Feminino"/>
    <x v="4"/>
    <x v="7"/>
    <s v="31602185 - Estimulação Elétrica Transcutânea - Removido 13/04/2026 (R$ 40,00)"/>
    <s v="Fisioterapia"/>
    <n v="1710681815"/>
    <s v="Finalizado (3/6)"/>
    <n v="35.200000000000003"/>
    <n v="4.8"/>
    <n v="40"/>
    <s v="Sessão Faturada"/>
    <n v="843486100140010"/>
    <n v="49639"/>
    <s v="Unidade Vieralves (ANEXO)"/>
    <n v="1710681815"/>
    <m/>
  </r>
  <r>
    <x v="23"/>
    <x v="60"/>
    <s v="Josicleide Nunes Santos"/>
    <s v="Feminino"/>
    <x v="4"/>
    <x v="7"/>
    <s v="31602185 - Estimulação Elétrica Transcutânea - Removido 13/04/2026 (R$ 40,00)"/>
    <s v="Fisioterapia"/>
    <n v="1710488005"/>
    <s v="Finalizado (2/5)"/>
    <n v="35.200000000000003"/>
    <n v="4.8"/>
    <n v="40"/>
    <s v="Sessão a Faturar"/>
    <n v="774981001279000"/>
    <n v="20120"/>
    <s v="Unidade Vieralves (ANEXO)"/>
    <n v="1710488005"/>
    <m/>
  </r>
  <r>
    <x v="23"/>
    <x v="41"/>
    <s v="Nikolas Ygor do Nascimento Pereira"/>
    <s v="Masculino"/>
    <x v="16"/>
    <x v="7"/>
    <s v="50000160 - Fisioterapia Ortopedica (R$ 25,00)"/>
    <s v="Fisioterapia"/>
    <n v="171235"/>
    <s v="Finalizado (2/10)"/>
    <n v="22"/>
    <n v="3"/>
    <n v="25"/>
    <s v="Sessão a Faturar"/>
    <n v="30003889"/>
    <n v="56597"/>
    <s v="Unidade Vieralves (ANEXO)"/>
    <n v="171235"/>
    <m/>
  </r>
  <r>
    <x v="23"/>
    <x v="41"/>
    <s v="Rodrigo Barros Carvalho"/>
    <s v="Masculino"/>
    <x v="6"/>
    <x v="7"/>
    <s v="20103484 - Patologia Em Um Membro (R$ 14,16)"/>
    <s v="Fisioterapia"/>
    <n v="169146"/>
    <s v="Finalizado (2/4)"/>
    <n v="12.460800000000001"/>
    <n v="1.6992"/>
    <n v="14.16"/>
    <s v="Sessão a Faturar"/>
    <s v="54588888470206320029"/>
    <n v="42015"/>
    <s v="Unidade Vieralves (ANEXO)"/>
    <n v="169146"/>
    <m/>
  </r>
  <r>
    <x v="23"/>
    <x v="65"/>
    <s v="Rodrigo Barros Carvalho"/>
    <s v="Masculino"/>
    <x v="6"/>
    <x v="7"/>
    <s v="31602185 - Estimulação Elétrica Transcutanea (Tens) (R$ 40,00)"/>
    <s v="Fisioterapia"/>
    <n v="170879"/>
    <s v="Finalizado (2/4)"/>
    <n v="35.200000000000003"/>
    <n v="4.8"/>
    <n v="40"/>
    <s v="Sessão a Faturar"/>
    <s v="54588888470206320029"/>
    <n v="42015"/>
    <s v="Unidade Vieralves (ANEXO)"/>
    <n v="170879"/>
    <m/>
  </r>
  <r>
    <x v="23"/>
    <x v="36"/>
    <s v="Luciana Nascimento da Silva"/>
    <s v="Feminino"/>
    <x v="7"/>
    <x v="7"/>
    <s v="Vieiralves - 1 - Fisioterapia Ortopedica - Pacote (R$ 40,00)"/>
    <s v="Fisioterapia"/>
    <m/>
    <s v="Finalizado (4/10)"/>
    <n v="31.2"/>
    <n v="8.8000000000000007"/>
    <n v="40"/>
    <s v="No Prazo"/>
    <s v="00"/>
    <n v="31909"/>
    <s v="Unidade Vieralves (ANEXO)"/>
    <m/>
    <m/>
  </r>
  <r>
    <x v="23"/>
    <x v="40"/>
    <s v="Rosineide Rodrigues Arcanjo"/>
    <s v="Feminino"/>
    <x v="2"/>
    <x v="7"/>
    <s v="20103514 - Fisioterapia - Patologia Em Diferentes Segmentos da Coluna (R$ 14,83)"/>
    <s v="Fisioterapia"/>
    <n v="1709777911"/>
    <s v="Finalizado (4/9)"/>
    <n v="13.0504"/>
    <n v="1.7796000000000001"/>
    <n v="14.83"/>
    <s v="Sessão Faturada"/>
    <n v="774063004219030"/>
    <n v="50224"/>
    <s v="Unidade Vieralves (ANEXO)"/>
    <n v="1709777911"/>
    <m/>
  </r>
  <r>
    <x v="23"/>
    <x v="40"/>
    <s v="Daniel Silva de Moraes"/>
    <s v="Masculino"/>
    <x v="2"/>
    <x v="7"/>
    <s v="20103492 - Fisioterapia - Patologia Em Dois Ou Mais Membros (R$ 14,83)"/>
    <s v="Fisioterapia"/>
    <n v="1705969156"/>
    <s v="Finalizado (3/3)"/>
    <n v="13.0504"/>
    <n v="1.7796000000000001"/>
    <n v="14.83"/>
    <s v="Sessão Faturada"/>
    <n v="771015049905000"/>
    <n v="43875"/>
    <s v="Unidade Vieralves (ANEXO)"/>
    <n v="1705969156"/>
    <m/>
  </r>
  <r>
    <x v="23"/>
    <x v="45"/>
    <s v="Rosineide Rodrigues Arcanjo"/>
    <s v="Feminino"/>
    <x v="4"/>
    <x v="7"/>
    <s v="31602185 - Estimulação Elétrica Transcutânea - Removido 13/04/2026 (R$ 40,00)"/>
    <s v="Fisioterapia"/>
    <n v="1711548824"/>
    <s v="Finalizado (2/7)"/>
    <n v="35.200000000000003"/>
    <n v="4.8"/>
    <n v="40"/>
    <s v="Sessão Faturada"/>
    <n v="774063004219030"/>
    <n v="50224"/>
    <s v="Unidade Vieralves (ANEXO)"/>
    <n v="1711548824"/>
    <m/>
  </r>
  <r>
    <x v="23"/>
    <x v="38"/>
    <s v="Rosana Silva dos Santos"/>
    <s v="Feminino"/>
    <x v="1"/>
    <x v="7"/>
    <s v="50000160 - Fisioterapia Ortopédica (R$ 20,00), 98980327 - Taxa de Eletroterapia (Tens) (R$ 15,00)"/>
    <s v="Fisioterapia"/>
    <n v="9592647"/>
    <s v="Finalizado (5/10)"/>
    <n v="30.8"/>
    <n v="4.2"/>
    <n v="35"/>
    <s v="Sessão a Faturar"/>
    <n v="1101006073830400"/>
    <n v="58800"/>
    <s v="Unidade Vieralves (ANEXO)"/>
    <n v="9592647"/>
    <m/>
  </r>
  <r>
    <x v="23"/>
    <x v="38"/>
    <s v="Larissa Castro Barbosa"/>
    <s v="Feminino"/>
    <x v="1"/>
    <x v="7"/>
    <s v="50000160 - Fisioterapia Ortopédica (R$ 20,00), 98980327 - Taxa de Eletroterapia (Tens) (R$ 15,00)"/>
    <s v="Fisioterapia"/>
    <n v="9107766"/>
    <s v="Finalizado (10/10)"/>
    <n v="30.8"/>
    <n v="4.2"/>
    <n v="35"/>
    <s v="Sessão Faturada"/>
    <s v="0901010162540294"/>
    <n v="53890"/>
    <s v="Unidade Vieralves (ANEXO)"/>
    <n v="9107766"/>
    <m/>
  </r>
  <r>
    <x v="23"/>
    <x v="38"/>
    <s v="Albejamere Pereira de Castro"/>
    <s v="Feminino"/>
    <x v="1"/>
    <x v="7"/>
    <s v="50000160 - Fisioterapia Ortopédica (R$ 20,00), 98980327 - Taxa de Eletroterapia (Tens) (R$ 15,00)"/>
    <s v="Fisioterapia"/>
    <n v="9158214"/>
    <s v="Finalizado (8/10)"/>
    <n v="30.8"/>
    <n v="4.2"/>
    <n v="35"/>
    <s v="Sessão Faturada"/>
    <n v="1901010162540100"/>
    <n v="53882"/>
    <s v="Unidade Vieralves (ANEXO)"/>
    <n v="9158214"/>
    <m/>
  </r>
  <r>
    <x v="23"/>
    <x v="37"/>
    <s v="Genilza Evaristo Machado Moreira"/>
    <s v="Feminino"/>
    <x v="1"/>
    <x v="7"/>
    <s v="50000160 - Fisioterapia Ortopédica (R$ 20,00), 98980327 - Taxa de Eletroterapia (Tens) (R$ 15,00)"/>
    <s v="Fisioterapia"/>
    <n v="9318751"/>
    <s v="Finalizado (2/10)"/>
    <n v="30.8"/>
    <n v="4.2"/>
    <n v="35"/>
    <s v="Sessão Faturada"/>
    <n v="1901012887600100"/>
    <n v="59599"/>
    <s v="Unidade Vieralves (ANEXO)"/>
    <n v="9318751"/>
    <m/>
  </r>
  <r>
    <x v="23"/>
    <x v="39"/>
    <s v="Antonio Helio Borges Eliziario"/>
    <s v="Masculino"/>
    <x v="2"/>
    <x v="7"/>
    <s v="20103484 - Fisioterapia - Patologia Em Um Membro (R$ 12,22)"/>
    <s v="Fisioterapia"/>
    <n v="1711969905"/>
    <s v="Finalizado (1/5)"/>
    <n v="10.7536"/>
    <n v="1.4663999999999999"/>
    <n v="12.22"/>
    <s v="Sessão a Faturar"/>
    <n v="960016147160000"/>
    <n v="59407"/>
    <s v="Unidade Vieralves (ANEXO)"/>
    <n v="1711969905"/>
    <m/>
  </r>
  <r>
    <x v="23"/>
    <x v="39"/>
    <s v="Osvaldo Bezerra Junior"/>
    <s v="Masculino"/>
    <x v="6"/>
    <x v="7"/>
    <s v="31602185 - Estimulação Elétrica Transcutanea (Tens) (R$ 40,00)"/>
    <s v="Fisioterapia"/>
    <n v="170885"/>
    <s v="Não compareceu (4/5)"/>
    <n v="40"/>
    <n v="0"/>
    <n v="40"/>
    <s v="Sessão a Faturar"/>
    <s v="54588888001634210010"/>
    <n v="17814"/>
    <s v="Unidade Vieralves (ANEXO)"/>
    <n v="170885"/>
    <s v="GUIA ASSINADA"/>
  </r>
  <r>
    <x v="0"/>
    <x v="44"/>
    <s v="Raimundo Nonato de Souza Costa"/>
    <s v="Masculino"/>
    <x v="8"/>
    <x v="7"/>
    <s v="20103484 - Patologia Em Um Membro (R$ 12,22), 20103506 - Patologia Em Um Segmento Na Coluna (R$ 12,22)"/>
    <s v="Fisioterapia"/>
    <n v="1712577029"/>
    <s v="Finalizado (1/10)"/>
    <n v="21.507200000000001"/>
    <n v="2.9327999999999999"/>
    <n v="24.44"/>
    <s v="Sessão a Faturar"/>
    <n v="954580018660010"/>
    <n v="56580"/>
    <s v="Unidade Vieralves (ANEXO)"/>
    <n v="1712577029"/>
    <m/>
  </r>
  <r>
    <x v="0"/>
    <x v="44"/>
    <s v="Alice Viana Franklin"/>
    <s v="Feminino"/>
    <x v="2"/>
    <x v="7"/>
    <s v="20103514 - Fisioterapia - Patologia Em Diferentes Segmentos da Coluna (R$ 14,83)"/>
    <s v="Fisioterapia"/>
    <n v="1712540198"/>
    <s v="Finalizado (1/10)"/>
    <n v="13.0504"/>
    <n v="1.7796000000000001"/>
    <n v="14.83"/>
    <s v="Sessão Faturada"/>
    <n v="812980300922010"/>
    <n v="59437"/>
    <s v="Unidade Vieralves (ANEXO)"/>
    <n v="1712540198"/>
    <m/>
  </r>
  <r>
    <x v="0"/>
    <x v="44"/>
    <s v="Ilza Maria  Drumond Vilaça"/>
    <s v="Feminino"/>
    <x v="4"/>
    <x v="7"/>
    <s v="31602185 - Estimulação Elétrica Transcutânea - Removido 13/04/2026 (R$ 40,00)"/>
    <s v="Fisioterapia"/>
    <n v="1710681815"/>
    <s v="Finalizado (4/6)"/>
    <n v="35.200000000000003"/>
    <n v="4.8"/>
    <n v="40"/>
    <s v="Sessão Faturada"/>
    <n v="843486100140010"/>
    <n v="49639"/>
    <s v="Unidade Vieralves (ANEXO)"/>
    <n v="1710681815"/>
    <m/>
  </r>
  <r>
    <x v="0"/>
    <x v="60"/>
    <s v="Ilza Maria  Drumond Vilaça"/>
    <s v="Feminino"/>
    <x v="2"/>
    <x v="7"/>
    <s v="20103484 - Fisioterapia - Patologia Em Um Membro (R$ 12,22)"/>
    <s v="Fisioterapia"/>
    <n v="1711286090"/>
    <s v="Finalizado (3/5)"/>
    <n v="10.7536"/>
    <n v="1.4663999999999999"/>
    <n v="12.22"/>
    <s v="Sessão Faturada"/>
    <n v="843486100140010"/>
    <n v="49639"/>
    <s v="Unidade Vieralves (ANEXO)"/>
    <n v="1711286090"/>
    <m/>
  </r>
  <r>
    <x v="0"/>
    <x v="41"/>
    <s v="Nikolas Ygor do Nascimento Pereira"/>
    <s v="Masculino"/>
    <x v="16"/>
    <x v="7"/>
    <s v="50000160 - Fisioterapia Ortopedica (R$ 25,00)"/>
    <s v="Fisioterapia"/>
    <n v="171235"/>
    <s v="Finalizado (3/10)"/>
    <n v="22"/>
    <n v="3"/>
    <n v="25"/>
    <s v="Sessão a Faturar"/>
    <n v="30003889"/>
    <n v="56597"/>
    <s v="Unidade Vieralves (ANEXO)"/>
    <n v="171235"/>
    <m/>
  </r>
  <r>
    <x v="0"/>
    <x v="41"/>
    <s v="Roberson Paulo da Silva"/>
    <s v="Masculino"/>
    <x v="2"/>
    <x v="7"/>
    <s v="20103484 - Fisioterapia - Patologia Em Um Membro (R$ 12,22)"/>
    <s v="Fisioterapia"/>
    <n v="1710104606"/>
    <s v="Finalizado (3/3)"/>
    <n v="10.7536"/>
    <n v="1.4663999999999999"/>
    <n v="12.22"/>
    <s v="Sessão Faturada"/>
    <n v="898927800019020"/>
    <n v="53881"/>
    <s v="Unidade Vieralves (ANEXO)"/>
    <n v="1710104606"/>
    <m/>
  </r>
  <r>
    <x v="0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7/10)"/>
    <n v="30.8"/>
    <n v="4.2"/>
    <n v="35"/>
    <s v="Sessão Faturada"/>
    <n v="2001013187450100"/>
    <n v="59108"/>
    <s v="Unidade Vieralves (ANEXO)"/>
    <n v="9100774"/>
    <m/>
  </r>
  <r>
    <x v="0"/>
    <x v="65"/>
    <s v="Roberson Paulo da Silva"/>
    <s v="Masculino"/>
    <x v="4"/>
    <x v="7"/>
    <s v="31602185 - Estimulação Elétrica Transcutânea - Removido 13/04/2026 (R$ 40,00)"/>
    <s v="Fisioterapia"/>
    <n v="1712594750"/>
    <s v="Finalizado (1/1)"/>
    <n v="35.200000000000003"/>
    <n v="4.8"/>
    <n v="40"/>
    <s v="Sessão Faturada"/>
    <n v="898927800019020"/>
    <n v="53881"/>
    <s v="Unidade Vieralves (ANEXO)"/>
    <n v="1712594750"/>
    <m/>
  </r>
  <r>
    <x v="0"/>
    <x v="36"/>
    <s v="Barbara Barros Jacob"/>
    <s v="Feminino"/>
    <x v="1"/>
    <x v="7"/>
    <s v="50000160 - Fisioterapia Ortopédica (R$ 20,00), 98980327 - Taxa de Eletroterapia (Tens) (R$ 15,00)"/>
    <s v="Fisioterapia"/>
    <n v="8280735"/>
    <s v="Finalizado (8/10)"/>
    <n v="30.8"/>
    <n v="4.2"/>
    <n v="35"/>
    <s v="Sessão Faturada"/>
    <s v="0201013029220011"/>
    <n v="41008"/>
    <s v="Unidade Vieralves (ANEXO)"/>
    <n v="8280735"/>
    <m/>
  </r>
  <r>
    <x v="0"/>
    <x v="36"/>
    <s v="Ingrid Roseane Magno Viana"/>
    <s v="Feminino"/>
    <x v="8"/>
    <x v="7"/>
    <s v="20103484 - Patologia Em Um Membro (R$ 12,22)"/>
    <s v="Fisioterapia"/>
    <n v="1707774004"/>
    <s v="Finalizado (5/5)"/>
    <n v="10.7536"/>
    <n v="1.4663999999999999"/>
    <n v="12.22"/>
    <s v="Sessão Faturada"/>
    <n v="954440006904010"/>
    <n v="58326"/>
    <s v="Unidade Vieralves (ANEXO)"/>
    <n v="1707774004"/>
    <m/>
  </r>
  <r>
    <x v="0"/>
    <x v="36"/>
    <s v="Mayco Grijó da Silva"/>
    <s v="Masculino"/>
    <x v="7"/>
    <x v="7"/>
    <s v="Vieiralves - 1 - Fisioterapia Ortopedica - Pacote (R$ 40,00)"/>
    <s v="Fisioterapia"/>
    <m/>
    <s v="Finalizado (4/10)"/>
    <n v="31.2"/>
    <n v="8.8000000000000007"/>
    <n v="40"/>
    <s v="Pago"/>
    <n v="0"/>
    <n v="59587"/>
    <s v="Unidade Vieralves (ANEXO)"/>
    <m/>
    <m/>
  </r>
  <r>
    <x v="0"/>
    <x v="61"/>
    <s v="Ingrid Roseane Magno Viana"/>
    <s v="Feminino"/>
    <x v="9"/>
    <x v="7"/>
    <s v="31602185 - Estimulação Elétrica Transcutânea (Tens) - Removido 13/04/2026 (R$ 40,00)"/>
    <s v="Fisioterapia"/>
    <n v="1712608397"/>
    <s v="Finalizado (1/10)"/>
    <n v="35.200000000000003"/>
    <n v="4.8"/>
    <n v="40"/>
    <s v="Sessão a Faturar"/>
    <n v="954440006904010"/>
    <n v="58326"/>
    <s v="Unidade Vieralves (ANEXO)"/>
    <n v="1712608397"/>
    <m/>
  </r>
  <r>
    <x v="0"/>
    <x v="40"/>
    <s v="Eberth Lucas Vasconcelos de Santana"/>
    <s v="Masculino"/>
    <x v="7"/>
    <x v="7"/>
    <s v="Vieiralves - 1 - Fisioterapia Ortopedica - Pacote (R$ 40,00)"/>
    <s v="Fisioterapia"/>
    <n v="171209"/>
    <s v="Finalizado (3/10)"/>
    <n v="31.2"/>
    <n v="8.8000000000000007"/>
    <n v="40"/>
    <s v="No Prazo"/>
    <s v="00"/>
    <n v="59597"/>
    <s v="Unidade Vieralves (ANEXO)"/>
    <n v="171209"/>
    <m/>
  </r>
  <r>
    <x v="0"/>
    <x v="35"/>
    <s v="José Roberto Teixeira Pereira"/>
    <s v="Masculino"/>
    <x v="6"/>
    <x v="7"/>
    <s v="20103506 - Patologia Em Um Segmento da Coluna (R$ 14,16)"/>
    <s v="Fisioterapia"/>
    <n v="171595"/>
    <s v="Finalizado (2/6)"/>
    <n v="12.460800000000001"/>
    <n v="1.6992"/>
    <n v="14.16"/>
    <s v="Sessão a Faturar"/>
    <s v="56788888488537970015"/>
    <n v="56491"/>
    <s v="Unidade Vieralves (ANEXO)"/>
    <n v="171595"/>
    <m/>
  </r>
  <r>
    <x v="0"/>
    <x v="35"/>
    <s v="Fabio Arruda Binda"/>
    <s v="Masculino"/>
    <x v="2"/>
    <x v="7"/>
    <s v="50000144 - Avaliação de Fisioterapia (R$ 51,42)"/>
    <s v="Fisioterapia"/>
    <n v="1712673462"/>
    <s v="Finalizado (1/1)"/>
    <n v="46.277999999999999"/>
    <n v="5.1420000000000003"/>
    <n v="51.42"/>
    <s v="Sessão Faturada"/>
    <n v="812980300400000"/>
    <n v="59607"/>
    <s v="Unidade Vieralves (ANEXO)"/>
    <n v="1712673462"/>
    <m/>
  </r>
  <r>
    <x v="0"/>
    <x v="42"/>
    <s v="José Roberto Teixeira Pereira"/>
    <s v="Masculino"/>
    <x v="6"/>
    <x v="7"/>
    <s v="31602185 - Estimulação Elétrica Transcutanea (Tens) (R$ 40,00)"/>
    <s v="Fisioterapia"/>
    <n v="171596"/>
    <s v="Finalizado (2/6)"/>
    <n v="35.200000000000003"/>
    <n v="4.8"/>
    <n v="40"/>
    <s v="Sessão a Faturar"/>
    <s v="56788888488537970015"/>
    <n v="56491"/>
    <s v="Unidade Vieralves (ANEXO)"/>
    <n v="171596"/>
    <m/>
  </r>
  <r>
    <x v="0"/>
    <x v="42"/>
    <s v="Fabio Arruda Binda"/>
    <s v="Masculino"/>
    <x v="2"/>
    <x v="7"/>
    <s v="20103484 - Fisioterapia - Patologia Em Um Membro (R$ 12,22)"/>
    <s v="Fisioterapia"/>
    <n v="1712675997"/>
    <s v="Finalizado (1/6)"/>
    <n v="10.7536"/>
    <n v="1.4663999999999999"/>
    <n v="12.22"/>
    <s v="Sessão a Faturar"/>
    <n v="812980300400000"/>
    <n v="59607"/>
    <s v="Unidade Vieralves (ANEXO)"/>
    <n v="1712675997"/>
    <m/>
  </r>
  <r>
    <x v="0"/>
    <x v="38"/>
    <s v="Simone Ferreira Marinho da Silva"/>
    <m/>
    <x v="4"/>
    <x v="7"/>
    <s v="31602185 - Estimulação Elétrica Transcutânea - Removido 13/04/2026 (R$ 40,00)"/>
    <s v="Fisioterapia"/>
    <n v="1710796060"/>
    <s v="Finalizado (2/5)"/>
    <n v="35.200000000000003"/>
    <n v="4.8"/>
    <n v="40"/>
    <s v="Sessão Faturada"/>
    <n v="775426001635010"/>
    <n v="59543"/>
    <s v="Unidade Vieralves (ANEXO)"/>
    <n v="1710796060"/>
    <m/>
  </r>
  <r>
    <x v="0"/>
    <x v="62"/>
    <s v="Simone Ferreira Marinho da Silva"/>
    <m/>
    <x v="2"/>
    <x v="7"/>
    <s v="20103492 - Fisioterapia - Patologia Em Dois Ou Mais Membros (R$ 14,83)"/>
    <s v="Fisioterapia"/>
    <n v="1708925208"/>
    <s v="Finalizado (4/5)"/>
    <n v="13.0504"/>
    <n v="1.7796000000000001"/>
    <n v="14.83"/>
    <s v="Sessão Faturada"/>
    <n v="775426001635010"/>
    <n v="59543"/>
    <s v="Unidade Vieralves (ANEXO)"/>
    <n v="1708925208"/>
    <m/>
  </r>
  <r>
    <x v="0"/>
    <x v="37"/>
    <s v="Laresca Cunha Moreira Altomar"/>
    <s v="Feminino"/>
    <x v="2"/>
    <x v="7"/>
    <s v="20103492 - Fisioterapia - Patologia Em Dois Ou Mais Membros (R$ 14,83)"/>
    <s v="Fisioterapia"/>
    <n v="1711432896"/>
    <s v="Finalizado (2/4)"/>
    <n v="13.0504"/>
    <n v="1.7796000000000001"/>
    <n v="14.83"/>
    <s v="Sessão a Faturar"/>
    <n v="771015061557010"/>
    <n v="36894"/>
    <s v="Unidade Vieralves (ANEXO)"/>
    <n v="1711432896"/>
    <m/>
  </r>
  <r>
    <x v="1"/>
    <x v="44"/>
    <s v="Lucicleia de Macedo Vieira Monteiro"/>
    <s v="Feminino"/>
    <x v="1"/>
    <x v="7"/>
    <s v="50000160 - Fisioterapia Ortopédica (R$ 20,00), 98980327 - Taxa de Eletroterapia (Tens) (R$ 15,00)"/>
    <s v="Fisioterapia"/>
    <n v="9025442"/>
    <s v="Finalizado (9/9)"/>
    <n v="30.8"/>
    <n v="4.2"/>
    <n v="35"/>
    <s v="Sessão Faturada"/>
    <s v="0901013218730128"/>
    <n v="59450"/>
    <s v="Unidade Vieralves (ANEXO)"/>
    <n v="9025442"/>
    <m/>
  </r>
  <r>
    <x v="1"/>
    <x v="44"/>
    <s v="Lucivaldo Junio da Silva Pinto"/>
    <s v="Masculino"/>
    <x v="4"/>
    <x v="7"/>
    <s v="31602185 - Estimulação Elétrica Transcutânea - Removido 13/04/2026 (R$ 40,00)"/>
    <s v="Fisioterapia"/>
    <n v="1711252099"/>
    <s v="Finalizado (2/5)"/>
    <n v="35.200000000000003"/>
    <n v="4.8"/>
    <n v="40"/>
    <s v="Sessão a Faturar"/>
    <n v="770179018740010"/>
    <n v="55925"/>
    <s v="Unidade Vieralves (ANEXO)"/>
    <n v="1711252099"/>
    <m/>
  </r>
  <r>
    <x v="1"/>
    <x v="44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3/10)"/>
    <n v="30.8"/>
    <n v="4.2"/>
    <n v="35"/>
    <s v="Sessão Faturada"/>
    <n v="901013262310200"/>
    <n v="52486"/>
    <s v="Unidade Vieralves (ANEXO)"/>
    <n v="9287218"/>
    <s v="Guia assinada! 07/04"/>
  </r>
  <r>
    <x v="1"/>
    <x v="44"/>
    <s v="Ilza Maria  Drumond Vilaça"/>
    <s v="Feminino"/>
    <x v="4"/>
    <x v="7"/>
    <s v="31602185 - Estimulação Elétrica Transcutânea - Removido 13/04/2026 (R$ 40,00)"/>
    <s v="Fisioterapia"/>
    <n v="1710681815"/>
    <s v="Finalizado (5/6)"/>
    <n v="35.200000000000003"/>
    <n v="4.8"/>
    <n v="40"/>
    <s v="Sessão Faturada"/>
    <n v="843486100140010"/>
    <n v="49639"/>
    <s v="Unidade Vieralves (ANEXO)"/>
    <n v="1710681815"/>
    <m/>
  </r>
  <r>
    <x v="1"/>
    <x v="60"/>
    <s v="Lucivaldo Junio da Silva Pinto"/>
    <s v="Masculino"/>
    <x v="2"/>
    <x v="7"/>
    <s v="20103492 - Fisioterapia - Patologia Em Dois Ou Mais Membros (R$ 14,83)"/>
    <s v="Fisioterapia"/>
    <n v="1710658907"/>
    <s v="Finalizado (3/6)"/>
    <n v="13.0504"/>
    <n v="1.7796000000000001"/>
    <n v="14.83"/>
    <s v="Sessão a Faturar"/>
    <n v="770179018740010"/>
    <n v="55925"/>
    <s v="Unidade Vieralves (ANEXO)"/>
    <n v="1710658907"/>
    <m/>
  </r>
  <r>
    <x v="1"/>
    <x v="60"/>
    <s v="Ilza Maria  Drumond Vilaça"/>
    <s v="Feminino"/>
    <x v="2"/>
    <x v="7"/>
    <s v="20103484 - Fisioterapia - Patologia Em Um Membro (R$ 12,22)"/>
    <s v="Fisioterapia"/>
    <n v="1711286090"/>
    <s v="Finalizado (4/5)"/>
    <n v="10.7536"/>
    <n v="1.4663999999999999"/>
    <n v="12.22"/>
    <s v="Sessão Faturada"/>
    <n v="843486100140010"/>
    <n v="49639"/>
    <s v="Unidade Vieralves (ANEXO)"/>
    <n v="1711286090"/>
    <m/>
  </r>
  <r>
    <x v="1"/>
    <x v="41"/>
    <s v="Eloise Miranda dos Santos"/>
    <s v="Feminino"/>
    <x v="2"/>
    <x v="7"/>
    <s v="20103506 - Fisioterapia - Patologia Em Um Segmento da Coluna (R$ 12,22)"/>
    <s v="Fisioterapia"/>
    <n v="1709465706"/>
    <s v="Finalizado (2/10)"/>
    <n v="10.7536"/>
    <n v="1.4663999999999999"/>
    <n v="12.22"/>
    <s v="Sessão a Faturar"/>
    <n v="774642019992020"/>
    <n v="56839"/>
    <s v="Unidade Vieralves (ANEXO)"/>
    <n v="1709465706"/>
    <m/>
  </r>
  <r>
    <x v="1"/>
    <x v="41"/>
    <s v="Francisca Queiroz de Souza"/>
    <s v="Feminino"/>
    <x v="20"/>
    <x v="7"/>
    <s v="20103484 - Patologia Em Um Membro (R$ 29,04)"/>
    <s v="Fisioterapia"/>
    <n v="55545960"/>
    <s v="Finalizado (5/5)"/>
    <n v="25.555199999999999"/>
    <n v="3.4847999999999999"/>
    <n v="29.04"/>
    <s v="Sessão Faturada"/>
    <n v="10511000650703"/>
    <n v="59271"/>
    <s v="Unidade Vieralves (ANEXO)"/>
    <n v="55545960"/>
    <m/>
  </r>
  <r>
    <x v="1"/>
    <x v="41"/>
    <s v="Jacineide Garcia de Carvalho Neves"/>
    <m/>
    <x v="0"/>
    <x v="7"/>
    <s v="50000160 - Fisioterapia Ortopedica (R$ 49,72)"/>
    <s v="Fisioterapia"/>
    <s v="42263120260219312725"/>
    <s v="Finalizado (9/10)"/>
    <n v="43.753599999999999"/>
    <n v="5.9664000000000001"/>
    <n v="49.72"/>
    <s v="Sessão Faturada"/>
    <s v="010650432906"/>
    <n v="59393"/>
    <s v="Unidade Vieralves (ANEXO)"/>
    <s v="42263120260219312725"/>
    <m/>
  </r>
  <r>
    <x v="1"/>
    <x v="65"/>
    <s v="Eloise Miranda dos Santos"/>
    <s v="Feminino"/>
    <x v="4"/>
    <x v="7"/>
    <s v="31602185 - Estimulação Elétrica Transcutânea - Removido 13/04/2026 (R$ 40,00)"/>
    <s v="Fisioterapia"/>
    <n v="1713239249"/>
    <s v="Finalizado (1/10)"/>
    <n v="35.200000000000003"/>
    <n v="4.8"/>
    <n v="40"/>
    <s v="Sessão a Faturar"/>
    <n v="774642019992020"/>
    <n v="56839"/>
    <s v="Unidade Vieralves (ANEXO)"/>
    <n v="1713239249"/>
    <m/>
  </r>
  <r>
    <x v="1"/>
    <x v="65"/>
    <s v="Jacineide Garcia de Carvalho Neves"/>
    <m/>
    <x v="0"/>
    <x v="7"/>
    <s v="31602185 - Estimulação Elétrica Transcutânea Fisioterapia (Novo - 01/12) (R$ 54,13)"/>
    <s v="Fisioterapia"/>
    <s v="42263120260219312753"/>
    <s v="Finalizado (9/10)"/>
    <n v="47.634399999999999"/>
    <n v="6.4955999999999996"/>
    <n v="54.13"/>
    <s v="Sessão Faturada"/>
    <s v="010650432906"/>
    <n v="59393"/>
    <s v="Unidade Vieralves (ANEXO)"/>
    <s v="42263120260219312753"/>
    <m/>
  </r>
  <r>
    <x v="1"/>
    <x v="36"/>
    <s v="Bruno Barbosa dos Santos"/>
    <s v="Masculino"/>
    <x v="8"/>
    <x v="7"/>
    <s v="20103662 - Pos Operatorio Em Um Membro (R$ 14,99)"/>
    <s v="Fisioterapia"/>
    <n v="1709475907"/>
    <s v="Finalizado (3/10)"/>
    <n v="13.1912"/>
    <n v="1.7988"/>
    <n v="14.99"/>
    <s v="Sessão a Faturar"/>
    <n v="954600007650010"/>
    <n v="59241"/>
    <s v="Unidade Vieralves (ANEXO)"/>
    <n v="1709475907"/>
    <m/>
  </r>
  <r>
    <x v="1"/>
    <x v="36"/>
    <s v="Mayco Grijó da Silva"/>
    <s v="Masculino"/>
    <x v="7"/>
    <x v="7"/>
    <s v="Vieiralves - 1 - Fisioterapia Ortopedica - Pacote (R$ 40,00)"/>
    <s v="Fisioterapia"/>
    <m/>
    <s v="Finalizado (5/10)"/>
    <n v="31.2"/>
    <n v="8.8000000000000007"/>
    <n v="40"/>
    <s v="Pago"/>
    <n v="0"/>
    <n v="59587"/>
    <s v="Unidade Vieralves (ANEXO)"/>
    <m/>
    <m/>
  </r>
  <r>
    <x v="1"/>
    <x v="61"/>
    <s v="Bruno Barbosa dos Santos"/>
    <s v="Masculino"/>
    <x v="9"/>
    <x v="7"/>
    <s v="31602185 - Estimulação Elétrica Transcutânea (Tens) - Removido 13/04/2026 (R$ 40,00)"/>
    <s v="Fisioterapia"/>
    <n v="1710720618"/>
    <s v="Finalizado (2/10)"/>
    <n v="35.200000000000003"/>
    <n v="4.8"/>
    <n v="40"/>
    <s v="Sessão a Faturar"/>
    <n v="954600007650010"/>
    <n v="59241"/>
    <s v="Unidade Vieralves (ANEXO)"/>
    <n v="1710720618"/>
    <m/>
  </r>
  <r>
    <x v="1"/>
    <x v="40"/>
    <s v="Adriana Saboia Oviedo Molinari"/>
    <m/>
    <x v="1"/>
    <x v="7"/>
    <s v="50000160 - Fisioterapia Ortopédica (R$ 20,00), 98980327 - Taxa de Eletroterapia (Tens) (R$ 15,00)"/>
    <s v="Fisioterapia"/>
    <n v="8823875"/>
    <s v="Finalizado (10/10)"/>
    <n v="30.8"/>
    <n v="4.2"/>
    <n v="35"/>
    <s v="Sessão Faturada"/>
    <s v="0701010972150119"/>
    <n v="59006"/>
    <s v="Unidade Vieralves (ANEXO)"/>
    <n v="8823875"/>
    <m/>
  </r>
  <r>
    <x v="1"/>
    <x v="40"/>
    <s v="Rute Pacheco Nobre"/>
    <s v="Feminino"/>
    <x v="2"/>
    <x v="7"/>
    <s v="50000144 - Avaliação de Fisioterapia (R$ 51,42)"/>
    <s v="Fisioterapia"/>
    <n v="1713313930"/>
    <s v="Finalizado (1/1)"/>
    <n v="46.277999999999999"/>
    <n v="5.1420000000000003"/>
    <n v="51.42"/>
    <s v="Sessão Faturada"/>
    <n v="772956001996030"/>
    <n v="59637"/>
    <s v="Unidade Vieralves (ANEXO)"/>
    <n v="1713313930"/>
    <m/>
  </r>
  <r>
    <x v="1"/>
    <x v="45"/>
    <s v="Rute Pacheco Nobre"/>
    <s v="Feminino"/>
    <x v="2"/>
    <x v="7"/>
    <s v="20103492 - Fisioterapia - Patologia Em Dois Ou Mais Membros (R$ 14,83)"/>
    <s v="Fisioterapia"/>
    <n v="1713315815"/>
    <s v="Finalizado (1/8)"/>
    <n v="13.0504"/>
    <n v="1.7796000000000001"/>
    <n v="14.83"/>
    <s v="Sessão a Faturar"/>
    <n v="772956001996030"/>
    <n v="59637"/>
    <s v="Unidade Vieralves (ANEXO)"/>
    <n v="1713315815"/>
    <m/>
  </r>
  <r>
    <x v="1"/>
    <x v="35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1"/>
    <x v="38"/>
    <s v="Fabio Arruda Binda"/>
    <s v="Masculino"/>
    <x v="2"/>
    <x v="7"/>
    <s v="20103484 - Fisioterapia - Patologia Em Um Membro (R$ 12,22)"/>
    <s v="Fisioterapia"/>
    <n v="1712675997"/>
    <s v="Finalizado (2/6)"/>
    <n v="10.7536"/>
    <n v="1.4663999999999999"/>
    <n v="12.22"/>
    <s v="Sessão a Faturar"/>
    <n v="812980300400000"/>
    <n v="59607"/>
    <s v="Unidade Vieralves (ANEXO)"/>
    <n v="1712675997"/>
    <m/>
  </r>
  <r>
    <x v="1"/>
    <x v="38"/>
    <s v="Vanessa Amaral da Rocha"/>
    <s v="Feminino"/>
    <x v="6"/>
    <x v="7"/>
    <s v="50000144 - Avaliação de Fisioterapia (R$ 56,52)"/>
    <s v="Fisioterapia"/>
    <n v="7700047251"/>
    <s v="Finalizado (1/1)"/>
    <n v="50.868000000000002"/>
    <n v="5.6520000000000001"/>
    <n v="56.52"/>
    <s v="Sessão Faturada"/>
    <s v="55788888491043450029"/>
    <n v="13689"/>
    <s v="Unidade Vieralves (ANEXO)"/>
    <n v="7700047251"/>
    <m/>
  </r>
  <r>
    <x v="1"/>
    <x v="68"/>
    <s v="Vanessa Amaral da Rocha"/>
    <s v="Feminino"/>
    <x v="6"/>
    <x v="7"/>
    <s v="20103492 - Patologia Em Dois Ou Mais Membros (R$ 30,26)"/>
    <s v="Fisioterapia"/>
    <n v="171966"/>
    <s v="Finalizado (1/10)"/>
    <n v="26.628799999999998"/>
    <n v="3.6312000000000002"/>
    <n v="30.26"/>
    <s v="Sessão a Faturar"/>
    <s v="55788888491043450029"/>
    <n v="13689"/>
    <s v="Unidade Vieralves (ANEXO)"/>
    <n v="171966"/>
    <m/>
  </r>
  <r>
    <x v="1"/>
    <x v="62"/>
    <s v="Fabio Arruda Binda"/>
    <s v="Masculino"/>
    <x v="4"/>
    <x v="7"/>
    <s v="31602185 - Estimulação Elétrica Transcutânea - Removido 13/04/2026 (R$ 40,00)"/>
    <s v="Fisioterapia"/>
    <n v="1713340251"/>
    <s v="Finalizado (1/5)"/>
    <n v="35.200000000000003"/>
    <n v="4.8"/>
    <n v="40"/>
    <s v="Sessão a Faturar"/>
    <n v="812980300400000"/>
    <n v="59607"/>
    <s v="Unidade Vieralves (ANEXO)"/>
    <n v="1713340251"/>
    <m/>
  </r>
  <r>
    <x v="1"/>
    <x v="69"/>
    <s v="Vanessa Amaral da Rocha"/>
    <s v="Feminino"/>
    <x v="6"/>
    <x v="7"/>
    <s v="31602185 - Estimulação Elétrica Transcutanea (Tens) (R$ 40,00)"/>
    <s v="Fisioterapia"/>
    <n v="171967"/>
    <s v="Finalizado (1/10)"/>
    <n v="35.200000000000003"/>
    <n v="4.8"/>
    <n v="40"/>
    <s v="Sessão a Faturar"/>
    <s v="55788888491043450029"/>
    <n v="13689"/>
    <s v="Unidade Vieralves (ANEXO)"/>
    <n v="171967"/>
    <m/>
  </r>
  <r>
    <x v="1"/>
    <x v="39"/>
    <s v="Sidnea Batista Vieira"/>
    <s v="Feminino"/>
    <x v="17"/>
    <x v="7"/>
    <s v="50000160 - Fisioterapia Ortopedica (R$ 45,00)"/>
    <s v="Fisioterapia"/>
    <n v="3981027"/>
    <s v="Finalizado (5/10)"/>
    <n v="39.6"/>
    <n v="5.4"/>
    <n v="45"/>
    <s v="Sessão a Faturar"/>
    <s v="000915777624101"/>
    <n v="56158"/>
    <s v="Unidade Vieralves (ANEXO)"/>
    <n v="3981027"/>
    <m/>
  </r>
  <r>
    <x v="1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1/10)"/>
    <n v="30.8"/>
    <n v="4.2"/>
    <n v="35"/>
    <s v="Sessão Faturada"/>
    <s v="0901010162540294"/>
    <n v="53890"/>
    <s v="Unidade Vieralves (ANEXO)"/>
    <n v="9391083"/>
    <m/>
  </r>
  <r>
    <x v="2"/>
    <x v="44"/>
    <s v="Raimundo Nonato de Souza Costa"/>
    <s v="Masculino"/>
    <x v="8"/>
    <x v="7"/>
    <s v="20103484 - Patologia Em Um Membro (R$ 12,22), 20103506 - Patologia Em Um Segmento Na Coluna (R$ 12,22)"/>
    <s v="Fisioterapia"/>
    <n v="1712577029"/>
    <s v="Finalizado (2/10)"/>
    <n v="21.507200000000001"/>
    <n v="2.9327999999999999"/>
    <n v="24.44"/>
    <s v="Sessão a Faturar"/>
    <n v="954580018660010"/>
    <n v="56580"/>
    <s v="Unidade Vieralves (ANEXO)"/>
    <n v="1712577029"/>
    <m/>
  </r>
  <r>
    <x v="2"/>
    <x v="44"/>
    <s v="Nubya Aires Arruda"/>
    <s v="Feminino"/>
    <x v="6"/>
    <x v="7"/>
    <s v="50000144 - Avaliação de Fisioterapia (R$ 56,52)"/>
    <s v="Fisioterapia"/>
    <n v="7700047272"/>
    <s v="Finalizado (1/1)"/>
    <n v="50.868000000000002"/>
    <n v="5.6520000000000001"/>
    <n v="56.52"/>
    <s v="Sessão Faturada"/>
    <s v="54588888021578490119"/>
    <n v="59651"/>
    <s v="Unidade Vieralves (ANEXO)"/>
    <n v="7700047272"/>
    <m/>
  </r>
  <r>
    <x v="2"/>
    <x v="44"/>
    <s v="Alice Viana Franklin"/>
    <s v="Feminino"/>
    <x v="4"/>
    <x v="7"/>
    <s v="31602185 - Estimulação Elétrica Transcutânea - Removido 13/04/2026 (R$ 40,00)"/>
    <s v="Fisioterapia"/>
    <n v="1713833721"/>
    <s v="Finalizado (1/10)"/>
    <n v="35.200000000000003"/>
    <n v="4.8"/>
    <n v="40"/>
    <s v="Sessão Faturada"/>
    <n v="812980300922010"/>
    <n v="59437"/>
    <s v="Unidade Vieralves (ANEXO)"/>
    <n v="1713833721"/>
    <m/>
  </r>
  <r>
    <x v="2"/>
    <x v="44"/>
    <s v="Ilza Maria  Drumond Vilaça"/>
    <s v="Feminino"/>
    <x v="4"/>
    <x v="7"/>
    <s v="31602185 - Estimulação Elétrica Transcutânea - Removido 13/04/2026 (R$ 40,00)"/>
    <s v="Fisioterapia"/>
    <n v="1710681815"/>
    <s v="Finalizado (6/6)"/>
    <n v="35.200000000000003"/>
    <n v="4.8"/>
    <n v="40"/>
    <s v="Sessão Faturada"/>
    <n v="843486100140010"/>
    <n v="49639"/>
    <s v="Unidade Vieralves (ANEXO)"/>
    <n v="1710681815"/>
    <m/>
  </r>
  <r>
    <x v="2"/>
    <x v="73"/>
    <s v="Nubya Aires Arruda"/>
    <s v="Feminino"/>
    <x v="6"/>
    <x v="7"/>
    <s v="20103514 - Patologia Em Dois Ou Mais Segmentos da Coluna (R$ 32,82)"/>
    <s v="Fisioterapia"/>
    <n v="172074"/>
    <s v="Finalizado (1/7)"/>
    <n v="28.881599999999999"/>
    <n v="3.9384000000000001"/>
    <n v="32.82"/>
    <s v="Sessão a Faturar"/>
    <s v="54588888021578490119"/>
    <n v="59651"/>
    <s v="Unidade Vieralves (ANEXO)"/>
    <n v="172074"/>
    <m/>
  </r>
  <r>
    <x v="2"/>
    <x v="60"/>
    <s v="Alice Viana Franklin"/>
    <s v="Feminino"/>
    <x v="2"/>
    <x v="7"/>
    <s v="20103514 - Fisioterapia - Patologia Em Diferentes Segmentos da Coluna (R$ 14,83)"/>
    <s v="Fisioterapia"/>
    <n v="1712540198"/>
    <s v="Finalizado (2/10)"/>
    <n v="13.0504"/>
    <n v="1.7796000000000001"/>
    <n v="14.83"/>
    <s v="Sessão Faturada"/>
    <n v="812980300922010"/>
    <n v="59437"/>
    <s v="Unidade Vieralves (ANEXO)"/>
    <n v="1712540198"/>
    <m/>
  </r>
  <r>
    <x v="2"/>
    <x v="60"/>
    <s v="Raimundo Nonato de Souza Costa"/>
    <s v="Masculino"/>
    <x v="9"/>
    <x v="7"/>
    <s v="31602185 - Estimulação Elétrica Transcutânea (Tens) - Removido 13/04/2026 (R$ 40,00)"/>
    <s v="Fisioterapia"/>
    <n v="1713853667"/>
    <s v="Finalizado (1/10)"/>
    <n v="35.200000000000003"/>
    <n v="4.8"/>
    <n v="40"/>
    <s v="Sessão a Faturar"/>
    <n v="954580018660010"/>
    <n v="56580"/>
    <s v="Unidade Vieralves (ANEXO)"/>
    <n v="1713853667"/>
    <m/>
  </r>
  <r>
    <x v="2"/>
    <x v="60"/>
    <s v="Ilza Maria  Drumond Vilaça"/>
    <s v="Feminino"/>
    <x v="2"/>
    <x v="7"/>
    <s v="20103484 - Fisioterapia - Patologia Em Um Membro (R$ 12,22)"/>
    <s v="Fisioterapia"/>
    <n v="1711286090"/>
    <s v="Finalizado (5/5)"/>
    <n v="10.7536"/>
    <n v="1.4663999999999999"/>
    <n v="12.22"/>
    <s v="Sessão Faturada"/>
    <n v="843486100140010"/>
    <n v="49639"/>
    <s v="Unidade Vieralves (ANEXO)"/>
    <n v="1711286090"/>
    <m/>
  </r>
  <r>
    <x v="2"/>
    <x v="74"/>
    <s v="Nubya Aires Arruda"/>
    <s v="Feminino"/>
    <x v="6"/>
    <x v="7"/>
    <s v="31602185 - Estimulação Elétrica Transcutanea (Tens) (R$ 40,00)"/>
    <s v="Fisioterapia"/>
    <n v="172075"/>
    <s v="Finalizado (1/6)"/>
    <n v="35.200000000000003"/>
    <n v="4.8"/>
    <n v="40"/>
    <s v="Sessão a Faturar"/>
    <s v="54588888021578490119"/>
    <n v="59651"/>
    <s v="Unidade Vieralves (ANEXO)"/>
    <n v="172075"/>
    <m/>
  </r>
  <r>
    <x v="2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8/10)"/>
    <n v="30.8"/>
    <n v="4.2"/>
    <n v="35"/>
    <s v="Sessão Faturada"/>
    <n v="2001013187450100"/>
    <n v="59108"/>
    <s v="Unidade Vieralves (ANEXO)"/>
    <n v="9100774"/>
    <m/>
  </r>
  <r>
    <x v="2"/>
    <x v="41"/>
    <s v="Nikolas Ygor do Nascimento Pereira"/>
    <s v="Masculino"/>
    <x v="16"/>
    <x v="7"/>
    <s v="50000160 - Fisioterapia Ortopedica (R$ 25,00)"/>
    <s v="Fisioterapia"/>
    <n v="171235"/>
    <s v="Finalizado (4/10)"/>
    <n v="22"/>
    <n v="3"/>
    <n v="25"/>
    <s v="Sessão a Faturar"/>
    <n v="30003889"/>
    <n v="56597"/>
    <s v="Unidade Vieralves (ANEXO)"/>
    <n v="171235"/>
    <m/>
  </r>
  <r>
    <x v="2"/>
    <x v="36"/>
    <s v="Bruno Marques da Silva"/>
    <s v="Masculino"/>
    <x v="6"/>
    <x v="7"/>
    <s v="20103506 - Patologia Em Um Segmento da Coluna (R$ 14,16)"/>
    <s v="Fisioterapia"/>
    <n v="170504"/>
    <s v="Finalizado (3/4)"/>
    <n v="12.460800000000001"/>
    <n v="1.6992"/>
    <n v="14.16"/>
    <s v="Sessão a Faturar"/>
    <s v="51588888485478760019"/>
    <n v="59478"/>
    <s v="Unidade Vieralves (ANEXO)"/>
    <n v="170504"/>
    <m/>
  </r>
  <r>
    <x v="2"/>
    <x v="36"/>
    <s v="Mayco Grijó da Silva"/>
    <s v="Masculino"/>
    <x v="7"/>
    <x v="7"/>
    <s v="Vieiralves - 1 - Fisioterapia Ortopedica - Pacote (R$ 40,00)"/>
    <s v="Fisioterapia"/>
    <m/>
    <s v="Finalizado (6/10)"/>
    <n v="31.2"/>
    <n v="8.8000000000000007"/>
    <n v="40"/>
    <s v="Pago"/>
    <n v="0"/>
    <n v="59587"/>
    <s v="Unidade Vieralves (ANEXO)"/>
    <m/>
    <m/>
  </r>
  <r>
    <x v="2"/>
    <x v="36"/>
    <s v="Rafaele Lima Melo"/>
    <s v="Feminino"/>
    <x v="1"/>
    <x v="7"/>
    <s v="50000160 - Fisioterapia Ortopédica (R$ 20,00), 98980327 - Taxa de Eletroterapia (Tens) (R$ 15,00)"/>
    <s v="Fisioterapia"/>
    <n v="9129842"/>
    <s v="Finalizado (7/8)"/>
    <n v="30.8"/>
    <n v="4.2"/>
    <n v="35"/>
    <s v="Sessão Faturada"/>
    <s v="0901013958740470"/>
    <n v="59498"/>
    <s v="Unidade Vieralves (ANEXO)"/>
    <n v="9129842"/>
    <m/>
  </r>
  <r>
    <x v="2"/>
    <x v="36"/>
    <s v="Ingrid Roseane Magno Viana"/>
    <s v="Feminino"/>
    <x v="8"/>
    <x v="7"/>
    <s v="20103484 - Patologia Em Um Membro (R$ 12,22)"/>
    <s v="Fisioterapia"/>
    <n v="1713915713"/>
    <s v="Finalizado (1/10)"/>
    <n v="10.7536"/>
    <n v="1.4663999999999999"/>
    <n v="12.22"/>
    <s v="Sessão a Faturar"/>
    <n v="954440006904010"/>
    <n v="58326"/>
    <s v="Unidade Vieralves (ANEXO)"/>
    <n v="1713915713"/>
    <m/>
  </r>
  <r>
    <x v="2"/>
    <x v="61"/>
    <s v="Ingrid Roseane Magno Viana"/>
    <s v="Feminino"/>
    <x v="9"/>
    <x v="7"/>
    <s v="31602185 - Estimulação Elétrica Transcutânea (Tens) - Removido 13/04/2026 (R$ 40,00)"/>
    <s v="Fisioterapia"/>
    <n v="1712608397"/>
    <s v="Finalizado (2/10)"/>
    <n v="35.200000000000003"/>
    <n v="4.8"/>
    <n v="40"/>
    <s v="Sessão a Faturar"/>
    <n v="954440006904010"/>
    <n v="58326"/>
    <s v="Unidade Vieralves (ANEXO)"/>
    <n v="1712608397"/>
    <m/>
  </r>
  <r>
    <x v="2"/>
    <x v="61"/>
    <s v="Bruno Marques da Silva"/>
    <s v="Masculino"/>
    <x v="6"/>
    <x v="7"/>
    <s v="31602185 - Estimulação Elétrica Transcutanea (Tens) (R$ 40,00)"/>
    <s v="Fisioterapia"/>
    <n v="170505"/>
    <s v="Finalizado (3/4)"/>
    <n v="35.200000000000003"/>
    <n v="4.8"/>
    <n v="40"/>
    <s v="Sessão a Faturar"/>
    <s v="51588888485478760019"/>
    <n v="59478"/>
    <s v="Unidade Vieralves (ANEXO)"/>
    <n v="170505"/>
    <m/>
  </r>
  <r>
    <x v="2"/>
    <x v="40"/>
    <s v="Rute Pacheco Nobre"/>
    <s v="Feminino"/>
    <x v="2"/>
    <x v="7"/>
    <s v="20103492 - Fisioterapia - Patologia Em Dois Ou Mais Membros (R$ 14,83)"/>
    <s v="Fisioterapia"/>
    <n v="1713315815"/>
    <s v="Finalizado (2/8)"/>
    <n v="13.0504"/>
    <n v="1.7796000000000001"/>
    <n v="14.83"/>
    <s v="Sessão a Faturar"/>
    <n v="772956001996030"/>
    <n v="59637"/>
    <s v="Unidade Vieralves (ANEXO)"/>
    <n v="1713315815"/>
    <m/>
  </r>
  <r>
    <x v="2"/>
    <x v="40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2"/>
    <x v="40"/>
    <s v="Samira Farias Costa de Souza"/>
    <s v="Feminino"/>
    <x v="2"/>
    <x v="7"/>
    <s v="20103484 - Fisioterapia - Patologia Em Um Membro (R$ 12,22)"/>
    <s v="Fisioterapia"/>
    <n v="1709716473"/>
    <s v="Finalizado (6/10)"/>
    <n v="10.7536"/>
    <n v="1.4663999999999999"/>
    <n v="12.22"/>
    <s v="Sessão Faturada"/>
    <n v="774981013048010"/>
    <n v="59585"/>
    <s v="Unidade Vieralves (ANEXO)"/>
    <n v="1709716473"/>
    <m/>
  </r>
  <r>
    <x v="2"/>
    <x v="45"/>
    <s v="Rute Pacheco Nobre"/>
    <s v="Feminino"/>
    <x v="4"/>
    <x v="7"/>
    <s v="31602185 - Estimulação Elétrica Transcutânea - Removido 13/04/2026 (R$ 40,00)"/>
    <s v="Fisioterapia"/>
    <n v="1713926093"/>
    <s v="Finalizado (1/7)"/>
    <n v="35.200000000000003"/>
    <n v="4.8"/>
    <n v="40"/>
    <s v="Sessão a Faturar"/>
    <n v="772956001996030"/>
    <n v="59637"/>
    <s v="Unidade Vieralves (ANEXO)"/>
    <n v="1713926093"/>
    <m/>
  </r>
  <r>
    <x v="2"/>
    <x v="45"/>
    <s v="Samira Farias Costa de Souza"/>
    <s v="Feminino"/>
    <x v="4"/>
    <x v="7"/>
    <s v="31602185 - Estimulação Elétrica Transcutânea - Removido 13/04/2026 (R$ 40,00)"/>
    <s v="Fisioterapia"/>
    <n v="1711321666"/>
    <s v="Finalizado (3/9)"/>
    <n v="35.200000000000003"/>
    <n v="4.8"/>
    <n v="40"/>
    <s v="Sessão a Faturar"/>
    <n v="774981013048010"/>
    <n v="59585"/>
    <s v="Unidade Vieralves (ANEXO)"/>
    <n v="1711321666"/>
    <m/>
  </r>
  <r>
    <x v="2"/>
    <x v="35"/>
    <s v="Juliana do Valle Lima Matos"/>
    <s v="Feminino"/>
    <x v="1"/>
    <x v="7"/>
    <s v="50000144 - Consulta de Fisioterapia (R$ 16,00)"/>
    <s v="Fisioterapia"/>
    <n v="9410413"/>
    <s v="Finalizado (1/1)"/>
    <n v="14.4"/>
    <n v="1.6"/>
    <n v="16"/>
    <s v="Sessão Faturada"/>
    <s v="0901012964370052"/>
    <n v="59661"/>
    <s v="Unidade Vieralves (ANEXO)"/>
    <n v="9410413"/>
    <m/>
  </r>
  <r>
    <x v="2"/>
    <x v="35"/>
    <s v="José Roberto Teixeira Pereira"/>
    <s v="Masculino"/>
    <x v="6"/>
    <x v="7"/>
    <s v="20103506 - Patologia Em Um Segmento da Coluna (R$ 14,16)"/>
    <s v="Fisioterapia"/>
    <n v="171595"/>
    <s v="Finalizado (3/6)"/>
    <n v="12.460800000000001"/>
    <n v="1.6992"/>
    <n v="14.16"/>
    <s v="Sessão a Faturar"/>
    <s v="56788888488537970015"/>
    <n v="56491"/>
    <s v="Unidade Vieralves (ANEXO)"/>
    <n v="171595"/>
    <m/>
  </r>
  <r>
    <x v="2"/>
    <x v="42"/>
    <s v="José Roberto Teixeira Pereira"/>
    <s v="Masculino"/>
    <x v="6"/>
    <x v="7"/>
    <s v="31602185 - Estimulação Elétrica Transcutanea (Tens) (R$ 40,00)"/>
    <s v="Fisioterapia"/>
    <n v="171596"/>
    <s v="Finalizado (3/6)"/>
    <n v="35.200000000000003"/>
    <n v="4.8"/>
    <n v="40"/>
    <s v="Sessão a Faturar"/>
    <s v="56788888488537970015"/>
    <n v="56491"/>
    <s v="Unidade Vieralves (ANEXO)"/>
    <n v="171596"/>
    <m/>
  </r>
  <r>
    <x v="2"/>
    <x v="42"/>
    <s v="Juliana do Valle Lima Matos"/>
    <s v="Feminino"/>
    <x v="1"/>
    <x v="7"/>
    <s v="50000160 - Fisioterapia Ortopédica (R$ 20,00), 98980327 - Taxa de Eletroterapia (Tens) (R$ 15,00)"/>
    <s v="Fisioterapia"/>
    <n v="9410589"/>
    <s v="Finalizado (1/10)"/>
    <n v="30.8"/>
    <n v="4.2"/>
    <n v="35"/>
    <s v="Sessão Faturada"/>
    <s v="0901012964370052"/>
    <n v="59661"/>
    <s v="Unidade Vieralves (ANEXO)"/>
    <n v="9410589"/>
    <m/>
  </r>
  <r>
    <x v="2"/>
    <x v="38"/>
    <s v="Simone Ferreira Marinho da Silva"/>
    <m/>
    <x v="4"/>
    <x v="7"/>
    <s v="31602185 - Estimulação Elétrica Transcutânea - Removido 13/04/2026 (R$ 40,00)"/>
    <s v="Fisioterapia"/>
    <n v="1710796060"/>
    <s v="Finalizado (3/5)"/>
    <n v="35.200000000000003"/>
    <n v="4.8"/>
    <n v="40"/>
    <s v="Sessão Faturada"/>
    <n v="775426001635010"/>
    <n v="59543"/>
    <s v="Unidade Vieralves (ANEXO)"/>
    <n v="1710796060"/>
    <m/>
  </r>
  <r>
    <x v="2"/>
    <x v="38"/>
    <s v="Andreya Fabiana Rodrigues Cavalcante"/>
    <s v="Feminino"/>
    <x v="2"/>
    <x v="7"/>
    <s v="20103484 - Fisioterapia - Patologia Em Um Membro (R$ 12,22)"/>
    <s v="Fisioterapia"/>
    <n v="1710785843"/>
    <s v="Finalizado (2/3)"/>
    <n v="10.7536"/>
    <n v="1.4663999999999999"/>
    <n v="12.22"/>
    <s v="Sessão Faturada"/>
    <n v="811494100019040"/>
    <n v="59418"/>
    <s v="Unidade Vieralves (ANEXO)"/>
    <n v="1710785843"/>
    <m/>
  </r>
  <r>
    <x v="2"/>
    <x v="62"/>
    <s v="Simone Ferreira Marinho da Silva"/>
    <m/>
    <x v="2"/>
    <x v="7"/>
    <s v="20103492 - Fisioterapia - Patologia Em Dois Ou Mais Membros (R$ 14,83)"/>
    <s v="Fisioterapia"/>
    <n v="1708925208"/>
    <s v="Finalizado (5/5)"/>
    <n v="13.0504"/>
    <n v="1.7796000000000001"/>
    <n v="14.83"/>
    <s v="Sessão Faturada"/>
    <n v="775426001635010"/>
    <n v="59543"/>
    <s v="Unidade Vieralves (ANEXO)"/>
    <n v="1708925208"/>
    <m/>
  </r>
  <r>
    <x v="2"/>
    <x v="62"/>
    <s v="Andreya Fabiana Rodrigues Cavalcante"/>
    <s v="Feminino"/>
    <x v="4"/>
    <x v="7"/>
    <s v="31602185 - Estimulação Elétrica Transcutânea - Removido 13/04/2026 (R$ 40,00)"/>
    <s v="Fisioterapia"/>
    <n v="1713977127"/>
    <s v="Finalizado (1/2)"/>
    <n v="35.200000000000003"/>
    <n v="4.8"/>
    <n v="40"/>
    <s v="Sessão Faturada"/>
    <n v="811494100019040"/>
    <n v="59418"/>
    <s v="Unidade Vieralves (ANEXO)"/>
    <n v="1713977127"/>
    <m/>
  </r>
  <r>
    <x v="2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2/10)"/>
    <n v="30.8"/>
    <n v="4.2"/>
    <n v="35"/>
    <s v="Sessão Faturada"/>
    <s v="0901010162540294"/>
    <n v="53890"/>
    <s v="Unidade Vieralves (ANEXO)"/>
    <n v="9391083"/>
    <m/>
  </r>
  <r>
    <x v="2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9/10)"/>
    <n v="30.8"/>
    <n v="4.2"/>
    <n v="35"/>
    <s v="Sessão Faturada"/>
    <n v="1901010162540100"/>
    <n v="53882"/>
    <s v="Unidade Vieralves (ANEXO)"/>
    <n v="9158214"/>
    <m/>
  </r>
  <r>
    <x v="2"/>
    <x v="43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8/10)"/>
    <n v="30.8"/>
    <n v="4.2"/>
    <n v="35"/>
    <s v="Sessão Faturada"/>
    <s v="0903006735450160"/>
    <n v="58787"/>
    <s v="Unidade Vieralves (ANEXO)"/>
    <n v="9032635"/>
    <m/>
  </r>
  <r>
    <x v="2"/>
    <x v="43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6/10)"/>
    <n v="30.8"/>
    <n v="4.2"/>
    <n v="35"/>
    <s v="Sessão Faturada"/>
    <s v="0503007111620017"/>
    <n v="58376"/>
    <s v="Unidade Vieralves (ANEXO)"/>
    <n v="8769159"/>
    <s v="Guia assinada! 20/02"/>
  </r>
  <r>
    <x v="4"/>
    <x v="44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4/10)"/>
    <n v="30.8"/>
    <n v="4.2"/>
    <n v="35"/>
    <s v="Sessão Faturada"/>
    <n v="901013262310200"/>
    <n v="52486"/>
    <s v="Unidade Vieralves (ANEXO)"/>
    <n v="9287218"/>
    <s v="Guia assinada! 07/04"/>
  </r>
  <r>
    <x v="4"/>
    <x v="44"/>
    <s v="Alice Viana Franklin"/>
    <s v="Feminino"/>
    <x v="4"/>
    <x v="7"/>
    <s v="31602185 - Estimulação Elétrica Transcutânea - Removido 13/04/2026 (R$ 40,00)"/>
    <s v="Fisioterapia"/>
    <n v="1713833721"/>
    <s v="Finalizado (2/10)"/>
    <n v="35.200000000000003"/>
    <n v="4.8"/>
    <n v="40"/>
    <s v="Sessão Faturada"/>
    <n v="812980300922010"/>
    <n v="59437"/>
    <s v="Unidade Vieralves (ANEXO)"/>
    <n v="1713833721"/>
    <m/>
  </r>
  <r>
    <x v="4"/>
    <x v="44"/>
    <s v="Raimundo Nonato de Souza Costa"/>
    <s v="Masculino"/>
    <x v="9"/>
    <x v="7"/>
    <s v="31602185 - Estimulação Elétrica Transcutânea (Tens) - Removido 13/04/2026 (R$ 40,00)"/>
    <s v="Fisioterapia"/>
    <n v="1713853667"/>
    <s v="Finalizado (2/10)"/>
    <n v="35.200000000000003"/>
    <n v="4.8"/>
    <n v="40"/>
    <s v="Sessão a Faturar"/>
    <n v="954580018660010"/>
    <n v="56580"/>
    <s v="Unidade Vieralves (ANEXO)"/>
    <n v="1713853667"/>
    <m/>
  </r>
  <r>
    <x v="4"/>
    <x v="60"/>
    <s v="Alice Viana Franklin"/>
    <s v="Feminino"/>
    <x v="2"/>
    <x v="7"/>
    <s v="20103514 - Fisioterapia - Patologia Em Diferentes Segmentos da Coluna (R$ 14,83)"/>
    <s v="Fisioterapia"/>
    <n v="1712540198"/>
    <s v="Finalizado (3/10)"/>
    <n v="13.0504"/>
    <n v="1.7796000000000001"/>
    <n v="14.83"/>
    <s v="Sessão Faturada"/>
    <n v="812980300922010"/>
    <n v="59437"/>
    <s v="Unidade Vieralves (ANEXO)"/>
    <n v="1712540198"/>
    <m/>
  </r>
  <r>
    <x v="4"/>
    <x v="60"/>
    <s v="Raimundo Nonato de Souza Costa"/>
    <s v="Masculino"/>
    <x v="8"/>
    <x v="7"/>
    <s v="20103484 - Patologia Em Um Membro (R$ 12,22), 20103506 - Patologia Em Um Segmento Na Coluna (R$ 12,22)"/>
    <s v="Fisioterapia"/>
    <n v="1712577029"/>
    <s v="Finalizado (3/10)"/>
    <n v="21.507200000000001"/>
    <n v="2.9327999999999999"/>
    <n v="24.44"/>
    <s v="Sessão a Faturar"/>
    <n v="954580018660010"/>
    <n v="56580"/>
    <s v="Unidade Vieralves (ANEXO)"/>
    <n v="1712577029"/>
    <m/>
  </r>
  <r>
    <x v="4"/>
    <x v="41"/>
    <s v="Nikolas Ygor do Nascimento Pereira"/>
    <s v="Masculino"/>
    <x v="16"/>
    <x v="7"/>
    <s v="50000160 - Fisioterapia Ortopedica (R$ 25,00)"/>
    <s v="Fisioterapia"/>
    <n v="171235"/>
    <s v="Finalizado (5/10)"/>
    <n v="22"/>
    <n v="3"/>
    <n v="25"/>
    <s v="Sessão a Faturar"/>
    <n v="30003889"/>
    <n v="56597"/>
    <s v="Unidade Vieralves (ANEXO)"/>
    <n v="171235"/>
    <m/>
  </r>
  <r>
    <x v="4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9/10)"/>
    <n v="30.8"/>
    <n v="4.2"/>
    <n v="35"/>
    <s v="Sessão Faturada"/>
    <n v="2001013187450100"/>
    <n v="59108"/>
    <s v="Unidade Vieralves (ANEXO)"/>
    <n v="9100774"/>
    <m/>
  </r>
  <r>
    <x v="4"/>
    <x v="36"/>
    <s v="Maria Eduarda Valente Oliveira"/>
    <s v="Feminino"/>
    <x v="2"/>
    <x v="7"/>
    <s v="50000144 - Avaliação de Fisioterapia (R$ 51,42)"/>
    <s v="Fisioterapia"/>
    <n v="1714972563"/>
    <s v="Finalizado (1/1)"/>
    <n v="46.277999999999999"/>
    <n v="5.1420000000000003"/>
    <n v="51.42"/>
    <s v="Sessão Faturada"/>
    <n v="774642030210000"/>
    <n v="59322"/>
    <s v="Unidade Vieralves (ANEXO)"/>
    <n v="1714972563"/>
    <m/>
  </r>
  <r>
    <x v="4"/>
    <x v="36"/>
    <s v="Ingrid Roseane Magno Viana"/>
    <s v="Feminino"/>
    <x v="8"/>
    <x v="7"/>
    <s v="20103484 - Patologia Em Um Membro (R$ 12,22)"/>
    <s v="Fisioterapia"/>
    <n v="1713915713"/>
    <s v="Finalizado (2/10)"/>
    <n v="10.7536"/>
    <n v="1.4663999999999999"/>
    <n v="12.22"/>
    <s v="Sessão a Faturar"/>
    <n v="954440006904010"/>
    <n v="58326"/>
    <s v="Unidade Vieralves (ANEXO)"/>
    <n v="1713915713"/>
    <m/>
  </r>
  <r>
    <x v="4"/>
    <x v="36"/>
    <s v="Mayco Grijó da Silva"/>
    <s v="Masculino"/>
    <x v="7"/>
    <x v="7"/>
    <s v="Vieiralves - 1 - Fisioterapia Ortopedica - Pacote (R$ 40,00)"/>
    <s v="Fisioterapia"/>
    <m/>
    <s v="Finalizado (7/10)"/>
    <n v="31.2"/>
    <n v="8.8000000000000007"/>
    <n v="40"/>
    <s v="Pago"/>
    <n v="0"/>
    <n v="59587"/>
    <s v="Unidade Vieralves (ANEXO)"/>
    <m/>
    <m/>
  </r>
  <r>
    <x v="4"/>
    <x v="61"/>
    <s v="Ingrid Roseane Magno Viana"/>
    <s v="Feminino"/>
    <x v="9"/>
    <x v="7"/>
    <s v="31602185 - Estimulação Elétrica Transcutânea (Tens) - Removido 13/04/2026 (R$ 40,00)"/>
    <s v="Fisioterapia"/>
    <n v="1712608397"/>
    <s v="Finalizado (3/10)"/>
    <n v="35.200000000000003"/>
    <n v="4.8"/>
    <n v="40"/>
    <s v="Sessão a Faturar"/>
    <n v="954440006904010"/>
    <n v="58326"/>
    <s v="Unidade Vieralves (ANEXO)"/>
    <n v="1712608397"/>
    <m/>
  </r>
  <r>
    <x v="4"/>
    <x v="61"/>
    <s v="Maria Eduarda Valente Oliveira"/>
    <s v="Feminino"/>
    <x v="2"/>
    <x v="7"/>
    <s v="20103506 - Fisioterapia - Patologia Em Um Segmento da Coluna (R$ 12,22)"/>
    <s v="Fisioterapia"/>
    <n v="1714973630"/>
    <s v="Finalizado (1/10)"/>
    <n v="10.7536"/>
    <n v="1.4663999999999999"/>
    <n v="12.22"/>
    <s v="Sessão a Faturar"/>
    <n v="774642030210000"/>
    <n v="59322"/>
    <s v="Unidade Vieralves (ANEXO)"/>
    <n v="1714973630"/>
    <m/>
  </r>
  <r>
    <x v="4"/>
    <x v="40"/>
    <s v="Larissa Castro Barbosa"/>
    <s v="Feminino"/>
    <x v="1"/>
    <x v="7"/>
    <s v="50000160 - Fisioterapia Ortopédica (R$ 20,00), 98980327 - Taxa de Eletroterapia (Tens) (R$ 15,00)"/>
    <s v="Fisioterapia"/>
    <n v="9391083"/>
    <s v="Finalizado (4/10)"/>
    <n v="30.8"/>
    <n v="4.2"/>
    <n v="35"/>
    <s v="Sessão Faturada"/>
    <s v="0901010162540294"/>
    <n v="53890"/>
    <s v="Unidade Vieralves (ANEXO)"/>
    <n v="9391083"/>
    <m/>
  </r>
  <r>
    <x v="4"/>
    <x v="40"/>
    <s v="Rafaele Lima Melo"/>
    <s v="Feminino"/>
    <x v="1"/>
    <x v="7"/>
    <s v="50000160 - Fisioterapia Ortopédica (R$ 20,00), 98980327 - Taxa de Eletroterapia (Tens) (R$ 15,00)"/>
    <s v="Fisioterapia"/>
    <n v="9129842"/>
    <s v="Finalizado (8/8)"/>
    <n v="30.8"/>
    <n v="4.2"/>
    <n v="35"/>
    <s v="Sessão Faturada"/>
    <s v="0901013958740470"/>
    <n v="59498"/>
    <s v="Unidade Vieralves (ANEXO)"/>
    <n v="9129842"/>
    <m/>
  </r>
  <r>
    <x v="4"/>
    <x v="40"/>
    <s v="Lucivaldo Junio da Silva Pinto"/>
    <s v="Masculino"/>
    <x v="2"/>
    <x v="7"/>
    <s v="20103492 - Fisioterapia - Patologia Em Dois Ou Mais Membros (R$ 14,83)"/>
    <s v="Fisioterapia"/>
    <n v="1710658907"/>
    <s v="Finalizado (5/6)"/>
    <n v="13.0504"/>
    <n v="1.7796000000000001"/>
    <n v="14.83"/>
    <s v="Sessão a Faturar"/>
    <n v="770179018740010"/>
    <n v="55925"/>
    <s v="Unidade Vieralves (ANEXO)"/>
    <n v="1710658907"/>
    <m/>
  </r>
  <r>
    <x v="4"/>
    <x v="40"/>
    <s v="Ediane da Silveira Vieira"/>
    <s v="Feminino"/>
    <x v="2"/>
    <x v="7"/>
    <s v="20103484 - Fisioterapia - Patologia Em Um Membro (R$ 12,22)"/>
    <s v="Fisioterapia"/>
    <n v="1707881370"/>
    <s v="Finalizado (5/10)"/>
    <n v="10.7536"/>
    <n v="1.4663999999999999"/>
    <n v="12.22"/>
    <s v="Sessão Faturada"/>
    <n v="775262001287000"/>
    <n v="17985"/>
    <s v="Unidade Vieralves (ANEXO)"/>
    <n v="1707881370"/>
    <m/>
  </r>
  <r>
    <x v="4"/>
    <x v="45"/>
    <s v="Lucivaldo Junio da Silva Pinto"/>
    <s v="Masculino"/>
    <x v="4"/>
    <x v="7"/>
    <s v="31602185 - Estimulação Elétrica Transcutânea - Removido 13/04/2026 (R$ 40,00)"/>
    <s v="Fisioterapia"/>
    <n v="1711252099"/>
    <s v="Finalizado (4/5)"/>
    <n v="35.200000000000003"/>
    <n v="4.8"/>
    <n v="40"/>
    <s v="Sessão a Faturar"/>
    <n v="770179018740010"/>
    <n v="55925"/>
    <s v="Unidade Vieralves (ANEXO)"/>
    <n v="1711252099"/>
    <m/>
  </r>
  <r>
    <x v="4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2/10)"/>
    <n v="30.8"/>
    <n v="4.2"/>
    <n v="35"/>
    <s v="Sessão Faturada"/>
    <s v="0901012964370052"/>
    <n v="59661"/>
    <s v="Unidade Vieralves (ANEXO)"/>
    <n v="9410589"/>
    <m/>
  </r>
  <r>
    <x v="4"/>
    <x v="35"/>
    <s v="Andreya Fabiana Rodrigues Cavalcante"/>
    <s v="Feminino"/>
    <x v="4"/>
    <x v="7"/>
    <s v="31602185 - Estimulação Elétrica Transcutânea - Removido 13/04/2026 (R$ 40,00)"/>
    <s v="Fisioterapia"/>
    <n v="1713977127"/>
    <s v="Finalizado (2/2)"/>
    <n v="35.200000000000003"/>
    <n v="4.8"/>
    <n v="40"/>
    <s v="Sessão Faturada"/>
    <n v="811494100019040"/>
    <n v="59418"/>
    <s v="Unidade Vieralves (ANEXO)"/>
    <n v="1713977127"/>
    <m/>
  </r>
  <r>
    <x v="4"/>
    <x v="42"/>
    <s v="Andreya Fabiana Rodrigues Cavalcante"/>
    <s v="Feminino"/>
    <x v="2"/>
    <x v="7"/>
    <s v="20103484 - Fisioterapia - Patologia Em Um Membro (R$ 12,22)"/>
    <s v="Fisioterapia"/>
    <n v="1710785843"/>
    <s v="Finalizado (3/3)"/>
    <n v="10.7536"/>
    <n v="1.4663999999999999"/>
    <n v="12.22"/>
    <s v="Sessão Faturada"/>
    <n v="811494100019040"/>
    <n v="59418"/>
    <s v="Unidade Vieralves (ANEXO)"/>
    <n v="1710785843"/>
    <m/>
  </r>
  <r>
    <x v="4"/>
    <x v="39"/>
    <s v="Luciana Nascimento da Silva"/>
    <s v="Feminino"/>
    <x v="7"/>
    <x v="7"/>
    <s v="Vieiralves - 1 - Fisioterapia Ortopedica - Pacote (R$ 40,00)"/>
    <s v="Fisioterapia"/>
    <m/>
    <s v="Finalizado (7/10)"/>
    <n v="31.2"/>
    <n v="8.8000000000000007"/>
    <n v="40"/>
    <s v="No Prazo"/>
    <s v="00"/>
    <n v="31909"/>
    <s v="Unidade Vieralves (ANEXO)"/>
    <m/>
    <m/>
  </r>
  <r>
    <x v="24"/>
    <x v="41"/>
    <s v="Alice Viana Franklin"/>
    <s v="Feminino"/>
    <x v="4"/>
    <x v="7"/>
    <s v="31602185 - Estimulação Elétrica Transcutânea - Removido 13/04/2026 (R$ 40,00)"/>
    <s v="Fisioterapia"/>
    <n v="1713833721"/>
    <s v="Finalizado (3/10)"/>
    <n v="35.200000000000003"/>
    <n v="4.8"/>
    <n v="40"/>
    <s v="Sessão Faturada"/>
    <n v="812980300922010"/>
    <n v="59437"/>
    <s v="Unidade Vieralves (ANEXO)"/>
    <n v="1713833721"/>
    <m/>
  </r>
  <r>
    <x v="24"/>
    <x v="41"/>
    <s v="Rodrigo Barros Carvalho"/>
    <s v="Masculino"/>
    <x v="6"/>
    <x v="7"/>
    <s v="20103484 - Patologia Em Um Membro (R$ 14,16)"/>
    <s v="Fisioterapia"/>
    <n v="169146"/>
    <s v="Finalizado (3/4)"/>
    <n v="12.460800000000001"/>
    <n v="1.6992"/>
    <n v="14.16"/>
    <s v="Sessão a Faturar"/>
    <s v="54588888470206320029"/>
    <n v="42015"/>
    <s v="Unidade Vieralves (ANEXO)"/>
    <n v="169146"/>
    <m/>
  </r>
  <r>
    <x v="24"/>
    <x v="65"/>
    <s v="Rodrigo Barros Carvalho"/>
    <s v="Masculino"/>
    <x v="6"/>
    <x v="7"/>
    <s v="31602185 - Estimulação Elétrica Transcutanea (Tens) (R$ 40,00)"/>
    <s v="Fisioterapia"/>
    <n v="170879"/>
    <s v="Finalizado (3/4)"/>
    <n v="35.200000000000003"/>
    <n v="4.8"/>
    <n v="40"/>
    <s v="Sessão a Faturar"/>
    <s v="54588888470206320029"/>
    <n v="42015"/>
    <s v="Unidade Vieralves (ANEXO)"/>
    <n v="170879"/>
    <m/>
  </r>
  <r>
    <x v="24"/>
    <x v="65"/>
    <s v="Alice Viana Franklin"/>
    <s v="Feminino"/>
    <x v="2"/>
    <x v="7"/>
    <s v="20103514 - Fisioterapia - Patologia Em Diferentes Segmentos da Coluna (R$ 14,83)"/>
    <s v="Fisioterapia"/>
    <n v="1712540198"/>
    <s v="Finalizado (4/10)"/>
    <n v="13.0504"/>
    <n v="1.7796000000000001"/>
    <n v="14.83"/>
    <s v="Sessão Faturada"/>
    <n v="812980300922010"/>
    <n v="59437"/>
    <s v="Unidade Vieralves (ANEXO)"/>
    <n v="1712540198"/>
    <m/>
  </r>
  <r>
    <x v="24"/>
    <x v="36"/>
    <s v="José Roberto Teixeira Pereira"/>
    <s v="Masculino"/>
    <x v="6"/>
    <x v="7"/>
    <s v="31602185 - Estimulação Elétrica Transcutanea (Tens) (R$ 40,00)"/>
    <s v="Fisioterapia"/>
    <n v="171596"/>
    <s v="Finalizado (4/6)"/>
    <n v="35.200000000000003"/>
    <n v="4.8"/>
    <n v="40"/>
    <s v="Sessão a Faturar"/>
    <s v="56788888488537970015"/>
    <n v="56491"/>
    <s v="Unidade Vieralves (ANEXO)"/>
    <n v="171596"/>
    <m/>
  </r>
  <r>
    <x v="24"/>
    <x v="36"/>
    <s v="Josicleide Nunes Santos"/>
    <s v="Feminino"/>
    <x v="2"/>
    <x v="7"/>
    <s v="20103492 - Fisioterapia - Patologia Em Dois Ou Mais Membros (R$ 14,83)"/>
    <s v="Fisioterapia"/>
    <n v="1708238595"/>
    <s v="Finalizado (4/5)"/>
    <n v="13.0504"/>
    <n v="1.7796000000000001"/>
    <n v="14.83"/>
    <s v="Sessão Faturada"/>
    <n v="774981001279000"/>
    <n v="20120"/>
    <s v="Unidade Vieralves (ANEXO)"/>
    <n v="1708238595"/>
    <m/>
  </r>
  <r>
    <x v="24"/>
    <x v="36"/>
    <s v="Daniele Freitas de Castro Hiura"/>
    <s v="Feminino"/>
    <x v="2"/>
    <x v="7"/>
    <s v="50000144 - Avaliação de Fisioterapia (R$ 51,42)"/>
    <s v="Fisioterapia"/>
    <n v="1715412816"/>
    <s v="Finalizado (1/1)"/>
    <n v="46.277999999999999"/>
    <n v="5.1420000000000003"/>
    <n v="51.42"/>
    <s v="Sessão Faturada"/>
    <n v="771015046116020"/>
    <n v="36678"/>
    <s v="Unidade Vieralves (ANEXO)"/>
    <n v="1715412816"/>
    <m/>
  </r>
  <r>
    <x v="24"/>
    <x v="36"/>
    <s v="Edmundo dos Santos Freitas"/>
    <s v="Masculino"/>
    <x v="10"/>
    <x v="7"/>
    <s v="50000160 - Fisioterapia Ortopédica (R$ 15,00)"/>
    <s v="Fisioterapia"/>
    <n v="21123843"/>
    <s v="Finalizado (6/10)"/>
    <n v="13.2"/>
    <n v="1.8"/>
    <n v="15"/>
    <s v="Sessão Faturada"/>
    <s v="00010064289222002"/>
    <n v="59546"/>
    <s v="Unidade Vieralves (ANEXO)"/>
    <n v="21123843"/>
    <m/>
  </r>
  <r>
    <x v="24"/>
    <x v="61"/>
    <s v="José Roberto Teixeira Pereira"/>
    <s v="Masculino"/>
    <x v="6"/>
    <x v="7"/>
    <s v="20103506 - Patologia Em Um Segmento da Coluna (R$ 14,16)"/>
    <s v="Fisioterapia"/>
    <n v="171595"/>
    <s v="Finalizado (4/6)"/>
    <n v="12.460800000000001"/>
    <n v="1.6992"/>
    <n v="14.16"/>
    <s v="Sessão a Faturar"/>
    <s v="56788888488537970015"/>
    <n v="56491"/>
    <s v="Unidade Vieralves (ANEXO)"/>
    <n v="171595"/>
    <m/>
  </r>
  <r>
    <x v="24"/>
    <x v="61"/>
    <s v="Josicleide Nunes Santos"/>
    <s v="Feminino"/>
    <x v="4"/>
    <x v="7"/>
    <s v="31602185 - Estimulação Elétrica Transcutânea - Removido 13/04/2026 (R$ 40,00)"/>
    <s v="Fisioterapia"/>
    <n v="1710488005"/>
    <s v="Finalizado (3/5)"/>
    <n v="35.200000000000003"/>
    <n v="4.8"/>
    <n v="40"/>
    <s v="Sessão a Faturar"/>
    <n v="774981001279000"/>
    <n v="20120"/>
    <s v="Unidade Vieralves (ANEXO)"/>
    <n v="1710488005"/>
    <m/>
  </r>
  <r>
    <x v="24"/>
    <x v="61"/>
    <s v="Daniele Freitas de Castro Hiura"/>
    <s v="Feminino"/>
    <x v="2"/>
    <x v="7"/>
    <s v="20103506 - Fisioterapia - Patologia Em Um Segmento da Coluna (R$ 12,22)"/>
    <s v="Fisioterapia"/>
    <n v="1715413981"/>
    <s v="Finalizado (1/10)"/>
    <n v="10.7536"/>
    <n v="1.4663999999999999"/>
    <n v="12.22"/>
    <s v="Sessão a Faturar"/>
    <n v="771015046116020"/>
    <n v="36678"/>
    <s v="Unidade Vieralves (ANEXO)"/>
    <n v="1715413981"/>
    <m/>
  </r>
  <r>
    <x v="24"/>
    <x v="40"/>
    <s v="Alexsandro de Pierri Camara Frangos"/>
    <s v="Masculino"/>
    <x v="6"/>
    <x v="7"/>
    <s v="20103514 - Patologia Em Dois Ou Mais Segmentos da Coluna (R$ 32,82)"/>
    <s v="Fisioterapia"/>
    <n v="171696"/>
    <s v="Finalizado (4/5)"/>
    <n v="28.881599999999999"/>
    <n v="3.9384000000000001"/>
    <n v="32.82"/>
    <s v="Sessão a Faturar"/>
    <s v="44520813095886520010"/>
    <n v="59453"/>
    <s v="Unidade Vieralves (ANEXO)"/>
    <n v="171696"/>
    <m/>
  </r>
  <r>
    <x v="24"/>
    <x v="35"/>
    <s v="Erlom André de Matos"/>
    <s v="Masculino"/>
    <x v="2"/>
    <x v="7"/>
    <s v="20103492 - Fisioterapia - Patologia Em Dois Ou Mais Membros (R$ 14,83)"/>
    <s v="Fisioterapia"/>
    <n v="1715458929"/>
    <s v="Finalizado (1/10)"/>
    <n v="13.0504"/>
    <n v="1.7796000000000001"/>
    <n v="14.83"/>
    <s v="Sessão a Faturar"/>
    <n v="893331302089010"/>
    <n v="59095"/>
    <s v="Unidade Vieralves (ANEXO)"/>
    <n v="1715458929"/>
    <m/>
  </r>
  <r>
    <x v="24"/>
    <x v="38"/>
    <s v="Márcia Lourenço de Freitas Araújo"/>
    <s v="Feminino"/>
    <x v="5"/>
    <x v="7"/>
    <s v="98860020 - Fisioterapia Complexidade 2 - 04/03/2026 (R$ 70,79)"/>
    <s v="Fisioterapia"/>
    <n v="73872850"/>
    <s v="Finalizado (4/10)"/>
    <n v="62.295200000000001"/>
    <n v="8.4947999999999997"/>
    <n v="70.790000000000006"/>
    <s v="Sessão Faturada"/>
    <s v="0101150055000256"/>
    <n v="58755"/>
    <s v="Unidade Vieralves (ANEXO)"/>
    <n v="73872850"/>
    <m/>
  </r>
  <r>
    <x v="24"/>
    <x v="38"/>
    <s v="Jacklene Fonseca Guerreiro"/>
    <s v="Feminino"/>
    <x v="2"/>
    <x v="7"/>
    <s v="20103484 - Fisioterapia - Patologia Em Um Membro (R$ 12,22)"/>
    <s v="Fisioterapia"/>
    <n v="1715478743"/>
    <s v="Finalizado (1/10)"/>
    <n v="10.7536"/>
    <n v="1.4663999999999999"/>
    <n v="12.22"/>
    <s v="Sessão a Faturar"/>
    <n v="775216011525020"/>
    <n v="59720"/>
    <s v="Unidade Vieralves (ANEXO)"/>
    <n v="1715478743"/>
    <m/>
  </r>
  <r>
    <x v="24"/>
    <x v="38"/>
    <s v="Jacklene Fonseca Guerreiro"/>
    <s v="Feminino"/>
    <x v="2"/>
    <x v="7"/>
    <s v="50000144 - Avaliação de Fisioterapia (R$ 51,42)"/>
    <s v="Fisioterapia"/>
    <n v="1715477936"/>
    <s v="Finalizado (1/1)"/>
    <n v="46.277999999999999"/>
    <n v="5.1420000000000003"/>
    <n v="51.42"/>
    <s v="Sessão Faturada"/>
    <n v="775216011525020"/>
    <n v="59720"/>
    <s v="Unidade Vieralves (ANEXO)"/>
    <n v="1715477936"/>
    <m/>
  </r>
  <r>
    <x v="24"/>
    <x v="38"/>
    <s v="Rosana Silva dos Santos"/>
    <s v="Feminino"/>
    <x v="1"/>
    <x v="7"/>
    <s v="50000160 - Fisioterapia Ortopédica (R$ 20,00), 98980327 - Taxa de Eletroterapia (Tens) (R$ 15,00)"/>
    <s v="Fisioterapia"/>
    <n v="9592647"/>
    <s v="Finalizado (10/10)"/>
    <n v="30.8"/>
    <n v="4.2"/>
    <n v="35"/>
    <s v="Sessão a Faturar"/>
    <n v="1101006073830400"/>
    <n v="58800"/>
    <s v="Unidade Vieralves (ANEXO)"/>
    <n v="9592647"/>
    <m/>
  </r>
  <r>
    <x v="24"/>
    <x v="62"/>
    <s v="Márcia Lourenço de Freitas Araújo"/>
    <s v="Feminino"/>
    <x v="5"/>
    <x v="7"/>
    <s v="31602185 - Estimulação Elétrica Transcutânea (Tens) - 04/03/2026 (R$ 120,28)"/>
    <s v="Fisioterapia"/>
    <n v="73905640"/>
    <s v="Finalizado (3/10)"/>
    <n v="105.8464"/>
    <n v="14.4336"/>
    <n v="120.28"/>
    <s v="Sessão Faturada"/>
    <s v="0101150055000256"/>
    <n v="58755"/>
    <s v="Unidade Vieralves (ANEXO)"/>
    <n v="73905640"/>
    <m/>
  </r>
  <r>
    <x v="24"/>
    <x v="37"/>
    <s v="Sidnea Batista Vieira"/>
    <s v="Feminino"/>
    <x v="17"/>
    <x v="7"/>
    <s v="50000160 - Fisioterapia Ortopedica (R$ 45,00)"/>
    <s v="Fisioterapia"/>
    <n v="3981027"/>
    <s v="Finalizado (8/10)"/>
    <n v="39.6"/>
    <n v="5.4"/>
    <n v="45"/>
    <s v="Sessão a Faturar"/>
    <s v="000915777624101"/>
    <n v="56158"/>
    <s v="Unidade Vieralves (ANEXO)"/>
    <n v="3981027"/>
    <m/>
  </r>
  <r>
    <x v="24"/>
    <x v="37"/>
    <s v="Genilza Evaristo Machado Moreira"/>
    <s v="Feminino"/>
    <x v="1"/>
    <x v="7"/>
    <s v="50000160 - Fisioterapia Ortopédica (R$ 20,00), 98980327 - Taxa de Eletroterapia (Tens) (R$ 15,00)"/>
    <s v="Fisioterapia"/>
    <n v="9318751"/>
    <s v="Finalizado (5/10)"/>
    <n v="30.8"/>
    <n v="4.2"/>
    <n v="35"/>
    <s v="Sessão Faturada"/>
    <n v="1901012887600100"/>
    <n v="59599"/>
    <s v="Unidade Vieralves (ANEXO)"/>
    <n v="9318751"/>
    <m/>
  </r>
  <r>
    <x v="24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5/10)"/>
    <n v="30.8"/>
    <n v="4.2"/>
    <n v="35"/>
    <s v="Sessão Faturada"/>
    <s v="0901010162540294"/>
    <n v="53890"/>
    <s v="Unidade Vieralves (ANEXO)"/>
    <n v="9391083"/>
    <m/>
  </r>
  <r>
    <x v="5"/>
    <x v="44"/>
    <s v="Alice Viana Franklin"/>
    <s v="Feminino"/>
    <x v="2"/>
    <x v="7"/>
    <s v="20103514 - Fisioterapia - Patologia Em Diferentes Segmentos da Coluna (R$ 14,83)"/>
    <s v="Fisioterapia"/>
    <n v="1712540198"/>
    <s v="Finalizado (5/10)"/>
    <n v="13.0504"/>
    <n v="1.7796000000000001"/>
    <n v="14.83"/>
    <s v="Sessão Faturada"/>
    <n v="812980300922010"/>
    <n v="59437"/>
    <s v="Unidade Vieralves (ANEXO)"/>
    <n v="1712540198"/>
    <m/>
  </r>
  <r>
    <x v="5"/>
    <x v="44"/>
    <s v="Raimundo Nonato de Souza Costa"/>
    <s v="Masculino"/>
    <x v="8"/>
    <x v="7"/>
    <s v="20103484 - Patologia Em Um Membro (R$ 12,22), 20103506 - Patologia Em Um Segmento Na Coluna (R$ 12,22)"/>
    <s v="Fisioterapia"/>
    <n v="1712577029"/>
    <s v="Finalizado (4/10)"/>
    <n v="21.507200000000001"/>
    <n v="2.9327999999999999"/>
    <n v="24.44"/>
    <s v="Sessão a Faturar"/>
    <n v="954580018660010"/>
    <n v="56580"/>
    <s v="Unidade Vieralves (ANEXO)"/>
    <n v="1712577029"/>
    <m/>
  </r>
  <r>
    <x v="5"/>
    <x v="60"/>
    <s v="Alice Viana Franklin"/>
    <s v="Feminino"/>
    <x v="4"/>
    <x v="7"/>
    <s v="31602185 - Estimulação Elétrica Transcutânea - Removido 13/04/2026 (R$ 40,00)"/>
    <s v="Fisioterapia"/>
    <n v="1713833721"/>
    <s v="Finalizado (4/10)"/>
    <n v="35.200000000000003"/>
    <n v="4.8"/>
    <n v="40"/>
    <s v="Sessão Faturada"/>
    <n v="812980300922010"/>
    <n v="59437"/>
    <s v="Unidade Vieralves (ANEXO)"/>
    <n v="1713833721"/>
    <m/>
  </r>
  <r>
    <x v="5"/>
    <x v="60"/>
    <s v="Raimundo Nonato de Souza Costa"/>
    <s v="Masculino"/>
    <x v="9"/>
    <x v="7"/>
    <s v="31602185 - Estimulação Elétrica Transcutânea (Tens) - Removido 13/04/2026 (R$ 40,00)"/>
    <s v="Fisioterapia"/>
    <n v="1713853667"/>
    <s v="Finalizado (3/10)"/>
    <n v="35.200000000000003"/>
    <n v="4.8"/>
    <n v="40"/>
    <s v="Sessão a Faturar"/>
    <n v="954580018660010"/>
    <n v="56580"/>
    <s v="Unidade Vieralves (ANEXO)"/>
    <n v="1713853667"/>
    <m/>
  </r>
  <r>
    <x v="5"/>
    <x v="41"/>
    <s v="Nubya Aires Arruda"/>
    <s v="Feminino"/>
    <x v="6"/>
    <x v="7"/>
    <s v="20103514 - Patologia Em Dois Ou Mais Segmentos da Coluna (R$ 32,82)"/>
    <s v="Fisioterapia"/>
    <n v="172074"/>
    <s v="Finalizado (3/7)"/>
    <n v="28.881599999999999"/>
    <n v="3.9384000000000001"/>
    <n v="32.82"/>
    <s v="Sessão a Faturar"/>
    <s v="54588888021578490119"/>
    <n v="59651"/>
    <s v="Unidade Vieralves (ANEXO)"/>
    <n v="172074"/>
    <m/>
  </r>
  <r>
    <x v="5"/>
    <x v="41"/>
    <s v="Barbara Barros Jacob"/>
    <s v="Feminino"/>
    <x v="1"/>
    <x v="7"/>
    <s v="50000160 - Fisioterapia Ortopédica (R$ 20,00), 98980327 - Taxa de Eletroterapia (Tens) (R$ 15,00)"/>
    <s v="Fisioterapia"/>
    <n v="8280735"/>
    <s v="Finalizado (10/10)"/>
    <n v="30.8"/>
    <n v="4.2"/>
    <n v="35"/>
    <s v="Sessão Faturada"/>
    <s v="0201013029220011"/>
    <n v="41008"/>
    <s v="Unidade Vieralves (ANEXO)"/>
    <n v="8280735"/>
    <m/>
  </r>
  <r>
    <x v="5"/>
    <x v="41"/>
    <s v="Mayco Grijó da Silva"/>
    <s v="Masculino"/>
    <x v="7"/>
    <x v="7"/>
    <s v="Vieiralves - 1 - Fisioterapia Ortopedica - Pacote (R$ 40,00)"/>
    <s v="Fisioterapia"/>
    <m/>
    <s v="Finalizado (8/10)"/>
    <n v="31.2"/>
    <n v="8.8000000000000007"/>
    <n v="40"/>
    <s v="Pago"/>
    <n v="0"/>
    <n v="59587"/>
    <s v="Unidade Vieralves (ANEXO)"/>
    <m/>
    <m/>
  </r>
  <r>
    <x v="5"/>
    <x v="65"/>
    <s v="Nubya Aires Arruda"/>
    <s v="Feminino"/>
    <x v="6"/>
    <x v="7"/>
    <s v="31602185 - Estimulação Elétrica Transcutanea (Tens) (R$ 40,00)"/>
    <s v="Fisioterapia"/>
    <n v="172075"/>
    <s v="Finalizado (3/6)"/>
    <n v="35.200000000000003"/>
    <n v="4.8"/>
    <n v="40"/>
    <s v="Sessão a Faturar"/>
    <s v="54588888021578490119"/>
    <n v="59651"/>
    <s v="Unidade Vieralves (ANEXO)"/>
    <n v="172075"/>
    <m/>
  </r>
  <r>
    <x v="5"/>
    <x v="36"/>
    <s v="Ingrid Roseane Magno Viana"/>
    <s v="Feminino"/>
    <x v="9"/>
    <x v="7"/>
    <s v="31602185 - Estimulação Elétrica Transcutânea (Tens) - Removido 13/04/2026 (R$ 40,00)"/>
    <s v="Fisioterapia"/>
    <n v="1712608397"/>
    <s v="Finalizado (4/10)"/>
    <n v="35.200000000000003"/>
    <n v="4.8"/>
    <n v="40"/>
    <s v="Sessão a Faturar"/>
    <n v="954440006904010"/>
    <n v="58326"/>
    <s v="Unidade Vieralves (ANEXO)"/>
    <n v="1712608397"/>
    <m/>
  </r>
  <r>
    <x v="5"/>
    <x v="36"/>
    <s v="Jacklene Fonseca Guerreiro"/>
    <s v="Feminino"/>
    <x v="2"/>
    <x v="7"/>
    <s v="20103484 - Fisioterapia - Patologia Em Um Membro (R$ 12,22)"/>
    <s v="Fisioterapia"/>
    <n v="1715478743"/>
    <s v="Finalizado (2/10)"/>
    <n v="10.7536"/>
    <n v="1.4663999999999999"/>
    <n v="12.22"/>
    <s v="Sessão a Faturar"/>
    <n v="775216011525020"/>
    <n v="59720"/>
    <s v="Unidade Vieralves (ANEXO)"/>
    <n v="1715478743"/>
    <m/>
  </r>
  <r>
    <x v="5"/>
    <x v="36"/>
    <s v="Samira Farias Costa de Souza"/>
    <s v="Feminino"/>
    <x v="4"/>
    <x v="7"/>
    <s v="31602185 - Estimulação Elétrica Transcutânea - Removido 13/04/2026 (R$ 40,00)"/>
    <s v="Fisioterapia"/>
    <n v="1711321666"/>
    <s v="Finalizado (5/9)"/>
    <n v="35.200000000000003"/>
    <n v="4.8"/>
    <n v="40"/>
    <s v="Sessão a Faturar"/>
    <n v="774981013048010"/>
    <n v="59585"/>
    <s v="Unidade Vieralves (ANEXO)"/>
    <n v="1711321666"/>
    <m/>
  </r>
  <r>
    <x v="5"/>
    <x v="61"/>
    <s v="Ingrid Roseane Magno Viana"/>
    <s v="Feminino"/>
    <x v="8"/>
    <x v="7"/>
    <s v="20103484 - Patologia Em Um Membro (R$ 12,22)"/>
    <s v="Fisioterapia"/>
    <n v="1713915713"/>
    <s v="Finalizado (3/10)"/>
    <n v="10.7536"/>
    <n v="1.4663999999999999"/>
    <n v="12.22"/>
    <s v="Sessão a Faturar"/>
    <n v="954440006904010"/>
    <n v="58326"/>
    <s v="Unidade Vieralves (ANEXO)"/>
    <n v="1713915713"/>
    <m/>
  </r>
  <r>
    <x v="5"/>
    <x v="61"/>
    <s v="Samira Farias Costa de Souza"/>
    <s v="Feminino"/>
    <x v="2"/>
    <x v="7"/>
    <s v="20103484 - Fisioterapia - Patologia Em Um Membro (R$ 12,22)"/>
    <s v="Fisioterapia"/>
    <n v="1709716473"/>
    <s v="Finalizado (8/10)"/>
    <n v="10.7536"/>
    <n v="1.4663999999999999"/>
    <n v="12.22"/>
    <s v="Sessão Faturada"/>
    <n v="774981013048010"/>
    <n v="59585"/>
    <s v="Unidade Vieralves (ANEXO)"/>
    <n v="1709716473"/>
    <m/>
  </r>
  <r>
    <x v="5"/>
    <x v="40"/>
    <s v="Larissa Castro Barbosa"/>
    <s v="Feminino"/>
    <x v="1"/>
    <x v="7"/>
    <s v="50000160 - Fisioterapia Ortopédica (R$ 20,00), 98980327 - Taxa de Eletroterapia (Tens) (R$ 15,00)"/>
    <s v="Fisioterapia"/>
    <n v="9391083"/>
    <s v="Finalizado (6/10)"/>
    <n v="30.8"/>
    <n v="4.2"/>
    <n v="35"/>
    <s v="Sessão Faturada"/>
    <s v="0901010162540294"/>
    <n v="53890"/>
    <s v="Unidade Vieralves (ANEXO)"/>
    <n v="9391083"/>
    <m/>
  </r>
  <r>
    <x v="5"/>
    <x v="40"/>
    <s v="Maria Morgiana Gonçalves Costa Ausier"/>
    <s v="Feminino"/>
    <x v="2"/>
    <x v="7"/>
    <s v="20103492 - Fisioterapia - Patologia Em Dois Ou Mais Membros (R$ 14,83)"/>
    <s v="Fisioterapia"/>
    <n v="1706159360"/>
    <s v="Finalizado (4/5)"/>
    <n v="13.0504"/>
    <n v="1.7796000000000001"/>
    <n v="14.83"/>
    <s v="Sessão Faturada"/>
    <n v="774642010693010"/>
    <n v="9926"/>
    <s v="Unidade Vieralves (ANEXO)"/>
    <n v="1706159360"/>
    <m/>
  </r>
  <r>
    <x v="5"/>
    <x v="45"/>
    <s v="Maria Morgiana Gonçalves Costa Ausier"/>
    <s v="Feminino"/>
    <x v="4"/>
    <x v="7"/>
    <s v="31602185 - Estimulação Elétrica Transcutânea - Removido 13/04/2026 (R$ 40,00)"/>
    <s v="Fisioterapia"/>
    <n v="1715942010"/>
    <s v="Finalizado (1/2)"/>
    <n v="35.200000000000003"/>
    <n v="4.8"/>
    <n v="40"/>
    <s v="Sessão a Faturar"/>
    <n v="774642010693010"/>
    <n v="9926"/>
    <s v="Unidade Vieralves (ANEXO)"/>
    <n v="1715942010"/>
    <m/>
  </r>
  <r>
    <x v="5"/>
    <x v="35"/>
    <s v="Rute Pacheco Nobre"/>
    <s v="Feminino"/>
    <x v="4"/>
    <x v="7"/>
    <s v="31602185 - Estimulação Elétrica Transcutânea - Removido 13/04/2026 (R$ 40,00)"/>
    <s v="Fisioterapia"/>
    <n v="1713926093"/>
    <s v="Finalizado (2/7)"/>
    <n v="35.200000000000003"/>
    <n v="4.8"/>
    <n v="40"/>
    <s v="Sessão a Faturar"/>
    <n v="772956001996030"/>
    <n v="59637"/>
    <s v="Unidade Vieralves (ANEXO)"/>
    <n v="1713926093"/>
    <m/>
  </r>
  <r>
    <x v="5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3/10)"/>
    <n v="30.8"/>
    <n v="4.2"/>
    <n v="35"/>
    <s v="Sessão Faturada"/>
    <s v="0901012964370052"/>
    <n v="59661"/>
    <s v="Unidade Vieralves (ANEXO)"/>
    <n v="9410589"/>
    <m/>
  </r>
  <r>
    <x v="5"/>
    <x v="35"/>
    <s v="Fabio Arruda Binda"/>
    <s v="Masculino"/>
    <x v="2"/>
    <x v="7"/>
    <s v="20103484 - Fisioterapia - Patologia Em Um Membro (R$ 12,22)"/>
    <s v="Fisioterapia"/>
    <n v="1712675997"/>
    <s v="Finalizado (4/6)"/>
    <n v="10.7536"/>
    <n v="1.4663999999999999"/>
    <n v="12.22"/>
    <s v="Sessão a Faturar"/>
    <n v="812980300400000"/>
    <n v="59607"/>
    <s v="Unidade Vieralves (ANEXO)"/>
    <n v="1712675997"/>
    <m/>
  </r>
  <r>
    <x v="5"/>
    <x v="35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5"/>
    <x v="42"/>
    <s v="Fabio Arruda Binda"/>
    <s v="Masculino"/>
    <x v="4"/>
    <x v="7"/>
    <s v="31602185 - Estimulação Elétrica Transcutânea - Removido 13/04/2026 (R$ 40,00)"/>
    <s v="Fisioterapia"/>
    <n v="1713340251"/>
    <s v="Finalizado (3/5)"/>
    <n v="35.200000000000003"/>
    <n v="4.8"/>
    <n v="40"/>
    <s v="Sessão a Faturar"/>
    <n v="812980300400000"/>
    <n v="59607"/>
    <s v="Unidade Vieralves (ANEXO)"/>
    <n v="1713340251"/>
    <m/>
  </r>
  <r>
    <x v="5"/>
    <x v="42"/>
    <s v="Rute Pacheco Nobre"/>
    <s v="Feminino"/>
    <x v="2"/>
    <x v="7"/>
    <s v="20103492 - Fisioterapia - Patologia Em Dois Ou Mais Membros (R$ 14,83)"/>
    <s v="Fisioterapia"/>
    <n v="1713315815"/>
    <s v="Finalizado (3/8)"/>
    <n v="13.0504"/>
    <n v="1.7796000000000001"/>
    <n v="14.83"/>
    <s v="Sessão a Faturar"/>
    <n v="772956001996030"/>
    <n v="59637"/>
    <s v="Unidade Vieralves (ANEXO)"/>
    <n v="1713315815"/>
    <m/>
  </r>
  <r>
    <x v="5"/>
    <x v="37"/>
    <s v="Lúcia Ignéz Abreu de Sá"/>
    <s v="Feminino"/>
    <x v="1"/>
    <x v="7"/>
    <s v="50000160 - Fisioterapia Ortopédica (R$ 20,00), 98980327 - Taxa de Eletroterapia (Tens) (R$ 15,00)"/>
    <s v="Fisioterapia"/>
    <n v="8929197"/>
    <s v="Finalizado (7/10)"/>
    <n v="30.8"/>
    <n v="4.2"/>
    <n v="35"/>
    <s v="Sessão Faturada"/>
    <s v="0701010861030123"/>
    <n v="58903"/>
    <s v="Unidade Vieralves (ANEXO)"/>
    <n v="8929197"/>
    <m/>
  </r>
  <r>
    <x v="5"/>
    <x v="43"/>
    <s v="Ediane da Silveira Vieira"/>
    <s v="Feminino"/>
    <x v="2"/>
    <x v="7"/>
    <s v="20103484 - Fisioterapia - Patologia Em Um Membro (R$ 12,22)"/>
    <s v="Fisioterapia"/>
    <n v="1707881370"/>
    <s v="Finalizado (6/10)"/>
    <n v="10.7536"/>
    <n v="1.4663999999999999"/>
    <n v="12.22"/>
    <s v="Sessão Faturada"/>
    <n v="775262001287000"/>
    <n v="17985"/>
    <s v="Unidade Vieralves (ANEXO)"/>
    <n v="1707881370"/>
    <m/>
  </r>
  <r>
    <x v="5"/>
    <x v="43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7/10)"/>
    <n v="30.8"/>
    <n v="4.2"/>
    <n v="35"/>
    <s v="Sessão Faturada"/>
    <s v="0503007111620017"/>
    <n v="58376"/>
    <s v="Unidade Vieralves (ANEXO)"/>
    <n v="8769159"/>
    <s v="Guia assinada! 20/02"/>
  </r>
  <r>
    <x v="5"/>
    <x v="43"/>
    <s v="Erlom André de Matos"/>
    <s v="Masculino"/>
    <x v="2"/>
    <x v="7"/>
    <s v="20103492 - Fisioterapia - Patologia Em Dois Ou Mais Membros (R$ 14,83)"/>
    <s v="Fisioterapia"/>
    <n v="1715458929"/>
    <s v="Finalizado (2/10)"/>
    <n v="13.0504"/>
    <n v="1.7796000000000001"/>
    <n v="14.83"/>
    <s v="Sessão a Faturar"/>
    <n v="893331302089010"/>
    <n v="59095"/>
    <s v="Unidade Vieralves (ANEXO)"/>
    <n v="1715458929"/>
    <m/>
  </r>
  <r>
    <x v="5"/>
    <x v="66"/>
    <s v="Erlom André de Matos"/>
    <s v="Masculino"/>
    <x v="4"/>
    <x v="7"/>
    <s v="31602185 - Estimulação Elétrica Transcutânea - Removido 13/04/2026 (R$ 40,00)"/>
    <s v="Fisioterapia"/>
    <n v="1716043798"/>
    <s v="Finalizado (1/7)"/>
    <n v="35.200000000000003"/>
    <n v="4.8"/>
    <n v="40"/>
    <s v="Sessão a Faturar"/>
    <n v="893331302089010"/>
    <n v="59095"/>
    <s v="Unidade Vieralves (ANEXO)"/>
    <n v="1716043798"/>
    <m/>
  </r>
  <r>
    <x v="6"/>
    <x v="44"/>
    <s v="Lucivaldo Junio da Silva Pinto"/>
    <s v="Masculino"/>
    <x v="4"/>
    <x v="7"/>
    <s v="31602185 - Estimulação Elétrica Transcutânea - Removido 13/04/2026 (R$ 40,00)"/>
    <s v="Fisioterapia"/>
    <n v="1711252099"/>
    <s v="Finalizado (5/5)"/>
    <n v="35.200000000000003"/>
    <n v="4.8"/>
    <n v="40"/>
    <s v="Sessão a Faturar"/>
    <n v="770179018740010"/>
    <n v="55925"/>
    <s v="Unidade Vieralves (ANEXO)"/>
    <n v="1711252099"/>
    <m/>
  </r>
  <r>
    <x v="6"/>
    <x v="44"/>
    <s v="Vanessa Amaral da Rocha"/>
    <s v="Feminino"/>
    <x v="6"/>
    <x v="7"/>
    <s v="20103492 - Patologia Em Dois Ou Mais Membros (R$ 30,26)"/>
    <s v="Fisioterapia"/>
    <n v="171966"/>
    <s v="Finalizado (3/10)"/>
    <n v="26.628799999999998"/>
    <n v="3.6312000000000002"/>
    <n v="30.26"/>
    <s v="Sessão a Faturar"/>
    <s v="55788888491043450029"/>
    <n v="13689"/>
    <s v="Unidade Vieralves (ANEXO)"/>
    <n v="171966"/>
    <m/>
  </r>
  <r>
    <x v="6"/>
    <x v="44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5/10)"/>
    <n v="30.8"/>
    <n v="4.2"/>
    <n v="35"/>
    <s v="Sessão Faturada"/>
    <n v="901013262310200"/>
    <n v="52486"/>
    <s v="Unidade Vieralves (ANEXO)"/>
    <n v="9287218"/>
    <s v="Guia assinada! 07/04"/>
  </r>
  <r>
    <x v="6"/>
    <x v="60"/>
    <s v="Lucivaldo Junio da Silva Pinto"/>
    <s v="Masculino"/>
    <x v="2"/>
    <x v="7"/>
    <s v="20103492 - Fisioterapia - Patologia Em Dois Ou Mais Membros (R$ 14,83)"/>
    <s v="Fisioterapia"/>
    <n v="1710658907"/>
    <s v="Finalizado (6/6)"/>
    <n v="13.0504"/>
    <n v="1.7796000000000001"/>
    <n v="14.83"/>
    <s v="Sessão a Faturar"/>
    <n v="770179018740010"/>
    <n v="55925"/>
    <s v="Unidade Vieralves (ANEXO)"/>
    <n v="1710658907"/>
    <m/>
  </r>
  <r>
    <x v="6"/>
    <x v="60"/>
    <s v="Vanessa Amaral da Rocha"/>
    <s v="Feminino"/>
    <x v="6"/>
    <x v="7"/>
    <s v="31602185 - Estimulação Elétrica Transcutanea (Tens) (R$ 40,00)"/>
    <s v="Fisioterapia"/>
    <n v="171967"/>
    <s v="Finalizado (3/10)"/>
    <n v="35.200000000000003"/>
    <n v="4.8"/>
    <n v="40"/>
    <s v="Sessão a Faturar"/>
    <s v="55788888491043450029"/>
    <n v="13689"/>
    <s v="Unidade Vieralves (ANEXO)"/>
    <n v="171967"/>
    <m/>
  </r>
  <r>
    <x v="6"/>
    <x v="41"/>
    <s v="Eloise Miranda dos Santos"/>
    <s v="Feminino"/>
    <x v="2"/>
    <x v="7"/>
    <s v="20103506 - Fisioterapia - Patologia Em Um Segmento da Coluna (R$ 12,22)"/>
    <s v="Fisioterapia"/>
    <n v="1709465706"/>
    <s v="Finalizado (3/10)"/>
    <n v="10.7536"/>
    <n v="1.4663999999999999"/>
    <n v="12.22"/>
    <s v="Sessão a Faturar"/>
    <n v="774642019992020"/>
    <n v="56839"/>
    <s v="Unidade Vieralves (ANEXO)"/>
    <n v="1709465706"/>
    <m/>
  </r>
  <r>
    <x v="6"/>
    <x v="41"/>
    <s v="Mayco Grijó da Silva"/>
    <s v="Masculino"/>
    <x v="7"/>
    <x v="7"/>
    <s v="Vieiralves - 1 - Fisioterapia Ortopedica - Pacote (R$ 40,00)"/>
    <s v="Fisioterapia"/>
    <m/>
    <s v="Finalizado (9/10)"/>
    <n v="31.2"/>
    <n v="8.8000000000000007"/>
    <n v="40"/>
    <s v="Pago"/>
    <n v="0"/>
    <n v="59587"/>
    <s v="Unidade Vieralves (ANEXO)"/>
    <m/>
    <m/>
  </r>
  <r>
    <x v="6"/>
    <x v="41"/>
    <s v="Nikolas Ygor do Nascimento Pereira"/>
    <s v="Masculino"/>
    <x v="16"/>
    <x v="7"/>
    <s v="50000160 - Fisioterapia Ortopedica (R$ 25,00)"/>
    <s v="Fisioterapia"/>
    <n v="171235"/>
    <s v="Finalizado (6/10)"/>
    <n v="22"/>
    <n v="3"/>
    <n v="25"/>
    <s v="Sessão a Faturar"/>
    <n v="30003889"/>
    <n v="56597"/>
    <s v="Unidade Vieralves (ANEXO)"/>
    <n v="171235"/>
    <m/>
  </r>
  <r>
    <x v="6"/>
    <x v="65"/>
    <s v="Eloise Miranda dos Santos"/>
    <s v="Feminino"/>
    <x v="4"/>
    <x v="7"/>
    <s v="31602185 - Estimulação Elétrica Transcutânea - Removido 13/04/2026 (R$ 40,00)"/>
    <s v="Fisioterapia"/>
    <n v="1713239249"/>
    <s v="Finalizado (2/10)"/>
    <n v="35.200000000000003"/>
    <n v="4.8"/>
    <n v="40"/>
    <s v="Sessão a Faturar"/>
    <n v="774642019992020"/>
    <n v="56839"/>
    <s v="Unidade Vieralves (ANEXO)"/>
    <n v="1713239249"/>
    <m/>
  </r>
  <r>
    <x v="6"/>
    <x v="36"/>
    <s v="Bruno Barbosa dos Santos"/>
    <s v="Masculino"/>
    <x v="9"/>
    <x v="7"/>
    <s v="31602185 - Estimulação Elétrica Transcutânea (Tens) - Removido 13/04/2026 (R$ 40,00)"/>
    <s v="Fisioterapia"/>
    <n v="1710720618"/>
    <s v="Finalizado (3/10)"/>
    <n v="35.200000000000003"/>
    <n v="4.8"/>
    <n v="40"/>
    <s v="Sessão a Faturar"/>
    <n v="954600007650010"/>
    <n v="59241"/>
    <s v="Unidade Vieralves (ANEXO)"/>
    <n v="1710720618"/>
    <m/>
  </r>
  <r>
    <x v="6"/>
    <x v="36"/>
    <s v="Alice Viana Franklin"/>
    <s v="Feminino"/>
    <x v="2"/>
    <x v="7"/>
    <s v="20103514 - Fisioterapia - Patologia Em Diferentes Segmentos da Coluna (R$ 14,83)"/>
    <s v="Fisioterapia"/>
    <n v="1712540198"/>
    <s v="Finalizado (6/10)"/>
    <n v="13.0504"/>
    <n v="1.7796000000000001"/>
    <n v="14.83"/>
    <s v="Sessão Faturada"/>
    <n v="812980300922010"/>
    <n v="59437"/>
    <s v="Unidade Vieralves (ANEXO)"/>
    <n v="1712540198"/>
    <m/>
  </r>
  <r>
    <x v="6"/>
    <x v="36"/>
    <s v="Bruno Marques da Silva"/>
    <s v="Masculino"/>
    <x v="6"/>
    <x v="7"/>
    <s v="20103506 - Patologia Em Um Segmento da Coluna (R$ 14,16)"/>
    <s v="Fisioterapia"/>
    <n v="170504"/>
    <s v="Finalizado (4/4)"/>
    <n v="12.460800000000001"/>
    <n v="1.6992"/>
    <n v="14.16"/>
    <s v="Sessão a Faturar"/>
    <s v="51588888485478760019"/>
    <n v="59478"/>
    <s v="Unidade Vieralves (ANEXO)"/>
    <n v="170504"/>
    <m/>
  </r>
  <r>
    <x v="6"/>
    <x v="61"/>
    <s v="Bruno Marques da Silva"/>
    <s v="Masculino"/>
    <x v="6"/>
    <x v="7"/>
    <s v="31602185 - Estimulação Elétrica Transcutanea (Tens) (R$ 40,00)"/>
    <s v="Fisioterapia"/>
    <n v="170505"/>
    <s v="Finalizado (4/4)"/>
    <n v="35.200000000000003"/>
    <n v="4.8"/>
    <n v="40"/>
    <s v="Sessão a Faturar"/>
    <s v="51588888485478760019"/>
    <n v="59478"/>
    <s v="Unidade Vieralves (ANEXO)"/>
    <n v="170505"/>
    <m/>
  </r>
  <r>
    <x v="6"/>
    <x v="61"/>
    <s v="Alice Viana Franklin"/>
    <s v="Feminino"/>
    <x v="4"/>
    <x v="7"/>
    <s v="31602185 - Estimulação Elétrica Transcutânea - Removido 13/04/2026 (R$ 40,00)"/>
    <s v="Fisioterapia"/>
    <n v="1713833721"/>
    <s v="Finalizado (5/10)"/>
    <n v="35.200000000000003"/>
    <n v="4.8"/>
    <n v="40"/>
    <s v="Sessão Faturada"/>
    <n v="812980300922010"/>
    <n v="59437"/>
    <s v="Unidade Vieralves (ANEXO)"/>
    <n v="1713833721"/>
    <m/>
  </r>
  <r>
    <x v="6"/>
    <x v="61"/>
    <s v="Bruno Barbosa dos Santos"/>
    <s v="Masculino"/>
    <x v="8"/>
    <x v="7"/>
    <s v="20103662 - Pos Operatorio Em Um Membro (R$ 14,99)"/>
    <s v="Fisioterapia"/>
    <n v="1709475907"/>
    <s v="Finalizado (4/10)"/>
    <n v="13.1912"/>
    <n v="1.7988"/>
    <n v="14.99"/>
    <s v="Sessão a Faturar"/>
    <n v="954600007650010"/>
    <n v="59241"/>
    <s v="Unidade Vieralves (ANEXO)"/>
    <n v="1709475907"/>
    <m/>
  </r>
  <r>
    <x v="6"/>
    <x v="40"/>
    <s v="Stela Fortes da Silva"/>
    <s v="Feminino"/>
    <x v="1"/>
    <x v="7"/>
    <s v="50000160 - Fisioterapia Ortopédica (R$ 20,00), 98980327 - Taxa de Eletroterapia (Tens) (R$ 15,00)"/>
    <s v="Fisioterapia"/>
    <n v="9109099"/>
    <s v="Finalizado (5/9)"/>
    <n v="30.8"/>
    <n v="4.2"/>
    <n v="35"/>
    <s v="Sessão Faturada"/>
    <n v="1901013467060100"/>
    <n v="21179"/>
    <s v="Unidade Vieralves (ANEXO)"/>
    <n v="9109099"/>
    <m/>
  </r>
  <r>
    <x v="6"/>
    <x v="40"/>
    <s v="Jackeline de Oliveira"/>
    <s v="Feminino"/>
    <x v="2"/>
    <x v="7"/>
    <s v="20103514 - Fisioterapia - Patologia Em Diferentes Segmentos da Coluna (R$ 14,83)"/>
    <s v="Fisioterapia"/>
    <n v="1716511665"/>
    <s v="Finalizado (1/3)"/>
    <n v="13.0504"/>
    <n v="1.7796000000000001"/>
    <n v="14.83"/>
    <s v="Sessão a Faturar"/>
    <n v="895789500019010"/>
    <n v="3659"/>
    <s v="Unidade Vieralves (ANEXO)"/>
    <n v="1716511665"/>
    <m/>
  </r>
  <r>
    <x v="6"/>
    <x v="40"/>
    <s v="Fabio Arruda Binda"/>
    <s v="Masculino"/>
    <x v="2"/>
    <x v="7"/>
    <s v="20103484 - Fisioterapia - Patologia Em Um Membro (R$ 12,22)"/>
    <s v="Fisioterapia"/>
    <n v="1712675997"/>
    <s v="Finalizado (5/6)"/>
    <n v="10.7536"/>
    <n v="1.4663999999999999"/>
    <n v="12.22"/>
    <s v="Sessão a Faturar"/>
    <n v="812980300400000"/>
    <n v="59607"/>
    <s v="Unidade Vieralves (ANEXO)"/>
    <n v="1712675997"/>
    <m/>
  </r>
  <r>
    <x v="6"/>
    <x v="45"/>
    <s v="Fabio Arruda Binda"/>
    <s v="Masculino"/>
    <x v="4"/>
    <x v="7"/>
    <s v="31602185 - Estimulação Elétrica Transcutânea - Removido 13/04/2026 (R$ 40,00)"/>
    <s v="Fisioterapia"/>
    <n v="1713340251"/>
    <s v="Finalizado (4/5)"/>
    <n v="35.200000000000003"/>
    <n v="4.8"/>
    <n v="40"/>
    <s v="Sessão a Faturar"/>
    <n v="812980300400000"/>
    <n v="59607"/>
    <s v="Unidade Vieralves (ANEXO)"/>
    <n v="1713340251"/>
    <m/>
  </r>
  <r>
    <x v="6"/>
    <x v="35"/>
    <s v="Mithell Lobo Souto Maior"/>
    <s v="Feminino"/>
    <x v="1"/>
    <x v="7"/>
    <s v="50000144 - Consulta de Fisioterapia (R$ 16,00)"/>
    <s v="Fisioterapia"/>
    <n v="9460573"/>
    <s v="Finalizado (1/1)"/>
    <n v="14.4"/>
    <n v="1.6"/>
    <n v="16"/>
    <s v="Sessão Faturada"/>
    <s v="0501007039500102"/>
    <n v="59626"/>
    <s v="Unidade Vieralves (ANEXO)"/>
    <n v="9460573"/>
    <m/>
  </r>
  <r>
    <x v="6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4/10)"/>
    <n v="30.8"/>
    <n v="4.2"/>
    <n v="35"/>
    <s v="Sessão Faturada"/>
    <s v="0901012964370052"/>
    <n v="59661"/>
    <s v="Unidade Vieralves (ANEXO)"/>
    <n v="9410589"/>
    <m/>
  </r>
  <r>
    <x v="6"/>
    <x v="42"/>
    <s v="Mithell Lobo Souto Maior"/>
    <s v="Feminino"/>
    <x v="1"/>
    <x v="7"/>
    <s v="50000160 - Fisioterapia Ortopédica (R$ 20,00), 98980327 - Taxa de Eletroterapia (Tens) (R$ 15,00)"/>
    <s v="Fisioterapia"/>
    <n v="9453891"/>
    <s v="Finalizado (1/10)"/>
    <n v="30.8"/>
    <n v="4.2"/>
    <n v="35"/>
    <s v="Sessão a Faturar"/>
    <s v="0501007039500102"/>
    <n v="59626"/>
    <s v="Unidade Vieralves (ANEXO)"/>
    <n v="9453891"/>
    <m/>
  </r>
  <r>
    <x v="6"/>
    <x v="37"/>
    <s v="Daniele Freitas de Castro Hiura"/>
    <s v="Feminino"/>
    <x v="2"/>
    <x v="7"/>
    <s v="20103506 - Fisioterapia - Patologia Em Um Segmento da Coluna (R$ 12,22)"/>
    <s v="Fisioterapia"/>
    <n v="1715413981"/>
    <s v="Finalizado (2/10)"/>
    <n v="10.7536"/>
    <n v="1.4663999999999999"/>
    <n v="12.22"/>
    <s v="Sessão a Faturar"/>
    <n v="771015046116020"/>
    <n v="36678"/>
    <s v="Unidade Vieralves (ANEXO)"/>
    <n v="1715413981"/>
    <m/>
  </r>
  <r>
    <x v="6"/>
    <x v="63"/>
    <s v="Daniele Freitas de Castro Hiura"/>
    <s v="Feminino"/>
    <x v="4"/>
    <x v="7"/>
    <s v="31602185 - Estimulação Elétrica Transcutânea - Removido 13/04/2026 (R$ 40,00)"/>
    <s v="Fisioterapia"/>
    <n v="1716584382"/>
    <s v="Finalizado (1/10)"/>
    <n v="35.200000000000003"/>
    <n v="4.8"/>
    <n v="40"/>
    <s v="Sessão a Faturar"/>
    <n v="771015046116020"/>
    <n v="36678"/>
    <s v="Unidade Vieralves (ANEXO)"/>
    <n v="1716584382"/>
    <m/>
  </r>
  <r>
    <x v="6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7/10)"/>
    <n v="30.8"/>
    <n v="4.2"/>
    <n v="35"/>
    <s v="Sessão Faturada"/>
    <s v="0901010162540294"/>
    <n v="53890"/>
    <s v="Unidade Vieralves (ANEXO)"/>
    <n v="9391083"/>
    <m/>
  </r>
  <r>
    <x v="6"/>
    <x v="39"/>
    <s v="Ediane da Silveira Vieira"/>
    <s v="Feminino"/>
    <x v="2"/>
    <x v="7"/>
    <s v="20103484 - Fisioterapia - Patologia Em Um Membro (R$ 12,22)"/>
    <s v="Fisioterapia"/>
    <n v="1707881370"/>
    <s v="Finalizado (7/10)"/>
    <n v="10.7536"/>
    <n v="1.4663999999999999"/>
    <n v="12.22"/>
    <s v="Sessão Faturada"/>
    <n v="775262001287000"/>
    <n v="17985"/>
    <s v="Unidade Vieralves (ANEXO)"/>
    <n v="1707881370"/>
    <m/>
  </r>
  <r>
    <x v="6"/>
    <x v="39"/>
    <s v="Laresca Cunha Moreira Altomar"/>
    <s v="Feminino"/>
    <x v="2"/>
    <x v="7"/>
    <s v="20103492 - Fisioterapia - Patologia Em Dois Ou Mais Membros (R$ 14,83)"/>
    <s v="Fisioterapia"/>
    <n v="1711432896"/>
    <s v="Finalizado (3/4)"/>
    <n v="13.0504"/>
    <n v="1.7796000000000001"/>
    <n v="14.83"/>
    <s v="Sessão a Faturar"/>
    <n v="771015061557010"/>
    <n v="36894"/>
    <s v="Unidade Vieralves (ANEXO)"/>
    <n v="1711432896"/>
    <m/>
  </r>
  <r>
    <x v="6"/>
    <x v="43"/>
    <s v="Erlom André de Matos"/>
    <s v="Masculino"/>
    <x v="2"/>
    <x v="7"/>
    <s v="20103492 - Fisioterapia - Patologia Em Dois Ou Mais Membros (R$ 14,83)"/>
    <s v="Fisioterapia"/>
    <n v="1715458929"/>
    <s v="Finalizado (3/10)"/>
    <n v="13.0504"/>
    <n v="1.7796000000000001"/>
    <n v="14.83"/>
    <s v="Sessão a Faturar"/>
    <n v="893331302089010"/>
    <n v="59095"/>
    <s v="Unidade Vieralves (ANEXO)"/>
    <n v="1715458929"/>
    <m/>
  </r>
  <r>
    <x v="6"/>
    <x v="66"/>
    <s v="Erlom André de Matos"/>
    <s v="Masculino"/>
    <x v="4"/>
    <x v="7"/>
    <s v="31602185 - Estimulação Elétrica Transcutânea - Removido 13/04/2026 (R$ 40,00)"/>
    <s v="Fisioterapia"/>
    <n v="1716043798"/>
    <s v="Finalizado (2/7)"/>
    <n v="35.200000000000003"/>
    <n v="4.8"/>
    <n v="40"/>
    <s v="Sessão a Faturar"/>
    <n v="893331302089010"/>
    <n v="59095"/>
    <s v="Unidade Vieralves (ANEXO)"/>
    <n v="1716043798"/>
    <m/>
  </r>
  <r>
    <x v="7"/>
    <x v="44"/>
    <s v="Jackeline de Oliveira"/>
    <s v="Feminino"/>
    <x v="2"/>
    <x v="7"/>
    <s v="20103514 - Fisioterapia - Patologia Em Diferentes Segmentos da Coluna (R$ 14,83)"/>
    <s v="Fisioterapia"/>
    <n v="1716511665"/>
    <s v="Finalizado (2/3)"/>
    <n v="13.0504"/>
    <n v="1.7796000000000001"/>
    <n v="14.83"/>
    <s v="Sessão a Faturar"/>
    <n v="895789500019010"/>
    <n v="3659"/>
    <s v="Unidade Vieralves (ANEXO)"/>
    <n v="1716511665"/>
    <m/>
  </r>
  <r>
    <x v="7"/>
    <x v="44"/>
    <s v="Maria Eduarda Valente Oliveira"/>
    <s v="Feminino"/>
    <x v="2"/>
    <x v="7"/>
    <s v="20103506 - Fisioterapia - Patologia Em Um Segmento da Coluna (R$ 12,22)"/>
    <s v="Fisioterapia"/>
    <n v="1714973630"/>
    <s v="Finalizado (2/10)"/>
    <n v="10.7536"/>
    <n v="1.4663999999999999"/>
    <n v="12.22"/>
    <s v="Sessão a Faturar"/>
    <n v="774642030210000"/>
    <n v="59322"/>
    <s v="Unidade Vieralves (ANEXO)"/>
    <n v="1714973630"/>
    <m/>
  </r>
  <r>
    <x v="7"/>
    <x v="44"/>
    <s v="Alice Viana Franklin"/>
    <s v="Feminino"/>
    <x v="2"/>
    <x v="7"/>
    <s v="20103514 - Fisioterapia - Patologia Em Diferentes Segmentos da Coluna (R$ 14,83)"/>
    <s v="Fisioterapia"/>
    <n v="1712540198"/>
    <s v="Finalizado (7/10)"/>
    <n v="13.0504"/>
    <n v="1.7796000000000001"/>
    <n v="14.83"/>
    <s v="Sessão Faturada"/>
    <n v="812980300922010"/>
    <n v="59437"/>
    <s v="Unidade Vieralves (ANEXO)"/>
    <n v="1712540198"/>
    <m/>
  </r>
  <r>
    <x v="7"/>
    <x v="73"/>
    <s v="Maria Eduarda Valente Oliveira"/>
    <s v="Feminino"/>
    <x v="2"/>
    <x v="7"/>
    <s v="20103484 - Fisioterapia - Patologia Em Um Membro (R$ 12,22)"/>
    <s v="Fisioterapia"/>
    <n v="1716945281"/>
    <s v="Finalizado (1/10)"/>
    <n v="10.7536"/>
    <n v="1.4663999999999999"/>
    <n v="12.22"/>
    <s v="Sessão a Faturar"/>
    <n v="774642030210000"/>
    <n v="59322"/>
    <s v="Unidade Vieralves (ANEXO)"/>
    <n v="1716945281"/>
    <m/>
  </r>
  <r>
    <x v="7"/>
    <x v="60"/>
    <s v="Jackeline de Oliveira"/>
    <s v="Feminino"/>
    <x v="4"/>
    <x v="7"/>
    <s v="31602185 - Estimulação Elétrica Transcutânea - Removido 13/04/2026 (R$ 40,00)"/>
    <s v="Fisioterapia"/>
    <n v="1716919126"/>
    <s v="Finalizado (1/2)"/>
    <n v="35.200000000000003"/>
    <n v="4.8"/>
    <n v="40"/>
    <s v="Sessão a Faturar"/>
    <n v="895789500019010"/>
    <n v="3659"/>
    <s v="Unidade Vieralves (ANEXO)"/>
    <n v="1716919126"/>
    <m/>
  </r>
  <r>
    <x v="7"/>
    <x v="60"/>
    <s v="Alice Viana Franklin"/>
    <s v="Feminino"/>
    <x v="4"/>
    <x v="7"/>
    <s v="31602185 - Estimulação Elétrica Transcutânea - Removido 13/04/2026 (R$ 40,00)"/>
    <s v="Fisioterapia"/>
    <n v="1713833721"/>
    <s v="Finalizado (6/10)"/>
    <n v="35.200000000000003"/>
    <n v="4.8"/>
    <n v="40"/>
    <s v="Sessão Faturada"/>
    <n v="812980300922010"/>
    <n v="59437"/>
    <s v="Unidade Vieralves (ANEXO)"/>
    <n v="1713833721"/>
    <m/>
  </r>
  <r>
    <x v="7"/>
    <x v="74"/>
    <s v="Maria Eduarda Valente Oliveira"/>
    <s v="Feminino"/>
    <x v="4"/>
    <x v="7"/>
    <s v="31602185 - Estimulação Elétrica Transcutânea - Removido 13/04/2026 (R$ 40,00)"/>
    <s v="Fisioterapia"/>
    <n v="1716942865"/>
    <s v="Finalizado (1/3)"/>
    <n v="35.200000000000003"/>
    <n v="4.8"/>
    <n v="40"/>
    <s v="Sessão a Faturar"/>
    <n v="774642030210000"/>
    <n v="59322"/>
    <s v="Unidade Vieralves (ANEXO)"/>
    <n v="1716942865"/>
    <m/>
  </r>
  <r>
    <x v="7"/>
    <x v="41"/>
    <s v="Nikolas Ygor do Nascimento Pereira"/>
    <s v="Masculino"/>
    <x v="16"/>
    <x v="7"/>
    <s v="50000160 - Fisioterapia Ortopedica (R$ 25,00)"/>
    <s v="Fisioterapia"/>
    <n v="171235"/>
    <s v="Finalizado (7/10)"/>
    <n v="22"/>
    <n v="3"/>
    <n v="25"/>
    <s v="Sessão a Faturar"/>
    <n v="30003889"/>
    <n v="56597"/>
    <s v="Unidade Vieralves (ANEXO)"/>
    <n v="171235"/>
    <m/>
  </r>
  <r>
    <x v="7"/>
    <x v="41"/>
    <s v="Gabriel Toledano Feitosa"/>
    <s v="Masculino"/>
    <x v="1"/>
    <x v="7"/>
    <s v="50000160 - Fisioterapia Ortopédica (R$ 20,00), 98980327 - Taxa de Eletroterapia (Tens) (R$ 15,00)"/>
    <s v="Fisioterapia"/>
    <n v="9100774"/>
    <s v="Finalizado (10/10)"/>
    <n v="30.8"/>
    <n v="4.2"/>
    <n v="35"/>
    <s v="Sessão Faturada"/>
    <n v="2001013187450100"/>
    <n v="59108"/>
    <s v="Unidade Vieralves (ANEXO)"/>
    <n v="9100774"/>
    <m/>
  </r>
  <r>
    <x v="7"/>
    <x v="41"/>
    <s v="Mayco Grijó da Silva"/>
    <s v="Masculino"/>
    <x v="7"/>
    <x v="7"/>
    <s v="Vieiralves - 1 - Fisioterapia Ortopedica - Pacote (R$ 40,00)"/>
    <s v="Fisioterapia"/>
    <m/>
    <s v="Finalizado (10/10)"/>
    <n v="31.2"/>
    <n v="8.8000000000000007"/>
    <n v="40"/>
    <s v="Pago"/>
    <n v="0"/>
    <n v="59587"/>
    <s v="Unidade Vieralves (ANEXO)"/>
    <m/>
    <m/>
  </r>
  <r>
    <x v="7"/>
    <x v="41"/>
    <s v="Nubya Aires Arruda"/>
    <s v="Feminino"/>
    <x v="6"/>
    <x v="7"/>
    <s v="20103514 - Patologia Em Dois Ou Mais Segmentos da Coluna (R$ 32,82)"/>
    <s v="Fisioterapia"/>
    <n v="172074"/>
    <s v="Não compareceu (4/7)"/>
    <n v="32.82"/>
    <n v="0"/>
    <n v="32.82"/>
    <s v="Sessão a Faturar"/>
    <s v="54588888021578490119"/>
    <n v="59651"/>
    <s v="Unidade Vieralves (ANEXO)"/>
    <n v="172074"/>
    <m/>
  </r>
  <r>
    <x v="7"/>
    <x v="65"/>
    <s v="Nubya Aires Arruda"/>
    <s v="Feminino"/>
    <x v="6"/>
    <x v="7"/>
    <s v="31602185 - Estimulação Elétrica Transcutanea (Tens) (R$ 40,00)"/>
    <s v="Fisioterapia"/>
    <n v="172075"/>
    <s v="Não compareceu (4/6)"/>
    <n v="40"/>
    <n v="0"/>
    <n v="40"/>
    <s v="Sessão a Faturar"/>
    <s v="54588888021578490119"/>
    <n v="59651"/>
    <s v="Unidade Vieralves (ANEXO)"/>
    <n v="172075"/>
    <m/>
  </r>
  <r>
    <x v="7"/>
    <x v="36"/>
    <s v="Ingrid Roseane Magno Viana"/>
    <s v="Feminino"/>
    <x v="9"/>
    <x v="7"/>
    <s v="31602185 - Estimulação Elétrica Transcutânea (Tens) - Removido 13/04/2026 (R$ 40,00)"/>
    <s v="Fisioterapia"/>
    <n v="1712608397"/>
    <s v="Finalizado (5/10)"/>
    <n v="35.200000000000003"/>
    <n v="4.8"/>
    <n v="40"/>
    <s v="Sessão a Faturar"/>
    <n v="954440006904010"/>
    <n v="58326"/>
    <s v="Unidade Vieralves (ANEXO)"/>
    <n v="1712608397"/>
    <m/>
  </r>
  <r>
    <x v="7"/>
    <x v="36"/>
    <s v="Stela Fortes da Silva"/>
    <s v="Feminino"/>
    <x v="1"/>
    <x v="7"/>
    <s v="50000160 - Fisioterapia Ortopédica (R$ 20,00), 98980327 - Taxa de Eletroterapia (Tens) (R$ 15,00)"/>
    <s v="Fisioterapia"/>
    <n v="9109099"/>
    <s v="Finalizado (6/9)"/>
    <n v="30.8"/>
    <n v="4.2"/>
    <n v="35"/>
    <s v="Sessão Faturada"/>
    <n v="1901013467060100"/>
    <n v="21179"/>
    <s v="Unidade Vieralves (ANEXO)"/>
    <n v="9109099"/>
    <m/>
  </r>
  <r>
    <x v="7"/>
    <x v="36"/>
    <s v="Fernando Trinidad Espana"/>
    <s v="Masculino"/>
    <x v="2"/>
    <x v="7"/>
    <s v="50000144 - Avaliação de Fisioterapia (R$ 51,42)"/>
    <s v="Fisioterapia"/>
    <n v="1716987617"/>
    <s v="Finalizado (1/1)"/>
    <n v="46.277999999999999"/>
    <n v="5.1420000000000003"/>
    <n v="51.42"/>
    <s v="Sessão Faturada"/>
    <n v="774642021741010"/>
    <n v="59770"/>
    <s v="Unidade Vieralves (ANEXO)"/>
    <n v="1716987617"/>
    <m/>
  </r>
  <r>
    <x v="7"/>
    <x v="61"/>
    <s v="Fernando Trinidad Espana"/>
    <s v="Masculino"/>
    <x v="2"/>
    <x v="7"/>
    <s v="20103484 - Fisioterapia - Patologia Em Um Membro (R$ 12,22), 20103506 - Fisioterapia - Patologia Em Um Segmento da Coluna (R$ 12,22)"/>
    <s v="Fisioterapia"/>
    <n v="1716989194"/>
    <s v="Finalizado (1/1)"/>
    <n v="21.507200000000001"/>
    <n v="2.9327999999999999"/>
    <n v="24.44"/>
    <s v="Sessão a Faturar"/>
    <n v="774642021741010"/>
    <n v="59770"/>
    <s v="Unidade Vieralves (ANEXO)"/>
    <n v="1716989194"/>
    <m/>
  </r>
  <r>
    <x v="7"/>
    <x v="61"/>
    <s v="Ingrid Roseane Magno Viana"/>
    <s v="Feminino"/>
    <x v="8"/>
    <x v="7"/>
    <s v="20103484 - Patologia Em Um Membro (R$ 12,22)"/>
    <s v="Fisioterapia"/>
    <n v="1713915713"/>
    <s v="Finalizado (4/10)"/>
    <n v="10.7536"/>
    <n v="1.4663999999999999"/>
    <n v="12.22"/>
    <s v="Sessão a Faturar"/>
    <n v="954440006904010"/>
    <n v="58326"/>
    <s v="Unidade Vieralves (ANEXO)"/>
    <n v="1713915713"/>
    <m/>
  </r>
  <r>
    <x v="7"/>
    <x v="40"/>
    <s v="Rute Pacheco Nobre"/>
    <s v="Feminino"/>
    <x v="4"/>
    <x v="7"/>
    <s v="31602185 - Estimulação Elétrica Transcutânea - Removido 13/04/2026 (R$ 40,00)"/>
    <s v="Fisioterapia"/>
    <n v="1713926093"/>
    <s v="Finalizado (3/7)"/>
    <n v="35.200000000000003"/>
    <n v="4.8"/>
    <n v="40"/>
    <s v="Sessão a Faturar"/>
    <n v="772956001996030"/>
    <n v="59637"/>
    <s v="Unidade Vieralves (ANEXO)"/>
    <n v="1713926093"/>
    <m/>
  </r>
  <r>
    <x v="7"/>
    <x v="40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7"/>
    <x v="45"/>
    <s v="Rute Pacheco Nobre"/>
    <s v="Feminino"/>
    <x v="2"/>
    <x v="7"/>
    <s v="20103492 - Fisioterapia - Patologia Em Dois Ou Mais Membros (R$ 14,83)"/>
    <s v="Fisioterapia"/>
    <n v="1713315815"/>
    <s v="Finalizado (4/8)"/>
    <n v="13.0504"/>
    <n v="1.7796000000000001"/>
    <n v="14.83"/>
    <s v="Sessão a Faturar"/>
    <n v="772956001996030"/>
    <n v="59637"/>
    <s v="Unidade Vieralves (ANEXO)"/>
    <n v="1713315815"/>
    <m/>
  </r>
  <r>
    <x v="7"/>
    <x v="35"/>
    <s v="Lúcia Ignéz Abreu de Sá"/>
    <s v="Feminino"/>
    <x v="1"/>
    <x v="7"/>
    <s v="50000160 - Fisioterapia Ortopédica (R$ 20,00), 98980327 - Taxa de Eletroterapia (Tens) (R$ 15,00)"/>
    <s v="Fisioterapia"/>
    <n v="8929197"/>
    <s v="Finalizado (8/10)"/>
    <n v="30.8"/>
    <n v="4.2"/>
    <n v="35"/>
    <s v="Sessão Faturada"/>
    <s v="0701010861030123"/>
    <n v="58903"/>
    <s v="Unidade Vieralves (ANEXO)"/>
    <n v="8929197"/>
    <m/>
  </r>
  <r>
    <x v="7"/>
    <x v="35"/>
    <s v="Maria Morgiana Gonçalves Costa Ausier"/>
    <s v="Feminino"/>
    <x v="2"/>
    <x v="7"/>
    <s v="20103492 - Fisioterapia - Patologia Em Dois Ou Mais Membros (R$ 14,83)"/>
    <s v="Fisioterapia"/>
    <n v="1706159360"/>
    <s v="Finalizado (5/5)"/>
    <n v="13.0504"/>
    <n v="1.7796000000000001"/>
    <n v="14.83"/>
    <s v="Sessão Faturada"/>
    <n v="774642010693010"/>
    <n v="9926"/>
    <s v="Unidade Vieralves (ANEXO)"/>
    <n v="1706159360"/>
    <m/>
  </r>
  <r>
    <x v="7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5/10)"/>
    <n v="30.8"/>
    <n v="4.2"/>
    <n v="35"/>
    <s v="Sessão Faturada"/>
    <s v="0901012964370052"/>
    <n v="59661"/>
    <s v="Unidade Vieralves (ANEXO)"/>
    <n v="9410589"/>
    <m/>
  </r>
  <r>
    <x v="7"/>
    <x v="42"/>
    <s v="Maria Morgiana Gonçalves Costa Ausier"/>
    <s v="Feminino"/>
    <x v="4"/>
    <x v="7"/>
    <s v="31602185 - Estimulação Elétrica Transcutânea - Removido 13/04/2026 (R$ 40,00)"/>
    <s v="Fisioterapia"/>
    <n v="1715942010"/>
    <s v="Finalizado (2/2)"/>
    <n v="35.200000000000003"/>
    <n v="4.8"/>
    <n v="40"/>
    <s v="Sessão a Faturar"/>
    <n v="774642010693010"/>
    <n v="9926"/>
    <s v="Unidade Vieralves (ANEXO)"/>
    <n v="1715942010"/>
    <m/>
  </r>
  <r>
    <x v="7"/>
    <x v="37"/>
    <s v="Sheila Pereira Das Neves"/>
    <m/>
    <x v="6"/>
    <x v="7"/>
    <s v="50000144 - Avaliação de Fisioterapia (R$ 56,52)"/>
    <s v="Fisioterapia"/>
    <n v="7700047342"/>
    <s v="Finalizado (1/1)"/>
    <n v="50.868000000000002"/>
    <n v="5.6520000000000001"/>
    <n v="56.52"/>
    <s v="Sessão Faturada"/>
    <s v="55788888492677530016"/>
    <n v="59748"/>
    <s v="Unidade Vieralves (ANEXO)"/>
    <n v="7700047342"/>
    <m/>
  </r>
  <r>
    <x v="7"/>
    <x v="37"/>
    <s v="Rosana Silva dos Santos"/>
    <s v="Feminino"/>
    <x v="1"/>
    <x v="7"/>
    <s v="50000160 - Fisioterapia Ortopédica (R$ 20,00), 98980327 - Taxa de Eletroterapia (Tens) (R$ 15,00)"/>
    <s v="Fisioterapia"/>
    <n v="9523265"/>
    <s v="Finalizado (2/10)"/>
    <n v="30.8"/>
    <n v="4.2"/>
    <n v="35"/>
    <s v="Sessão Faturada"/>
    <n v="1101006073830400"/>
    <n v="58800"/>
    <s v="Unidade Vieralves (ANEXO)"/>
    <n v="9523265"/>
    <m/>
  </r>
  <r>
    <x v="7"/>
    <x v="58"/>
    <s v="Sheila Pereira Das Neves"/>
    <m/>
    <x v="6"/>
    <x v="7"/>
    <s v="20103484 - Patologia Em Um Membro (R$ 14,16)"/>
    <s v="Fisioterapia"/>
    <n v="172882"/>
    <s v="Finalizado (1/10)"/>
    <n v="12.460800000000001"/>
    <n v="1.6992"/>
    <n v="14.16"/>
    <s v="Sessão a Faturar"/>
    <s v="55788888492677530016"/>
    <n v="59748"/>
    <s v="Unidade Vieralves (ANEXO)"/>
    <n v="172882"/>
    <m/>
  </r>
  <r>
    <x v="7"/>
    <x v="50"/>
    <s v="Sheila Pereira Das Neves"/>
    <m/>
    <x v="6"/>
    <x v="7"/>
    <s v="31602185 - Estimulação Elétrica Transcutanea (Tens) (R$ 40,00)"/>
    <s v="Fisioterapia"/>
    <n v="172883"/>
    <s v="Finalizado (1/10)"/>
    <n v="35.200000000000003"/>
    <n v="4.8"/>
    <n v="40"/>
    <s v="Sessão a Faturar"/>
    <s v="55788888492677530016"/>
    <n v="59748"/>
    <s v="Unidade Vieralves (ANEXO)"/>
    <n v="172883"/>
    <m/>
  </r>
  <r>
    <x v="7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8/10)"/>
    <n v="30.8"/>
    <n v="4.2"/>
    <n v="35"/>
    <s v="Sessão Faturada"/>
    <s v="0901010162540294"/>
    <n v="53890"/>
    <s v="Unidade Vieralves (ANEXO)"/>
    <n v="9391083"/>
    <m/>
  </r>
  <r>
    <x v="7"/>
    <x v="39"/>
    <s v="Ediane da Silveira Vieira"/>
    <s v="Feminino"/>
    <x v="2"/>
    <x v="7"/>
    <s v="20103484 - Fisioterapia - Patologia Em Um Membro (R$ 12,22)"/>
    <s v="Fisioterapia"/>
    <n v="1707881370"/>
    <s v="Finalizado (8/10)"/>
    <n v="10.7536"/>
    <n v="1.4663999999999999"/>
    <n v="12.22"/>
    <s v="Sessão Faturada"/>
    <n v="775262001287000"/>
    <n v="17985"/>
    <s v="Unidade Vieralves (ANEXO)"/>
    <n v="1707881370"/>
    <m/>
  </r>
  <r>
    <x v="7"/>
    <x v="39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9/10)"/>
    <n v="30.8"/>
    <n v="4.2"/>
    <n v="35"/>
    <s v="Sessão Faturada"/>
    <s v="0903006735450160"/>
    <n v="58787"/>
    <s v="Unidade Vieralves (ANEXO)"/>
    <n v="9032635"/>
    <m/>
  </r>
  <r>
    <x v="7"/>
    <x v="39"/>
    <s v="Albejamere Pereira de Castro"/>
    <s v="Feminino"/>
    <x v="1"/>
    <x v="7"/>
    <s v="50000160 - Fisioterapia Ortopédica (R$ 20,00), 98980327 - Taxa de Eletroterapia (Tens) (R$ 15,00)"/>
    <s v="Fisioterapia"/>
    <n v="9158214"/>
    <s v="Finalizado (10/10)"/>
    <n v="30.8"/>
    <n v="4.2"/>
    <n v="35"/>
    <s v="Sessão Faturada"/>
    <n v="1901010162540100"/>
    <n v="53882"/>
    <s v="Unidade Vieralves (ANEXO)"/>
    <n v="9158214"/>
    <m/>
  </r>
  <r>
    <x v="7"/>
    <x v="43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8/10)"/>
    <n v="30.8"/>
    <n v="4.2"/>
    <n v="35"/>
    <s v="Sessão Faturada"/>
    <s v="0503007111620017"/>
    <n v="58376"/>
    <s v="Unidade Vieralves (ANEXO)"/>
    <n v="8769159"/>
    <s v="Guia assinada! 20/02"/>
  </r>
  <r>
    <x v="8"/>
    <x v="44"/>
    <s v="Vanessa Amaral da Rocha"/>
    <s v="Feminino"/>
    <x v="6"/>
    <x v="7"/>
    <s v="20103492 - Patologia Em Dois Ou Mais Membros (R$ 30,26)"/>
    <s v="Fisioterapia"/>
    <n v="171966"/>
    <s v="Finalizado (4/10)"/>
    <n v="26.628799999999998"/>
    <n v="3.6312000000000002"/>
    <n v="30.26"/>
    <s v="Sessão a Faturar"/>
    <s v="55788888491043450029"/>
    <n v="13689"/>
    <s v="Unidade Vieralves (ANEXO)"/>
    <n v="171966"/>
    <m/>
  </r>
  <r>
    <x v="8"/>
    <x v="44"/>
    <s v="Jorge Angelo Fernandes Siqueira"/>
    <s v="Masculino"/>
    <x v="10"/>
    <x v="7"/>
    <s v="50000160 - Fisioterapia Ortopédica (R$ 15,00)"/>
    <s v="Fisioterapia"/>
    <n v="22999117"/>
    <s v="Finalizado (1/10)"/>
    <n v="13.2"/>
    <n v="1.8"/>
    <n v="15"/>
    <s v="Sessão a Faturar"/>
    <s v="00010064268113001"/>
    <n v="59699"/>
    <s v="Unidade Vieralves (ANEXO)"/>
    <n v="22999117"/>
    <m/>
  </r>
  <r>
    <x v="8"/>
    <x v="60"/>
    <s v="Vanessa Amaral da Rocha"/>
    <s v="Feminino"/>
    <x v="6"/>
    <x v="7"/>
    <s v="31602185 - Estimulação Elétrica Transcutanea (Tens) (R$ 40,00)"/>
    <s v="Fisioterapia"/>
    <n v="171967"/>
    <s v="Finalizado (4/10)"/>
    <n v="35.200000000000003"/>
    <n v="4.8"/>
    <n v="40"/>
    <s v="Sessão a Faturar"/>
    <s v="55788888491043450029"/>
    <n v="13689"/>
    <s v="Unidade Vieralves (ANEXO)"/>
    <n v="171967"/>
    <m/>
  </r>
  <r>
    <x v="8"/>
    <x v="41"/>
    <s v="Nikolas Ygor do Nascimento Pereira"/>
    <s v="Masculino"/>
    <x v="16"/>
    <x v="7"/>
    <s v="50000160 - Fisioterapia Ortopedica (R$ 25,00)"/>
    <s v="Fisioterapia"/>
    <n v="171235"/>
    <s v="Finalizado (8/10)"/>
    <n v="22"/>
    <n v="3"/>
    <n v="25"/>
    <s v="Sessão a Faturar"/>
    <n v="30003889"/>
    <n v="56597"/>
    <s v="Unidade Vieralves (ANEXO)"/>
    <n v="171235"/>
    <m/>
  </r>
  <r>
    <x v="8"/>
    <x v="41"/>
    <s v="Eloise Miranda dos Santos"/>
    <s v="Feminino"/>
    <x v="4"/>
    <x v="7"/>
    <s v="31602185 - Estimulação Elétrica Transcutânea - Removido 13/04/2026 (R$ 40,00)"/>
    <s v="Fisioterapia"/>
    <n v="1713239249"/>
    <s v="Finalizado (3/10)"/>
    <n v="35.200000000000003"/>
    <n v="4.8"/>
    <n v="40"/>
    <s v="Sessão a Faturar"/>
    <n v="774642019992020"/>
    <n v="56839"/>
    <s v="Unidade Vieralves (ANEXO)"/>
    <n v="1713239249"/>
    <m/>
  </r>
  <r>
    <x v="8"/>
    <x v="65"/>
    <s v="Eloise Miranda dos Santos"/>
    <s v="Feminino"/>
    <x v="2"/>
    <x v="7"/>
    <s v="20103506 - Fisioterapia - Patologia Em Um Segmento da Coluna (R$ 12,22)"/>
    <s v="Fisioterapia"/>
    <n v="1709465706"/>
    <s v="Finalizado (4/10)"/>
    <n v="10.7536"/>
    <n v="1.4663999999999999"/>
    <n v="12.22"/>
    <s v="Sessão a Faturar"/>
    <n v="774642019992020"/>
    <n v="56839"/>
    <s v="Unidade Vieralves (ANEXO)"/>
    <n v="1709465706"/>
    <m/>
  </r>
  <r>
    <x v="8"/>
    <x v="36"/>
    <s v="Alice Viana Franklin"/>
    <s v="Feminino"/>
    <x v="2"/>
    <x v="7"/>
    <s v="20103514 - Fisioterapia - Patologia Em Diferentes Segmentos da Coluna (R$ 14,83)"/>
    <s v="Fisioterapia"/>
    <n v="1712540198"/>
    <s v="Finalizado (8/10)"/>
    <n v="13.0504"/>
    <n v="1.7796000000000001"/>
    <n v="14.83"/>
    <s v="Sessão Faturada"/>
    <n v="812980300922010"/>
    <n v="59437"/>
    <s v="Unidade Vieralves (ANEXO)"/>
    <n v="1712540198"/>
    <m/>
  </r>
  <r>
    <x v="8"/>
    <x v="36"/>
    <s v="Bruno Barbosa dos Santos"/>
    <s v="Masculino"/>
    <x v="9"/>
    <x v="7"/>
    <s v="31602185 - Estimulação Elétrica Transcutânea (Tens) - Removido 13/04/2026 (R$ 40,00)"/>
    <s v="Fisioterapia"/>
    <n v="1710720618"/>
    <s v="Finalizado (4/10)"/>
    <n v="35.200000000000003"/>
    <n v="4.8"/>
    <n v="40"/>
    <s v="Sessão a Faturar"/>
    <n v="954600007650010"/>
    <n v="59241"/>
    <s v="Unidade Vieralves (ANEXO)"/>
    <n v="1710720618"/>
    <m/>
  </r>
  <r>
    <x v="8"/>
    <x v="61"/>
    <s v="Bruno Barbosa dos Santos"/>
    <s v="Masculino"/>
    <x v="8"/>
    <x v="7"/>
    <s v="20103662 - Pos Operatorio Em Um Membro (R$ 14,99)"/>
    <s v="Fisioterapia"/>
    <n v="1709475907"/>
    <s v="Finalizado (5/10)"/>
    <n v="13.1912"/>
    <n v="1.7988"/>
    <n v="14.99"/>
    <s v="Sessão a Faturar"/>
    <n v="954600007650010"/>
    <n v="59241"/>
    <s v="Unidade Vieralves (ANEXO)"/>
    <n v="1709475907"/>
    <m/>
  </r>
  <r>
    <x v="8"/>
    <x v="61"/>
    <s v="Alice Viana Franklin"/>
    <s v="Feminino"/>
    <x v="4"/>
    <x v="7"/>
    <s v="31602185 - Estimulação Elétrica Transcutânea - Removido 13/04/2026 (R$ 40,00)"/>
    <s v="Fisioterapia"/>
    <n v="1713833721"/>
    <s v="Finalizado (7/10)"/>
    <n v="35.200000000000003"/>
    <n v="4.8"/>
    <n v="40"/>
    <s v="Sessão Faturada"/>
    <n v="812980300922010"/>
    <n v="59437"/>
    <s v="Unidade Vieralves (ANEXO)"/>
    <n v="1713833721"/>
    <m/>
  </r>
  <r>
    <x v="8"/>
    <x v="40"/>
    <s v="Rute Pacheco Nobre"/>
    <s v="Feminino"/>
    <x v="4"/>
    <x v="7"/>
    <s v="31602185 - Estimulação Elétrica Transcutânea - Removido 13/04/2026 (R$ 40,00)"/>
    <s v="Fisioterapia"/>
    <n v="1713926093"/>
    <s v="Finalizado (4/7)"/>
    <n v="35.200000000000003"/>
    <n v="4.8"/>
    <n v="40"/>
    <s v="Sessão a Faturar"/>
    <n v="772956001996030"/>
    <n v="59637"/>
    <s v="Unidade Vieralves (ANEXO)"/>
    <n v="1713926093"/>
    <m/>
  </r>
  <r>
    <x v="8"/>
    <x v="40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8"/>
    <x v="45"/>
    <s v="Rute Pacheco Nobre"/>
    <s v="Feminino"/>
    <x v="2"/>
    <x v="7"/>
    <s v="20103492 - Fisioterapia - Patologia Em Dois Ou Mais Membros (R$ 14,83)"/>
    <s v="Fisioterapia"/>
    <n v="1713315815"/>
    <s v="Finalizado (5/8)"/>
    <n v="13.0504"/>
    <n v="1.7796000000000001"/>
    <n v="14.83"/>
    <s v="Sessão a Faturar"/>
    <n v="772956001996030"/>
    <n v="59637"/>
    <s v="Unidade Vieralves (ANEXO)"/>
    <n v="1713315815"/>
    <m/>
  </r>
  <r>
    <x v="8"/>
    <x v="35"/>
    <s v="Rosana Silva dos Santos"/>
    <s v="Feminino"/>
    <x v="1"/>
    <x v="7"/>
    <s v="50000160 - Fisioterapia Ortopédica (R$ 20,00), 98980327 - Taxa de Eletroterapia (Tens) (R$ 15,00)"/>
    <s v="Fisioterapia"/>
    <n v="9523265"/>
    <s v="Finalizado (3/10)"/>
    <n v="30.8"/>
    <n v="4.2"/>
    <n v="35"/>
    <s v="Sessão Faturada"/>
    <n v="1101006073830400"/>
    <n v="58800"/>
    <s v="Unidade Vieralves (ANEXO)"/>
    <n v="9523265"/>
    <m/>
  </r>
  <r>
    <x v="8"/>
    <x v="35"/>
    <s v="Sheila Pereira Das Neves"/>
    <m/>
    <x v="6"/>
    <x v="7"/>
    <s v="20103484 - Patologia Em Um Membro (R$ 14,16)"/>
    <s v="Fisioterapia"/>
    <n v="172882"/>
    <s v="Finalizado (2/10)"/>
    <n v="12.460800000000001"/>
    <n v="1.6992"/>
    <n v="14.16"/>
    <s v="Sessão a Faturar"/>
    <s v="55788888492677530016"/>
    <n v="59748"/>
    <s v="Unidade Vieralves (ANEXO)"/>
    <n v="172882"/>
    <m/>
  </r>
  <r>
    <x v="8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6/10)"/>
    <n v="30.8"/>
    <n v="4.2"/>
    <n v="35"/>
    <s v="Sessão Faturada"/>
    <s v="0901012964370052"/>
    <n v="59661"/>
    <s v="Unidade Vieralves (ANEXO)"/>
    <n v="9410589"/>
    <m/>
  </r>
  <r>
    <x v="8"/>
    <x v="42"/>
    <s v="Sheila Pereira Das Neves"/>
    <m/>
    <x v="6"/>
    <x v="7"/>
    <s v="31602185 - Estimulação Elétrica Transcutanea (Tens) (R$ 40,00)"/>
    <s v="Fisioterapia"/>
    <n v="172883"/>
    <s v="Finalizado (2/10)"/>
    <n v="35.200000000000003"/>
    <n v="4.8"/>
    <n v="40"/>
    <s v="Sessão a Faturar"/>
    <s v="55788888492677530016"/>
    <n v="59748"/>
    <s v="Unidade Vieralves (ANEXO)"/>
    <n v="172883"/>
    <m/>
  </r>
  <r>
    <x v="8"/>
    <x v="38"/>
    <s v="Simone Ferreira Marinho da Silva"/>
    <m/>
    <x v="4"/>
    <x v="7"/>
    <s v="31602185 - Estimulação Elétrica Transcutânea - Removido 13/04/2026 (R$ 40,00)"/>
    <s v="Fisioterapia"/>
    <n v="1710796060"/>
    <s v="Finalizado (4/5)"/>
    <n v="35.200000000000003"/>
    <n v="4.8"/>
    <n v="40"/>
    <s v="Sessão Faturada"/>
    <n v="775426001635010"/>
    <n v="59543"/>
    <s v="Unidade Vieralves (ANEXO)"/>
    <n v="1710796060"/>
    <m/>
  </r>
  <r>
    <x v="8"/>
    <x v="62"/>
    <s v="Simone Ferreira Marinho da Silva"/>
    <m/>
    <x v="2"/>
    <x v="7"/>
    <s v="20103670 - Fisioterapia - Pos Operatorio Em Dois Ou Mais Membros (R$ 19,30)"/>
    <s v="Fisioterapia"/>
    <n v="1717579879"/>
    <s v="Finalizado (1/2)"/>
    <n v="16.984000000000002"/>
    <n v="2.3159999999999998"/>
    <n v="19.3"/>
    <s v="Sessão a Faturar"/>
    <n v="775426001635010"/>
    <n v="59543"/>
    <s v="Unidade Vieralves (ANEXO)"/>
    <n v="1717579879"/>
    <m/>
  </r>
  <r>
    <x v="8"/>
    <x v="43"/>
    <s v="Alison Moura da Gama"/>
    <s v="Masculino"/>
    <x v="6"/>
    <x v="7"/>
    <s v="20103484 - Patologia Em Um Membro (R$ 14,16)"/>
    <s v="Fisioterapia"/>
    <n v="172892"/>
    <s v="Finalizado (1/10)"/>
    <n v="12.460800000000001"/>
    <n v="1.6992"/>
    <n v="14.16"/>
    <s v="Sessão a Faturar"/>
    <s v="54588888460743530017"/>
    <n v="44296"/>
    <s v="Unidade Vieralves (ANEXO)"/>
    <n v="172892"/>
    <m/>
  </r>
  <r>
    <x v="8"/>
    <x v="43"/>
    <s v="Erlom André de Matos"/>
    <s v="Masculino"/>
    <x v="4"/>
    <x v="7"/>
    <s v="31602185 - Estimulação Elétrica Transcutânea - Removido 13/04/2026 (R$ 40,00)"/>
    <s v="Fisioterapia"/>
    <n v="1716043798"/>
    <s v="Finalizado (3/7)"/>
    <n v="35.200000000000003"/>
    <n v="4.8"/>
    <n v="40"/>
    <s v="Sessão a Faturar"/>
    <n v="893331302089010"/>
    <n v="59095"/>
    <s v="Unidade Vieralves (ANEXO)"/>
    <n v="1716043798"/>
    <m/>
  </r>
  <r>
    <x v="8"/>
    <x v="66"/>
    <s v="Erlom André de Matos"/>
    <s v="Masculino"/>
    <x v="2"/>
    <x v="7"/>
    <s v="20103492 - Fisioterapia - Patologia Em Dois Ou Mais Membros (R$ 14,83)"/>
    <s v="Fisioterapia"/>
    <n v="1715458929"/>
    <s v="Finalizado (4/10)"/>
    <n v="13.0504"/>
    <n v="1.7796000000000001"/>
    <n v="14.83"/>
    <s v="Sessão a Faturar"/>
    <n v="893331302089010"/>
    <n v="59095"/>
    <s v="Unidade Vieralves (ANEXO)"/>
    <n v="1715458929"/>
    <m/>
  </r>
  <r>
    <x v="8"/>
    <x v="66"/>
    <s v="Alison Moura da Gama"/>
    <s v="Masculino"/>
    <x v="6"/>
    <x v="7"/>
    <s v="31602185 - Estimulação Elétrica Transcutanea (Tens) (R$ 40,00)"/>
    <s v="Fisioterapia"/>
    <n v="173030"/>
    <s v="Finalizado (1/2)"/>
    <n v="35.200000000000003"/>
    <n v="4.8"/>
    <n v="40"/>
    <s v="Sessão a Faturar"/>
    <s v="54588888460743530017"/>
    <n v="44296"/>
    <s v="Unidade Vieralves (ANEXO)"/>
    <n v="173030"/>
    <m/>
  </r>
  <r>
    <x v="9"/>
    <x v="44"/>
    <s v="Maria Eduarda Valente Oliveira"/>
    <s v="Feminino"/>
    <x v="4"/>
    <x v="7"/>
    <s v="31602185 - Estimulação Elétrica Transcutânea - Removido 13/04/2026 (R$ 40,00)"/>
    <s v="Fisioterapia"/>
    <n v="1716942865"/>
    <s v="Finalizado (2/3)"/>
    <n v="35.200000000000003"/>
    <n v="4.8"/>
    <n v="40"/>
    <s v="Sessão a Faturar"/>
    <n v="774642030210000"/>
    <n v="59322"/>
    <s v="Unidade Vieralves (ANEXO)"/>
    <n v="1716942865"/>
    <m/>
  </r>
  <r>
    <x v="9"/>
    <x v="44"/>
    <s v="Alice Viana Franklin"/>
    <s v="Feminino"/>
    <x v="2"/>
    <x v="7"/>
    <s v="20103514 - Fisioterapia - Patologia Em Diferentes Segmentos da Coluna (R$ 14,83)"/>
    <s v="Fisioterapia"/>
    <n v="1712540198"/>
    <s v="Finalizado (9/10)"/>
    <n v="13.0504"/>
    <n v="1.7796000000000001"/>
    <n v="14.83"/>
    <s v="Sessão Faturada"/>
    <n v="812980300922010"/>
    <n v="59437"/>
    <s v="Unidade Vieralves (ANEXO)"/>
    <n v="1712540198"/>
    <m/>
  </r>
  <r>
    <x v="9"/>
    <x v="73"/>
    <s v="Maria Eduarda Valente Oliveira"/>
    <s v="Feminino"/>
    <x v="2"/>
    <x v="7"/>
    <s v="20103484 - Fisioterapia - Patologia Em Um Membro (R$ 12,22)"/>
    <s v="Fisioterapia"/>
    <n v="1716945281"/>
    <s v="Finalizado (2/10)"/>
    <n v="10.7536"/>
    <n v="1.4663999999999999"/>
    <n v="12.22"/>
    <s v="Sessão a Faturar"/>
    <n v="774642030210000"/>
    <n v="59322"/>
    <s v="Unidade Vieralves (ANEXO)"/>
    <n v="1716945281"/>
    <m/>
  </r>
  <r>
    <x v="9"/>
    <x v="60"/>
    <s v="Alice Viana Franklin"/>
    <s v="Feminino"/>
    <x v="4"/>
    <x v="7"/>
    <s v="31602185 - Estimulação Elétrica Transcutânea - Removido 13/04/2026 (R$ 40,00)"/>
    <s v="Fisioterapia"/>
    <n v="1713833721"/>
    <s v="Finalizado (8/10)"/>
    <n v="35.200000000000003"/>
    <n v="4.8"/>
    <n v="40"/>
    <s v="Sessão Faturada"/>
    <n v="812980300922010"/>
    <n v="59437"/>
    <s v="Unidade Vieralves (ANEXO)"/>
    <n v="1713833721"/>
    <m/>
  </r>
  <r>
    <x v="9"/>
    <x v="74"/>
    <s v="Maria Eduarda Valente Oliveira"/>
    <s v="Feminino"/>
    <x v="2"/>
    <x v="7"/>
    <s v="20103506 - Fisioterapia - Patologia Em Um Segmento da Coluna (R$ 12,22)"/>
    <s v="Fisioterapia"/>
    <n v="1714973630"/>
    <s v="Finalizado (3/10)"/>
    <n v="10.7536"/>
    <n v="1.4663999999999999"/>
    <n v="12.22"/>
    <s v="Sessão a Faturar"/>
    <n v="774642030210000"/>
    <n v="59322"/>
    <s v="Unidade Vieralves (ANEXO)"/>
    <n v="1714973630"/>
    <m/>
  </r>
  <r>
    <x v="9"/>
    <x v="41"/>
    <s v="Nubya Aires Arruda"/>
    <s v="Feminino"/>
    <x v="6"/>
    <x v="7"/>
    <s v="20103514 - Patologia Em Dois Ou Mais Segmentos da Coluna (R$ 32,82)"/>
    <s v="Fisioterapia"/>
    <n v="172074"/>
    <s v="Finalizado (5/7)"/>
    <n v="28.881599999999999"/>
    <n v="3.9384000000000001"/>
    <n v="32.82"/>
    <s v="Sessão a Faturar"/>
    <s v="54588888021578490119"/>
    <n v="59651"/>
    <s v="Unidade Vieralves (ANEXO)"/>
    <n v="172074"/>
    <m/>
  </r>
  <r>
    <x v="9"/>
    <x v="65"/>
    <s v="Nubya Aires Arruda"/>
    <s v="Feminino"/>
    <x v="6"/>
    <x v="7"/>
    <s v="31602185 - Estimulação Elétrica Transcutanea (Tens) (R$ 40,00)"/>
    <s v="Fisioterapia"/>
    <n v="172075"/>
    <s v="Finalizado (5/6)"/>
    <n v="35.200000000000003"/>
    <n v="4.8"/>
    <n v="40"/>
    <s v="Sessão a Faturar"/>
    <s v="54588888021578490119"/>
    <n v="59651"/>
    <s v="Unidade Vieralves (ANEXO)"/>
    <n v="172075"/>
    <m/>
  </r>
  <r>
    <x v="9"/>
    <x v="36"/>
    <s v="Samira Farias Costa de Souza"/>
    <s v="Feminino"/>
    <x v="4"/>
    <x v="7"/>
    <s v="31602185 - Estimulação Elétrica Transcutânea - Removido 13/04/2026 (R$ 40,00)"/>
    <s v="Fisioterapia"/>
    <n v="1711321666"/>
    <s v="Finalizado (8/9)"/>
    <n v="35.200000000000003"/>
    <n v="4.8"/>
    <n v="40"/>
    <s v="Sessão a Faturar"/>
    <n v="774981013048010"/>
    <n v="59585"/>
    <s v="Unidade Vieralves (ANEXO)"/>
    <n v="1711321666"/>
    <m/>
  </r>
  <r>
    <x v="9"/>
    <x v="36"/>
    <s v="Fabio Arruda Binda"/>
    <s v="Masculino"/>
    <x v="4"/>
    <x v="7"/>
    <s v="31602185 - Estimulação Elétrica Transcutânea - Removido 13/04/2026 (R$ 40,00)"/>
    <s v="Fisioterapia"/>
    <n v="1713340251"/>
    <s v="Finalizado (5/5)"/>
    <n v="35.200000000000003"/>
    <n v="4.8"/>
    <n v="40"/>
    <s v="Sessão a Faturar"/>
    <n v="812980300400000"/>
    <n v="59607"/>
    <s v="Unidade Vieralves (ANEXO)"/>
    <n v="1713340251"/>
    <m/>
  </r>
  <r>
    <x v="9"/>
    <x v="36"/>
    <s v="Ingrid Roseane Magno Viana"/>
    <s v="Feminino"/>
    <x v="8"/>
    <x v="7"/>
    <s v="20103484 - Patologia Em Um Membro (R$ 12,22)"/>
    <s v="Fisioterapia"/>
    <n v="1713915713"/>
    <s v="Finalizado (5/10)"/>
    <n v="10.7536"/>
    <n v="1.4663999999999999"/>
    <n v="12.22"/>
    <s v="Sessão a Faturar"/>
    <n v="954440006904010"/>
    <n v="58326"/>
    <s v="Unidade Vieralves (ANEXO)"/>
    <n v="1713915713"/>
    <m/>
  </r>
  <r>
    <x v="9"/>
    <x v="61"/>
    <s v="Fabio Arruda Binda"/>
    <s v="Masculino"/>
    <x v="2"/>
    <x v="7"/>
    <s v="20103484 - Fisioterapia - Patologia Em Um Membro (R$ 12,22)"/>
    <s v="Fisioterapia"/>
    <n v="1712675997"/>
    <s v="Finalizado (6/6)"/>
    <n v="10.7536"/>
    <n v="1.4663999999999999"/>
    <n v="12.22"/>
    <s v="Sessão a Faturar"/>
    <n v="812980300400000"/>
    <n v="59607"/>
    <s v="Unidade Vieralves (ANEXO)"/>
    <n v="1712675997"/>
    <m/>
  </r>
  <r>
    <x v="9"/>
    <x v="61"/>
    <s v="Ingrid Roseane Magno Viana"/>
    <s v="Feminino"/>
    <x v="9"/>
    <x v="7"/>
    <s v="31602185 - Estimulação Elétrica Transcutânea (Tens) - Removido 13/04/2026 (R$ 40,00)"/>
    <s v="Fisioterapia"/>
    <n v="1712608397"/>
    <s v="Finalizado (6/10)"/>
    <n v="35.200000000000003"/>
    <n v="4.8"/>
    <n v="40"/>
    <s v="Sessão a Faturar"/>
    <n v="954440006904010"/>
    <n v="58326"/>
    <s v="Unidade Vieralves (ANEXO)"/>
    <n v="1712608397"/>
    <m/>
  </r>
  <r>
    <x v="9"/>
    <x v="40"/>
    <s v="Jorge Angelo Fernandes Siqueira"/>
    <s v="Masculino"/>
    <x v="10"/>
    <x v="7"/>
    <s v="50000160 - Fisioterapia Ortopédica (R$ 15,00)"/>
    <s v="Fisioterapia"/>
    <n v="22999117"/>
    <s v="Finalizado (2/10)"/>
    <n v="13.2"/>
    <n v="1.8"/>
    <n v="15"/>
    <s v="Sessão a Faturar"/>
    <s v="00010064268113001"/>
    <n v="59699"/>
    <s v="Unidade Vieralves (ANEXO)"/>
    <n v="22999117"/>
    <m/>
  </r>
  <r>
    <x v="9"/>
    <x v="40"/>
    <s v="Adrielle Pereira de Sá"/>
    <s v="Feminino"/>
    <x v="8"/>
    <x v="7"/>
    <s v="50000144 - Consulta de Fisioterapia (R$ 51,42)"/>
    <s v="Fisioterapia"/>
    <n v="1718049351"/>
    <s v="Finalizado (1/1)"/>
    <n v="46.277999999999999"/>
    <n v="5.1420000000000003"/>
    <n v="51.42"/>
    <s v="Sessão Faturada"/>
    <n v="954600034754010"/>
    <n v="59757"/>
    <s v="Unidade Vieralves (ANEXO)"/>
    <n v="1718049351"/>
    <m/>
  </r>
  <r>
    <x v="9"/>
    <x v="45"/>
    <s v="Adrielle Pereira de Sá"/>
    <s v="Feminino"/>
    <x v="8"/>
    <x v="7"/>
    <s v="20103492 - Patologia Em Dois Ou Mais Membros (R$ 14,83), 20103506 - Patologia Em Um Segmento Na Coluna (R$ 12,22)"/>
    <s v="Fisioterapia"/>
    <n v="1718050452"/>
    <s v="Finalizado (1/10)"/>
    <n v="23.803999999999998"/>
    <n v="3.246"/>
    <n v="27.05"/>
    <s v="Sessão a Faturar"/>
    <n v="954600034754010"/>
    <n v="59757"/>
    <s v="Unidade Vieralves (ANEXO)"/>
    <n v="1718050452"/>
    <m/>
  </r>
  <r>
    <x v="9"/>
    <x v="35"/>
    <s v="Sheila Pereira Das Neves"/>
    <m/>
    <x v="6"/>
    <x v="7"/>
    <s v="20103484 - Patologia Em Um Membro (R$ 14,16)"/>
    <s v="Fisioterapia"/>
    <n v="172882"/>
    <s v="Finalizado (3/10)"/>
    <n v="12.460800000000001"/>
    <n v="1.6992"/>
    <n v="14.16"/>
    <s v="Sessão a Faturar"/>
    <s v="55788888492677530016"/>
    <n v="59748"/>
    <s v="Unidade Vieralves (ANEXO)"/>
    <n v="172882"/>
    <m/>
  </r>
  <r>
    <x v="9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7/10)"/>
    <n v="30.8"/>
    <n v="4.2"/>
    <n v="35"/>
    <s v="Sessão Faturada"/>
    <s v="0901012964370052"/>
    <n v="59661"/>
    <s v="Unidade Vieralves (ANEXO)"/>
    <n v="9410589"/>
    <m/>
  </r>
  <r>
    <x v="9"/>
    <x v="42"/>
    <s v="Sheila Pereira Das Neves"/>
    <m/>
    <x v="6"/>
    <x v="7"/>
    <s v="31602185 - Estimulação Elétrica Transcutanea (Tens) (R$ 40,00)"/>
    <s v="Fisioterapia"/>
    <n v="172883"/>
    <s v="Finalizado (3/10)"/>
    <n v="35.200000000000003"/>
    <n v="4.8"/>
    <n v="40"/>
    <s v="Sessão a Faturar"/>
    <s v="55788888492677530016"/>
    <n v="59748"/>
    <s v="Unidade Vieralves (ANEXO)"/>
    <n v="172883"/>
    <m/>
  </r>
  <r>
    <x v="9"/>
    <x v="38"/>
    <s v="Rosana Silva dos Santos"/>
    <s v="Feminino"/>
    <x v="1"/>
    <x v="7"/>
    <s v="50000160 - Fisioterapia Ortopédica (R$ 20,00), 98980327 - Taxa de Eletroterapia (Tens) (R$ 15,00)"/>
    <s v="Fisioterapia"/>
    <n v="9523265"/>
    <s v="Finalizado (4/10)"/>
    <n v="30.8"/>
    <n v="4.2"/>
    <n v="35"/>
    <s v="Sessão Faturada"/>
    <n v="1101006073830400"/>
    <n v="58800"/>
    <s v="Unidade Vieralves (ANEXO)"/>
    <n v="9523265"/>
    <m/>
  </r>
  <r>
    <x v="9"/>
    <x v="39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6/10)"/>
    <n v="30.8"/>
    <n v="4.2"/>
    <n v="35"/>
    <s v="Sessão Faturada"/>
    <n v="901013262310200"/>
    <n v="52486"/>
    <s v="Unidade Vieralves (ANEXO)"/>
    <n v="9287218"/>
    <s v="Guia assinada! 07/04"/>
  </r>
  <r>
    <x v="9"/>
    <x v="39"/>
    <s v="Ediane da Silveira Vieira"/>
    <s v="Feminino"/>
    <x v="2"/>
    <x v="7"/>
    <s v="20103484 - Fisioterapia - Patologia Em Um Membro (R$ 12,22)"/>
    <s v="Fisioterapia"/>
    <n v="1707881370"/>
    <s v="Finalizado (9/10)"/>
    <n v="10.7536"/>
    <n v="1.4663999999999999"/>
    <n v="12.22"/>
    <s v="Sessão Faturada"/>
    <n v="775262001287000"/>
    <n v="17985"/>
    <s v="Unidade Vieralves (ANEXO)"/>
    <n v="1707881370"/>
    <m/>
  </r>
  <r>
    <x v="9"/>
    <x v="39"/>
    <s v="Larissa Castro Barbosa"/>
    <s v="Feminino"/>
    <x v="1"/>
    <x v="7"/>
    <s v="50000160 - Fisioterapia Ortopédica (R$ 20,00), 98980327 - Taxa de Eletroterapia (Tens) (R$ 15,00)"/>
    <s v="Fisioterapia"/>
    <n v="9391083"/>
    <s v="Finalizado (9/10)"/>
    <n v="30.8"/>
    <n v="4.2"/>
    <n v="35"/>
    <s v="Sessão Faturada"/>
    <s v="0901010162540294"/>
    <n v="53890"/>
    <s v="Unidade Vieralves (ANEXO)"/>
    <n v="9391083"/>
    <m/>
  </r>
  <r>
    <x v="9"/>
    <x v="43"/>
    <s v="Irleda de Carvalho Leal Nobre Leao"/>
    <s v="Feminino"/>
    <x v="1"/>
    <x v="7"/>
    <s v="50000160 - Fisioterapia Ortopédica (R$ 20,00), 98980327 - Taxa de Eletroterapia (Tens) (R$ 15,00)"/>
    <s v="Fisioterapia"/>
    <n v="9032635"/>
    <s v="Finalizado (10/10)"/>
    <n v="30.8"/>
    <n v="4.2"/>
    <n v="35"/>
    <s v="Sessão Faturada"/>
    <s v="0903006735450160"/>
    <n v="58787"/>
    <s v="Unidade Vieralves (ANEXO)"/>
    <n v="9032635"/>
    <m/>
  </r>
  <r>
    <x v="9"/>
    <x v="43"/>
    <s v="Eudima Fonseca Rocha Briglia da Cunha"/>
    <s v="Feminino"/>
    <x v="12"/>
    <x v="7"/>
    <s v="20103484 - Patologia Em Um Membro (R$ 12,22)"/>
    <s v="Fisioterapia"/>
    <n v="173058"/>
    <s v="Finalizado (2/10)"/>
    <n v="10.7536"/>
    <n v="1.4663999999999999"/>
    <n v="12.22"/>
    <s v="Sessão a Faturar"/>
    <s v="000743661911200901"/>
    <n v="40339"/>
    <s v="Unidade Vieralves (ANEXO)"/>
    <n v="173058"/>
    <m/>
  </r>
  <r>
    <x v="25"/>
    <x v="41"/>
    <s v="Nikolas Ygor do Nascimento Pereira"/>
    <s v="Masculino"/>
    <x v="16"/>
    <x v="7"/>
    <s v="50000160 - Fisioterapia Ortopedica (R$ 25,00)"/>
    <s v="Fisioterapia"/>
    <n v="171235"/>
    <s v="Finalizado (9/10)"/>
    <n v="22"/>
    <n v="3"/>
    <n v="25"/>
    <s v="Sessão a Faturar"/>
    <n v="30003889"/>
    <n v="56597"/>
    <s v="Unidade Vieralves (ANEXO)"/>
    <n v="171235"/>
    <m/>
  </r>
  <r>
    <x v="25"/>
    <x v="41"/>
    <s v="Rodrigo Barros Carvalho"/>
    <s v="Masculino"/>
    <x v="6"/>
    <x v="7"/>
    <s v="20103484 - Patologia Em Um Membro (R$ 14,16)"/>
    <s v="Fisioterapia"/>
    <n v="169146"/>
    <s v="Não compareceu (4/4)"/>
    <n v="14.16"/>
    <n v="0"/>
    <n v="14.16"/>
    <s v="Sessão a Faturar"/>
    <s v="54588888470206320029"/>
    <n v="42015"/>
    <s v="Unidade Vieralves (ANEXO)"/>
    <n v="169146"/>
    <m/>
  </r>
  <r>
    <x v="25"/>
    <x v="41"/>
    <s v="Alice Viana Franklin"/>
    <s v="Feminino"/>
    <x v="2"/>
    <x v="7"/>
    <s v="20103514 - Fisioterapia - Patologia Em Diferentes Segmentos da Coluna (R$ 14,83)"/>
    <s v="Fisioterapia"/>
    <n v="1712540198"/>
    <s v="Finalizado (10/10)"/>
    <n v="13.0504"/>
    <n v="1.7796000000000001"/>
    <n v="14.83"/>
    <s v="Sessão Faturada"/>
    <n v="812980300922010"/>
    <n v="59437"/>
    <s v="Unidade Vieralves (ANEXO)"/>
    <n v="1712540198"/>
    <m/>
  </r>
  <r>
    <x v="25"/>
    <x v="65"/>
    <s v="Alice Viana Franklin"/>
    <s v="Feminino"/>
    <x v="4"/>
    <x v="7"/>
    <s v="31602185 - Estimulação Elétrica Transcutânea - Removido 13/04/2026 (R$ 40,00)"/>
    <s v="Fisioterapia"/>
    <n v="1713833721"/>
    <s v="Finalizado (9/10)"/>
    <n v="35.200000000000003"/>
    <n v="4.8"/>
    <n v="40"/>
    <s v="Sessão Faturada"/>
    <n v="812980300922010"/>
    <n v="59437"/>
    <s v="Unidade Vieralves (ANEXO)"/>
    <n v="1713833721"/>
    <m/>
  </r>
  <r>
    <x v="25"/>
    <x v="65"/>
    <s v="Rodrigo Barros Carvalho"/>
    <s v="Masculino"/>
    <x v="6"/>
    <x v="7"/>
    <s v="31602185 - Estimulação Elétrica Transcutanea (Tens) (R$ 40,00)"/>
    <s v="Fisioterapia"/>
    <n v="170879"/>
    <s v="Não compareceu (4/4)"/>
    <n v="40"/>
    <n v="0"/>
    <n v="40"/>
    <s v="Sessão a Faturar"/>
    <s v="54588888470206320029"/>
    <n v="42015"/>
    <s v="Unidade Vieralves (ANEXO)"/>
    <n v="170879"/>
    <m/>
  </r>
  <r>
    <x v="25"/>
    <x v="36"/>
    <s v="Bruno Barbosa dos Santos"/>
    <s v="Masculino"/>
    <x v="9"/>
    <x v="7"/>
    <s v="31602185 - Estimulação Elétrica Transcutânea (Tens) - Removido 13/04/2026 (R$ 40,00)"/>
    <s v="Fisioterapia"/>
    <n v="1710720618"/>
    <s v="Finalizado (5/10)"/>
    <n v="35.200000000000003"/>
    <n v="4.8"/>
    <n v="40"/>
    <s v="Sessão a Faturar"/>
    <n v="954600007650010"/>
    <n v="59241"/>
    <s v="Unidade Vieralves (ANEXO)"/>
    <n v="1710720618"/>
    <m/>
  </r>
  <r>
    <x v="25"/>
    <x v="36"/>
    <s v="Erlom André de Matos"/>
    <s v="Masculino"/>
    <x v="2"/>
    <x v="7"/>
    <s v="20103492 - Fisioterapia - Patologia Em Dois Ou Mais Membros (R$ 14,83)"/>
    <s v="Fisioterapia"/>
    <n v="1715458929"/>
    <s v="Finalizado (6/10)"/>
    <n v="13.0504"/>
    <n v="1.7796000000000001"/>
    <n v="14.83"/>
    <s v="Sessão a Faturar"/>
    <n v="893331302089010"/>
    <n v="59095"/>
    <s v="Unidade Vieralves (ANEXO)"/>
    <n v="1715458929"/>
    <m/>
  </r>
  <r>
    <x v="25"/>
    <x v="61"/>
    <s v="Bruno Barbosa dos Santos"/>
    <s v="Masculino"/>
    <x v="8"/>
    <x v="7"/>
    <s v="20103662 - Pos Operatorio Em Um Membro (R$ 14,99)"/>
    <s v="Fisioterapia"/>
    <n v="1709475907"/>
    <s v="Finalizado (6/10)"/>
    <n v="13.1912"/>
    <n v="1.7988"/>
    <n v="14.99"/>
    <s v="Sessão a Faturar"/>
    <n v="954600007650010"/>
    <n v="59241"/>
    <s v="Unidade Vieralves (ANEXO)"/>
    <n v="1709475907"/>
    <m/>
  </r>
  <r>
    <x v="25"/>
    <x v="61"/>
    <s v="Erlom André de Matos"/>
    <s v="Masculino"/>
    <x v="4"/>
    <x v="7"/>
    <s v="31602185 - Estimulação Elétrica Transcutânea - Removido 13/04/2026 (R$ 40,00)"/>
    <s v="Fisioterapia"/>
    <n v="1716043798"/>
    <s v="Finalizado (5/7)"/>
    <n v="35.200000000000003"/>
    <n v="4.8"/>
    <n v="40"/>
    <s v="Sessão a Faturar"/>
    <n v="893331302089010"/>
    <n v="59095"/>
    <s v="Unidade Vieralves (ANEXO)"/>
    <n v="1716043798"/>
    <m/>
  </r>
  <r>
    <x v="25"/>
    <x v="40"/>
    <s v="Edmundo dos Santos Freitas"/>
    <s v="Masculino"/>
    <x v="10"/>
    <x v="7"/>
    <s v="50000160 - Fisioterapia Ortopédica (R$ 15,00)"/>
    <s v="Fisioterapia"/>
    <n v="21123843"/>
    <s v="Finalizado (9/10)"/>
    <n v="13.2"/>
    <n v="1.8"/>
    <n v="15"/>
    <s v="Sessão Faturada"/>
    <s v="00010064289222002"/>
    <n v="59546"/>
    <s v="Unidade Vieralves (ANEXO)"/>
    <n v="21123843"/>
    <m/>
  </r>
  <r>
    <x v="25"/>
    <x v="40"/>
    <s v="Debora Câmara Rosolino"/>
    <s v="Feminino"/>
    <x v="5"/>
    <x v="7"/>
    <s v="50000144 - Avaliação de Fisioterapia (R$ 37,63)"/>
    <s v="Fisioterapia"/>
    <n v="173113"/>
    <s v="Finalizado (1/1)"/>
    <n v="33.866999999999997"/>
    <n v="3.7629999999999999"/>
    <n v="37.630000000000003"/>
    <s v="Sessão Faturada"/>
    <s v="0100845223001299"/>
    <n v="47068"/>
    <s v="Unidade Vieralves (ANEXO)"/>
    <n v="173113"/>
    <m/>
  </r>
  <r>
    <x v="25"/>
    <x v="45"/>
    <s v="Debora Câmara Rosolino"/>
    <s v="Feminino"/>
    <x v="5"/>
    <x v="7"/>
    <s v="98860011 - Fisioterapia Complexidade 1 (R$ 55,26)"/>
    <s v="Fisioterapia"/>
    <n v="79705620"/>
    <s v="Finalizado (1/10)"/>
    <n v="48.628799999999998"/>
    <n v="6.6311999999999998"/>
    <n v="55.26"/>
    <s v="Sessão a Faturar"/>
    <s v="0100845223001299"/>
    <n v="47068"/>
    <s v="Unidade Vieralves (ANEXO)"/>
    <n v="79705620"/>
    <m/>
  </r>
  <r>
    <x v="25"/>
    <x v="35"/>
    <s v="Luciana Nascimento da Silva"/>
    <s v="Feminino"/>
    <x v="7"/>
    <x v="7"/>
    <s v="Vieiralves - 1 - Fisioterapia Ortopedica - Pacote (R$ 40,00)"/>
    <s v="Fisioterapia"/>
    <m/>
    <s v="Finalizado (10/10)"/>
    <n v="31.2"/>
    <n v="8.8000000000000007"/>
    <n v="40"/>
    <s v="No Prazo"/>
    <s v="00"/>
    <n v="31909"/>
    <s v="Unidade Vieralves (ANEXO)"/>
    <m/>
    <m/>
  </r>
  <r>
    <x v="25"/>
    <x v="35"/>
    <s v="Mithell Lobo Souto Maior"/>
    <s v="Feminino"/>
    <x v="1"/>
    <x v="7"/>
    <s v="50000160 - Fisioterapia Ortopédica (R$ 20,00), 98980327 - Taxa de Eletroterapia (Tens) (R$ 15,00)"/>
    <s v="Fisioterapia"/>
    <n v="9453891"/>
    <s v="Finalizado (2/10)"/>
    <n v="30.8"/>
    <n v="4.2"/>
    <n v="35"/>
    <s v="Sessão a Faturar"/>
    <s v="0501007039500102"/>
    <n v="59626"/>
    <s v="Unidade Vieralves (ANEXO)"/>
    <n v="9453891"/>
    <m/>
  </r>
  <r>
    <x v="25"/>
    <x v="35"/>
    <s v="Rosana Silva dos Santos"/>
    <s v="Feminino"/>
    <x v="1"/>
    <x v="7"/>
    <s v="50000160 - Fisioterapia Ortopédica (R$ 20,00), 98980327 - Taxa de Eletroterapia (Tens) (R$ 15,00)"/>
    <s v="Fisioterapia"/>
    <n v="9523265"/>
    <s v="Finalizado (5/10)"/>
    <n v="30.8"/>
    <n v="4.2"/>
    <n v="35"/>
    <s v="Sessão Faturada"/>
    <n v="1101006073830400"/>
    <n v="58800"/>
    <s v="Unidade Vieralves (ANEXO)"/>
    <n v="9523265"/>
    <m/>
  </r>
  <r>
    <x v="25"/>
    <x v="38"/>
    <s v="Simone Ferreira Marinho da Silva"/>
    <m/>
    <x v="2"/>
    <x v="7"/>
    <s v="20103670 - Fisioterapia - Pos Operatorio Em Dois Ou Mais Membros (R$ 19,30)"/>
    <s v="Fisioterapia"/>
    <n v="1717579879"/>
    <s v="Finalizado (2/2)"/>
    <n v="16.984000000000002"/>
    <n v="2.3159999999999998"/>
    <n v="19.3"/>
    <s v="Sessão a Faturar"/>
    <n v="775426001635010"/>
    <n v="59543"/>
    <s v="Unidade Vieralves (ANEXO)"/>
    <n v="1717579879"/>
    <m/>
  </r>
  <r>
    <x v="25"/>
    <x v="38"/>
    <s v="Josicleide Nunes Santos"/>
    <s v="Feminino"/>
    <x v="4"/>
    <x v="7"/>
    <s v="31602185 - Estimulação Elétrica Transcutânea - Removido 13/04/2026 (R$ 40,00)"/>
    <s v="Fisioterapia"/>
    <n v="1710488005"/>
    <s v="Finalizado (5/5)"/>
    <n v="35.200000000000003"/>
    <n v="4.8"/>
    <n v="40"/>
    <s v="Sessão a Faturar"/>
    <n v="774981001279000"/>
    <n v="20120"/>
    <s v="Unidade Vieralves (ANEXO)"/>
    <n v="1710488005"/>
    <m/>
  </r>
  <r>
    <x v="25"/>
    <x v="38"/>
    <s v="Adrielle Pereira de Sá"/>
    <s v="Feminino"/>
    <x v="8"/>
    <x v="7"/>
    <s v="20103492 - Patologia Em Dois Ou Mais Membros (R$ 14,83), 20103506 - Patologia Em Um Segmento Na Coluna (R$ 12,22)"/>
    <s v="Fisioterapia"/>
    <n v="1718050452"/>
    <s v="Finalizado (2/10)"/>
    <n v="23.803999999999998"/>
    <n v="3.246"/>
    <n v="27.05"/>
    <s v="Sessão a Faturar"/>
    <n v="954600034754010"/>
    <n v="59757"/>
    <s v="Unidade Vieralves (ANEXO)"/>
    <n v="1718050452"/>
    <m/>
  </r>
  <r>
    <x v="25"/>
    <x v="62"/>
    <s v="Adrielle Pereira de Sá"/>
    <s v="Feminino"/>
    <x v="9"/>
    <x v="7"/>
    <s v="31602185 - Estimulação Elétrica Transcutânea (Tens) - Removido 13/04/2026 (R$ 40,00)"/>
    <s v="Fisioterapia"/>
    <n v="1718479482"/>
    <s v="Finalizado (1/10)"/>
    <n v="35.200000000000003"/>
    <n v="4.8"/>
    <n v="40"/>
    <s v="Sessão a Faturar"/>
    <n v="954600034754010"/>
    <n v="59757"/>
    <s v="Unidade Vieralves (ANEXO)"/>
    <n v="1718479482"/>
    <m/>
  </r>
  <r>
    <x v="25"/>
    <x v="62"/>
    <s v="Josicleide Nunes Santos"/>
    <s v="Feminino"/>
    <x v="2"/>
    <x v="7"/>
    <s v="20103492 - Fisioterapia - Patologia Em Dois Ou Mais Membros (R$ 14,83)"/>
    <s v="Fisioterapia"/>
    <n v="1718450483"/>
    <s v="Finalizado (1/1)"/>
    <n v="13.0504"/>
    <n v="1.7796000000000001"/>
    <n v="14.83"/>
    <s v="Sessão a Faturar"/>
    <n v="774981001279000"/>
    <n v="20120"/>
    <s v="Unidade Vieralves (ANEXO)"/>
    <n v="1718450483"/>
    <m/>
  </r>
  <r>
    <x v="25"/>
    <x v="62"/>
    <s v="Simone Ferreira Marinho da Silva"/>
    <m/>
    <x v="4"/>
    <x v="7"/>
    <s v="31602185 - Estimulação Elétrica Transcutânea - Removido 13/04/2026 (R$ 40,00)"/>
    <s v="Fisioterapia"/>
    <n v="1710796060"/>
    <s v="Finalizado (5/5)"/>
    <n v="35.200000000000003"/>
    <n v="4.8"/>
    <n v="40"/>
    <s v="Sessão Faturada"/>
    <n v="775426001635010"/>
    <n v="59543"/>
    <s v="Unidade Vieralves (ANEXO)"/>
    <n v="1710796060"/>
    <m/>
  </r>
  <r>
    <x v="25"/>
    <x v="37"/>
    <s v="Sharlene Silva da Rocha"/>
    <s v="Feminino"/>
    <x v="5"/>
    <x v="7"/>
    <s v="50000144 - Avaliação de Fisioterapia (R$ 37,63)"/>
    <s v="Fisioterapia"/>
    <n v="173112"/>
    <s v="Finalizado (1/1)"/>
    <n v="33.866999999999997"/>
    <n v="3.7629999999999999"/>
    <n v="37.630000000000003"/>
    <s v="Sessão Faturada"/>
    <s v="0100752444000300"/>
    <n v="59801"/>
    <s v="Unidade Vieralves (ANEXO)"/>
    <n v="173112"/>
    <m/>
  </r>
  <r>
    <x v="25"/>
    <x v="37"/>
    <s v="Sofia Santana Teixeira"/>
    <s v="Feminino"/>
    <x v="4"/>
    <x v="7"/>
    <s v="31602185 - Estimulação Elétrica Transcutânea - Removido 13/04/2026 (R$ 40,00)"/>
    <s v="Fisioterapia"/>
    <n v="1718494518"/>
    <s v="Finalizado (1/10)"/>
    <n v="35.200000000000003"/>
    <n v="4.8"/>
    <n v="40"/>
    <s v="Sessão a Faturar"/>
    <n v="771015056251030"/>
    <n v="58786"/>
    <s v="Unidade Vieralves (ANEXO)"/>
    <n v="1718494518"/>
    <m/>
  </r>
  <r>
    <x v="25"/>
    <x v="37"/>
    <s v="Sharlene Silva da Rocha"/>
    <s v="Feminino"/>
    <x v="5"/>
    <x v="7"/>
    <s v="98860011 - Fisioterapia Complexidade 1 (R$ 55,26)"/>
    <s v="Fisioterapia"/>
    <n v="79711890"/>
    <s v="Finalizado (1/10)"/>
    <n v="48.628799999999998"/>
    <n v="6.6311999999999998"/>
    <n v="55.26"/>
    <s v="Sessão a Faturar"/>
    <s v="0100752444000300"/>
    <n v="59801"/>
    <s v="Unidade Vieralves (ANEXO)"/>
    <n v="79711890"/>
    <m/>
  </r>
  <r>
    <x v="25"/>
    <x v="37"/>
    <s v="Genilza Evaristo Machado Moreira"/>
    <s v="Feminino"/>
    <x v="1"/>
    <x v="7"/>
    <s v="50000160 - Fisioterapia Ortopédica (R$ 20,00), 98980327 - Taxa de Eletroterapia (Tens) (R$ 15,00)"/>
    <s v="Fisioterapia"/>
    <n v="9318751"/>
    <s v="Finalizado (8/10)"/>
    <n v="30.8"/>
    <n v="4.2"/>
    <n v="35"/>
    <s v="Sessão Faturada"/>
    <n v="1901012887600100"/>
    <n v="59599"/>
    <s v="Unidade Vieralves (ANEXO)"/>
    <n v="9318751"/>
    <m/>
  </r>
  <r>
    <x v="25"/>
    <x v="37"/>
    <s v="Sofia Santana Teixeira"/>
    <s v="Feminino"/>
    <x v="2"/>
    <x v="7"/>
    <s v="20103484 - Fisioterapia - Patologia Em Um Membro (R$ 12,22)"/>
    <s v="Fisioterapia"/>
    <n v="1716688651"/>
    <s v="Finalizado (2/10)"/>
    <n v="10.7536"/>
    <n v="1.4663999999999999"/>
    <n v="12.22"/>
    <s v="Sessão a Faturar"/>
    <n v="771015056251030"/>
    <n v="58786"/>
    <s v="Unidade Vieralves (ANEXO)"/>
    <n v="1716688651"/>
    <m/>
  </r>
  <r>
    <x v="25"/>
    <x v="39"/>
    <s v="Eudima Fonseca Rocha Briglia da Cunha"/>
    <s v="Feminino"/>
    <x v="12"/>
    <x v="7"/>
    <s v="20103484 - Patologia Em Um Membro (R$ 12,22)"/>
    <s v="Fisioterapia"/>
    <n v="173058"/>
    <s v="Finalizado (3/10)"/>
    <n v="10.7536"/>
    <n v="1.4663999999999999"/>
    <n v="12.22"/>
    <s v="Sessão a Faturar"/>
    <s v="000743661911200901"/>
    <n v="40339"/>
    <s v="Unidade Vieralves (ANEXO)"/>
    <n v="173058"/>
    <m/>
  </r>
  <r>
    <x v="25"/>
    <x v="39"/>
    <s v="Eudima Fonseca Rocha Briglia da Cunha"/>
    <s v="Feminino"/>
    <x v="12"/>
    <x v="7"/>
    <s v="31602185 - Estimulação Elétrica Transcutânea (Tens) (R$ 49,00)"/>
    <s v="Fisioterapia"/>
    <n v="10357602"/>
    <s v="Finalizado (1/10)"/>
    <n v="43.12"/>
    <n v="5.88"/>
    <n v="49"/>
    <s v="Sessão a Faturar"/>
    <s v="000743661911200901"/>
    <n v="40339"/>
    <s v="Unidade Vieralves (ANEXO)"/>
    <n v="10357602"/>
    <m/>
  </r>
  <r>
    <x v="25"/>
    <x v="43"/>
    <s v="Larissa Castro Barbosa"/>
    <s v="Feminino"/>
    <x v="1"/>
    <x v="7"/>
    <s v="50000160 - Fisioterapia Ortopédica (R$ 20,00), 98980327 - Taxa de Eletroterapia (Tens) (R$ 15,00)"/>
    <s v="Fisioterapia"/>
    <n v="9391083"/>
    <s v="Finalizado (10/10)"/>
    <n v="30.8"/>
    <n v="4.2"/>
    <n v="35"/>
    <s v="Sessão Faturada"/>
    <s v="0901010162540294"/>
    <n v="53890"/>
    <s v="Unidade Vieralves (ANEXO)"/>
    <n v="9391083"/>
    <m/>
  </r>
  <r>
    <x v="10"/>
    <x v="44"/>
    <s v="Raimundo Nonato de Souza Costa"/>
    <s v="Masculino"/>
    <x v="9"/>
    <x v="7"/>
    <s v="31602185 - Estimulação Elétrica Transcutânea (Tens) - Removido 13/04/2026 (R$ 40,00)"/>
    <s v="Fisioterapia"/>
    <n v="1713853667"/>
    <s v="Finalizado (4/10)"/>
    <n v="35.200000000000003"/>
    <n v="4.8"/>
    <n v="40"/>
    <s v="Sessão a Faturar"/>
    <n v="954580018660010"/>
    <n v="56580"/>
    <s v="Unidade Vieralves (ANEXO)"/>
    <n v="1713853667"/>
    <m/>
  </r>
  <r>
    <x v="10"/>
    <x v="44"/>
    <s v="Samantha Nathalia da Silva Souza"/>
    <s v="Feminino"/>
    <x v="2"/>
    <x v="7"/>
    <s v="20103492 - Fisioterapia - Patologia Em Dois Ou Mais Membros (R$ 14,83)"/>
    <s v="Fisioterapia"/>
    <n v="1713328752"/>
    <s v="Finalizado (10/10)"/>
    <n v="13.0504"/>
    <n v="1.7796000000000001"/>
    <n v="14.83"/>
    <s v="Sessão Faturada"/>
    <n v="774104016012010"/>
    <n v="59657"/>
    <s v="Unidade Vieralves (ANEXO)"/>
    <n v="1713328752"/>
    <m/>
  </r>
  <r>
    <x v="10"/>
    <x v="44"/>
    <s v="Geiele Ferreira de Souza"/>
    <s v="Feminino"/>
    <x v="2"/>
    <x v="7"/>
    <s v="50000144 - Avaliação de Fisioterapia (R$ 51,42)"/>
    <s v="Fisioterapia"/>
    <n v="1718790742"/>
    <s v="Finalizado (1/1)"/>
    <n v="46.277999999999999"/>
    <n v="5.1420000000000003"/>
    <n v="51.42"/>
    <s v="Sessão Faturada"/>
    <n v="960019323670000"/>
    <n v="14908"/>
    <s v="Unidade Vieralves (ANEXO)"/>
    <n v="1718790742"/>
    <m/>
  </r>
  <r>
    <x v="10"/>
    <x v="44"/>
    <s v="Jorge Angelo Fernandes Siqueira"/>
    <s v="Masculino"/>
    <x v="10"/>
    <x v="7"/>
    <s v="50000160 - Fisioterapia Ortopédica (R$ 15,00)"/>
    <s v="Fisioterapia"/>
    <n v="22999117"/>
    <s v="Finalizado (3/10)"/>
    <n v="13.2"/>
    <n v="1.8"/>
    <n v="15"/>
    <s v="Sessão a Faturar"/>
    <s v="00010064268113001"/>
    <n v="59699"/>
    <s v="Unidade Vieralves (ANEXO)"/>
    <n v="22999117"/>
    <m/>
  </r>
  <r>
    <x v="10"/>
    <x v="60"/>
    <s v="Samantha Nathalia da Silva Souza"/>
    <s v="Feminino"/>
    <x v="4"/>
    <x v="7"/>
    <s v="31602185 - Estimulação Elétrica Transcutânea - Removido 13/04/2026 (R$ 40,00)"/>
    <s v="Fisioterapia"/>
    <n v="1713821405"/>
    <s v="Finalizado (9/10)"/>
    <n v="35.200000000000003"/>
    <n v="4.8"/>
    <n v="40"/>
    <s v="Sessão Faturada"/>
    <n v="774104016012010"/>
    <n v="59657"/>
    <s v="Unidade Vieralves (ANEXO)"/>
    <n v="1713821405"/>
    <m/>
  </r>
  <r>
    <x v="10"/>
    <x v="60"/>
    <s v="Raimundo Nonato de Souza Costa"/>
    <s v="Masculino"/>
    <x v="8"/>
    <x v="7"/>
    <s v="20103484 - Patologia Em Um Membro (R$ 12,22), 20103506 - Patologia Em Um Segmento Na Coluna (R$ 12,22)"/>
    <s v="Fisioterapia"/>
    <n v="1712577029"/>
    <s v="Finalizado (5/10)"/>
    <n v="21.507200000000001"/>
    <n v="2.9327999999999999"/>
    <n v="24.44"/>
    <s v="Sessão a Faturar"/>
    <n v="954580018660010"/>
    <n v="56580"/>
    <s v="Unidade Vieralves (ANEXO)"/>
    <n v="1712577029"/>
    <m/>
  </r>
  <r>
    <x v="10"/>
    <x v="60"/>
    <s v="Geiele Ferreira de Souza"/>
    <s v="Feminino"/>
    <x v="2"/>
    <x v="7"/>
    <s v="20103492 - Fisioterapia - Patologia Em Dois Ou Mais Membros (R$ 14,83)"/>
    <s v="Fisioterapia"/>
    <n v="1718791891"/>
    <s v="Finalizado (1/10)"/>
    <n v="13.0504"/>
    <n v="1.7796000000000001"/>
    <n v="14.83"/>
    <s v="Sessão a Faturar"/>
    <n v="960019323670000"/>
    <n v="14908"/>
    <s v="Unidade Vieralves (ANEXO)"/>
    <n v="1718791891"/>
    <m/>
  </r>
  <r>
    <x v="10"/>
    <x v="41"/>
    <s v="Jackeline de Oliveira"/>
    <s v="Feminino"/>
    <x v="2"/>
    <x v="7"/>
    <s v="20103514 - Fisioterapia - Patologia Em Diferentes Segmentos da Coluna (R$ 14,83)"/>
    <s v="Fisioterapia"/>
    <n v="1716511665"/>
    <s v="Finalizado (3/3)"/>
    <n v="13.0504"/>
    <n v="1.7796000000000001"/>
    <n v="14.83"/>
    <s v="Sessão a Faturar"/>
    <n v="895789500019010"/>
    <n v="3659"/>
    <s v="Unidade Vieralves (ANEXO)"/>
    <n v="1716511665"/>
    <m/>
  </r>
  <r>
    <x v="10"/>
    <x v="41"/>
    <s v="Nubya Aires Arruda"/>
    <s v="Feminino"/>
    <x v="6"/>
    <x v="7"/>
    <s v="20103514 - Patologia Em Dois Ou Mais Segmentos da Coluna (R$ 32,82)"/>
    <s v="Fisioterapia"/>
    <n v="172074"/>
    <s v="Finalizado (6/7)"/>
    <n v="28.881599999999999"/>
    <n v="3.9384000000000001"/>
    <n v="32.82"/>
    <s v="Sessão a Faturar"/>
    <s v="54588888021578490119"/>
    <n v="59651"/>
    <s v="Unidade Vieralves (ANEXO)"/>
    <n v="172074"/>
    <m/>
  </r>
  <r>
    <x v="10"/>
    <x v="41"/>
    <s v="José Pedro Silva Oliveira"/>
    <s v="Masculino"/>
    <x v="6"/>
    <x v="7"/>
    <s v="20103484 - Patologia Em Um Membro (R$ 14,16)"/>
    <s v="Fisioterapia"/>
    <n v="171768"/>
    <s v="Finalizado (7/10)"/>
    <n v="12.460800000000001"/>
    <n v="1.6992"/>
    <n v="14.16"/>
    <s v="Sessão a Faturar"/>
    <s v="58200789997018600019"/>
    <n v="59609"/>
    <s v="Unidade Vieralves (ANEXO)"/>
    <n v="171768"/>
    <m/>
  </r>
  <r>
    <x v="10"/>
    <x v="65"/>
    <s v="José Pedro Silva Oliveira"/>
    <s v="Masculino"/>
    <x v="6"/>
    <x v="7"/>
    <s v="31602185 - Estimulação Elétrica Transcutanea (Tens) (R$ 40,00)"/>
    <s v="Fisioterapia"/>
    <n v="171769"/>
    <s v="Finalizado (7/9)"/>
    <n v="35.200000000000003"/>
    <n v="4.8"/>
    <n v="40"/>
    <s v="Sessão a Faturar"/>
    <s v="58200789997018600019"/>
    <n v="59609"/>
    <s v="Unidade Vieralves (ANEXO)"/>
    <n v="171769"/>
    <m/>
  </r>
  <r>
    <x v="10"/>
    <x v="65"/>
    <s v="Jackeline de Oliveira"/>
    <s v="Feminino"/>
    <x v="4"/>
    <x v="7"/>
    <s v="31602185 - Estimulação Elétrica Transcutânea - Removido 13/04/2026 (R$ 40,00)"/>
    <s v="Fisioterapia"/>
    <n v="1716919126"/>
    <s v="Finalizado (2/2)"/>
    <n v="35.200000000000003"/>
    <n v="4.8"/>
    <n v="40"/>
    <s v="Sessão a Faturar"/>
    <n v="895789500019010"/>
    <n v="3659"/>
    <s v="Unidade Vieralves (ANEXO)"/>
    <n v="1716919126"/>
    <m/>
  </r>
  <r>
    <x v="10"/>
    <x v="65"/>
    <s v="Nubya Aires Arruda"/>
    <s v="Feminino"/>
    <x v="6"/>
    <x v="7"/>
    <s v="31602185 - Estimulação Elétrica Transcutanea (Tens) (R$ 40,00)"/>
    <s v="Fisioterapia"/>
    <n v="172075"/>
    <s v="Finalizado (6/6)"/>
    <n v="35.200000000000003"/>
    <n v="4.8"/>
    <n v="40"/>
    <s v="Sessão a Faturar"/>
    <s v="54588888021578490119"/>
    <n v="59651"/>
    <s v="Unidade Vieralves (ANEXO)"/>
    <n v="172075"/>
    <m/>
  </r>
  <r>
    <x v="10"/>
    <x v="36"/>
    <s v="Ingrid Roseane Magno Viana"/>
    <s v="Feminino"/>
    <x v="8"/>
    <x v="7"/>
    <s v="20103484 - Patologia Em Um Membro (R$ 12,22)"/>
    <s v="Fisioterapia"/>
    <n v="1713915713"/>
    <s v="Finalizado (6/10)"/>
    <n v="10.7536"/>
    <n v="1.4663999999999999"/>
    <n v="12.22"/>
    <s v="Sessão a Faturar"/>
    <n v="954440006904010"/>
    <n v="58326"/>
    <s v="Unidade Vieralves (ANEXO)"/>
    <n v="1713915713"/>
    <m/>
  </r>
  <r>
    <x v="10"/>
    <x v="36"/>
    <s v="Irlane da Silva Magno Viana"/>
    <s v="Feminino"/>
    <x v="10"/>
    <x v="7"/>
    <s v="50000160 - Fisioterapia Ortopédica (R$ 15,00)"/>
    <s v="Fisioterapia"/>
    <n v="16128462"/>
    <s v="Finalizado (7/10)"/>
    <n v="13.2"/>
    <n v="1.8"/>
    <n v="15"/>
    <s v="Sessão a Faturar"/>
    <s v="00010064272636003"/>
    <n v="59401"/>
    <s v="Unidade Vieralves (ANEXO)"/>
    <n v="16128462"/>
    <m/>
  </r>
  <r>
    <x v="10"/>
    <x v="61"/>
    <s v="Ingrid Roseane Magno Viana"/>
    <s v="Feminino"/>
    <x v="9"/>
    <x v="7"/>
    <s v="31602185 - Estimulação Elétrica Transcutânea (Tens) - Removido 13/04/2026 (R$ 40,00)"/>
    <s v="Fisioterapia"/>
    <n v="1712608397"/>
    <s v="Finalizado (7/10)"/>
    <n v="35.200000000000003"/>
    <n v="4.8"/>
    <n v="40"/>
    <s v="Sessão a Faturar"/>
    <n v="954440006904010"/>
    <n v="58326"/>
    <s v="Unidade Vieralves (ANEXO)"/>
    <n v="1712608397"/>
    <m/>
  </r>
  <r>
    <x v="10"/>
    <x v="40"/>
    <s v="Stela Fortes da Silva"/>
    <s v="Feminino"/>
    <x v="1"/>
    <x v="7"/>
    <s v="50000160 - Fisioterapia Ortopédica (R$ 20,00), 98980327 - Taxa de Eletroterapia (Tens) (R$ 15,00)"/>
    <s v="Fisioterapia"/>
    <n v="9109099"/>
    <s v="Finalizado (7/9)"/>
    <n v="30.8"/>
    <n v="4.2"/>
    <n v="35"/>
    <s v="Sessão Faturada"/>
    <n v="1901013467060100"/>
    <n v="21179"/>
    <s v="Unidade Vieralves (ANEXO)"/>
    <n v="9109099"/>
    <m/>
  </r>
  <r>
    <x v="10"/>
    <x v="40"/>
    <s v="Rute Pacheco Nobre"/>
    <s v="Feminino"/>
    <x v="2"/>
    <x v="7"/>
    <s v="20103492 - Fisioterapia - Patologia Em Dois Ou Mais Membros (R$ 14,83)"/>
    <s v="Fisioterapia"/>
    <n v="1713315815"/>
    <s v="Finalizado (6/8)"/>
    <n v="13.0504"/>
    <n v="1.7796000000000001"/>
    <n v="14.83"/>
    <s v="Sessão a Faturar"/>
    <n v="772956001996030"/>
    <n v="59637"/>
    <s v="Unidade Vieralves (ANEXO)"/>
    <n v="1713315815"/>
    <m/>
  </r>
  <r>
    <x v="10"/>
    <x v="40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10"/>
    <x v="40"/>
    <s v="Luis Sergio da Silva"/>
    <s v="Feminino"/>
    <x v="17"/>
    <x v="7"/>
    <s v="50000160 - Fisioterapia Ortopedica (R$ 45,00)"/>
    <s v="Fisioterapia"/>
    <n v="3988611"/>
    <s v="Finalizado (10/10)"/>
    <n v="39.6"/>
    <n v="5.4"/>
    <n v="45"/>
    <s v="Sessão Faturada"/>
    <s v="000915777694800"/>
    <n v="59395"/>
    <s v="Unidade Vieralves (ANEXO)"/>
    <n v="3988611"/>
    <m/>
  </r>
  <r>
    <x v="10"/>
    <x v="40"/>
    <s v="Edmar Alves Pinto"/>
    <s v="Masculino"/>
    <x v="1"/>
    <x v="7"/>
    <s v="50000160 - Fisioterapia Ortopédica (R$ 20,00), 98980327 - Taxa de Eletroterapia (Tens) (R$ 15,00)"/>
    <s v="Fisioterapia"/>
    <n v="9337130"/>
    <s v="Finalizado (8/10)"/>
    <n v="30.8"/>
    <n v="4.2"/>
    <n v="35"/>
    <s v="Sessão Faturada"/>
    <s v="0901013011720000"/>
    <n v="2469"/>
    <s v="Unidade Vieralves (ANEXO)"/>
    <n v="9337130"/>
    <m/>
  </r>
  <r>
    <x v="10"/>
    <x v="45"/>
    <s v="Rute Pacheco Nobre"/>
    <s v="Feminino"/>
    <x v="4"/>
    <x v="7"/>
    <s v="31602185 - Estimulação Elétrica Transcutânea - Removido 13/04/2026 (R$ 40,00)"/>
    <s v="Fisioterapia"/>
    <n v="1713926093"/>
    <s v="Finalizado (5/7)"/>
    <n v="35.200000000000003"/>
    <n v="4.8"/>
    <n v="40"/>
    <s v="Sessão a Faturar"/>
    <n v="772956001996030"/>
    <n v="59637"/>
    <s v="Unidade Vieralves (ANEXO)"/>
    <n v="1713926093"/>
    <m/>
  </r>
  <r>
    <x v="10"/>
    <x v="35"/>
    <s v="Juliana do Valle Lima Matos"/>
    <s v="Feminino"/>
    <x v="1"/>
    <x v="7"/>
    <s v="50000160 - Fisioterapia Ortopédica (R$ 20,00), 98980327 - Taxa de Eletroterapia (Tens) (R$ 15,00)"/>
    <s v="Fisioterapia"/>
    <n v="9410589"/>
    <s v="Finalizado (8/10)"/>
    <n v="30.8"/>
    <n v="4.2"/>
    <n v="35"/>
    <s v="Sessão Faturada"/>
    <s v="0901012964370052"/>
    <n v="59661"/>
    <s v="Unidade Vieralves (ANEXO)"/>
    <n v="9410589"/>
    <m/>
  </r>
  <r>
    <x v="10"/>
    <x v="35"/>
    <s v="Lúcia Ignéz Abreu de Sá"/>
    <s v="Feminino"/>
    <x v="1"/>
    <x v="7"/>
    <s v="50000160 - Fisioterapia Ortopédica (R$ 20,00), 98980327 - Taxa de Eletroterapia (Tens) (R$ 15,00)"/>
    <s v="Fisioterapia"/>
    <n v="8929197"/>
    <s v="Finalizado (9/10)"/>
    <n v="30.8"/>
    <n v="4.2"/>
    <n v="35"/>
    <s v="Sessão Faturada"/>
    <s v="0701010861030123"/>
    <n v="58903"/>
    <s v="Unidade Vieralves (ANEXO)"/>
    <n v="8929197"/>
    <m/>
  </r>
  <r>
    <x v="10"/>
    <x v="35"/>
    <s v="Sheila Pereira Das Neves"/>
    <m/>
    <x v="6"/>
    <x v="7"/>
    <s v="20103484 - Patologia Em Um Membro (R$ 14,16)"/>
    <s v="Fisioterapia"/>
    <n v="172882"/>
    <s v="Finalizado (4/10)"/>
    <n v="12.460800000000001"/>
    <n v="1.6992"/>
    <n v="14.16"/>
    <s v="Sessão a Faturar"/>
    <s v="55788888492677530016"/>
    <n v="59748"/>
    <s v="Unidade Vieralves (ANEXO)"/>
    <n v="172882"/>
    <m/>
  </r>
  <r>
    <x v="10"/>
    <x v="42"/>
    <s v="Sheila Pereira Das Neves"/>
    <m/>
    <x v="6"/>
    <x v="7"/>
    <s v="31602185 - Estimulação Elétrica Transcutanea (Tens) (R$ 40,00)"/>
    <s v="Fisioterapia"/>
    <n v="172883"/>
    <s v="Finalizado (4/10)"/>
    <n v="35.200000000000003"/>
    <n v="4.8"/>
    <n v="40"/>
    <s v="Sessão a Faturar"/>
    <s v="55788888492677530016"/>
    <n v="59748"/>
    <s v="Unidade Vieralves (ANEXO)"/>
    <n v="172883"/>
    <m/>
  </r>
  <r>
    <x v="10"/>
    <x v="38"/>
    <s v="Nikolas Ygor do Nascimento Pereira"/>
    <s v="Masculino"/>
    <x v="16"/>
    <x v="7"/>
    <s v="50000160 - Fisioterapia Ortopedica (R$ 25,00)"/>
    <s v="Fisioterapia"/>
    <n v="171235"/>
    <s v="Finalizado (10/10)"/>
    <n v="22"/>
    <n v="3"/>
    <n v="25"/>
    <s v="Sessão a Faturar"/>
    <n v="30003889"/>
    <n v="56597"/>
    <s v="Unidade Vieralves (ANEXO)"/>
    <n v="171235"/>
    <m/>
  </r>
  <r>
    <x v="10"/>
    <x v="38"/>
    <s v="Eudilene Ferreira Ramos"/>
    <s v="Feminino"/>
    <x v="8"/>
    <x v="7"/>
    <s v="50000144 - Consulta de Fisioterapia (R$ 51,42)"/>
    <s v="Fisioterapia"/>
    <n v="1718910503"/>
    <s v="Finalizado (1/1)"/>
    <n v="46.277999999999999"/>
    <n v="5.1420000000000003"/>
    <n v="51.42"/>
    <s v="Sessão Faturada"/>
    <n v="954600001163020"/>
    <n v="53542"/>
    <s v="Unidade Vieralves (ANEXO)"/>
    <n v="1718910503"/>
    <m/>
  </r>
  <r>
    <x v="10"/>
    <x v="62"/>
    <s v="Eudilene Ferreira Ramos"/>
    <s v="Feminino"/>
    <x v="8"/>
    <x v="7"/>
    <s v="20103484 - Patologia Em Um Membro (R$ 12,22)"/>
    <s v="Fisioterapia"/>
    <n v="1718911601"/>
    <s v="Finalizado (1/10)"/>
    <n v="10.7536"/>
    <n v="1.4663999999999999"/>
    <n v="12.22"/>
    <s v="Sessão a Faturar"/>
    <n v="954600001163020"/>
    <n v="53542"/>
    <s v="Unidade Vieralves (ANEXO)"/>
    <n v="1718911601"/>
    <m/>
  </r>
  <r>
    <x v="10"/>
    <x v="39"/>
    <s v="Irleda de Carvalho Leal Nobre Leao"/>
    <s v="Feminino"/>
    <x v="1"/>
    <x v="7"/>
    <s v="50000160 - Fisioterapia Ortopédica (R$ 20,00), 98980327 - Taxa de Eletroterapia (Tens) (R$ 15,00)"/>
    <s v="Fisioterapia"/>
    <n v="9592887"/>
    <s v="Finalizado (1/10)"/>
    <n v="30.8"/>
    <n v="4.2"/>
    <n v="35"/>
    <s v="Sessão a Faturar"/>
    <s v="0903006735450160"/>
    <n v="58787"/>
    <s v="Unidade Vieralves (ANEXO)"/>
    <n v="9592887"/>
    <m/>
  </r>
  <r>
    <x v="10"/>
    <x v="39"/>
    <s v="Eudima Fonseca Rocha Briglia da Cunha"/>
    <s v="Feminino"/>
    <x v="12"/>
    <x v="7"/>
    <s v="31602185 - Estimulação Elétrica Transcutânea (Tens) (R$ 49,00)"/>
    <s v="Fisioterapia"/>
    <n v="10357602"/>
    <s v="Finalizado (2/10)"/>
    <n v="43.12"/>
    <n v="5.88"/>
    <n v="49"/>
    <s v="Sessão a Faturar"/>
    <s v="000743661911200901"/>
    <n v="40339"/>
    <s v="Unidade Vieralves (ANEXO)"/>
    <n v="10357602"/>
    <m/>
  </r>
  <r>
    <x v="10"/>
    <x v="39"/>
    <s v="Ediane da Silveira Vieira"/>
    <s v="Feminino"/>
    <x v="2"/>
    <x v="7"/>
    <s v="20103484 - Fisioterapia - Patologia Em Um Membro (R$ 12,22)"/>
    <s v="Fisioterapia"/>
    <n v="1707881370"/>
    <s v="Finalizado (10/10)"/>
    <n v="10.7536"/>
    <n v="1.4663999999999999"/>
    <n v="12.22"/>
    <s v="Sessão Faturada"/>
    <n v="775262001287000"/>
    <n v="17985"/>
    <s v="Unidade Vieralves (ANEXO)"/>
    <n v="1707881370"/>
    <m/>
  </r>
  <r>
    <x v="10"/>
    <x v="39"/>
    <s v="Eudima Fonseca Rocha Briglia da Cunha"/>
    <s v="Feminino"/>
    <x v="12"/>
    <x v="7"/>
    <s v="20103484 - Patologia Em Um Membro (R$ 12,22)"/>
    <s v="Fisioterapia"/>
    <n v="173058"/>
    <s v="Finalizado (4/10)"/>
    <n v="10.7536"/>
    <n v="1.4663999999999999"/>
    <n v="12.22"/>
    <s v="Sessão a Faturar"/>
    <s v="000743661911200901"/>
    <n v="40339"/>
    <s v="Unidade Vieralves (ANEXO)"/>
    <n v="173058"/>
    <m/>
  </r>
  <r>
    <x v="10"/>
    <x v="43"/>
    <s v="Suellem Cristian Oliveira Epifânio"/>
    <s v="Feminino"/>
    <x v="2"/>
    <x v="7"/>
    <s v="20103492 - Fisioterapia - Patologia Em Dois Ou Mais Membros (R$ 14,83)"/>
    <s v="Fisioterapia"/>
    <n v="1716216566"/>
    <s v="Finalizado (2/10)"/>
    <n v="13.0504"/>
    <n v="1.7796000000000001"/>
    <n v="14.83"/>
    <s v="Sessão a Faturar"/>
    <n v="775340003336000"/>
    <n v="55780"/>
    <s v="Unidade Vieralves (ANEXO)"/>
    <n v="1716216566"/>
    <m/>
  </r>
  <r>
    <x v="10"/>
    <x v="43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9/10)"/>
    <n v="30.8"/>
    <n v="4.2"/>
    <n v="35"/>
    <s v="Sessão Faturada"/>
    <s v="0503007111620017"/>
    <n v="58376"/>
    <s v="Unidade Vieralves (ANEXO)"/>
    <n v="8769159"/>
    <s v="Guia assinada! 20/02"/>
  </r>
  <r>
    <x v="10"/>
    <x v="66"/>
    <s v="Suellem Cristian Oliveira Epifânio"/>
    <s v="Feminino"/>
    <x v="4"/>
    <x v="7"/>
    <s v="31602185 - Estimulação Elétrica Transcutânea - Removido 13/04/2026 (R$ 40,00)"/>
    <s v="Fisioterapia"/>
    <n v="1712891206"/>
    <s v="Finalizado (3/5)"/>
    <n v="35.200000000000003"/>
    <n v="4.8"/>
    <n v="40"/>
    <s v="Sessão a Faturar"/>
    <n v="775340003336000"/>
    <n v="55780"/>
    <s v="Unidade Vieralves (ANEXO)"/>
    <n v="1712891206"/>
    <m/>
  </r>
  <r>
    <x v="11"/>
    <x v="44"/>
    <s v="Rita de Cassia Saraiva Nunomura"/>
    <s v="Feminino"/>
    <x v="1"/>
    <x v="7"/>
    <s v="50000160 - Fisioterapia Ortopédica (R$ 20,00), 98980327 - Taxa de Eletroterapia (Tens) (R$ 15,00)"/>
    <s v="Fisioterapia"/>
    <n v="9287218"/>
    <s v="Finalizado (7/10)"/>
    <n v="30.8"/>
    <n v="4.2"/>
    <n v="35"/>
    <s v="Sessão Faturada"/>
    <n v="901013262310200"/>
    <n v="52486"/>
    <s v="Unidade Vieralves (ANEXO)"/>
    <n v="9287218"/>
    <s v="Guia assinada! 07/04"/>
  </r>
  <r>
    <x v="11"/>
    <x v="44"/>
    <s v="Jorge Angelo Fernandes Siqueira"/>
    <s v="Masculino"/>
    <x v="10"/>
    <x v="7"/>
    <s v="50000160 - Fisioterapia Ortopédica (R$ 15,00)"/>
    <s v="Fisioterapia"/>
    <n v="22999117"/>
    <s v="Finalizado (4/10)"/>
    <n v="13.2"/>
    <n v="1.8"/>
    <n v="15"/>
    <s v="Sessão a Faturar"/>
    <s v="00010064268113001"/>
    <n v="59699"/>
    <s v="Unidade Vieralves (ANEXO)"/>
    <n v="22999117"/>
    <m/>
  </r>
  <r>
    <x v="11"/>
    <x v="44"/>
    <s v="Vanessa Amaral da Rocha"/>
    <s v="Feminino"/>
    <x v="6"/>
    <x v="7"/>
    <s v="20103492 - Patologia Em Dois Ou Mais Membros (R$ 30,26)"/>
    <s v="Fisioterapia"/>
    <n v="171966"/>
    <s v="Finalizado (5/10)"/>
    <n v="26.628799999999998"/>
    <n v="3.6312000000000002"/>
    <n v="30.26"/>
    <s v="Sessão a Faturar"/>
    <s v="55788888491043450029"/>
    <n v="13689"/>
    <s v="Unidade Vieralves (ANEXO)"/>
    <n v="171966"/>
    <m/>
  </r>
  <r>
    <x v="11"/>
    <x v="60"/>
    <s v="Vanessa Amaral da Rocha"/>
    <s v="Feminino"/>
    <x v="6"/>
    <x v="7"/>
    <s v="31602185 - Estimulação Elétrica Transcutanea (Tens) (R$ 40,00)"/>
    <s v="Fisioterapia"/>
    <n v="171967"/>
    <s v="Finalizado (5/10)"/>
    <n v="35.200000000000003"/>
    <n v="4.8"/>
    <n v="40"/>
    <s v="Sessão a Faturar"/>
    <s v="55788888491043450029"/>
    <n v="13689"/>
    <s v="Unidade Vieralves (ANEXO)"/>
    <n v="171967"/>
    <m/>
  </r>
  <r>
    <x v="11"/>
    <x v="41"/>
    <s v="Nikolas Ygor do Nascimento Pereira"/>
    <s v="Masculino"/>
    <x v="16"/>
    <x v="7"/>
    <s v="50000160 - Fisioterapia Ortopedica (R$ 25,00)"/>
    <s v="Fisioterapia"/>
    <n v="173442"/>
    <s v="Finalizado (1/10)"/>
    <n v="22"/>
    <n v="3"/>
    <n v="25"/>
    <s v="Sessão a Faturar"/>
    <n v="30003889"/>
    <n v="56597"/>
    <s v="Unidade Vieralves (ANEXO)"/>
    <n v="173442"/>
    <m/>
  </r>
  <r>
    <x v="11"/>
    <x v="41"/>
    <s v="Geiele Ferreira de Souza"/>
    <s v="Feminino"/>
    <x v="2"/>
    <x v="7"/>
    <s v="20103492 - Fisioterapia - Patologia Em Dois Ou Mais Membros (R$ 14,83)"/>
    <s v="Fisioterapia"/>
    <n v="1718791891"/>
    <s v="Finalizado (2/10)"/>
    <n v="13.0504"/>
    <n v="1.7796000000000001"/>
    <n v="14.83"/>
    <s v="Sessão a Faturar"/>
    <n v="960019323670000"/>
    <n v="14908"/>
    <s v="Unidade Vieralves (ANEXO)"/>
    <n v="1718791891"/>
    <m/>
  </r>
  <r>
    <x v="11"/>
    <x v="65"/>
    <s v="Geiele Ferreira de Souza"/>
    <s v="Feminino"/>
    <x v="4"/>
    <x v="7"/>
    <s v="31602185 - Estimulação Elétrica Transcutânea - Removido 13/04/2026 (R$ 40,00)"/>
    <s v="Fisioterapia"/>
    <n v="1719317695"/>
    <s v="Finalizado (1/5)"/>
    <n v="35.200000000000003"/>
    <n v="4.8"/>
    <n v="40"/>
    <s v="Sessão a Faturar"/>
    <n v="960019323670000"/>
    <n v="14908"/>
    <s v="Unidade Vieralves (ANEXO)"/>
    <n v="1719317695"/>
    <m/>
  </r>
  <r>
    <x v="11"/>
    <x v="36"/>
    <s v="Suellem Cristian Oliveira Epifânio"/>
    <s v="Feminino"/>
    <x v="2"/>
    <x v="7"/>
    <s v="20103492 - Fisioterapia - Patologia Em Dois Ou Mais Membros (R$ 14,83)"/>
    <s v="Fisioterapia"/>
    <n v="1716216566"/>
    <s v="Finalizado (3/10)"/>
    <n v="13.0504"/>
    <n v="1.7796000000000001"/>
    <n v="14.83"/>
    <s v="Sessão a Faturar"/>
    <n v="775340003336000"/>
    <n v="55780"/>
    <s v="Unidade Vieralves (ANEXO)"/>
    <n v="1716216566"/>
    <m/>
  </r>
  <r>
    <x v="11"/>
    <x v="36"/>
    <s v="Samira Farias Costa de Souza"/>
    <s v="Feminino"/>
    <x v="4"/>
    <x v="7"/>
    <s v="31602185 - Estimulação Elétrica Transcutânea - Removido 13/04/2026 (R$ 40,00)"/>
    <s v="Fisioterapia"/>
    <n v="1711321666"/>
    <s v="Finalizado (9/9)"/>
    <n v="35.200000000000003"/>
    <n v="4.8"/>
    <n v="40"/>
    <s v="Sessão a Faturar"/>
    <n v="774981013048010"/>
    <n v="59585"/>
    <s v="Unidade Vieralves (ANEXO)"/>
    <n v="1711321666"/>
    <m/>
  </r>
  <r>
    <x v="11"/>
    <x v="36"/>
    <s v="Eloise Miranda dos Santos"/>
    <s v="Feminino"/>
    <x v="4"/>
    <x v="7"/>
    <s v="31602185 - Estimulação Elétrica Transcutânea - Removido 13/04/2026 (R$ 40,00)"/>
    <s v="Fisioterapia"/>
    <n v="1713239249"/>
    <s v="Finalizado (4/10)"/>
    <n v="35.200000000000003"/>
    <n v="4.8"/>
    <n v="40"/>
    <s v="Sessão a Faturar"/>
    <n v="774642019992020"/>
    <n v="56839"/>
    <s v="Unidade Vieralves (ANEXO)"/>
    <n v="1713239249"/>
    <m/>
  </r>
  <r>
    <x v="11"/>
    <x v="61"/>
    <s v="Eloise Miranda dos Santos"/>
    <s v="Feminino"/>
    <x v="2"/>
    <x v="7"/>
    <s v="20103506 - Fisioterapia - Patologia Em Um Segmento da Coluna (R$ 12,22)"/>
    <s v="Fisioterapia"/>
    <n v="1709465706"/>
    <s v="Finalizado (5/10)"/>
    <n v="10.7536"/>
    <n v="1.4663999999999999"/>
    <n v="12.22"/>
    <s v="Sessão a Faturar"/>
    <n v="774642019992020"/>
    <n v="56839"/>
    <s v="Unidade Vieralves (ANEXO)"/>
    <n v="1709465706"/>
    <m/>
  </r>
  <r>
    <x v="11"/>
    <x v="61"/>
    <s v="Suellem Cristian Oliveira Epifânio"/>
    <s v="Feminino"/>
    <x v="4"/>
    <x v="7"/>
    <s v="31602185 - Estimulação Elétrica Transcutânea - Removido 13/04/2026 (R$ 40,00)"/>
    <s v="Fisioterapia"/>
    <n v="1712891206"/>
    <s v="Finalizado (4/5)"/>
    <n v="35.200000000000003"/>
    <n v="4.8"/>
    <n v="40"/>
    <s v="Sessão a Faturar"/>
    <n v="775340003336000"/>
    <n v="55780"/>
    <s v="Unidade Vieralves (ANEXO)"/>
    <n v="1712891206"/>
    <m/>
  </r>
  <r>
    <x v="11"/>
    <x v="40"/>
    <s v="Rute Pacheco Nobre"/>
    <s v="Feminino"/>
    <x v="4"/>
    <x v="7"/>
    <s v="31602185 - Estimulação Elétrica Transcutânea - Removido 13/04/2026 (R$ 40,00)"/>
    <s v="Fisioterapia"/>
    <n v="1713926093"/>
    <s v="Finalizado (6/7)"/>
    <n v="35.200000000000003"/>
    <n v="4.8"/>
    <n v="40"/>
    <s v="Sessão a Faturar"/>
    <n v="772956001996030"/>
    <n v="59637"/>
    <s v="Unidade Vieralves (ANEXO)"/>
    <n v="1713926093"/>
    <m/>
  </r>
  <r>
    <x v="11"/>
    <x v="40"/>
    <s v="Rute Pacheco Nobre"/>
    <s v="Feminino"/>
    <x v="7"/>
    <x v="7"/>
    <s v="Part Convenio - 9 - Fisioterapia Ortopédica- Sessão (R$ 60,00)"/>
    <s v="Fisioterapia"/>
    <m/>
    <s v="Finalizado (1/1)"/>
    <n v="46.8"/>
    <n v="13.2"/>
    <n v="60"/>
    <s v="Pago"/>
    <n v="772956001996030"/>
    <n v="59637"/>
    <s v="Unidade Vieralves (ANEXO)"/>
    <m/>
    <m/>
  </r>
  <r>
    <x v="11"/>
    <x v="40"/>
    <s v="Juliana do Valle Lima Matos"/>
    <s v="Feminino"/>
    <x v="1"/>
    <x v="7"/>
    <s v="50000160 - Fisioterapia Ortopédica (R$ 20,00), 98980327 - Taxa de Eletroterapia (Tens) (R$ 15,00)"/>
    <s v="Fisioterapia"/>
    <n v="9410589"/>
    <s v="Finalizado (9/10)"/>
    <n v="30.8"/>
    <n v="4.2"/>
    <n v="35"/>
    <s v="Sessão Faturada"/>
    <s v="0901012964370052"/>
    <n v="59661"/>
    <s v="Unidade Vieralves (ANEXO)"/>
    <n v="9410589"/>
    <m/>
  </r>
  <r>
    <x v="11"/>
    <x v="45"/>
    <s v="Rute Pacheco Nobre"/>
    <s v="Feminino"/>
    <x v="2"/>
    <x v="7"/>
    <s v="20103492 - Fisioterapia - Patologia Em Dois Ou Mais Membros (R$ 14,83)"/>
    <s v="Fisioterapia"/>
    <n v="1713315815"/>
    <s v="Finalizado (7/8)"/>
    <n v="13.0504"/>
    <n v="1.7796000000000001"/>
    <n v="14.83"/>
    <s v="Sessão a Faturar"/>
    <n v="772956001996030"/>
    <n v="59637"/>
    <s v="Unidade Vieralves (ANEXO)"/>
    <n v="1713315815"/>
    <m/>
  </r>
  <r>
    <x v="11"/>
    <x v="35"/>
    <s v="Adrielle Pereira de Sá"/>
    <s v="Feminino"/>
    <x v="9"/>
    <x v="7"/>
    <s v="31602185 - Estimulação Elétrica Transcutânea (Tens) - Removido 13/04/2026 (R$ 40,00)"/>
    <s v="Fisioterapia"/>
    <n v="1718479482"/>
    <s v="Finalizado (2/10)"/>
    <n v="35.200000000000003"/>
    <n v="4.8"/>
    <n v="40"/>
    <s v="Sessão a Faturar"/>
    <n v="954600034754010"/>
    <n v="59757"/>
    <s v="Unidade Vieralves (ANEXO)"/>
    <n v="1718479482"/>
    <m/>
  </r>
  <r>
    <x v="11"/>
    <x v="35"/>
    <s v="Renata Rufino de Oliveira"/>
    <s v="Feminino"/>
    <x v="22"/>
    <x v="7"/>
    <s v="00000000 - Fisioterapia (R$ 0,00)"/>
    <s v="Fisioterapia"/>
    <n v="172758"/>
    <s v="Finalizado (1/10)"/>
    <n v="0"/>
    <n v="0"/>
    <n v="0"/>
    <s v="Sessão a Faturar"/>
    <n v="0"/>
    <n v="56620"/>
    <s v="Unidade Vieralves (ANEXO)"/>
    <n v="172758"/>
    <m/>
  </r>
  <r>
    <x v="11"/>
    <x v="42"/>
    <s v="Adrielle Pereira de Sá"/>
    <s v="Feminino"/>
    <x v="8"/>
    <x v="7"/>
    <s v="20103492 - Patologia Em Dois Ou Mais Membros (R$ 14,83), 20103506 - Patologia Em Um Segmento Na Coluna (R$ 12,22)"/>
    <s v="Fisioterapia"/>
    <n v="1718050452"/>
    <s v="Finalizado (3/10)"/>
    <n v="23.803999999999998"/>
    <n v="3.246"/>
    <n v="27.05"/>
    <s v="Sessão a Faturar"/>
    <n v="954600034754010"/>
    <n v="59757"/>
    <s v="Unidade Vieralves (ANEXO)"/>
    <n v="1718050452"/>
    <m/>
  </r>
  <r>
    <x v="11"/>
    <x v="38"/>
    <s v="Antonio de Castro dos Santos"/>
    <s v="Masculino"/>
    <x v="8"/>
    <x v="7"/>
    <s v="50000144 - Consulta de Fisioterapia (R$ 51,42)"/>
    <s v="Fisioterapia"/>
    <n v="1719458268"/>
    <s v="Finalizado (1/1)"/>
    <n v="46.277999999999999"/>
    <n v="5.1420000000000003"/>
    <n v="51.42"/>
    <s v="Sessão Faturada"/>
    <n v="954600038407000"/>
    <n v="59698"/>
    <s v="Unidade Vieralves (ANEXO)"/>
    <n v="1719458268"/>
    <m/>
  </r>
  <r>
    <x v="11"/>
    <x v="62"/>
    <s v="Antonio de Castro dos Santos"/>
    <s v="Masculino"/>
    <x v="8"/>
    <x v="7"/>
    <s v="20103506 - Patologia Em Um Segmento Na Coluna (R$ 12,22)"/>
    <s v="Fisioterapia"/>
    <n v="1719459451"/>
    <s v="Finalizado (1/10)"/>
    <n v="10.7536"/>
    <n v="1.4663999999999999"/>
    <n v="12.22"/>
    <s v="Sessão a Faturar"/>
    <n v="954600038407000"/>
    <n v="59698"/>
    <s v="Unidade Vieralves (ANEXO)"/>
    <n v="1719459451"/>
    <m/>
  </r>
  <r>
    <x v="11"/>
    <x v="37"/>
    <s v="Fernando da Rocha Fernandes"/>
    <s v="Masculino"/>
    <x v="2"/>
    <x v="7"/>
    <s v="50000144 - Avaliação de Fisioterapia (R$ 51,42)"/>
    <s v="Fisioterapia"/>
    <n v="1719474100"/>
    <s v="Finalizado (1/1)"/>
    <n v="46.277999999999999"/>
    <n v="5.1420000000000003"/>
    <n v="51.42"/>
    <s v="Sessão Faturada"/>
    <n v="890828200019000"/>
    <n v="12909"/>
    <s v="Unidade Vieralves (ANEXO)"/>
    <n v="1719474100"/>
    <m/>
  </r>
  <r>
    <x v="11"/>
    <x v="63"/>
    <s v="Fernando da Rocha Fernandes"/>
    <s v="Masculino"/>
    <x v="2"/>
    <x v="7"/>
    <s v="20103506 - Fisioterapia - Patologia Em Um Segmento da Coluna (R$ 12,22)"/>
    <s v="Fisioterapia"/>
    <n v="1719474683"/>
    <s v="Finalizado (1/10)"/>
    <n v="10.7536"/>
    <n v="1.4663999999999999"/>
    <n v="12.22"/>
    <s v="Sessão a Faturar"/>
    <n v="890828200019000"/>
    <n v="12909"/>
    <s v="Unidade Vieralves (ANEXO)"/>
    <n v="1719474683"/>
    <m/>
  </r>
  <r>
    <x v="11"/>
    <x v="39"/>
    <s v="Maria do Carmo Das Neves Novo"/>
    <s v="Feminino"/>
    <x v="1"/>
    <x v="7"/>
    <s v="50000160 - Fisioterapia Ortopédica (R$ 20,00), 98980327 - Taxa de Eletroterapia (Tens) (R$ 15,00)"/>
    <s v="Fisioterapia"/>
    <n v="8769159"/>
    <s v="Finalizado (10/10)"/>
    <n v="30.8"/>
    <n v="4.2"/>
    <n v="35"/>
    <s v="Sessão Faturada"/>
    <s v="0503007111620017"/>
    <n v="58376"/>
    <s v="Unidade Vieralves (ANEXO)"/>
    <n v="8769159"/>
    <s v="Guia assinada! 20/02"/>
  </r>
  <r>
    <x v="11"/>
    <x v="43"/>
    <s v="Alison Moura da Gama"/>
    <s v="Masculino"/>
    <x v="6"/>
    <x v="7"/>
    <s v="20103484 - Patologia Em Um Membro (R$ 14,16)"/>
    <s v="Fisioterapia"/>
    <n v="172892"/>
    <s v="Finalizado (2/10)"/>
    <n v="12.460800000000001"/>
    <n v="1.6992"/>
    <n v="14.16"/>
    <s v="Sessão a Faturar"/>
    <s v="54588888460743530017"/>
    <n v="44296"/>
    <s v="Unidade Vieralves (ANEXO)"/>
    <n v="172892"/>
    <m/>
  </r>
  <r>
    <x v="11"/>
    <x v="43"/>
    <s v="Larissa Castro Barbosa"/>
    <s v="Feminino"/>
    <x v="1"/>
    <x v="7"/>
    <s v="50000160 - Fisioterapia Ortopédica (R$ 20,00), 98980327 - Taxa de Eletroterapia (Tens) (R$ 15,00)"/>
    <s v="Fisioterapia"/>
    <n v="9638789"/>
    <s v="Finalizado (1/10)"/>
    <n v="30.8"/>
    <n v="4.2"/>
    <n v="35"/>
    <s v="Sessão a Faturar"/>
    <s v="0901010162540294"/>
    <n v="53890"/>
    <s v="Unidade Vieralves (ANEXO)"/>
    <n v="9638789"/>
    <m/>
  </r>
  <r>
    <x v="11"/>
    <x v="43"/>
    <s v="Alison Moura da Gama"/>
    <s v="Masculino"/>
    <x v="6"/>
    <x v="7"/>
    <s v="31602185 - Estimulação Elétrica Transcutanea (Tens) (R$ 40,00)"/>
    <s v="Fisioterapia"/>
    <n v="173030"/>
    <s v="Finalizado (2/2)"/>
    <n v="35.200000000000003"/>
    <n v="4.8"/>
    <n v="40"/>
    <s v="Sessão a Faturar"/>
    <s v="54588888460743530017"/>
    <n v="44296"/>
    <s v="Unidade Vieralves (ANEXO)"/>
    <n v="173030"/>
    <m/>
  </r>
  <r>
    <x v="12"/>
    <x v="44"/>
    <s v="Marcos Andre de Noronha Bezerra"/>
    <s v="Masculino"/>
    <x v="24"/>
    <x v="8"/>
    <s v="14 - Pilates (3X Na Semana) (R$ 44,80)"/>
    <s v="Pilates"/>
    <n v="169004"/>
    <s v="Finalizado (4/10)"/>
    <n v="30.463999999999999"/>
    <n v="14.336"/>
    <n v="44.8"/>
    <s v="Sessão a Faturar"/>
    <n v="42296"/>
    <n v="42296"/>
    <s v="Unidade Vieiralves"/>
    <n v="169004"/>
    <m/>
  </r>
  <r>
    <x v="12"/>
    <x v="44"/>
    <s v="Maria Jacirema Ferreira Gonçalves"/>
    <s v="Feminino"/>
    <x v="1"/>
    <x v="8"/>
    <s v="50000861 - Pilates (R$ 40,00)"/>
    <s v="Pilates"/>
    <n v="8823707"/>
    <s v="Finalizado (6/10)"/>
    <n v="27.2"/>
    <n v="12.8"/>
    <n v="40"/>
    <s v="Sessão Faturada"/>
    <s v="0701012515270061"/>
    <n v="57775"/>
    <s v="Unidade Vieiralves"/>
    <n v="8823707"/>
    <s v="Guia assinada!"/>
  </r>
  <r>
    <x v="12"/>
    <x v="44"/>
    <s v="Sheila Vitor da Silva"/>
    <s v="Feminino"/>
    <x v="1"/>
    <x v="8"/>
    <s v="50000861 - Pilates (R$ 40,00)"/>
    <s v="Pilates"/>
    <n v="8726184"/>
    <s v="Finalizado (6/10)"/>
    <n v="27.2"/>
    <n v="12.8"/>
    <n v="40"/>
    <s v="Sessão Faturada"/>
    <s v="0301012618770011"/>
    <n v="58932"/>
    <s v="Unidade Vieiralves"/>
    <n v="8726184"/>
    <m/>
  </r>
  <r>
    <x v="12"/>
    <x v="48"/>
    <s v="Eloise Miranda dos Santos"/>
    <s v="Feminino"/>
    <x v="23"/>
    <x v="8"/>
    <s v="50000853 - Pilates ( 12X Mensais) (R$ 20,60)"/>
    <s v="Pilates"/>
    <n v="164853"/>
    <s v="Finalizado (12/12)"/>
    <n v="14.007999999999999"/>
    <n v="6.5919999999999996"/>
    <n v="20.6"/>
    <s v="Sessão a Faturar"/>
    <n v="774642019992020"/>
    <n v="56839"/>
    <s v="Unidade Vieiralves"/>
    <n v="164853"/>
    <m/>
  </r>
  <r>
    <x v="12"/>
    <x v="48"/>
    <s v="Francimary da Costa Duarte Otsuka"/>
    <s v="Feminino"/>
    <x v="1"/>
    <x v="8"/>
    <s v="50000861 - Pilates (R$ 40,00)"/>
    <s v="Pilates"/>
    <n v="8017166"/>
    <s v="Finalizado (5/10)"/>
    <n v="27.2"/>
    <n v="12.8"/>
    <n v="40"/>
    <s v="Sessão Faturada"/>
    <n v="2001013467330100"/>
    <n v="42241"/>
    <s v="Unidade Vieiralves"/>
    <n v="8017166"/>
    <s v="Guia assinada!"/>
  </r>
  <r>
    <x v="12"/>
    <x v="38"/>
    <s v="Tereza Maria de Oliveira"/>
    <m/>
    <x v="20"/>
    <x v="8"/>
    <s v="00011003 - Pilates (R$ 28,80)"/>
    <s v="Pilates"/>
    <n v="54785860"/>
    <s v="Finalizado (10/10)"/>
    <n v="19.584"/>
    <n v="9.2159999999999993"/>
    <n v="28.8"/>
    <s v="Sessão Faturada"/>
    <n v="10511000335503"/>
    <n v="58359"/>
    <s v="Unidade Vieiralves"/>
    <n v="54785860"/>
    <m/>
  </r>
  <r>
    <x v="12"/>
    <x v="50"/>
    <s v="Isabelly Ferreira Fernandes"/>
    <m/>
    <x v="7"/>
    <x v="8"/>
    <s v="Pilates 2x semana (R$ 390,00)"/>
    <s v="Pilates"/>
    <n v="167872"/>
    <s v="Finalizado (7/9)"/>
    <n v="33.428571428570997"/>
    <n v="22.285714285714"/>
    <n v="55.714285714286"/>
    <s v="Pago"/>
    <n v="59314"/>
    <n v="59314"/>
    <s v="Unidade Vieiralves"/>
    <n v="167872"/>
    <m/>
  </r>
  <r>
    <x v="12"/>
    <x v="50"/>
    <s v="Irleda de Carvalho Leal Nobre Leao"/>
    <s v="Feminino"/>
    <x v="1"/>
    <x v="8"/>
    <s v="50000861 - Pilates (R$ 40,00)"/>
    <s v="Pilates"/>
    <n v="8124102"/>
    <s v="Finalizado (7/10)"/>
    <n v="27.2"/>
    <n v="12.8"/>
    <n v="40"/>
    <s v="Sessão Faturada"/>
    <s v="0903006735450160"/>
    <n v="58787"/>
    <s v="Unidade Vieiralves"/>
    <n v="8124102"/>
    <s v="Guia assinada!"/>
  </r>
  <r>
    <x v="12"/>
    <x v="51"/>
    <s v="Silvio Andre Dias Amirati"/>
    <s v="Masculino"/>
    <x v="23"/>
    <x v="8"/>
    <s v="50000853 - Pilates ( 12X Mensais) (R$ 20,60)"/>
    <s v="Pilates"/>
    <n v="168779"/>
    <s v="Finalizado (7/12)"/>
    <n v="14.007999999999999"/>
    <n v="6.5919999999999996"/>
    <n v="20.6"/>
    <s v="Sessão a Faturar"/>
    <s v="010988828300"/>
    <n v="15344"/>
    <s v="Unidade Vieiralves"/>
    <n v="168779"/>
    <m/>
  </r>
  <r>
    <x v="12"/>
    <x v="51"/>
    <s v="Lygia de Lima Souza Amirati"/>
    <s v="Feminino"/>
    <x v="23"/>
    <x v="8"/>
    <s v="50000853 - Pilates ( 12X Mensais) (R$ 20,60)"/>
    <s v="Pilates"/>
    <m/>
    <s v="Finalizado (10/12)"/>
    <n v="14.007999999999999"/>
    <n v="6.5919999999999996"/>
    <n v="20.6"/>
    <s v="Sessão a Faturar"/>
    <s v="010988828307"/>
    <n v="43121"/>
    <s v="Unidade Vieiralves"/>
    <m/>
    <m/>
  </r>
  <r>
    <x v="12"/>
    <x v="51"/>
    <s v="Clarisse Souza Gaudino de Lima"/>
    <s v="Feminino"/>
    <x v="23"/>
    <x v="8"/>
    <s v="50000853 - Pilates ( 12X Mensais) (R$ 20,60)"/>
    <s v="Pilates"/>
    <m/>
    <s v="Finalizado (3/12)"/>
    <n v="14.007999999999999"/>
    <n v="6.5919999999999996"/>
    <n v="20.6"/>
    <s v="Sessão a Faturar"/>
    <m/>
    <n v="59415"/>
    <s v="Unidade Vieiralves"/>
    <m/>
    <m/>
  </r>
  <r>
    <x v="21"/>
    <x v="44"/>
    <s v="Wanderleia Salmazo França"/>
    <m/>
    <x v="1"/>
    <x v="8"/>
    <s v="50000861 - Pilates (R$ 40,00)"/>
    <s v="Pilates"/>
    <n v="8697365"/>
    <s v="Finalizado (9/10)"/>
    <n v="27.2"/>
    <n v="12.8"/>
    <n v="40"/>
    <s v="Sessão Faturada"/>
    <n v="1901005732480400"/>
    <n v="59247"/>
    <s v="Unidade Vieiralves"/>
    <n v="8697365"/>
    <m/>
  </r>
  <r>
    <x v="21"/>
    <x v="38"/>
    <s v="Carolina Cassia Batista Santos"/>
    <s v="Feminino"/>
    <x v="1"/>
    <x v="8"/>
    <s v="50000861 - Pilates (R$ 40,00)"/>
    <s v="Pilates"/>
    <n v="8823825"/>
    <s v="Finalizado (2/10)"/>
    <n v="27.2"/>
    <n v="12.8"/>
    <n v="40"/>
    <s v="Sessão Faturada"/>
    <s v="0301011642880052"/>
    <n v="58647"/>
    <s v="Unidade Vieiralves"/>
    <n v="8823825"/>
    <m/>
  </r>
  <r>
    <x v="21"/>
    <x v="38"/>
    <s v="Lygia de Lima Souza Amirati"/>
    <s v="Feminino"/>
    <x v="23"/>
    <x v="8"/>
    <s v="50000853 - Pilates ( 12X Mensais) (R$ 20,60)"/>
    <s v="Pilates"/>
    <m/>
    <s v="Finalizado (12/12)"/>
    <n v="14.007999999999999"/>
    <n v="6.5919999999999996"/>
    <n v="20.6"/>
    <s v="Sessão a Faturar"/>
    <s v="010988828307"/>
    <n v="43121"/>
    <s v="Unidade Vieiralves"/>
    <m/>
    <m/>
  </r>
  <r>
    <x v="17"/>
    <x v="44"/>
    <s v="Marcos Andre de Noronha Bezerra"/>
    <s v="Masculino"/>
    <x v="24"/>
    <x v="8"/>
    <s v="14 - Pilates (3X Na Semana) (R$ 44,80)"/>
    <s v="Pilates"/>
    <n v="169004"/>
    <s v="Finalizado (7/10)"/>
    <n v="30.463999999999999"/>
    <n v="14.336"/>
    <n v="44.8"/>
    <s v="Sessão a Faturar"/>
    <n v="42296"/>
    <n v="42296"/>
    <s v="Unidade Vieiralves"/>
    <n v="169004"/>
    <m/>
  </r>
  <r>
    <x v="17"/>
    <x v="44"/>
    <s v="Maria Jacirema Ferreira Gonçalves"/>
    <s v="Feminino"/>
    <x v="1"/>
    <x v="8"/>
    <s v="50000861 - Pilates (R$ 40,00)"/>
    <s v="Pilates"/>
    <n v="8823707"/>
    <s v="Finalizado (9/10)"/>
    <n v="27.2"/>
    <n v="12.8"/>
    <n v="40"/>
    <s v="Sessão Faturada"/>
    <s v="0701012515270061"/>
    <n v="57775"/>
    <s v="Unidade Vieiralves"/>
    <n v="8823707"/>
    <s v="Guia assinada!"/>
  </r>
  <r>
    <x v="17"/>
    <x v="48"/>
    <s v="Andreza Mendes dos Santos"/>
    <m/>
    <x v="23"/>
    <x v="8"/>
    <s v="50000853 - Pilates ( 12X Mensais) (R$ 20,60)"/>
    <s v="Pilates"/>
    <m/>
    <s v="Finalizado (1/11)"/>
    <n v="14.007999999999999"/>
    <n v="6.5919999999999996"/>
    <n v="20.6"/>
    <s v="Sessão a Faturar"/>
    <m/>
    <n v="59530"/>
    <s v="Unidade Vieiralves"/>
    <m/>
    <m/>
  </r>
  <r>
    <x v="17"/>
    <x v="48"/>
    <s v="Kely Cristiny Oliveira Lima"/>
    <m/>
    <x v="23"/>
    <x v="8"/>
    <s v="50000853 - Pilates ( 12X Mensais) (R$ 20,60)"/>
    <s v="Pilates"/>
    <m/>
    <s v="Finalizado (1/11)"/>
    <n v="14.007999999999999"/>
    <n v="6.5919999999999996"/>
    <n v="20.6"/>
    <s v="Sessão a Faturar"/>
    <m/>
    <n v="59529"/>
    <s v="Unidade Vieiralves"/>
    <m/>
    <m/>
  </r>
  <r>
    <x v="17"/>
    <x v="38"/>
    <s v="Rita de Cassia Balbi Alves"/>
    <s v="Feminino"/>
    <x v="19"/>
    <x v="8"/>
    <s v="90050231 - Pilates (2X Por Semana No Máximo) - 17/03/2026 (R$ 66,18)"/>
    <s v="Pilates"/>
    <n v="5790260"/>
    <s v="Finalizado (3/10)"/>
    <n v="45.002400000000002"/>
    <n v="21.177600000000002"/>
    <n v="66.180000000000007"/>
    <s v="Sessão Faturada"/>
    <s v="0001000034150505"/>
    <n v="37165"/>
    <s v="Unidade Vieiralves"/>
    <n v="5790260"/>
    <m/>
  </r>
  <r>
    <x v="17"/>
    <x v="50"/>
    <s v="Irleda de Carvalho Leal Nobre Leao"/>
    <s v="Feminino"/>
    <x v="1"/>
    <x v="8"/>
    <s v="50000861 - Pilates (R$ 40,00)"/>
    <s v="Pilates"/>
    <n v="8124102"/>
    <s v="Finalizado (9/10)"/>
    <n v="27.2"/>
    <n v="12.8"/>
    <n v="40"/>
    <s v="Sessão Faturada"/>
    <s v="0903006735450160"/>
    <n v="58787"/>
    <s v="Unidade Vieiralves"/>
    <n v="8124102"/>
    <s v="Guia assinada!"/>
  </r>
  <r>
    <x v="17"/>
    <x v="51"/>
    <s v="Silvio Andre Dias Amirati"/>
    <s v="Masculino"/>
    <x v="23"/>
    <x v="8"/>
    <s v="50000853 - Pilates ( 12X Mensais) (R$ 20,60)"/>
    <s v="Pilates"/>
    <n v="168779"/>
    <s v="Finalizado (10/12)"/>
    <n v="14.007999999999999"/>
    <n v="6.5919999999999996"/>
    <n v="20.6"/>
    <s v="Sessão a Faturar"/>
    <s v="010988828300"/>
    <n v="15344"/>
    <s v="Unidade Vieiralves"/>
    <n v="168779"/>
    <m/>
  </r>
  <r>
    <x v="17"/>
    <x v="51"/>
    <s v="Clarisse Souza Gaudino de Lima"/>
    <s v="Feminino"/>
    <x v="23"/>
    <x v="8"/>
    <s v="50000853 - Pilates ( 12X Mensais) (R$ 20,60)"/>
    <s v="Pilates"/>
    <m/>
    <s v="Finalizado (6/12)"/>
    <n v="14.007999999999999"/>
    <n v="6.5919999999999996"/>
    <n v="20.6"/>
    <s v="Sessão a Faturar"/>
    <m/>
    <n v="59415"/>
    <s v="Unidade Vieiralves"/>
    <m/>
    <m/>
  </r>
  <r>
    <x v="17"/>
    <x v="51"/>
    <s v="Lygia de Lima Souza Amirati"/>
    <s v="Feminino"/>
    <x v="23"/>
    <x v="8"/>
    <s v="50000853 - Pilates ( 12X Mensais) (R$ 20,60)"/>
    <s v="Pilates"/>
    <m/>
    <s v="Finalizado (1/12)"/>
    <n v="14.007999999999999"/>
    <n v="6.5919999999999996"/>
    <n v="20.6"/>
    <s v="Sessão a Faturar"/>
    <s v="010988828307"/>
    <n v="43121"/>
    <s v="Unidade Vieiralves"/>
    <m/>
    <m/>
  </r>
  <r>
    <x v="18"/>
    <x v="44"/>
    <s v="Sheila Vitor da Silva"/>
    <s v="Feminino"/>
    <x v="1"/>
    <x v="8"/>
    <s v="50000861 - Pilates (R$ 40,00)"/>
    <s v="Pilates"/>
    <n v="8726184"/>
    <s v="Finalizado (9/10)"/>
    <n v="27.2"/>
    <n v="12.8"/>
    <n v="40"/>
    <s v="Sessão Faturada"/>
    <s v="0301012618770011"/>
    <n v="58932"/>
    <s v="Unidade Vieiralves"/>
    <n v="8726184"/>
    <m/>
  </r>
  <r>
    <x v="18"/>
    <x v="44"/>
    <s v="Luzia Pimentel da Silva"/>
    <s v="Feminino"/>
    <x v="7"/>
    <x v="8"/>
    <s v="Pilates 2x semana (R$ 390,00)"/>
    <s v="Pilates"/>
    <n v="168857"/>
    <s v="Finalizado (4/9)"/>
    <n v="29.25"/>
    <n v="19.5"/>
    <n v="48.75"/>
    <s v="Pago"/>
    <n v="954600000728020"/>
    <n v="54027"/>
    <s v="Unidade Vieiralves"/>
    <n v="168857"/>
    <m/>
  </r>
  <r>
    <x v="18"/>
    <x v="48"/>
    <s v="Wanderleia Salmazo França"/>
    <m/>
    <x v="1"/>
    <x v="8"/>
    <s v="50000861 - Pilates (R$ 40,00)"/>
    <s v="Pilates"/>
    <n v="8697365"/>
    <s v="Finalizado (10/10)"/>
    <n v="27.2"/>
    <n v="12.8"/>
    <n v="40"/>
    <s v="Sessão Faturada"/>
    <n v="1901005732480400"/>
    <n v="59247"/>
    <s v="Unidade Vieiralves"/>
    <n v="8697365"/>
    <m/>
  </r>
  <r>
    <x v="18"/>
    <x v="48"/>
    <s v="Ana Maria Barros Martins"/>
    <s v="Feminino"/>
    <x v="1"/>
    <x v="8"/>
    <s v="50000861 - Pilates (R$ 40,00)"/>
    <s v="Pilates"/>
    <n v="8866994"/>
    <s v="Finalizado (3/10)"/>
    <n v="27.2"/>
    <n v="12.8"/>
    <n v="40"/>
    <s v="Sessão Faturada"/>
    <s v="0201005329570033"/>
    <n v="55774"/>
    <s v="Unidade Vieiralves"/>
    <n v="8866994"/>
    <m/>
  </r>
  <r>
    <x v="18"/>
    <x v="48"/>
    <s v="Thays Andreia Soares Costa"/>
    <s v="Feminino"/>
    <x v="1"/>
    <x v="8"/>
    <s v="50000861 - Pilates (R$ 40,00)"/>
    <s v="Pilates"/>
    <n v="9051597"/>
    <s v="Finalizado (1/10)"/>
    <n v="27.2"/>
    <n v="12.8"/>
    <n v="40"/>
    <s v="Sessão Faturada"/>
    <n v="1301013143590100"/>
    <n v="54611"/>
    <s v="Unidade Vieiralves"/>
    <n v="9051597"/>
    <s v="Guia assinada!"/>
  </r>
  <r>
    <x v="18"/>
    <x v="49"/>
    <s v="Roberta Ferreira Coelho de Andrade"/>
    <s v="Feminino"/>
    <x v="1"/>
    <x v="8"/>
    <s v="50000861 - Pilates (R$ 40,00)"/>
    <s v="Pilates"/>
    <n v="9034850"/>
    <s v="Finalizado (2/10)"/>
    <n v="27.2"/>
    <n v="12.8"/>
    <n v="40"/>
    <s v="Sessão a Faturar"/>
    <s v="0701010939440006"/>
    <n v="58292"/>
    <s v="Unidade Vieiralves"/>
    <n v="9034850"/>
    <s v="GUIA ASSINADA"/>
  </r>
  <r>
    <x v="18"/>
    <x v="38"/>
    <s v="Tanira Rozane Eder Martins"/>
    <s v="Feminino"/>
    <x v="19"/>
    <x v="8"/>
    <s v="90050231 - Pilates (2X Por Semana No Máximo) - 17/03/2026 (R$ 66,18)"/>
    <s v="Pilates"/>
    <n v="4915750"/>
    <s v="Não compareceu (10/10)"/>
    <n v="66.180000000000007"/>
    <n v="0"/>
    <n v="66.180000000000007"/>
    <s v="Sessão Faturada"/>
    <s v="0001000033690081"/>
    <n v="4997"/>
    <s v="Unidade Vieiralves"/>
    <n v="4915750"/>
    <m/>
  </r>
  <r>
    <x v="18"/>
    <x v="38"/>
    <s v="Tereza Maria de Oliveira"/>
    <m/>
    <x v="20"/>
    <x v="8"/>
    <s v="00011003 - Pilates (R$ 28,80)"/>
    <s v="Pilates"/>
    <n v="55496800"/>
    <s v="Finalizado (2/10)"/>
    <n v="19.584"/>
    <n v="9.2159999999999993"/>
    <n v="28.8"/>
    <s v="Sessão Faturada"/>
    <n v="10511000335503"/>
    <n v="58359"/>
    <s v="Unidade Vieiralves"/>
    <n v="55496800"/>
    <m/>
  </r>
  <r>
    <x v="18"/>
    <x v="50"/>
    <s v="Elizabeth Freitas Costa"/>
    <s v="Feminino"/>
    <x v="23"/>
    <x v="8"/>
    <s v="50000853 - Pilates ( 12X Mensais) (R$ 20,60)"/>
    <s v="Pilates"/>
    <n v="163947"/>
    <s v="Finalizado (7/12)"/>
    <n v="14.007999999999999"/>
    <n v="6.5919999999999996"/>
    <n v="20.6"/>
    <s v="Sessão a Faturar"/>
    <n v="58897"/>
    <n v="58897"/>
    <s v="Unidade Vieiralves"/>
    <n v="163947"/>
    <m/>
  </r>
  <r>
    <x v="22"/>
    <x v="44"/>
    <s v="Marcos Andre de Noronha Bezerra"/>
    <s v="Masculino"/>
    <x v="24"/>
    <x v="8"/>
    <s v="14 - Pilates (3X Na Semana) (R$ 44,80)"/>
    <s v="Pilates"/>
    <n v="169004"/>
    <s v="Finalizado (8/10)"/>
    <n v="30.463999999999999"/>
    <n v="14.336"/>
    <n v="44.8"/>
    <s v="Sessão a Faturar"/>
    <n v="42296"/>
    <n v="42296"/>
    <s v="Unidade Vieiralves"/>
    <n v="169004"/>
    <m/>
  </r>
  <r>
    <x v="22"/>
    <x v="44"/>
    <s v="Maria Jacirema Ferreira Gonçalves"/>
    <s v="Feminino"/>
    <x v="1"/>
    <x v="8"/>
    <s v="50000861 - Pilates (R$ 40,00)"/>
    <s v="Pilates"/>
    <n v="8823707"/>
    <s v="Finalizado (10/10)"/>
    <n v="27.2"/>
    <n v="12.8"/>
    <n v="40"/>
    <s v="Sessão Faturada"/>
    <s v="0701012515270061"/>
    <n v="57775"/>
    <s v="Unidade Vieiralves"/>
    <n v="8823707"/>
    <s v="Guia assinada!"/>
  </r>
  <r>
    <x v="22"/>
    <x v="48"/>
    <s v="Eloise Miranda dos Santos"/>
    <s v="Feminino"/>
    <x v="23"/>
    <x v="8"/>
    <s v="50000853 - Pilates ( 12X Mensais) (R$ 20,60)"/>
    <s v="Pilates"/>
    <n v="170407"/>
    <s v="Finalizado (2/12)"/>
    <n v="14.007999999999999"/>
    <n v="6.5919999999999996"/>
    <n v="20.6"/>
    <s v="Sessão a Faturar"/>
    <n v="774642019992020"/>
    <n v="56839"/>
    <s v="Unidade Vieiralves"/>
    <n v="170407"/>
    <m/>
  </r>
  <r>
    <x v="22"/>
    <x v="49"/>
    <s v="Carolina do Socorro Maia dos Santos"/>
    <s v="Feminino"/>
    <x v="23"/>
    <x v="8"/>
    <s v="50000853 - Pilates ( 12X Mensais) (R$ 20,60)"/>
    <s v="Pilates"/>
    <n v="167993"/>
    <s v="Finalizado (8/12)"/>
    <n v="14.007999999999999"/>
    <n v="6.5919999999999996"/>
    <n v="20.6"/>
    <s v="Sessão a Faturar"/>
    <s v="0100478782001317"/>
    <n v="19814"/>
    <s v="Unidade Vieiralves"/>
    <n v="167993"/>
    <m/>
  </r>
  <r>
    <x v="22"/>
    <x v="49"/>
    <s v="Kely Cristiny Oliveira Lima"/>
    <m/>
    <x v="23"/>
    <x v="8"/>
    <s v="50000853 - Pilates ( 12X Mensais) (R$ 20,60)"/>
    <s v="Pilates"/>
    <m/>
    <s v="Finalizado (2/11)"/>
    <n v="14.007999999999999"/>
    <n v="6.5919999999999996"/>
    <n v="20.6"/>
    <s v="Sessão a Faturar"/>
    <m/>
    <n v="59529"/>
    <s v="Unidade Vieiralves"/>
    <m/>
    <m/>
  </r>
  <r>
    <x v="22"/>
    <x v="49"/>
    <s v="Andreza Mendes dos Santos"/>
    <m/>
    <x v="23"/>
    <x v="8"/>
    <s v="50000853 - Pilates ( 12X Mensais) (R$ 20,60)"/>
    <s v="Pilates"/>
    <m/>
    <s v="Finalizado (2/11)"/>
    <n v="14.007999999999999"/>
    <n v="6.5919999999999996"/>
    <n v="20.6"/>
    <s v="Sessão a Faturar"/>
    <m/>
    <n v="59530"/>
    <s v="Unidade Vieiralves"/>
    <m/>
    <m/>
  </r>
  <r>
    <x v="22"/>
    <x v="51"/>
    <s v="Silvio Andre Dias Amirati"/>
    <s v="Masculino"/>
    <x v="23"/>
    <x v="8"/>
    <s v="50000853 - Pilates ( 12X Mensais) (R$ 20,60)"/>
    <s v="Pilates"/>
    <n v="168779"/>
    <s v="Finalizado (11/12)"/>
    <n v="14.007999999999999"/>
    <n v="6.5919999999999996"/>
    <n v="20.6"/>
    <s v="Sessão a Faturar"/>
    <s v="010988828300"/>
    <n v="15344"/>
    <s v="Unidade Vieiralves"/>
    <n v="168779"/>
    <m/>
  </r>
  <r>
    <x v="22"/>
    <x v="51"/>
    <s v="Clarisse Souza Gaudino de Lima"/>
    <s v="Feminino"/>
    <x v="23"/>
    <x v="8"/>
    <s v="50000853 - Pilates ( 12X Mensais) (R$ 20,60)"/>
    <s v="Pilates"/>
    <m/>
    <s v="Finalizado (7/12)"/>
    <n v="14.007999999999999"/>
    <n v="6.5919999999999996"/>
    <n v="20.6"/>
    <s v="Sessão a Faturar"/>
    <m/>
    <n v="59415"/>
    <s v="Unidade Vieiralves"/>
    <m/>
    <m/>
  </r>
  <r>
    <x v="22"/>
    <x v="51"/>
    <s v="Lygia de Lima Souza Amirati"/>
    <s v="Feminino"/>
    <x v="23"/>
    <x v="8"/>
    <s v="50000853 - Pilates ( 12X Mensais) (R$ 20,60)"/>
    <s v="Pilates"/>
    <m/>
    <s v="Finalizado (2/12)"/>
    <n v="14.007999999999999"/>
    <n v="6.5919999999999996"/>
    <n v="20.6"/>
    <s v="Sessão a Faturar"/>
    <s v="010988828307"/>
    <n v="43121"/>
    <s v="Unidade Vieiralves"/>
    <m/>
    <m/>
  </r>
  <r>
    <x v="19"/>
    <x v="44"/>
    <s v="Luzia Pimentel da Silva"/>
    <s v="Feminino"/>
    <x v="7"/>
    <x v="8"/>
    <s v="Pilates 2x semana (R$ 390,00)"/>
    <s v="Pilates"/>
    <n v="168857"/>
    <s v="Finalizado (5/9)"/>
    <n v="29.25"/>
    <n v="19.5"/>
    <n v="48.75"/>
    <s v="Pago"/>
    <n v="954600000728020"/>
    <n v="54027"/>
    <s v="Unidade Vieiralves"/>
    <n v="168857"/>
    <m/>
  </r>
  <r>
    <x v="19"/>
    <x v="44"/>
    <s v="Sheila Vitor da Silva"/>
    <s v="Feminino"/>
    <x v="1"/>
    <x v="8"/>
    <s v="50000861 - Pilates (R$ 40,00)"/>
    <s v="Pilates"/>
    <n v="8726184"/>
    <s v="Finalizado (10/10)"/>
    <n v="27.2"/>
    <n v="12.8"/>
    <n v="40"/>
    <s v="Sessão Faturada"/>
    <s v="0301012618770011"/>
    <n v="58932"/>
    <s v="Unidade Vieiralves"/>
    <n v="8726184"/>
    <m/>
  </r>
  <r>
    <x v="19"/>
    <x v="44"/>
    <s v="Graciula Furtado Araújo"/>
    <s v="Feminino"/>
    <x v="5"/>
    <x v="8"/>
    <s v="50000853 - Pilates - 04/03/2026 (R$ 39,77)"/>
    <s v="Pilates"/>
    <n v="75986180"/>
    <s v="Finalizado (5/10)"/>
    <n v="27.043600000000001"/>
    <n v="12.7264"/>
    <n v="39.770000000000003"/>
    <s v="Sessão Faturada"/>
    <s v="0100938670000353"/>
    <n v="58260"/>
    <s v="Unidade Vieiralves"/>
    <n v="75986180"/>
    <m/>
  </r>
  <r>
    <x v="19"/>
    <x v="48"/>
    <s v="Ana Maria Barros Martins"/>
    <s v="Feminino"/>
    <x v="1"/>
    <x v="8"/>
    <s v="50000861 - Pilates (R$ 40,00)"/>
    <s v="Pilates"/>
    <n v="8866994"/>
    <s v="Finalizado (4/10)"/>
    <n v="27.2"/>
    <n v="12.8"/>
    <n v="40"/>
    <s v="Sessão Faturada"/>
    <s v="0201005329570033"/>
    <n v="55774"/>
    <s v="Unidade Vieiralves"/>
    <n v="8866994"/>
    <m/>
  </r>
  <r>
    <x v="19"/>
    <x v="48"/>
    <s v="Tatianna Silva Portes"/>
    <s v="Feminino"/>
    <x v="5"/>
    <x v="8"/>
    <s v="50000853 - Pilates - 04/03/2026 (R$ 39,77)"/>
    <s v="Pilates"/>
    <n v="77014540"/>
    <s v="Finalizado (4/10)"/>
    <n v="27.043600000000001"/>
    <n v="12.7264"/>
    <n v="39.770000000000003"/>
    <s v="Sessão Faturada"/>
    <s v="0100621050010300"/>
    <n v="55555"/>
    <s v="Unidade Vieiralves"/>
    <n v="77014540"/>
    <m/>
  </r>
  <r>
    <x v="19"/>
    <x v="49"/>
    <s v="Wanderleia Salmazo França"/>
    <m/>
    <x v="1"/>
    <x v="8"/>
    <s v="50000861 - Pilates (R$ 40,00)"/>
    <s v="Pilates"/>
    <n v="9350601"/>
    <s v="Finalizado (1/10)"/>
    <n v="27.2"/>
    <n v="12.8"/>
    <n v="40"/>
    <s v="Sessão a Faturar"/>
    <n v="1901005732480400"/>
    <n v="59247"/>
    <s v="Unidade Vieiralves"/>
    <n v="9350601"/>
    <m/>
  </r>
  <r>
    <x v="19"/>
    <x v="38"/>
    <s v="Tanira Rozane Eder Martins"/>
    <s v="Feminino"/>
    <x v="19"/>
    <x v="8"/>
    <s v="90050231 - Pilates (2X Por Semana No Máximo) - 17/03/2026 (R$ 66,18)"/>
    <s v="Pilates"/>
    <n v="5827040"/>
    <s v="Finalizado (4/10)"/>
    <n v="45.002400000000002"/>
    <n v="21.177600000000002"/>
    <n v="66.180000000000007"/>
    <s v="Sessão Faturada"/>
    <s v="0001000033690081"/>
    <n v="4997"/>
    <s v="Unidade Vieiralves"/>
    <n v="5827040"/>
    <m/>
  </r>
  <r>
    <x v="19"/>
    <x v="38"/>
    <s v="Raimundo Soares Neto"/>
    <s v="Masculino"/>
    <x v="7"/>
    <x v="8"/>
    <s v="Vieiralves - 28 - Pilates 2X Na Semana (R$ 39,00)"/>
    <s v="Pilates"/>
    <n v="171256"/>
    <s v="Finalizado (1/10)"/>
    <n v="23.4"/>
    <n v="15.6"/>
    <n v="39"/>
    <s v="Pago"/>
    <s v="0904001770230035"/>
    <n v="57377"/>
    <s v="Unidade Vieiralves"/>
    <n v="171256"/>
    <m/>
  </r>
  <r>
    <x v="19"/>
    <x v="50"/>
    <s v="Isabelly Ferreira Fernandes"/>
    <m/>
    <x v="7"/>
    <x v="8"/>
    <s v="Pilates 2x semana (R$ 390,00)"/>
    <s v="Pilates"/>
    <n v="167872"/>
    <s v="Finalizado (9/9)"/>
    <n v="23.4"/>
    <n v="15.6"/>
    <n v="39"/>
    <s v="Pago"/>
    <n v="59314"/>
    <n v="59314"/>
    <s v="Unidade Vieiralves"/>
    <n v="167872"/>
    <m/>
  </r>
  <r>
    <x v="19"/>
    <x v="50"/>
    <s v="Elizabeth Freitas Costa"/>
    <s v="Feminino"/>
    <x v="23"/>
    <x v="8"/>
    <s v="50000853 - Pilates ( 12X Mensais) (R$ 20,60)"/>
    <s v="Pilates"/>
    <n v="163947"/>
    <s v="Finalizado (8/12)"/>
    <n v="14.007999999999999"/>
    <n v="6.5919999999999996"/>
    <n v="20.6"/>
    <s v="Sessão a Faturar"/>
    <n v="58897"/>
    <n v="58897"/>
    <s v="Unidade Vieiralves"/>
    <n v="163947"/>
    <m/>
  </r>
  <r>
    <x v="19"/>
    <x v="51"/>
    <s v="Andressa Batista Holanda"/>
    <s v="Feminino"/>
    <x v="5"/>
    <x v="8"/>
    <s v="50000853 - Pilates (R$ 41,46)"/>
    <s v="Pilates"/>
    <m/>
    <s v="Finalizado (1/10)"/>
    <n v="28.192799999999998"/>
    <n v="13.267200000000001"/>
    <n v="41.46"/>
    <s v="Sessão a Faturar"/>
    <n v="5400086533010200"/>
    <n v="44423"/>
    <s v="Unidade Vieiralves"/>
    <m/>
    <m/>
  </r>
  <r>
    <x v="20"/>
    <x v="44"/>
    <s v="Emanuele Menezes da Silva"/>
    <s v="Feminino"/>
    <x v="23"/>
    <x v="8"/>
    <s v="50000144 - Primeira Sessão - Sessão Experimental (R$ 0,00)"/>
    <s v="Pilates"/>
    <m/>
    <s v="Finalizado (1/12)"/>
    <n v="0"/>
    <n v="0"/>
    <n v="0"/>
    <s v="Sessão a Faturar"/>
    <n v="774642014893010"/>
    <n v="44534"/>
    <s v="Unidade Vieiralves"/>
    <m/>
    <m/>
  </r>
  <r>
    <x v="20"/>
    <x v="44"/>
    <s v="Marcos Andre de Noronha Bezerra"/>
    <s v="Masculino"/>
    <x v="24"/>
    <x v="8"/>
    <s v="14 - Pilates (3X Na Semana) (R$ 44,80)"/>
    <s v="Pilates"/>
    <n v="169004"/>
    <s v="Finalizado (9/10)"/>
    <n v="30.463999999999999"/>
    <n v="14.336"/>
    <n v="44.8"/>
    <s v="Sessão a Faturar"/>
    <n v="42296"/>
    <n v="42296"/>
    <s v="Unidade Vieiralves"/>
    <n v="169004"/>
    <m/>
  </r>
  <r>
    <x v="20"/>
    <x v="48"/>
    <s v="Andreza Mendes dos Santos"/>
    <m/>
    <x v="23"/>
    <x v="8"/>
    <s v="50000853 - Pilates ( 12X Mensais) (R$ 20,60)"/>
    <s v="Pilates"/>
    <m/>
    <s v="Finalizado (3/11)"/>
    <n v="14.007999999999999"/>
    <n v="6.5919999999999996"/>
    <n v="20.6"/>
    <s v="Sessão a Faturar"/>
    <m/>
    <n v="59530"/>
    <s v="Unidade Vieiralves"/>
    <m/>
    <m/>
  </r>
  <r>
    <x v="20"/>
    <x v="48"/>
    <s v="Kely Cristiny Oliveira Lima"/>
    <m/>
    <x v="23"/>
    <x v="8"/>
    <s v="50000853 - Pilates ( 12X Mensais) (R$ 20,60)"/>
    <s v="Pilates"/>
    <m/>
    <s v="Finalizado (3/11)"/>
    <n v="14.007999999999999"/>
    <n v="6.5919999999999996"/>
    <n v="20.6"/>
    <s v="Sessão a Faturar"/>
    <m/>
    <n v="59529"/>
    <s v="Unidade Vieiralves"/>
    <m/>
    <m/>
  </r>
  <r>
    <x v="20"/>
    <x v="48"/>
    <s v="Roberta Ferreira Coelho de Andrade"/>
    <s v="Feminino"/>
    <x v="1"/>
    <x v="8"/>
    <s v="50000861 - Pilates (R$ 40,00)"/>
    <s v="Pilates"/>
    <n v="9034850"/>
    <s v="Finalizado (3/10)"/>
    <n v="27.2"/>
    <n v="12.8"/>
    <n v="40"/>
    <s v="Sessão a Faturar"/>
    <s v="0701010939440006"/>
    <n v="58292"/>
    <s v="Unidade Vieiralves"/>
    <n v="9034850"/>
    <s v="GUIA ASSINADA"/>
  </r>
  <r>
    <x v="20"/>
    <x v="49"/>
    <s v="Carolina do Socorro Maia dos Santos"/>
    <s v="Feminino"/>
    <x v="23"/>
    <x v="8"/>
    <s v="50000853 - Pilates ( 12X Mensais) (R$ 20,60)"/>
    <s v="Pilates"/>
    <n v="167993"/>
    <s v="Finalizado (9/12)"/>
    <n v="14.007999999999999"/>
    <n v="6.5919999999999996"/>
    <n v="20.6"/>
    <s v="Sessão a Faturar"/>
    <s v="0100478782001317"/>
    <n v="19814"/>
    <s v="Unidade Vieiralves"/>
    <n v="167993"/>
    <m/>
  </r>
  <r>
    <x v="20"/>
    <x v="49"/>
    <s v="Thays Andreia Soares Costa"/>
    <s v="Feminino"/>
    <x v="1"/>
    <x v="8"/>
    <s v="50000861 - Pilates (R$ 40,00)"/>
    <s v="Pilates"/>
    <n v="9051597"/>
    <s v="Finalizado (2/10)"/>
    <n v="27.2"/>
    <n v="12.8"/>
    <n v="40"/>
    <s v="Sessão Faturada"/>
    <n v="1301013143590100"/>
    <n v="54611"/>
    <s v="Unidade Vieiralves"/>
    <n v="9051597"/>
    <s v="Guia assinada!"/>
  </r>
  <r>
    <x v="20"/>
    <x v="38"/>
    <s v="Tereza Maria de Oliveira"/>
    <m/>
    <x v="20"/>
    <x v="8"/>
    <s v="00011003 - Pilates (R$ 28,80)"/>
    <s v="Pilates"/>
    <n v="55496800"/>
    <s v="Finalizado (3/10)"/>
    <n v="19.584"/>
    <n v="9.2159999999999993"/>
    <n v="28.8"/>
    <s v="Sessão Faturada"/>
    <n v="10511000335503"/>
    <n v="58359"/>
    <s v="Unidade Vieiralves"/>
    <n v="55496800"/>
    <m/>
  </r>
  <r>
    <x v="20"/>
    <x v="50"/>
    <s v="Valmir Cesar Pozzetti"/>
    <s v="Masculino"/>
    <x v="7"/>
    <x v="8"/>
    <s v="Pilates 2x semana (R$ 390,00)"/>
    <s v="Pilates"/>
    <m/>
    <s v="Finalizado (8/10)"/>
    <n v="29.25"/>
    <n v="19.5"/>
    <n v="48.75"/>
    <s v="Pago"/>
    <s v="0901013948180030"/>
    <n v="43203"/>
    <s v="Unidade Vieiralves"/>
    <m/>
    <m/>
  </r>
  <r>
    <x v="20"/>
    <x v="50"/>
    <s v="Irleda de Carvalho Leal Nobre Leao"/>
    <s v="Feminino"/>
    <x v="1"/>
    <x v="8"/>
    <s v="50000861 - Pilates (R$ 40,00)"/>
    <s v="Pilates"/>
    <n v="8124102"/>
    <s v="Finalizado (10/10)"/>
    <n v="27.2"/>
    <n v="12.8"/>
    <n v="40"/>
    <s v="Sessão Faturada"/>
    <s v="0903006735450160"/>
    <n v="58787"/>
    <s v="Unidade Vieiralves"/>
    <n v="8124102"/>
    <s v="Guia assinada!"/>
  </r>
  <r>
    <x v="20"/>
    <x v="51"/>
    <s v="Silvio Andre Dias Amirati"/>
    <s v="Masculino"/>
    <x v="23"/>
    <x v="8"/>
    <s v="50000853 - Pilates ( 12X Mensais) (R$ 20,60)"/>
    <s v="Pilates"/>
    <n v="168779"/>
    <s v="Finalizado (12/12)"/>
    <n v="14.007999999999999"/>
    <n v="6.5919999999999996"/>
    <n v="20.6"/>
    <s v="Sessão a Faturar"/>
    <s v="010988828300"/>
    <n v="15344"/>
    <s v="Unidade Vieiralves"/>
    <n v="168779"/>
    <m/>
  </r>
  <r>
    <x v="20"/>
    <x v="51"/>
    <s v="Clarisse Souza Gaudino de Lima"/>
    <s v="Feminino"/>
    <x v="23"/>
    <x v="8"/>
    <s v="50000853 - Pilates ( 12X Mensais) (R$ 20,60)"/>
    <s v="Pilates"/>
    <m/>
    <s v="Finalizado (8/12)"/>
    <n v="14.007999999999999"/>
    <n v="6.5919999999999996"/>
    <n v="20.6"/>
    <s v="Sessão a Faturar"/>
    <m/>
    <n v="59415"/>
    <s v="Unidade Vieiralves"/>
    <m/>
    <m/>
  </r>
  <r>
    <x v="23"/>
    <x v="48"/>
    <s v="Emanuele Menezes da Silva"/>
    <s v="Feminino"/>
    <x v="23"/>
    <x v="8"/>
    <s v="50000853 - Pilates ( 12X Mensais) (R$ 20,60)"/>
    <s v="Pilates"/>
    <m/>
    <s v="Finalizado (2/12)"/>
    <n v="14.007999999999999"/>
    <n v="6.5919999999999996"/>
    <n v="20.6"/>
    <s v="Sessão a Faturar"/>
    <n v="774642014893010"/>
    <n v="44534"/>
    <s v="Unidade Vieiralves"/>
    <m/>
    <m/>
  </r>
  <r>
    <x v="23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23"/>
    <x v="48"/>
    <s v="Valmir Cesar Pozzetti"/>
    <s v="Masculino"/>
    <x v="7"/>
    <x v="8"/>
    <s v="Pilates 2x semana (R$ 390,00)"/>
    <s v="Pilates"/>
    <m/>
    <s v="Finalizado (9/10)"/>
    <n v="26"/>
    <n v="17.333333333333002"/>
    <n v="43.333333333333002"/>
    <s v="Pago"/>
    <s v="0901013948180030"/>
    <n v="43203"/>
    <s v="Unidade Vieiralves"/>
    <m/>
    <m/>
  </r>
  <r>
    <x v="23"/>
    <x v="49"/>
    <s v="Lygia de Lima Souza Amirati"/>
    <s v="Feminino"/>
    <x v="23"/>
    <x v="8"/>
    <s v="50000853 - Pilates ( 12X Mensais) (R$ 20,60)"/>
    <s v="Pilates"/>
    <m/>
    <s v="Finalizado (3/12)"/>
    <n v="14.007999999999999"/>
    <n v="6.5919999999999996"/>
    <n v="20.6"/>
    <s v="Sessão a Faturar"/>
    <s v="010988828307"/>
    <n v="43121"/>
    <s v="Unidade Vieiralves"/>
    <m/>
    <m/>
  </r>
  <r>
    <x v="23"/>
    <x v="49"/>
    <s v="Gabriele de Souza Cruz"/>
    <s v="Feminino"/>
    <x v="1"/>
    <x v="8"/>
    <s v="50000861 - Pilates (R$ 40,00)"/>
    <s v="Pilates"/>
    <n v="9146414"/>
    <s v="Finalizado (1/10)"/>
    <n v="27.2"/>
    <n v="12.8"/>
    <n v="40"/>
    <s v="Sessão Faturada"/>
    <n v="1301012299900100"/>
    <n v="58226"/>
    <s v="Unidade Vieiralves"/>
    <n v="9146414"/>
    <s v="Guia assinada!"/>
  </r>
  <r>
    <x v="23"/>
    <x v="38"/>
    <s v="Karen Abecassis Calado"/>
    <m/>
    <x v="23"/>
    <x v="8"/>
    <s v="50000853 - Pilates ( 12X Mensais) (R$ 20,60)"/>
    <s v="Pilates"/>
    <m/>
    <s v="Finalizado (1/11)"/>
    <n v="14.007999999999999"/>
    <n v="6.5919999999999996"/>
    <n v="20.6"/>
    <s v="Sessão a Faturar"/>
    <m/>
    <n v="59558"/>
    <s v="Unidade Vieiralves"/>
    <m/>
    <m/>
  </r>
  <r>
    <x v="23"/>
    <x v="38"/>
    <s v="Jessica Rodrigues de Oliveira"/>
    <s v="Feminino"/>
    <x v="23"/>
    <x v="8"/>
    <s v="50000853 - Pilates ( 12X Mensais) (R$ 20,60)"/>
    <s v="Pilates"/>
    <m/>
    <s v="Finalizado (1/11)"/>
    <n v="14.007999999999999"/>
    <n v="6.5919999999999996"/>
    <n v="20.6"/>
    <s v="Sessão a Faturar"/>
    <s v="00"/>
    <n v="59560"/>
    <s v="Unidade Vieiralves"/>
    <m/>
    <m/>
  </r>
  <r>
    <x v="23"/>
    <x v="38"/>
    <s v="Bruna Rebeca Braz Borges"/>
    <m/>
    <x v="23"/>
    <x v="8"/>
    <s v="50000853 - Pilates ( 12X Mensais) (R$ 20,60)"/>
    <s v="Pilates"/>
    <m/>
    <s v="Finalizado (1/11)"/>
    <n v="14.007999999999999"/>
    <n v="6.5919999999999996"/>
    <n v="20.6"/>
    <s v="Sessão a Faturar"/>
    <m/>
    <n v="59559"/>
    <s v="Unidade Vieiralves"/>
    <m/>
    <m/>
  </r>
  <r>
    <x v="1"/>
    <x v="44"/>
    <s v="Luzia Pimentel da Silva"/>
    <s v="Feminino"/>
    <x v="7"/>
    <x v="8"/>
    <s v="Pilates 2x semana (R$ 390,00)"/>
    <s v="Pilates"/>
    <n v="168857"/>
    <s v="Finalizado (6/9)"/>
    <n v="29.25"/>
    <n v="19.5"/>
    <n v="48.75"/>
    <s v="Pago"/>
    <n v="954600000728020"/>
    <n v="54027"/>
    <s v="Unidade Vieiralves"/>
    <n v="168857"/>
    <m/>
  </r>
  <r>
    <x v="1"/>
    <x v="44"/>
    <s v="Ligiane Liborio Caranha Lima"/>
    <s v="Feminino"/>
    <x v="5"/>
    <x v="8"/>
    <s v="50000853 - Pilates - 04/03/2026 (R$ 39,77)"/>
    <s v="Pilates"/>
    <n v="74234460"/>
    <s v="Finalizado (8/10)"/>
    <n v="27.043600000000001"/>
    <n v="12.7264"/>
    <n v="39.770000000000003"/>
    <s v="Sessão Faturada"/>
    <s v="0100791349000431"/>
    <n v="39694"/>
    <s v="Unidade Vieiralves"/>
    <n v="74234460"/>
    <m/>
  </r>
  <r>
    <x v="1"/>
    <x v="44"/>
    <s v="Francimary da Costa Duarte Otsuka"/>
    <s v="Feminino"/>
    <x v="1"/>
    <x v="8"/>
    <s v="50000861 - Pilates (R$ 40,00)"/>
    <s v="Pilates"/>
    <n v="8017166"/>
    <s v="Finalizado (7/10)"/>
    <n v="27.2"/>
    <n v="12.8"/>
    <n v="40"/>
    <s v="Sessão Faturada"/>
    <n v="2001013467330100"/>
    <n v="42241"/>
    <s v="Unidade Vieiralves"/>
    <n v="8017166"/>
    <s v="Guia assinada!"/>
  </r>
  <r>
    <x v="1"/>
    <x v="48"/>
    <s v="Ana Maria Barros Martins"/>
    <s v="Feminino"/>
    <x v="1"/>
    <x v="8"/>
    <s v="50000861 - Pilates (R$ 40,00)"/>
    <s v="Pilates"/>
    <n v="8866994"/>
    <s v="Finalizado (5/10)"/>
    <n v="27.2"/>
    <n v="12.8"/>
    <n v="40"/>
    <s v="Sessão Faturada"/>
    <s v="0201005329570033"/>
    <n v="55774"/>
    <s v="Unidade Vieiralves"/>
    <n v="8866994"/>
    <m/>
  </r>
  <r>
    <x v="1"/>
    <x v="48"/>
    <s v="Tatianna Silva Portes"/>
    <s v="Feminino"/>
    <x v="5"/>
    <x v="8"/>
    <s v="50000853 - Pilates - 04/03/2026 (R$ 39,77)"/>
    <s v="Pilates"/>
    <n v="77014540"/>
    <s v="Finalizado (5/10)"/>
    <n v="27.043600000000001"/>
    <n v="12.7264"/>
    <n v="39.770000000000003"/>
    <s v="Sessão Faturada"/>
    <s v="0100621050010300"/>
    <n v="55555"/>
    <s v="Unidade Vieiralves"/>
    <n v="77014540"/>
    <m/>
  </r>
  <r>
    <x v="1"/>
    <x v="48"/>
    <s v="Thays Andreia Soares Costa"/>
    <s v="Feminino"/>
    <x v="1"/>
    <x v="8"/>
    <s v="50000861 - Pilates (R$ 40,00)"/>
    <s v="Pilates"/>
    <n v="9051597"/>
    <s v="Finalizado (3/10)"/>
    <n v="27.2"/>
    <n v="12.8"/>
    <n v="40"/>
    <s v="Sessão Faturada"/>
    <n v="1301013143590100"/>
    <n v="54611"/>
    <s v="Unidade Vieiralves"/>
    <n v="9051597"/>
    <s v="Guia assinada!"/>
  </r>
  <r>
    <x v="1"/>
    <x v="49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1"/>
    <x v="49"/>
    <s v="Raimundo Soares Neto"/>
    <s v="Masculino"/>
    <x v="7"/>
    <x v="8"/>
    <s v="Vieiralves - 28 - Pilates 2X Na Semana (R$ 39,00)"/>
    <s v="Pilates"/>
    <n v="171256"/>
    <s v="Finalizado (2/10)"/>
    <n v="23.4"/>
    <n v="15.6"/>
    <n v="39"/>
    <s v="Pago"/>
    <s v="0904001770230035"/>
    <n v="57377"/>
    <s v="Unidade Vieiralves"/>
    <n v="171256"/>
    <m/>
  </r>
  <r>
    <x v="1"/>
    <x v="49"/>
    <s v="Emanuele Menezes da Silva"/>
    <s v="Feminino"/>
    <x v="23"/>
    <x v="8"/>
    <s v="50000853 - Pilates ( 12X Mensais) (R$ 20,60)"/>
    <s v="Pilates"/>
    <m/>
    <s v="Finalizado (3/12)"/>
    <n v="14.007999999999999"/>
    <n v="6.5919999999999996"/>
    <n v="20.6"/>
    <s v="Sessão a Faturar"/>
    <n v="774642014893010"/>
    <n v="44534"/>
    <s v="Unidade Vieiralves"/>
    <m/>
    <m/>
  </r>
  <r>
    <x v="1"/>
    <x v="38"/>
    <s v="Claudia Miyuki Muramoto Sako"/>
    <s v="Feminino"/>
    <x v="7"/>
    <x v="8"/>
    <s v="Vieiralves - 28 - Pilates 2X Na Semana (R$ 39,00)"/>
    <s v="Pilates"/>
    <n v="171436"/>
    <s v="Finalizado (1/10)"/>
    <n v="23.4"/>
    <n v="15.6"/>
    <n v="39"/>
    <s v="Pago"/>
    <n v="885854000132010"/>
    <n v="49229"/>
    <s v="Unidade Vieiralves"/>
    <n v="171436"/>
    <m/>
  </r>
  <r>
    <x v="1"/>
    <x v="38"/>
    <s v="Tanira Rozane Eder Martins"/>
    <s v="Feminino"/>
    <x v="19"/>
    <x v="8"/>
    <s v="90050231 - Pilates (2X Por Semana No Máximo) - 17/03/2026 (R$ 66,18)"/>
    <s v="Pilates"/>
    <n v="5827040"/>
    <s v="Finalizado (5/10)"/>
    <n v="45.002400000000002"/>
    <n v="21.177600000000002"/>
    <n v="66.180000000000007"/>
    <s v="Sessão Faturada"/>
    <s v="0001000033690081"/>
    <n v="4997"/>
    <s v="Unidade Vieiralves"/>
    <n v="5827040"/>
    <m/>
  </r>
  <r>
    <x v="1"/>
    <x v="50"/>
    <s v="Isabelly Ferreira Fernandes"/>
    <m/>
    <x v="7"/>
    <x v="8"/>
    <s v="Pilates 2x semana (R$ 390,00)"/>
    <s v="Pilates"/>
    <n v="171974"/>
    <s v="Finalizado (1/10)"/>
    <n v="26"/>
    <n v="17.333333333333002"/>
    <n v="43.333333333333002"/>
    <s v="Pago"/>
    <n v="59314"/>
    <n v="59314"/>
    <s v="Unidade Vieiralves"/>
    <n v="171974"/>
    <m/>
  </r>
  <r>
    <x v="1"/>
    <x v="51"/>
    <s v="Lygia de Lima Souza Amirati"/>
    <s v="Feminino"/>
    <x v="23"/>
    <x v="8"/>
    <s v="50000853 - Pilates ( 12X Mensais) (R$ 20,60)"/>
    <s v="Pilates"/>
    <m/>
    <s v="Finalizado (4/12)"/>
    <n v="14.007999999999999"/>
    <n v="6.5919999999999996"/>
    <n v="20.6"/>
    <s v="Sessão a Faturar"/>
    <s v="010988828307"/>
    <n v="43121"/>
    <s v="Unidade Vieiralves"/>
    <m/>
    <m/>
  </r>
  <r>
    <x v="1"/>
    <x v="51"/>
    <s v="Silvio Andre Dias Amirati"/>
    <s v="Masculino"/>
    <x v="23"/>
    <x v="8"/>
    <s v="50000853 - Pilates ( 12X Mensais) (R$ 20,60)"/>
    <s v="Pilates"/>
    <m/>
    <s v="Finalizado (1/1)"/>
    <n v="14.007999999999999"/>
    <n v="6.5919999999999996"/>
    <n v="20.6"/>
    <s v="Sessão a Faturar"/>
    <s v="010988828300"/>
    <n v="15344"/>
    <s v="Unidade Vieiralves"/>
    <m/>
    <m/>
  </r>
  <r>
    <x v="1"/>
    <x v="51"/>
    <s v="Clarisse Souza Gaudino de Lima"/>
    <s v="Feminino"/>
    <x v="23"/>
    <x v="8"/>
    <s v="50000853 - Pilates ( 12X Mensais) (R$ 20,60)"/>
    <s v="Pilates"/>
    <m/>
    <s v="Finalizado (9/12)"/>
    <n v="14.007999999999999"/>
    <n v="6.5919999999999996"/>
    <n v="20.6"/>
    <s v="Sessão a Faturar"/>
    <m/>
    <n v="59415"/>
    <s v="Unidade Vieiralves"/>
    <m/>
    <m/>
  </r>
  <r>
    <x v="2"/>
    <x v="44"/>
    <s v="Rita Emanuelle de Fonte Seixas"/>
    <s v="Feminino"/>
    <x v="5"/>
    <x v="8"/>
    <s v="50000853 - Pilates - 04/03/2026 (R$ 39,77)"/>
    <s v="Pilates"/>
    <n v="76247590"/>
    <s v="Não compareceu (2/10)"/>
    <n v="39.770000000000003"/>
    <n v="0"/>
    <n v="39.770000000000003"/>
    <s v="Sessão Faturada"/>
    <s v="0100758323010346"/>
    <n v="58917"/>
    <s v="Unidade Vieiralves"/>
    <n v="76247590"/>
    <m/>
  </r>
  <r>
    <x v="2"/>
    <x v="48"/>
    <s v="Eloise Miranda dos Santos"/>
    <s v="Feminino"/>
    <x v="23"/>
    <x v="8"/>
    <s v="50000853 - Pilates ( 12X Mensais) (R$ 20,60)"/>
    <s v="Pilates"/>
    <n v="170407"/>
    <s v="Finalizado (3/12)"/>
    <n v="14.007999999999999"/>
    <n v="6.5919999999999996"/>
    <n v="20.6"/>
    <s v="Sessão a Faturar"/>
    <n v="774642019992020"/>
    <n v="56839"/>
    <s v="Unidade Vieiralves"/>
    <n v="170407"/>
    <m/>
  </r>
  <r>
    <x v="2"/>
    <x v="49"/>
    <s v="Gabriele de Souza Cruz"/>
    <s v="Feminino"/>
    <x v="1"/>
    <x v="8"/>
    <s v="50000861 - Pilates (R$ 40,00)"/>
    <s v="Pilates"/>
    <n v="9146414"/>
    <s v="Finalizado (2/10)"/>
    <n v="27.2"/>
    <n v="12.8"/>
    <n v="40"/>
    <s v="Sessão Faturada"/>
    <n v="1301012299900100"/>
    <n v="58226"/>
    <s v="Unidade Vieiralves"/>
    <n v="9146414"/>
    <s v="Guia assinada!"/>
  </r>
  <r>
    <x v="2"/>
    <x v="38"/>
    <s v="Kely Cristiny Oliveira Lima"/>
    <m/>
    <x v="23"/>
    <x v="8"/>
    <s v="50000853 - Pilates ( 12X Mensais) (R$ 20,60)"/>
    <s v="Pilates"/>
    <m/>
    <s v="Finalizado (4/11)"/>
    <n v="14.007999999999999"/>
    <n v="6.5919999999999996"/>
    <n v="20.6"/>
    <s v="Sessão a Faturar"/>
    <m/>
    <n v="59529"/>
    <s v="Unidade Vieiralves"/>
    <m/>
    <m/>
  </r>
  <r>
    <x v="2"/>
    <x v="38"/>
    <s v="Carolina do Socorro Maia dos Santos"/>
    <s v="Feminino"/>
    <x v="23"/>
    <x v="8"/>
    <s v="50000853 - Pilates ( 12X Mensais) (R$ 20,60)"/>
    <s v="Pilates"/>
    <n v="167993"/>
    <s v="Finalizado (10/12)"/>
    <n v="14.007999999999999"/>
    <n v="6.5919999999999996"/>
    <n v="20.6"/>
    <s v="Sessão a Faturar"/>
    <s v="0100478782001317"/>
    <n v="19814"/>
    <s v="Unidade Vieiralves"/>
    <n v="167993"/>
    <m/>
  </r>
  <r>
    <x v="2"/>
    <x v="50"/>
    <s v="Irleda de Carvalho Leal Nobre Leao"/>
    <s v="Feminino"/>
    <x v="1"/>
    <x v="8"/>
    <s v="50000861 - Pilates (R$ 40,00)"/>
    <s v="Pilates"/>
    <n v="9350520"/>
    <s v="Finalizado (1/10)"/>
    <n v="27.2"/>
    <n v="12.8"/>
    <n v="40"/>
    <s v="Sessão a Faturar"/>
    <s v="0903006735450160"/>
    <n v="58787"/>
    <s v="Unidade Vieiralves"/>
    <n v="9350520"/>
    <m/>
  </r>
  <r>
    <x v="2"/>
    <x v="50"/>
    <s v="Valmir Cesar Pozzetti"/>
    <s v="Masculino"/>
    <x v="7"/>
    <x v="8"/>
    <s v="Pilates 2x semana (R$ 390,00)"/>
    <s v="Pilates"/>
    <m/>
    <s v="Finalizado (10/10)"/>
    <n v="26"/>
    <n v="17.333333333333002"/>
    <n v="43.333333333333002"/>
    <s v="Pago"/>
    <s v="0901013948180030"/>
    <n v="43203"/>
    <s v="Unidade Vieiralves"/>
    <m/>
    <m/>
  </r>
  <r>
    <x v="3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3"/>
    <x v="48"/>
    <s v="Ana Maria Barros Martins"/>
    <s v="Feminino"/>
    <x v="1"/>
    <x v="8"/>
    <s v="50000861 - Pilates (R$ 40,00)"/>
    <s v="Pilates"/>
    <n v="8866994"/>
    <s v="Finalizado (6/10)"/>
    <n v="27.2"/>
    <n v="12.8"/>
    <n v="40"/>
    <s v="Sessão Faturada"/>
    <s v="0201005329570033"/>
    <n v="55774"/>
    <s v="Unidade Vieiralves"/>
    <n v="8866994"/>
    <m/>
  </r>
  <r>
    <x v="3"/>
    <x v="49"/>
    <s v="Raimundo Soares Neto"/>
    <s v="Masculino"/>
    <x v="7"/>
    <x v="8"/>
    <s v="Vieiralves - 28 - Pilates 2X Na Semana (R$ 39,00)"/>
    <s v="Pilates"/>
    <n v="171256"/>
    <s v="Finalizado (3/10)"/>
    <n v="23.4"/>
    <n v="15.6"/>
    <n v="39"/>
    <s v="Pago"/>
    <s v="0904001770230035"/>
    <n v="57377"/>
    <s v="Unidade Vieiralves"/>
    <n v="171256"/>
    <m/>
  </r>
  <r>
    <x v="3"/>
    <x v="38"/>
    <s v="Tatianna Silva Portes"/>
    <s v="Feminino"/>
    <x v="5"/>
    <x v="8"/>
    <s v="50000853 - Pilates - 04/03/2026 (R$ 39,77)"/>
    <s v="Pilates"/>
    <n v="77014540"/>
    <s v="Finalizado (6/10)"/>
    <n v="27.043600000000001"/>
    <n v="12.7264"/>
    <n v="39.770000000000003"/>
    <s v="Sessão Faturada"/>
    <s v="0100621050010300"/>
    <n v="55555"/>
    <s v="Unidade Vieiralves"/>
    <n v="77014540"/>
    <m/>
  </r>
  <r>
    <x v="3"/>
    <x v="38"/>
    <s v="Tanira Rozane Eder Martins"/>
    <s v="Feminino"/>
    <x v="19"/>
    <x v="8"/>
    <s v="90050231 - Pilates (2X Por Semana No Máximo) - 17/03/2026 (R$ 66,18)"/>
    <s v="Pilates"/>
    <n v="5827040"/>
    <s v="Finalizado (6/10)"/>
    <n v="45.002400000000002"/>
    <n v="21.177600000000002"/>
    <n v="66.180000000000007"/>
    <s v="Sessão Faturada"/>
    <s v="0001000033690081"/>
    <n v="4997"/>
    <s v="Unidade Vieiralves"/>
    <n v="5827040"/>
    <m/>
  </r>
  <r>
    <x v="3"/>
    <x v="51"/>
    <s v="Silvio Andre Dias Amirati"/>
    <s v="Masculino"/>
    <x v="23"/>
    <x v="8"/>
    <s v="50000853 - Pilates ( 12X Mensais) (R$ 20,60)"/>
    <s v="Pilates"/>
    <m/>
    <s v="Finalizado (1/12)"/>
    <n v="14.007999999999999"/>
    <n v="6.5919999999999996"/>
    <n v="20.6"/>
    <s v="Sessão a Faturar"/>
    <s v="010988828300"/>
    <n v="15344"/>
    <s v="Unidade Vieiralves"/>
    <m/>
    <m/>
  </r>
  <r>
    <x v="3"/>
    <x v="51"/>
    <s v="Clarisse Souza Gaudino de Lima"/>
    <s v="Feminino"/>
    <x v="23"/>
    <x v="8"/>
    <s v="50000853 - Pilates ( 12X Mensais) (R$ 20,60)"/>
    <s v="Pilates"/>
    <m/>
    <s v="Finalizado (10/12)"/>
    <n v="14.007999999999999"/>
    <n v="6.5919999999999996"/>
    <n v="20.6"/>
    <s v="Sessão a Faturar"/>
    <m/>
    <n v="59415"/>
    <s v="Unidade Vieiralves"/>
    <m/>
    <m/>
  </r>
  <r>
    <x v="4"/>
    <x v="44"/>
    <s v="Marcos Andre de Noronha Bezerra"/>
    <s v="Masculino"/>
    <x v="24"/>
    <x v="8"/>
    <s v="14 - Pilates (3X Na Semana) (R$ 44,80)"/>
    <s v="Pilates"/>
    <n v="169004"/>
    <s v="Finalizado (10/10)"/>
    <n v="30.463999999999999"/>
    <n v="14.336"/>
    <n v="44.8"/>
    <s v="Sessão a Faturar"/>
    <n v="42296"/>
    <n v="42296"/>
    <s v="Unidade Vieiralves"/>
    <n v="169004"/>
    <m/>
  </r>
  <r>
    <x v="4"/>
    <x v="44"/>
    <s v="Luzia Pimentel da Silva"/>
    <s v="Feminino"/>
    <x v="7"/>
    <x v="8"/>
    <s v="Pilates 2x semana (R$ 390,00)"/>
    <s v="Pilates"/>
    <n v="168857"/>
    <s v="Finalizado (7/9)"/>
    <n v="29.25"/>
    <n v="19.5"/>
    <n v="48.75"/>
    <s v="Pago"/>
    <n v="954600000728020"/>
    <n v="54027"/>
    <s v="Unidade Vieiralves"/>
    <n v="168857"/>
    <m/>
  </r>
  <r>
    <x v="4"/>
    <x v="48"/>
    <s v="Francimary da Costa Duarte Otsuka"/>
    <s v="Feminino"/>
    <x v="1"/>
    <x v="8"/>
    <s v="50000861 - Pilates (R$ 40,00)"/>
    <s v="Pilates"/>
    <n v="8017166"/>
    <s v="Finalizado (8/10)"/>
    <n v="27.2"/>
    <n v="12.8"/>
    <n v="40"/>
    <s v="Sessão Faturada"/>
    <n v="2001013467330100"/>
    <n v="42241"/>
    <s v="Unidade Vieiralves"/>
    <n v="8017166"/>
    <s v="Guia assinada!"/>
  </r>
  <r>
    <x v="4"/>
    <x v="48"/>
    <s v="Eloise Miranda dos Santos"/>
    <s v="Feminino"/>
    <x v="23"/>
    <x v="8"/>
    <s v="50000853 - Pilates ( 12X Mensais) (R$ 20,60)"/>
    <s v="Pilates"/>
    <n v="170407"/>
    <s v="Finalizado (4/12)"/>
    <n v="14.007999999999999"/>
    <n v="6.5919999999999996"/>
    <n v="20.6"/>
    <s v="Sessão a Faturar"/>
    <n v="774642019992020"/>
    <n v="56839"/>
    <s v="Unidade Vieiralves"/>
    <n v="170407"/>
    <m/>
  </r>
  <r>
    <x v="4"/>
    <x v="49"/>
    <s v="Carolina Cassia Batista Santos"/>
    <s v="Feminino"/>
    <x v="1"/>
    <x v="8"/>
    <s v="50000861 - Pilates (R$ 40,00)"/>
    <s v="Pilates"/>
    <n v="8823825"/>
    <s v="Finalizado (3/10)"/>
    <n v="27.2"/>
    <n v="12.8"/>
    <n v="40"/>
    <s v="Sessão Faturada"/>
    <s v="0301011642880052"/>
    <n v="58647"/>
    <s v="Unidade Vieiralves"/>
    <n v="8823825"/>
    <m/>
  </r>
  <r>
    <x v="4"/>
    <x v="49"/>
    <s v="Roberta Ferreira Coelho de Andrade"/>
    <s v="Feminino"/>
    <x v="1"/>
    <x v="8"/>
    <s v="50000861 - Pilates (R$ 40,00)"/>
    <s v="Pilates"/>
    <n v="9034850"/>
    <s v="Finalizado (4/10)"/>
    <n v="27.2"/>
    <n v="12.8"/>
    <n v="40"/>
    <s v="Sessão a Faturar"/>
    <s v="0701010939440006"/>
    <n v="58292"/>
    <s v="Unidade Vieiralves"/>
    <n v="9034850"/>
    <s v="GUIA ASSINADA"/>
  </r>
  <r>
    <x v="4"/>
    <x v="49"/>
    <s v="Maria Amélia Gomes da Silva"/>
    <s v="Feminino"/>
    <x v="23"/>
    <x v="8"/>
    <s v="50000853 - Pilates ( 12X Mensais) (R$ 20,60)"/>
    <s v="Pilates"/>
    <m/>
    <s v="Finalizado (1/12)"/>
    <n v="14.007999999999999"/>
    <n v="6.5919999999999996"/>
    <n v="20.6"/>
    <s v="Sessão a Faturar"/>
    <s v="00"/>
    <n v="59644"/>
    <s v="Unidade Vieiralves"/>
    <m/>
    <m/>
  </r>
  <r>
    <x v="4"/>
    <x v="38"/>
    <s v="Tereza Maria de Oliveira"/>
    <m/>
    <x v="20"/>
    <x v="8"/>
    <s v="00011003 - Pilates (R$ 28,80)"/>
    <s v="Pilates"/>
    <n v="55496800"/>
    <s v="Finalizado (4/10)"/>
    <n v="19.584"/>
    <n v="9.2159999999999993"/>
    <n v="28.8"/>
    <s v="Sessão Faturada"/>
    <n v="10511000335503"/>
    <n v="58359"/>
    <s v="Unidade Vieiralves"/>
    <n v="55496800"/>
    <m/>
  </r>
  <r>
    <x v="4"/>
    <x v="38"/>
    <s v="Kely Cristiny Oliveira Lima"/>
    <m/>
    <x v="23"/>
    <x v="8"/>
    <s v="50000853 - Pilates ( 12X Mensais) (R$ 20,60)"/>
    <s v="Pilates"/>
    <m/>
    <s v="Finalizado (5/11)"/>
    <n v="14.007999999999999"/>
    <n v="6.5919999999999996"/>
    <n v="20.6"/>
    <s v="Sessão a Faturar"/>
    <m/>
    <n v="59529"/>
    <s v="Unidade Vieiralves"/>
    <m/>
    <m/>
  </r>
  <r>
    <x v="4"/>
    <x v="50"/>
    <s v="Franclides Correa Ribeiro"/>
    <s v="Masculino"/>
    <x v="7"/>
    <x v="8"/>
    <s v="Pilates 2x semana (R$ 390,00)"/>
    <s v="Pilates"/>
    <m/>
    <s v="Finalizado (1/8)"/>
    <n v="29.25"/>
    <n v="19.5"/>
    <n v="48.75"/>
    <s v="Pago"/>
    <s v="00"/>
    <n v="59660"/>
    <s v="Unidade Vieiralves"/>
    <m/>
    <m/>
  </r>
  <r>
    <x v="4"/>
    <x v="50"/>
    <s v="Claudia Miyuki Muramoto Sako"/>
    <s v="Feminino"/>
    <x v="7"/>
    <x v="8"/>
    <s v="Vieiralves - 28 - Pilates 2X Na Semana (R$ 39,00)"/>
    <s v="Pilates"/>
    <n v="171436"/>
    <s v="Finalizado (2/10)"/>
    <n v="23.4"/>
    <n v="15.6"/>
    <n v="39"/>
    <s v="Pago"/>
    <n v="885854000132010"/>
    <n v="49229"/>
    <s v="Unidade Vieiralves"/>
    <n v="171436"/>
    <m/>
  </r>
  <r>
    <x v="24"/>
    <x v="44"/>
    <s v="Valmir Cesar Pozzetti"/>
    <s v="Masculino"/>
    <x v="7"/>
    <x v="8"/>
    <s v="Pilates 2x semana (R$ 390,00)"/>
    <s v="Pilates"/>
    <n v="171176"/>
    <s v="Finalizado (1/9)"/>
    <n v="33.428571428570997"/>
    <n v="22.285714285714"/>
    <n v="55.714285714286"/>
    <s v="Pago"/>
    <s v="0901013948180030"/>
    <n v="43203"/>
    <s v="Unidade Vieiralves"/>
    <n v="171176"/>
    <m/>
  </r>
  <r>
    <x v="24"/>
    <x v="48"/>
    <s v="Livia Costa de Freitas"/>
    <s v="Feminino"/>
    <x v="1"/>
    <x v="8"/>
    <s v="50000861 - Pilates (R$ 40,00)"/>
    <s v="Pilates"/>
    <n v="8897210"/>
    <s v="Finalizado (8/10)"/>
    <n v="27.2"/>
    <n v="12.8"/>
    <n v="40"/>
    <s v="Sessão Faturada"/>
    <n v="2001012767450000"/>
    <n v="58949"/>
    <s v="Unidade Vieiralves"/>
    <n v="8897210"/>
    <m/>
  </r>
  <r>
    <x v="24"/>
    <x v="48"/>
    <s v="Gabriele de Souza Cruz"/>
    <s v="Feminino"/>
    <x v="1"/>
    <x v="8"/>
    <s v="50000861 - Pilates (R$ 40,00)"/>
    <s v="Pilates"/>
    <n v="9146414"/>
    <s v="Finalizado (3/10)"/>
    <n v="27.2"/>
    <n v="12.8"/>
    <n v="40"/>
    <s v="Sessão Faturada"/>
    <n v="1301012299900100"/>
    <n v="58226"/>
    <s v="Unidade Vieiralves"/>
    <n v="9146414"/>
    <s v="Guia assinada!"/>
  </r>
  <r>
    <x v="24"/>
    <x v="48"/>
    <s v="Celia Regina Simonetti Barbalho"/>
    <s v="Feminino"/>
    <x v="1"/>
    <x v="8"/>
    <s v="50000861 - Pilates (R$ 40,00)"/>
    <s v="Pilates"/>
    <n v="9073765"/>
    <s v="Finalizado (2/10)"/>
    <n v="27.2"/>
    <n v="12.8"/>
    <n v="40"/>
    <s v="Sessão a Faturar"/>
    <s v="0901012965130039"/>
    <n v="36041"/>
    <s v="Unidade Vieiralves"/>
    <n v="9073765"/>
    <m/>
  </r>
  <r>
    <x v="24"/>
    <x v="49"/>
    <s v="Karen Abecassis Calado"/>
    <m/>
    <x v="23"/>
    <x v="8"/>
    <s v="50000853 - Pilates ( 12X Mensais) (R$ 20,60)"/>
    <s v="Pilates"/>
    <m/>
    <s v="Finalizado (2/11)"/>
    <n v="14.007999999999999"/>
    <n v="6.5919999999999996"/>
    <n v="20.6"/>
    <s v="Sessão a Faturar"/>
    <m/>
    <n v="59558"/>
    <s v="Unidade Vieiralves"/>
    <m/>
    <m/>
  </r>
  <r>
    <x v="24"/>
    <x v="49"/>
    <s v="Bruna Rebeca Braz Borges"/>
    <m/>
    <x v="23"/>
    <x v="8"/>
    <s v="50000853 - Pilates ( 12X Mensais) (R$ 20,60)"/>
    <s v="Pilates"/>
    <m/>
    <s v="Finalizado (2/11)"/>
    <n v="14.007999999999999"/>
    <n v="6.5919999999999996"/>
    <n v="20.6"/>
    <s v="Sessão a Faturar"/>
    <m/>
    <n v="59559"/>
    <s v="Unidade Vieiralves"/>
    <m/>
    <m/>
  </r>
  <r>
    <x v="24"/>
    <x v="49"/>
    <s v="Jessica Rodrigues de Oliveira"/>
    <s v="Feminino"/>
    <x v="23"/>
    <x v="8"/>
    <s v="50000853 - Pilates ( 12X Mensais) (R$ 20,60)"/>
    <s v="Pilates"/>
    <m/>
    <s v="Finalizado (2/11)"/>
    <n v="14.007999999999999"/>
    <n v="6.5919999999999996"/>
    <n v="20.6"/>
    <s v="Sessão a Faturar"/>
    <s v="00"/>
    <n v="59560"/>
    <s v="Unidade Vieiralves"/>
    <m/>
    <m/>
  </r>
  <r>
    <x v="24"/>
    <x v="38"/>
    <s v="Lygia de Lima Souza Amirati"/>
    <s v="Feminino"/>
    <x v="23"/>
    <x v="8"/>
    <s v="50000853 - Pilates ( 12X Mensais) (R$ 20,60)"/>
    <s v="Pilates"/>
    <m/>
    <s v="Finalizado (5/12)"/>
    <n v="14.007999999999999"/>
    <n v="6.5919999999999996"/>
    <n v="20.6"/>
    <s v="Sessão a Faturar"/>
    <s v="010988828307"/>
    <n v="43121"/>
    <s v="Unidade Vieiralves"/>
    <m/>
    <m/>
  </r>
  <r>
    <x v="24"/>
    <x v="50"/>
    <s v="Marcos Eduardo de Oliveira da Silva"/>
    <s v="Masculino"/>
    <x v="23"/>
    <x v="8"/>
    <s v="50000853 - Pilates ( 12X Mensais) (R$ 20,60)"/>
    <s v="Pilates"/>
    <n v="172216"/>
    <s v="Finalizado (2/12)"/>
    <n v="14.007999999999999"/>
    <n v="6.5919999999999996"/>
    <n v="20.6"/>
    <s v="Sessão a Faturar"/>
    <s v="00"/>
    <n v="57237"/>
    <s v="Unidade Vieiralves"/>
    <n v="172216"/>
    <m/>
  </r>
  <r>
    <x v="24"/>
    <x v="50"/>
    <s v="Isabelly Ferreira Fernandes"/>
    <m/>
    <x v="7"/>
    <x v="8"/>
    <s v="Pilates 2x semana (R$ 390,00)"/>
    <s v="Pilates"/>
    <n v="171974"/>
    <s v="Finalizado (2/10)"/>
    <n v="26"/>
    <n v="17.333333333333002"/>
    <n v="43.333333333333002"/>
    <s v="Pago"/>
    <n v="59314"/>
    <n v="59314"/>
    <s v="Unidade Vieiralves"/>
    <n v="171974"/>
    <m/>
  </r>
  <r>
    <x v="24"/>
    <x v="50"/>
    <s v="Graciula Furtado Araújo"/>
    <s v="Feminino"/>
    <x v="5"/>
    <x v="8"/>
    <s v="50000853 - Pilates - 04/03/2026 (R$ 39,77)"/>
    <s v="Pilates"/>
    <n v="75986180"/>
    <s v="Finalizado (6/10)"/>
    <n v="27.043600000000001"/>
    <n v="12.7264"/>
    <n v="39.770000000000003"/>
    <s v="Sessão Faturada"/>
    <s v="0100938670000353"/>
    <n v="58260"/>
    <s v="Unidade Vieiralves"/>
    <n v="75986180"/>
    <m/>
  </r>
  <r>
    <x v="5"/>
    <x v="44"/>
    <s v="Marcos Andre de Noronha Bezerra"/>
    <s v="Masculino"/>
    <x v="24"/>
    <x v="8"/>
    <s v="14 - Pilates (3X Na Semana) (R$ 44,80)"/>
    <s v="Pilates"/>
    <m/>
    <s v="Finalizado (1/14)"/>
    <n v="30.463999999999999"/>
    <n v="14.336"/>
    <n v="44.8"/>
    <s v="Sessão a Faturar"/>
    <n v="42296"/>
    <n v="42296"/>
    <s v="Unidade Vieiralves"/>
    <m/>
    <m/>
  </r>
  <r>
    <x v="5"/>
    <x v="44"/>
    <s v="Vanessa Reis de Sousa"/>
    <s v="Feminino"/>
    <x v="5"/>
    <x v="8"/>
    <s v="50000853 - Pilates - 04/03/2026 (R$ 39,77)"/>
    <s v="Pilates"/>
    <n v="76419980"/>
    <s v="Finalizado (1/10)"/>
    <n v="27.043600000000001"/>
    <n v="12.7264"/>
    <n v="39.770000000000003"/>
    <s v="Sessão Faturada"/>
    <s v="0101225511000243"/>
    <n v="42402"/>
    <s v="Unidade Vieiralves"/>
    <n v="76419980"/>
    <m/>
  </r>
  <r>
    <x v="5"/>
    <x v="48"/>
    <s v="Emanuele Menezes da Silva"/>
    <s v="Feminino"/>
    <x v="23"/>
    <x v="8"/>
    <s v="50000853 - Pilates ( 12X Mensais) (R$ 20,60)"/>
    <s v="Pilates"/>
    <m/>
    <s v="Finalizado (4/12)"/>
    <n v="14.007999999999999"/>
    <n v="6.5919999999999996"/>
    <n v="20.6"/>
    <s v="Sessão a Faturar"/>
    <n v="774642014893010"/>
    <n v="44534"/>
    <s v="Unidade Vieiralves"/>
    <m/>
    <m/>
  </r>
  <r>
    <x v="5"/>
    <x v="49"/>
    <s v="Maria Amélia Gomes da Silva"/>
    <s v="Feminino"/>
    <x v="23"/>
    <x v="8"/>
    <s v="50000853 - Pilates ( 12X Mensais) (R$ 20,60)"/>
    <s v="Pilates"/>
    <m/>
    <s v="Finalizado (2/12)"/>
    <n v="14.007999999999999"/>
    <n v="6.5919999999999996"/>
    <n v="20.6"/>
    <s v="Sessão a Faturar"/>
    <s v="00"/>
    <n v="59644"/>
    <s v="Unidade Vieiralves"/>
    <m/>
    <m/>
  </r>
  <r>
    <x v="5"/>
    <x v="38"/>
    <s v="Kely Cristiny Oliveira Lima"/>
    <m/>
    <x v="23"/>
    <x v="8"/>
    <s v="50000853 - Pilates ( 12X Mensais) (R$ 20,60)"/>
    <s v="Pilates"/>
    <m/>
    <s v="Finalizado (6/11)"/>
    <n v="14.007999999999999"/>
    <n v="6.5919999999999996"/>
    <n v="20.6"/>
    <s v="Sessão a Faturar"/>
    <m/>
    <n v="59529"/>
    <s v="Unidade Vieiralves"/>
    <m/>
    <m/>
  </r>
  <r>
    <x v="5"/>
    <x v="50"/>
    <s v="Franclides Correa Ribeiro"/>
    <s v="Masculino"/>
    <x v="7"/>
    <x v="8"/>
    <s v="Pilates 2x semana (R$ 390,00)"/>
    <s v="Pilates"/>
    <m/>
    <s v="Finalizado (2/8)"/>
    <n v="29.25"/>
    <n v="19.5"/>
    <n v="48.75"/>
    <s v="Pago"/>
    <s v="00"/>
    <n v="59660"/>
    <s v="Unidade Vieiralves"/>
    <m/>
    <m/>
  </r>
  <r>
    <x v="5"/>
    <x v="50"/>
    <s v="Isabelly Ferreira Fernandes"/>
    <m/>
    <x v="7"/>
    <x v="8"/>
    <s v="Pilates 2x semana (R$ 390,00)"/>
    <s v="Pilates"/>
    <n v="171974"/>
    <s v="Finalizado (3/10)"/>
    <n v="26"/>
    <n v="17.333333333333002"/>
    <n v="43.333333333333002"/>
    <s v="Pago"/>
    <n v="59314"/>
    <n v="59314"/>
    <s v="Unidade Vieiralves"/>
    <n v="171974"/>
    <m/>
  </r>
  <r>
    <x v="5"/>
    <x v="51"/>
    <s v="Lygia de Lima Souza Amirati"/>
    <s v="Feminino"/>
    <x v="23"/>
    <x v="8"/>
    <s v="50000853 - Pilates ( 12X Mensais) (R$ 20,60)"/>
    <s v="Pilates"/>
    <m/>
    <s v="Finalizado (6/12)"/>
    <n v="14.007999999999999"/>
    <n v="6.5919999999999996"/>
    <n v="20.6"/>
    <s v="Sessão a Faturar"/>
    <s v="010988828307"/>
    <n v="43121"/>
    <s v="Unidade Vieiralves"/>
    <m/>
    <m/>
  </r>
  <r>
    <x v="6"/>
    <x v="44"/>
    <s v="Graciula Furtado Araújo"/>
    <s v="Feminino"/>
    <x v="5"/>
    <x v="8"/>
    <s v="50000853 - Pilates - 04/03/2026 (R$ 39,77)"/>
    <s v="Pilates"/>
    <n v="75986180"/>
    <s v="Finalizado (7/10)"/>
    <n v="27.043600000000001"/>
    <n v="12.7264"/>
    <n v="39.770000000000003"/>
    <s v="Sessão Faturada"/>
    <s v="0100938670000353"/>
    <n v="58260"/>
    <s v="Unidade Vieiralves"/>
    <n v="75986180"/>
    <m/>
  </r>
  <r>
    <x v="6"/>
    <x v="44"/>
    <s v="Luzia Pimentel da Silva"/>
    <s v="Feminino"/>
    <x v="7"/>
    <x v="8"/>
    <s v="Pilates 2x semana (R$ 390,00)"/>
    <s v="Pilates"/>
    <n v="168857"/>
    <s v="Finalizado (8/9)"/>
    <n v="29.25"/>
    <n v="19.5"/>
    <n v="48.75"/>
    <s v="Pago"/>
    <n v="954600000728020"/>
    <n v="54027"/>
    <s v="Unidade Vieiralves"/>
    <n v="168857"/>
    <m/>
  </r>
  <r>
    <x v="6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6"/>
    <x v="48"/>
    <s v="Thays Andreia Soares Costa"/>
    <s v="Feminino"/>
    <x v="1"/>
    <x v="8"/>
    <s v="50000861 - Pilates (R$ 40,00)"/>
    <s v="Pilates"/>
    <n v="9051597"/>
    <s v="Finalizado (4/10)"/>
    <n v="27.2"/>
    <n v="12.8"/>
    <n v="40"/>
    <s v="Sessão Faturada"/>
    <n v="1301013143590100"/>
    <n v="54611"/>
    <s v="Unidade Vieiralves"/>
    <n v="9051597"/>
    <s v="Guia assinada!"/>
  </r>
  <r>
    <x v="6"/>
    <x v="48"/>
    <s v="Ana Maria Barros Martins"/>
    <s v="Feminino"/>
    <x v="1"/>
    <x v="8"/>
    <s v="50000861 - Pilates (R$ 40,00)"/>
    <s v="Pilates"/>
    <n v="8866994"/>
    <s v="Finalizado (7/10)"/>
    <n v="27.2"/>
    <n v="12.8"/>
    <n v="40"/>
    <s v="Sessão Faturada"/>
    <s v="0201005329570033"/>
    <n v="55774"/>
    <s v="Unidade Vieiralves"/>
    <n v="8866994"/>
    <m/>
  </r>
  <r>
    <x v="6"/>
    <x v="49"/>
    <s v="Raimundo Soares Neto"/>
    <s v="Masculino"/>
    <x v="7"/>
    <x v="8"/>
    <s v="Vieiralves - 28 - Pilates 2X Na Semana (R$ 39,00)"/>
    <s v="Pilates"/>
    <n v="171256"/>
    <s v="Finalizado (4/10)"/>
    <n v="23.4"/>
    <n v="15.6"/>
    <n v="39"/>
    <s v="Pago"/>
    <s v="0904001770230035"/>
    <n v="57377"/>
    <s v="Unidade Vieiralves"/>
    <n v="171256"/>
    <m/>
  </r>
  <r>
    <x v="6"/>
    <x v="49"/>
    <s v="Roberta Ferreira Coelho de Andrade"/>
    <s v="Feminino"/>
    <x v="1"/>
    <x v="8"/>
    <s v="50000861 - Pilates (R$ 40,00)"/>
    <s v="Pilates"/>
    <n v="9034850"/>
    <s v="Finalizado (5/10)"/>
    <n v="27.2"/>
    <n v="12.8"/>
    <n v="40"/>
    <s v="Sessão a Faturar"/>
    <s v="0701010939440006"/>
    <n v="58292"/>
    <s v="Unidade Vieiralves"/>
    <n v="9034850"/>
    <s v="GUIA ASSINADA"/>
  </r>
  <r>
    <x v="6"/>
    <x v="38"/>
    <s v="Tanira Rozane Eder Martins"/>
    <s v="Feminino"/>
    <x v="19"/>
    <x v="8"/>
    <s v="90050231 - Pilates (2X Por Semana No Máximo) - 17/03/2026 (R$ 66,18)"/>
    <s v="Pilates"/>
    <n v="5827040"/>
    <s v="Finalizado (7/10)"/>
    <n v="45.002400000000002"/>
    <n v="21.177600000000002"/>
    <n v="66.180000000000007"/>
    <s v="Sessão Faturada"/>
    <s v="0001000033690081"/>
    <n v="4997"/>
    <s v="Unidade Vieiralves"/>
    <n v="5827040"/>
    <m/>
  </r>
  <r>
    <x v="6"/>
    <x v="38"/>
    <s v="Celia Regina Simonetti Barbalho"/>
    <s v="Feminino"/>
    <x v="1"/>
    <x v="8"/>
    <s v="50000861 - Pilates (R$ 40,00)"/>
    <s v="Pilates"/>
    <n v="9073765"/>
    <s v="Finalizado (3/10)"/>
    <n v="27.2"/>
    <n v="12.8"/>
    <n v="40"/>
    <s v="Sessão a Faturar"/>
    <s v="0901012965130039"/>
    <n v="36041"/>
    <s v="Unidade Vieiralves"/>
    <n v="9073765"/>
    <m/>
  </r>
  <r>
    <x v="6"/>
    <x v="50"/>
    <s v="Claudia Miyuki Muramoto Sako"/>
    <s v="Feminino"/>
    <x v="7"/>
    <x v="8"/>
    <s v="Vieiralves - 28 - Pilates 2X Na Semana (R$ 39,00)"/>
    <s v="Pilates"/>
    <n v="171436"/>
    <s v="Finalizado (3/10)"/>
    <n v="23.4"/>
    <n v="15.6"/>
    <n v="39"/>
    <s v="Pago"/>
    <n v="885854000132010"/>
    <n v="49229"/>
    <s v="Unidade Vieiralves"/>
    <n v="171436"/>
    <m/>
  </r>
  <r>
    <x v="6"/>
    <x v="51"/>
    <s v="Silvio Andre Dias Amirati"/>
    <s v="Masculino"/>
    <x v="23"/>
    <x v="8"/>
    <s v="50000853 - Pilates ( 12X Mensais) (R$ 20,60)"/>
    <s v="Pilates"/>
    <m/>
    <s v="Finalizado (2/12)"/>
    <n v="14.007999999999999"/>
    <n v="6.5919999999999996"/>
    <n v="20.6"/>
    <s v="Sessão a Faturar"/>
    <s v="010988828300"/>
    <n v="15344"/>
    <s v="Unidade Vieiralves"/>
    <m/>
    <m/>
  </r>
  <r>
    <x v="6"/>
    <x v="51"/>
    <s v="Clarisse Souza Gaudino de Lima"/>
    <s v="Feminino"/>
    <x v="23"/>
    <x v="8"/>
    <s v="50000853 - Pilates ( 12X Mensais) (R$ 20,60)"/>
    <s v="Pilates"/>
    <m/>
    <s v="Finalizado (11/12)"/>
    <n v="14.007999999999999"/>
    <n v="6.5919999999999996"/>
    <n v="20.6"/>
    <s v="Sessão a Faturar"/>
    <m/>
    <n v="59415"/>
    <s v="Unidade Vieiralves"/>
    <m/>
    <m/>
  </r>
  <r>
    <x v="7"/>
    <x v="44"/>
    <s v="Maria Jacirema Ferreira Gonçalves"/>
    <s v="Feminino"/>
    <x v="1"/>
    <x v="8"/>
    <s v="50000861 - Pilates (R$ 40,00)"/>
    <s v="Pilates"/>
    <n v="9350681"/>
    <s v="Finalizado (1/10)"/>
    <n v="27.2"/>
    <n v="12.8"/>
    <n v="40"/>
    <s v="Sessão a Faturar"/>
    <s v="0701012515270061"/>
    <n v="57775"/>
    <s v="Unidade Vieiralves"/>
    <n v="9350681"/>
    <s v="GUIA ASSINADA"/>
  </r>
  <r>
    <x v="7"/>
    <x v="44"/>
    <s v="Emanuele Menezes da Silva"/>
    <s v="Feminino"/>
    <x v="23"/>
    <x v="8"/>
    <s v="50000853 - Pilates ( 12X Mensais) (R$ 20,60)"/>
    <s v="Pilates"/>
    <m/>
    <s v="Finalizado (5/12)"/>
    <n v="14.007999999999999"/>
    <n v="6.5919999999999996"/>
    <n v="20.6"/>
    <s v="Sessão a Faturar"/>
    <n v="774642014893010"/>
    <n v="44534"/>
    <s v="Unidade Vieiralves"/>
    <m/>
    <m/>
  </r>
  <r>
    <x v="7"/>
    <x v="44"/>
    <s v="Marcos Andre de Noronha Bezerra"/>
    <s v="Masculino"/>
    <x v="24"/>
    <x v="8"/>
    <s v="14 - Pilates (3X Na Semana) (R$ 44,80)"/>
    <s v="Pilates"/>
    <m/>
    <s v="Finalizado (2/14)"/>
    <n v="30.463999999999999"/>
    <n v="14.336"/>
    <n v="44.8"/>
    <s v="Sessão a Faturar"/>
    <n v="42296"/>
    <n v="42296"/>
    <s v="Unidade Vieiralves"/>
    <m/>
    <m/>
  </r>
  <r>
    <x v="7"/>
    <x v="49"/>
    <s v="Carolina do Socorro Maia dos Santos"/>
    <s v="Feminino"/>
    <x v="23"/>
    <x v="8"/>
    <s v="50000853 - Pilates ( 12X Mensais) (R$ 20,60)"/>
    <s v="Pilates"/>
    <n v="167993"/>
    <s v="Finalizado (11/12)"/>
    <n v="14.007999999999999"/>
    <n v="6.5919999999999996"/>
    <n v="20.6"/>
    <s v="Sessão a Faturar"/>
    <s v="0100478782001317"/>
    <n v="19814"/>
    <s v="Unidade Vieiralves"/>
    <n v="167993"/>
    <m/>
  </r>
  <r>
    <x v="7"/>
    <x v="49"/>
    <s v="Maria Amélia Gomes da Silva"/>
    <s v="Feminino"/>
    <x v="23"/>
    <x v="8"/>
    <s v="50000853 - Pilates ( 12X Mensais) (R$ 20,60)"/>
    <s v="Pilates"/>
    <m/>
    <s v="Finalizado (3/12)"/>
    <n v="14.007999999999999"/>
    <n v="6.5919999999999996"/>
    <n v="20.6"/>
    <s v="Sessão a Faturar"/>
    <s v="00"/>
    <n v="59644"/>
    <s v="Unidade Vieiralves"/>
    <m/>
    <m/>
  </r>
  <r>
    <x v="7"/>
    <x v="38"/>
    <s v="Tereza Maria de Oliveira"/>
    <m/>
    <x v="20"/>
    <x v="8"/>
    <s v="00011003 - Pilates (R$ 28,80)"/>
    <s v="Pilates"/>
    <n v="55496800"/>
    <s v="Finalizado (5/10)"/>
    <n v="19.584"/>
    <n v="9.2159999999999993"/>
    <n v="28.8"/>
    <s v="Sessão Faturada"/>
    <n v="10511000335503"/>
    <n v="58359"/>
    <s v="Unidade Vieiralves"/>
    <n v="55496800"/>
    <m/>
  </r>
  <r>
    <x v="7"/>
    <x v="38"/>
    <s v="Kely Cristiny Oliveira Lima"/>
    <m/>
    <x v="23"/>
    <x v="8"/>
    <s v="50000853 - Pilates ( 12X Mensais) (R$ 20,60)"/>
    <s v="Pilates"/>
    <m/>
    <s v="Finalizado (7/11)"/>
    <n v="14.007999999999999"/>
    <n v="6.5919999999999996"/>
    <n v="20.6"/>
    <s v="Sessão a Faturar"/>
    <m/>
    <n v="59529"/>
    <s v="Unidade Vieiralves"/>
    <m/>
    <m/>
  </r>
  <r>
    <x v="7"/>
    <x v="50"/>
    <s v="Valmir Cesar Pozzetti"/>
    <s v="Masculino"/>
    <x v="7"/>
    <x v="8"/>
    <s v="Pilates 2x semana (R$ 390,00)"/>
    <s v="Pilates"/>
    <n v="171176"/>
    <s v="Finalizado (2/9)"/>
    <n v="33.428571428570997"/>
    <n v="22.285714285714"/>
    <n v="55.714285714286"/>
    <s v="Pago"/>
    <s v="0901013948180030"/>
    <n v="43203"/>
    <s v="Unidade Vieiralves"/>
    <n v="171176"/>
    <m/>
  </r>
  <r>
    <x v="7"/>
    <x v="50"/>
    <s v="Marcos Eduardo de Oliveira da Silva"/>
    <s v="Masculino"/>
    <x v="23"/>
    <x v="8"/>
    <s v="50000853 - Pilates ( 12X Mensais) (R$ 20,60)"/>
    <s v="Pilates"/>
    <n v="172216"/>
    <s v="Finalizado (4/12)"/>
    <n v="14.007999999999999"/>
    <n v="6.5919999999999996"/>
    <n v="20.6"/>
    <s v="Sessão a Faturar"/>
    <s v="00"/>
    <n v="57237"/>
    <s v="Unidade Vieiralves"/>
    <n v="172216"/>
    <m/>
  </r>
  <r>
    <x v="8"/>
    <x v="44"/>
    <s v="Graciula Furtado Araújo"/>
    <s v="Feminino"/>
    <x v="5"/>
    <x v="8"/>
    <s v="50000853 - Pilates - 04/03/2026 (R$ 39,77)"/>
    <s v="Pilates"/>
    <n v="75986180"/>
    <s v="Finalizado (8/10)"/>
    <n v="27.043600000000001"/>
    <n v="12.7264"/>
    <n v="39.770000000000003"/>
    <s v="Sessão Faturada"/>
    <s v="0100938670000353"/>
    <n v="58260"/>
    <s v="Unidade Vieiralves"/>
    <n v="75986180"/>
    <m/>
  </r>
  <r>
    <x v="8"/>
    <x v="44"/>
    <s v="Luzia Pimentel da Silva"/>
    <s v="Feminino"/>
    <x v="7"/>
    <x v="8"/>
    <s v="Vieiralves - 28 - Pilates 2X Na Semana (R$ 39,00)"/>
    <s v="Pilates"/>
    <n v="172963"/>
    <s v="Finalizado (1/10)"/>
    <n v="23.4"/>
    <n v="15.6"/>
    <n v="39"/>
    <s v="Pago"/>
    <n v="954600000728020"/>
    <n v="54027"/>
    <s v="Unidade Vieiralves"/>
    <n v="172963"/>
    <m/>
  </r>
  <r>
    <x v="8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8"/>
    <x v="48"/>
    <s v="Francimary da Costa Duarte Otsuka"/>
    <s v="Feminino"/>
    <x v="1"/>
    <x v="8"/>
    <s v="50000861 - Pilates (R$ 40,00)"/>
    <s v="Pilates"/>
    <n v="8017166"/>
    <s v="Finalizado (9/10)"/>
    <n v="27.2"/>
    <n v="12.8"/>
    <n v="40"/>
    <s v="Sessão Faturada"/>
    <n v="2001013467330100"/>
    <n v="42241"/>
    <s v="Unidade Vieiralves"/>
    <n v="8017166"/>
    <s v="Guia assinada!"/>
  </r>
  <r>
    <x v="8"/>
    <x v="48"/>
    <s v="Ana Maria Barros Martins"/>
    <s v="Feminino"/>
    <x v="1"/>
    <x v="8"/>
    <s v="50000861 - Pilates (R$ 40,00)"/>
    <s v="Pilates"/>
    <n v="8866994"/>
    <s v="Finalizado (8/10)"/>
    <n v="27.2"/>
    <n v="12.8"/>
    <n v="40"/>
    <s v="Sessão Faturada"/>
    <s v="0201005329570033"/>
    <n v="55774"/>
    <s v="Unidade Vieiralves"/>
    <n v="8866994"/>
    <m/>
  </r>
  <r>
    <x v="8"/>
    <x v="49"/>
    <s v="Thays Andreia Soares Costa"/>
    <s v="Feminino"/>
    <x v="1"/>
    <x v="8"/>
    <s v="50000861 - Pilates (R$ 40,00)"/>
    <s v="Pilates"/>
    <n v="9051597"/>
    <s v="Finalizado (5/10)"/>
    <n v="27.2"/>
    <n v="12.8"/>
    <n v="40"/>
    <s v="Sessão Faturada"/>
    <n v="1301013143590100"/>
    <n v="54611"/>
    <s v="Unidade Vieiralves"/>
    <n v="9051597"/>
    <s v="Guia assinada!"/>
  </r>
  <r>
    <x v="8"/>
    <x v="38"/>
    <s v="Claudia Miyuki Muramoto Sako"/>
    <s v="Feminino"/>
    <x v="7"/>
    <x v="8"/>
    <s v="Vieiralves - 28 - Pilates 2X Na Semana (R$ 39,00)"/>
    <s v="Pilates"/>
    <n v="171436"/>
    <s v="Finalizado (4/10)"/>
    <n v="23.4"/>
    <n v="15.6"/>
    <n v="39"/>
    <s v="Pago"/>
    <n v="885854000132010"/>
    <n v="49229"/>
    <s v="Unidade Vieiralves"/>
    <n v="171436"/>
    <m/>
  </r>
  <r>
    <x v="8"/>
    <x v="38"/>
    <s v="Rita de Cassia Balbi Alves"/>
    <s v="Feminino"/>
    <x v="19"/>
    <x v="8"/>
    <s v="90050231 - Pilates (2X Por Semana No Máximo) - 17/03/2026 (R$ 66,18)"/>
    <s v="Pilates"/>
    <n v="5790260"/>
    <s v="Finalizado (4/10)"/>
    <n v="45.002400000000002"/>
    <n v="21.177600000000002"/>
    <n v="66.180000000000007"/>
    <s v="Sessão Faturada"/>
    <s v="0001000034150505"/>
    <n v="37165"/>
    <s v="Unidade Vieiralves"/>
    <n v="5790260"/>
    <m/>
  </r>
  <r>
    <x v="8"/>
    <x v="50"/>
    <s v="Irleda de Carvalho Leal Nobre Leao"/>
    <s v="Feminino"/>
    <x v="1"/>
    <x v="8"/>
    <s v="50000861 - Pilates (R$ 40,00)"/>
    <s v="Pilates"/>
    <n v="9350520"/>
    <s v="Finalizado (2/10)"/>
    <n v="27.2"/>
    <n v="12.8"/>
    <n v="40"/>
    <s v="Sessão a Faturar"/>
    <s v="0903006735450160"/>
    <n v="58787"/>
    <s v="Unidade Vieiralves"/>
    <n v="9350520"/>
    <m/>
  </r>
  <r>
    <x v="8"/>
    <x v="50"/>
    <s v="Isabelly Ferreira Fernandes"/>
    <m/>
    <x v="7"/>
    <x v="8"/>
    <s v="Pilates 2x semana (R$ 390,00)"/>
    <s v="Pilates"/>
    <n v="171974"/>
    <s v="Finalizado (4/10)"/>
    <n v="26"/>
    <n v="17.333333333333002"/>
    <n v="43.333333333333002"/>
    <s v="Pago"/>
    <n v="59314"/>
    <n v="59314"/>
    <s v="Unidade Vieiralves"/>
    <n v="171974"/>
    <m/>
  </r>
  <r>
    <x v="8"/>
    <x v="51"/>
    <s v="Silvio Andre Dias Amirati"/>
    <s v="Masculino"/>
    <x v="23"/>
    <x v="8"/>
    <s v="50000853 - Pilates ( 12X Mensais) (R$ 20,60)"/>
    <s v="Pilates"/>
    <m/>
    <s v="Finalizado (3/12)"/>
    <n v="14.007999999999999"/>
    <n v="6.5919999999999996"/>
    <n v="20.6"/>
    <s v="Sessão a Faturar"/>
    <s v="010988828300"/>
    <n v="15344"/>
    <s v="Unidade Vieiralves"/>
    <m/>
    <m/>
  </r>
  <r>
    <x v="8"/>
    <x v="51"/>
    <s v="Clarisse Souza Gaudino de Lima"/>
    <s v="Feminino"/>
    <x v="23"/>
    <x v="8"/>
    <s v="50000853 - Pilates ( 12X Mensais) (R$ 20,60)"/>
    <s v="Pilates"/>
    <m/>
    <s v="Finalizado (12/12)"/>
    <n v="14.007999999999999"/>
    <n v="6.5919999999999996"/>
    <n v="20.6"/>
    <s v="Sessão a Faturar"/>
    <m/>
    <n v="59415"/>
    <s v="Unidade Vieiralves"/>
    <m/>
    <m/>
  </r>
  <r>
    <x v="8"/>
    <x v="51"/>
    <s v="Tanira Rozane Eder Martins"/>
    <s v="Feminino"/>
    <x v="19"/>
    <x v="8"/>
    <s v="90050231 - Pilates (2X Por Semana No Máximo) - 17/03/2026 (R$ 66,18)"/>
    <s v="Pilates"/>
    <n v="5827040"/>
    <s v="Finalizado (8/10)"/>
    <n v="45.002400000000002"/>
    <n v="21.177600000000002"/>
    <n v="66.180000000000007"/>
    <s v="Sessão Faturada"/>
    <s v="0001000033690081"/>
    <n v="4997"/>
    <s v="Unidade Vieiralves"/>
    <n v="5827040"/>
    <m/>
  </r>
  <r>
    <x v="9"/>
    <x v="44"/>
    <s v="Maria Jacirema Ferreira Gonçalves"/>
    <s v="Feminino"/>
    <x v="1"/>
    <x v="8"/>
    <s v="50000861 - Pilates (R$ 40,00)"/>
    <s v="Pilates"/>
    <n v="9350681"/>
    <s v="Finalizado (2/10)"/>
    <n v="27.2"/>
    <n v="12.8"/>
    <n v="40"/>
    <s v="Sessão a Faturar"/>
    <s v="0701012515270061"/>
    <n v="57775"/>
    <s v="Unidade Vieiralves"/>
    <n v="9350681"/>
    <s v="GUIA ASSINADA"/>
  </r>
  <r>
    <x v="9"/>
    <x v="44"/>
    <s v="Marcos Andre de Noronha Bezerra"/>
    <s v="Masculino"/>
    <x v="24"/>
    <x v="8"/>
    <s v="14 - Pilates (3X Na Semana) (R$ 44,80)"/>
    <s v="Pilates"/>
    <m/>
    <s v="Finalizado (3/14)"/>
    <n v="30.463999999999999"/>
    <n v="14.336"/>
    <n v="44.8"/>
    <s v="Sessão a Faturar"/>
    <n v="42296"/>
    <n v="42296"/>
    <s v="Unidade Vieiralves"/>
    <m/>
    <m/>
  </r>
  <r>
    <x v="9"/>
    <x v="48"/>
    <s v="Gabriele de Souza Cruz"/>
    <s v="Feminino"/>
    <x v="1"/>
    <x v="8"/>
    <s v="50000861 - Pilates (R$ 40,00)"/>
    <s v="Pilates"/>
    <n v="9146414"/>
    <s v="Finalizado (4/10)"/>
    <n v="27.2"/>
    <n v="12.8"/>
    <n v="40"/>
    <s v="Sessão Faturada"/>
    <n v="1301012299900100"/>
    <n v="58226"/>
    <s v="Unidade Vieiralves"/>
    <n v="9146414"/>
    <s v="Guia assinada!"/>
  </r>
  <r>
    <x v="9"/>
    <x v="48"/>
    <s v="Eloise Miranda dos Santos"/>
    <s v="Feminino"/>
    <x v="23"/>
    <x v="8"/>
    <s v="50000853 - Pilates ( 12X Mensais) (R$ 20,60)"/>
    <s v="Pilates"/>
    <n v="170407"/>
    <s v="Finalizado (5/12)"/>
    <n v="14.007999999999999"/>
    <n v="6.5919999999999996"/>
    <n v="20.6"/>
    <s v="Sessão a Faturar"/>
    <n v="774642019992020"/>
    <n v="56839"/>
    <s v="Unidade Vieiralves"/>
    <n v="170407"/>
    <m/>
  </r>
  <r>
    <x v="9"/>
    <x v="49"/>
    <s v="Roberta Ferreira Coelho de Andrade"/>
    <s v="Feminino"/>
    <x v="1"/>
    <x v="8"/>
    <s v="50000861 - Pilates (R$ 40,00)"/>
    <s v="Pilates"/>
    <n v="9034850"/>
    <s v="Finalizado (6/10)"/>
    <n v="27.2"/>
    <n v="12.8"/>
    <n v="40"/>
    <s v="Sessão a Faturar"/>
    <s v="0701010939440006"/>
    <n v="58292"/>
    <s v="Unidade Vieiralves"/>
    <n v="9034850"/>
    <s v="GUIA ASSINADA"/>
  </r>
  <r>
    <x v="9"/>
    <x v="49"/>
    <s v="Tatianna Silva Portes"/>
    <s v="Feminino"/>
    <x v="5"/>
    <x v="8"/>
    <s v="50000853 - Pilates - 04/03/2026 (R$ 39,77)"/>
    <s v="Pilates"/>
    <n v="77014540"/>
    <s v="Finalizado (7/10)"/>
    <n v="27.043600000000001"/>
    <n v="12.7264"/>
    <n v="39.770000000000003"/>
    <s v="Sessão Faturada"/>
    <s v="0100621050010300"/>
    <n v="55555"/>
    <s v="Unidade Vieiralves"/>
    <n v="77014540"/>
    <m/>
  </r>
  <r>
    <x v="9"/>
    <x v="49"/>
    <s v="Carolina do Socorro Maia dos Santos"/>
    <s v="Feminino"/>
    <x v="23"/>
    <x v="8"/>
    <s v="50000853 - Pilates ( 12X Mensais) (R$ 20,60)"/>
    <s v="Pilates"/>
    <n v="167993"/>
    <s v="Finalizado (12/12)"/>
    <n v="14.007999999999999"/>
    <n v="6.5919999999999996"/>
    <n v="20.6"/>
    <s v="Sessão a Faturar"/>
    <s v="0100478782001317"/>
    <n v="19814"/>
    <s v="Unidade Vieiralves"/>
    <n v="167993"/>
    <m/>
  </r>
  <r>
    <x v="9"/>
    <x v="38"/>
    <s v="Emanuele Menezes da Silva"/>
    <s v="Feminino"/>
    <x v="23"/>
    <x v="8"/>
    <s v="50000853 - Pilates ( 12X Mensais) (R$ 20,60)"/>
    <s v="Pilates"/>
    <m/>
    <s v="Finalizado (6/12)"/>
    <n v="14.007999999999999"/>
    <n v="6.5919999999999996"/>
    <n v="20.6"/>
    <s v="Sessão a Faturar"/>
    <n v="774642014893010"/>
    <n v="44534"/>
    <s v="Unidade Vieiralves"/>
    <m/>
    <m/>
  </r>
  <r>
    <x v="9"/>
    <x v="38"/>
    <s v="Kely Cristiny Oliveira Lima"/>
    <m/>
    <x v="23"/>
    <x v="8"/>
    <s v="50000853 - Pilates ( 12X Mensais) (R$ 20,60)"/>
    <s v="Pilates"/>
    <m/>
    <s v="Finalizado (8/11)"/>
    <n v="14.007999999999999"/>
    <n v="6.5919999999999996"/>
    <n v="20.6"/>
    <s v="Sessão a Faturar"/>
    <m/>
    <n v="59529"/>
    <s v="Unidade Vieiralves"/>
    <m/>
    <m/>
  </r>
  <r>
    <x v="9"/>
    <x v="50"/>
    <s v="Franclides Correa Ribeiro"/>
    <s v="Masculino"/>
    <x v="7"/>
    <x v="8"/>
    <s v="Pilates 2x semana (R$ 390,00)"/>
    <s v="Pilates"/>
    <m/>
    <s v="Finalizado (3/8)"/>
    <n v="29.25"/>
    <n v="19.5"/>
    <n v="48.75"/>
    <s v="Pago"/>
    <s v="00"/>
    <n v="59660"/>
    <s v="Unidade Vieiralves"/>
    <m/>
    <m/>
  </r>
  <r>
    <x v="9"/>
    <x v="50"/>
    <s v="Valmir Cesar Pozzetti"/>
    <s v="Masculino"/>
    <x v="7"/>
    <x v="8"/>
    <s v="Pilates 2x semana (R$ 390,00)"/>
    <s v="Pilates"/>
    <n v="171176"/>
    <s v="Finalizado (3/9)"/>
    <n v="33.428571428570997"/>
    <n v="22.285714285714"/>
    <n v="55.714285714286"/>
    <s v="Pago"/>
    <s v="0901013948180030"/>
    <n v="43203"/>
    <s v="Unidade Vieiralves"/>
    <n v="171176"/>
    <m/>
  </r>
  <r>
    <x v="9"/>
    <x v="51"/>
    <s v="Silvio Andre Dias Amirati"/>
    <s v="Masculino"/>
    <x v="23"/>
    <x v="8"/>
    <s v="50000853 - Pilates ( 12X Mensais) (R$ 20,60)"/>
    <s v="Pilates"/>
    <m/>
    <s v="Finalizado (4/12)"/>
    <n v="14.007999999999999"/>
    <n v="6.5919999999999996"/>
    <n v="20.6"/>
    <s v="Sessão a Faturar"/>
    <s v="010988828300"/>
    <n v="15344"/>
    <s v="Unidade Vieiralves"/>
    <m/>
    <m/>
  </r>
  <r>
    <x v="9"/>
    <x v="51"/>
    <s v="Clarisse Souza Gaudino de Lima"/>
    <s v="Feminino"/>
    <x v="23"/>
    <x v="8"/>
    <s v="50000853 - Pilates ( 12X Mensais) (R$ 20,60)"/>
    <s v="Pilates"/>
    <n v="173042"/>
    <s v="Finalizado (1/12)"/>
    <n v="14.007999999999999"/>
    <n v="6.5919999999999996"/>
    <n v="20.6"/>
    <s v="Sessão a Faturar"/>
    <m/>
    <n v="59415"/>
    <s v="Unidade Vieiralves"/>
    <n v="173042"/>
    <m/>
  </r>
  <r>
    <x v="25"/>
    <x v="48"/>
    <s v="Lygia de Lima Souza Amirati"/>
    <s v="Feminino"/>
    <x v="23"/>
    <x v="8"/>
    <s v="50000853 - Pilates ( 12X Mensais) (R$ 20,60)"/>
    <s v="Pilates"/>
    <m/>
    <s v="Finalizado (7/12)"/>
    <n v="14.007999999999999"/>
    <n v="6.5919999999999996"/>
    <n v="20.6"/>
    <s v="Sessão a Faturar"/>
    <s v="010988828307"/>
    <n v="43121"/>
    <s v="Unidade Vieiralves"/>
    <m/>
    <m/>
  </r>
  <r>
    <x v="25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25"/>
    <x v="49"/>
    <s v="Celia Regina Simonetti Barbalho"/>
    <s v="Feminino"/>
    <x v="1"/>
    <x v="8"/>
    <s v="50000861 - Pilates (R$ 40,00)"/>
    <s v="Pilates"/>
    <n v="9073765"/>
    <s v="Finalizado (4/10)"/>
    <n v="27.2"/>
    <n v="12.8"/>
    <n v="40"/>
    <s v="Sessão a Faturar"/>
    <s v="0901012965130039"/>
    <n v="36041"/>
    <s v="Unidade Vieiralves"/>
    <n v="9073765"/>
    <m/>
  </r>
  <r>
    <x v="25"/>
    <x v="49"/>
    <s v="Gabriele de Souza Cruz"/>
    <s v="Feminino"/>
    <x v="1"/>
    <x v="8"/>
    <s v="50000861 - Pilates (R$ 40,00)"/>
    <s v="Pilates"/>
    <n v="9146414"/>
    <s v="Não compareceu (5/10)"/>
    <n v="40"/>
    <n v="0"/>
    <n v="40"/>
    <s v="Sessão Faturada"/>
    <n v="1301012299900100"/>
    <n v="58226"/>
    <s v="Unidade Vieiralves"/>
    <n v="9146414"/>
    <s v="Guia assinada!"/>
  </r>
  <r>
    <x v="25"/>
    <x v="49"/>
    <s v="Carolina Cassia Batista Santos"/>
    <s v="Feminino"/>
    <x v="1"/>
    <x v="8"/>
    <s v="50000861 - Pilates (R$ 40,00)"/>
    <s v="Pilates"/>
    <n v="8823825"/>
    <s v="Finalizado (5/10)"/>
    <n v="27.2"/>
    <n v="12.8"/>
    <n v="40"/>
    <s v="Sessão Faturada"/>
    <s v="0301011642880052"/>
    <n v="58647"/>
    <s v="Unidade Vieiralves"/>
    <n v="8823825"/>
    <m/>
  </r>
  <r>
    <x v="25"/>
    <x v="38"/>
    <s v="Karen Abecassis Calado"/>
    <m/>
    <x v="23"/>
    <x v="8"/>
    <s v="50000853 - Pilates ( 12X Mensais) (R$ 20,60)"/>
    <s v="Pilates"/>
    <m/>
    <s v="Finalizado (3/11)"/>
    <n v="14.007999999999999"/>
    <n v="6.5919999999999996"/>
    <n v="20.6"/>
    <s v="Sessão a Faturar"/>
    <m/>
    <n v="59558"/>
    <s v="Unidade Vieiralves"/>
    <m/>
    <m/>
  </r>
  <r>
    <x v="25"/>
    <x v="38"/>
    <s v="Bruna Rebeca Braz Borges"/>
    <m/>
    <x v="23"/>
    <x v="8"/>
    <s v="50000853 - Pilates ( 12X Mensais) (R$ 20,60)"/>
    <s v="Pilates"/>
    <m/>
    <s v="Finalizado (3/11)"/>
    <n v="14.007999999999999"/>
    <n v="6.5919999999999996"/>
    <n v="20.6"/>
    <s v="Sessão a Faturar"/>
    <m/>
    <n v="59559"/>
    <s v="Unidade Vieiralves"/>
    <m/>
    <m/>
  </r>
  <r>
    <x v="25"/>
    <x v="38"/>
    <s v="Jessica Rodrigues de Oliveira"/>
    <s v="Feminino"/>
    <x v="23"/>
    <x v="8"/>
    <s v="50000853 - Pilates ( 12X Mensais) (R$ 20,60)"/>
    <s v="Pilates"/>
    <m/>
    <s v="Finalizado (3/11)"/>
    <n v="14.007999999999999"/>
    <n v="6.5919999999999996"/>
    <n v="20.6"/>
    <s v="Sessão a Faturar"/>
    <s v="00"/>
    <n v="59560"/>
    <s v="Unidade Vieiralves"/>
    <m/>
    <m/>
  </r>
  <r>
    <x v="25"/>
    <x v="50"/>
    <s v="Vinicius de Lima Silva"/>
    <s v="Masculino"/>
    <x v="23"/>
    <x v="8"/>
    <s v="50000853 - Pilates ( 12X Mensais) (R$ 20,60)"/>
    <s v="Pilates"/>
    <m/>
    <s v="Finalizado (1/1)"/>
    <n v="14.007999999999999"/>
    <n v="6.5919999999999996"/>
    <n v="20.6"/>
    <s v="Sessão a Faturar"/>
    <s v="010969872700"/>
    <n v="50066"/>
    <s v="Unidade Vieiralves"/>
    <m/>
    <m/>
  </r>
  <r>
    <x v="25"/>
    <x v="50"/>
    <s v="Pamela Avelino Sales"/>
    <s v="Feminino"/>
    <x v="23"/>
    <x v="8"/>
    <s v="50000853 - Pilates ( 12X Mensais) (R$ 20,60)"/>
    <s v="Pilates"/>
    <m/>
    <s v="Finalizado (1/1)"/>
    <n v="14.007999999999999"/>
    <n v="6.5919999999999996"/>
    <n v="20.6"/>
    <s v="Sessão a Faturar"/>
    <s v="010969872704"/>
    <n v="50065"/>
    <s v="Unidade Vieiralves"/>
    <m/>
    <m/>
  </r>
  <r>
    <x v="25"/>
    <x v="50"/>
    <s v="Marcos Eduardo de Oliveira da Silva"/>
    <s v="Masculino"/>
    <x v="23"/>
    <x v="8"/>
    <s v="50000853 - Pilates ( 12X Mensais) (R$ 20,60)"/>
    <s v="Pilates"/>
    <n v="172216"/>
    <s v="Finalizado (5/12)"/>
    <n v="14.007999999999999"/>
    <n v="6.5919999999999996"/>
    <n v="20.6"/>
    <s v="Sessão a Faturar"/>
    <s v="00"/>
    <n v="57237"/>
    <s v="Unidade Vieiralves"/>
    <n v="172216"/>
    <m/>
  </r>
  <r>
    <x v="10"/>
    <x v="44"/>
    <s v="Vanessa Reis de Sousa"/>
    <s v="Feminino"/>
    <x v="5"/>
    <x v="8"/>
    <s v="50000853 - Pilates - 04/03/2026 (R$ 39,77)"/>
    <s v="Pilates"/>
    <n v="76419980"/>
    <s v="Não compareceu (2/10)"/>
    <n v="39.770000000000003"/>
    <n v="0"/>
    <n v="39.770000000000003"/>
    <s v="Sessão Faturada"/>
    <s v="0101225511000243"/>
    <n v="42402"/>
    <s v="Unidade Vieiralves"/>
    <n v="76419980"/>
    <m/>
  </r>
  <r>
    <x v="10"/>
    <x v="44"/>
    <s v="Maria Jacirema Ferreira Gonçalves"/>
    <s v="Feminino"/>
    <x v="1"/>
    <x v="8"/>
    <s v="50000861 - Pilates (R$ 40,00)"/>
    <s v="Pilates"/>
    <n v="9350681"/>
    <s v="Finalizado (3/10)"/>
    <n v="27.2"/>
    <n v="12.8"/>
    <n v="40"/>
    <s v="Sessão a Faturar"/>
    <s v="0701012515270061"/>
    <n v="57775"/>
    <s v="Unidade Vieiralves"/>
    <n v="9350681"/>
    <s v="GUIA ASSINADA"/>
  </r>
  <r>
    <x v="10"/>
    <x v="44"/>
    <s v="Marcos Andre de Noronha Bezerra"/>
    <s v="Masculino"/>
    <x v="24"/>
    <x v="8"/>
    <s v="14 - Pilates (3X Na Semana) (R$ 44,80)"/>
    <s v="Pilates"/>
    <m/>
    <s v="Finalizado (4/14)"/>
    <n v="30.463999999999999"/>
    <n v="14.336"/>
    <n v="44.8"/>
    <s v="Sessão a Faturar"/>
    <n v="42296"/>
    <n v="42296"/>
    <s v="Unidade Vieiralves"/>
    <m/>
    <m/>
  </r>
  <r>
    <x v="10"/>
    <x v="49"/>
    <s v="Carolina do Socorro Maia dos Santos"/>
    <s v="Feminino"/>
    <x v="23"/>
    <x v="8"/>
    <s v="50000853 - Pilates ( 12X Mensais) (R$ 20,60)"/>
    <s v="Pilates"/>
    <m/>
    <s v="Finalizado (1/12)"/>
    <n v="14.007999999999999"/>
    <n v="6.5919999999999996"/>
    <n v="20.6"/>
    <s v="Sessão a Faturar"/>
    <s v="0100478782001317"/>
    <n v="19814"/>
    <s v="Unidade Vieiralves"/>
    <m/>
    <m/>
  </r>
  <r>
    <x v="10"/>
    <x v="49"/>
    <s v="Tatianna Silva Portes"/>
    <s v="Feminino"/>
    <x v="5"/>
    <x v="8"/>
    <s v="50000853 - Pilates - 04/03/2026 (R$ 39,77)"/>
    <s v="Pilates"/>
    <n v="77014540"/>
    <s v="Finalizado (8/10)"/>
    <n v="27.043600000000001"/>
    <n v="12.7264"/>
    <n v="39.770000000000003"/>
    <s v="Sessão Faturada"/>
    <s v="0100621050010300"/>
    <n v="55555"/>
    <s v="Unidade Vieiralves"/>
    <n v="77014540"/>
    <m/>
  </r>
  <r>
    <x v="10"/>
    <x v="49"/>
    <s v="Maria Amélia Gomes da Silva"/>
    <s v="Feminino"/>
    <x v="23"/>
    <x v="8"/>
    <s v="50000853 - Pilates ( 12X Mensais) (R$ 20,60)"/>
    <s v="Pilates"/>
    <m/>
    <s v="Finalizado (4/12)"/>
    <n v="14.007999999999999"/>
    <n v="6.5919999999999996"/>
    <n v="20.6"/>
    <s v="Sessão a Faturar"/>
    <s v="00"/>
    <n v="59644"/>
    <s v="Unidade Vieiralves"/>
    <m/>
    <m/>
  </r>
  <r>
    <x v="10"/>
    <x v="50"/>
    <s v="Valmir Cesar Pozzetti"/>
    <s v="Masculino"/>
    <x v="7"/>
    <x v="8"/>
    <s v="Pilates 2x semana (R$ 390,00)"/>
    <s v="Pilates"/>
    <n v="171176"/>
    <s v="Finalizado (4/9)"/>
    <n v="33.428571428570997"/>
    <n v="22.285714285714"/>
    <n v="55.714285714286"/>
    <s v="Pago"/>
    <s v="0901013948180030"/>
    <n v="43203"/>
    <s v="Unidade Vieiralves"/>
    <n v="171176"/>
    <m/>
  </r>
  <r>
    <x v="10"/>
    <x v="50"/>
    <s v="Isabelly Ferreira Fernandes"/>
    <m/>
    <x v="7"/>
    <x v="8"/>
    <s v="Pilates 2x semana (R$ 390,00)"/>
    <s v="Pilates"/>
    <n v="171974"/>
    <s v="Finalizado (5/10)"/>
    <n v="26"/>
    <n v="17.333333333333002"/>
    <n v="43.333333333333002"/>
    <s v="Pago"/>
    <n v="59314"/>
    <n v="59314"/>
    <s v="Unidade Vieiralves"/>
    <n v="171974"/>
    <m/>
  </r>
  <r>
    <x v="10"/>
    <x v="50"/>
    <s v="Franclides Correa Ribeiro"/>
    <s v="Masculino"/>
    <x v="7"/>
    <x v="8"/>
    <s v="Pilates 2x semana (R$ 390,00)"/>
    <s v="Pilates"/>
    <m/>
    <s v="Finalizado (4/8)"/>
    <n v="29.25"/>
    <n v="19.5"/>
    <n v="48.75"/>
    <s v="Pago"/>
    <s v="00"/>
    <n v="59660"/>
    <s v="Unidade Vieiralves"/>
    <m/>
    <m/>
  </r>
  <r>
    <x v="10"/>
    <x v="51"/>
    <s v="Irleda de Carvalho Leal Nobre Leao"/>
    <s v="Feminino"/>
    <x v="1"/>
    <x v="8"/>
    <s v="50000861 - Pilates (R$ 40,00)"/>
    <s v="Pilates"/>
    <n v="9350520"/>
    <s v="Finalizado (3/10)"/>
    <n v="27.2"/>
    <n v="12.8"/>
    <n v="40"/>
    <s v="Sessão a Faturar"/>
    <s v="0903006735450160"/>
    <n v="58787"/>
    <s v="Unidade Vieiralves"/>
    <n v="9350520"/>
    <m/>
  </r>
  <r>
    <x v="10"/>
    <x v="51"/>
    <s v="Silvio Andre Dias Amirati"/>
    <s v="Masculino"/>
    <x v="23"/>
    <x v="8"/>
    <s v="50000853 - Pilates ( 12X Mensais) (R$ 20,60)"/>
    <s v="Pilates"/>
    <m/>
    <s v="Finalizado (5/12)"/>
    <n v="14.007999999999999"/>
    <n v="6.5919999999999996"/>
    <n v="20.6"/>
    <s v="Sessão a Faturar"/>
    <s v="010988828300"/>
    <n v="15344"/>
    <s v="Unidade Vieiralves"/>
    <m/>
    <m/>
  </r>
  <r>
    <x v="10"/>
    <x v="51"/>
    <s v="Lygia de Lima Souza Amirati"/>
    <s v="Feminino"/>
    <x v="23"/>
    <x v="8"/>
    <s v="50000853 - Pilates ( 12X Mensais) (R$ 20,60)"/>
    <s v="Pilates"/>
    <m/>
    <s v="Finalizado (8/12)"/>
    <n v="14.007999999999999"/>
    <n v="6.5919999999999996"/>
    <n v="20.6"/>
    <s v="Sessão a Faturar"/>
    <s v="010988828307"/>
    <n v="43121"/>
    <s v="Unidade Vieiralves"/>
    <m/>
    <m/>
  </r>
  <r>
    <x v="11"/>
    <x v="44"/>
    <s v="Luzia Pimentel da Silva"/>
    <s v="Feminino"/>
    <x v="7"/>
    <x v="8"/>
    <s v="Vieiralves - 28 - Pilates 2X Na Semana (R$ 39,00)"/>
    <s v="Pilates"/>
    <n v="172963"/>
    <s v="Finalizado (2/10)"/>
    <n v="23.4"/>
    <n v="15.6"/>
    <n v="39"/>
    <s v="Pago"/>
    <n v="954600000728020"/>
    <n v="54027"/>
    <s v="Unidade Vieiralves"/>
    <n v="172963"/>
    <m/>
  </r>
  <r>
    <x v="11"/>
    <x v="48"/>
    <s v="Wanderleia Salmazo França"/>
    <m/>
    <x v="7"/>
    <x v="8"/>
    <s v="Vieiralves - 30 - Pilates Sessão Avulsa (R$ 70,00)"/>
    <s v="Pilates"/>
    <m/>
    <s v="Finalizado (1/1)"/>
    <n v="42"/>
    <n v="28"/>
    <n v="70"/>
    <s v="Pago"/>
    <n v="1901005732480400"/>
    <n v="59247"/>
    <s v="Unidade Vieiralves"/>
    <m/>
    <m/>
  </r>
  <r>
    <x v="11"/>
    <x v="48"/>
    <s v="Thays Andreia Soares Costa"/>
    <s v="Feminino"/>
    <x v="1"/>
    <x v="8"/>
    <s v="50000861 - Pilates (R$ 40,00)"/>
    <s v="Pilates"/>
    <n v="9051597"/>
    <s v="Finalizado (6/10)"/>
    <n v="27.2"/>
    <n v="12.8"/>
    <n v="40"/>
    <s v="Sessão Faturada"/>
    <n v="1301013143590100"/>
    <n v="54611"/>
    <s v="Unidade Vieiralves"/>
    <n v="9051597"/>
    <s v="Guia assinada!"/>
  </r>
  <r>
    <x v="11"/>
    <x v="48"/>
    <s v="Ana Maria Barros Martins"/>
    <s v="Feminino"/>
    <x v="1"/>
    <x v="8"/>
    <s v="50000861 - Pilates (R$ 40,00)"/>
    <s v="Pilates"/>
    <n v="8866994"/>
    <s v="Finalizado (9/10)"/>
    <n v="27.2"/>
    <n v="12.8"/>
    <n v="40"/>
    <s v="Sessão Faturada"/>
    <s v="0201005329570033"/>
    <n v="55774"/>
    <s v="Unidade Vieiralves"/>
    <n v="8866994"/>
    <m/>
  </r>
  <r>
    <x v="11"/>
    <x v="49"/>
    <s v="Roberta Ferreira Coelho de Andrade"/>
    <s v="Feminino"/>
    <x v="1"/>
    <x v="8"/>
    <s v="50000861 - Pilates (R$ 40,00)"/>
    <s v="Pilates"/>
    <n v="9034850"/>
    <s v="Finalizado (7/10)"/>
    <n v="27.2"/>
    <n v="12.8"/>
    <n v="40"/>
    <s v="Sessão a Faturar"/>
    <s v="0701010939440006"/>
    <n v="58292"/>
    <s v="Unidade Vieiralves"/>
    <n v="9034850"/>
    <s v="GUIA ASSINADA"/>
  </r>
  <r>
    <x v="11"/>
    <x v="49"/>
    <s v="Raimundo Soares Neto"/>
    <s v="Masculino"/>
    <x v="7"/>
    <x v="8"/>
    <s v="Vieiralves - 28 - Pilates 2X Na Semana (R$ 39,00)"/>
    <s v="Pilates"/>
    <n v="171256"/>
    <s v="Finalizado (5/10)"/>
    <n v="23.4"/>
    <n v="15.6"/>
    <n v="39"/>
    <s v="Pago"/>
    <s v="0904001770230035"/>
    <n v="57377"/>
    <s v="Unidade Vieiralves"/>
    <n v="171256"/>
    <m/>
  </r>
  <r>
    <x v="11"/>
    <x v="38"/>
    <s v="Claudia Miyuki Muramoto Sako"/>
    <s v="Feminino"/>
    <x v="7"/>
    <x v="8"/>
    <s v="Vieiralves - 28 - Pilates 2X Na Semana (R$ 39,00)"/>
    <s v="Pilates"/>
    <n v="171436"/>
    <s v="Finalizado (5/10)"/>
    <n v="23.4"/>
    <n v="15.6"/>
    <n v="39"/>
    <s v="Pago"/>
    <n v="885854000132010"/>
    <n v="49229"/>
    <s v="Unidade Vieiralves"/>
    <n v="171436"/>
    <m/>
  </r>
  <r>
    <x v="11"/>
    <x v="38"/>
    <s v="Tanira Rozane Eder Martins"/>
    <s v="Feminino"/>
    <x v="19"/>
    <x v="8"/>
    <s v="90050231 - Pilates (2X Por Semana No Máximo) - 17/03/2026 (R$ 66,18)"/>
    <s v="Pilates"/>
    <n v="5827040"/>
    <s v="Finalizado (9/10)"/>
    <n v="45.002400000000002"/>
    <n v="21.177600000000002"/>
    <n v="66.180000000000007"/>
    <s v="Sessão Faturada"/>
    <s v="0001000033690081"/>
    <n v="4997"/>
    <s v="Unidade Vieiralves"/>
    <n v="5827040"/>
    <m/>
  </r>
  <r>
    <x v="11"/>
    <x v="51"/>
    <s v="Clarisse Souza Gaudino de Lima"/>
    <s v="Feminino"/>
    <x v="23"/>
    <x v="8"/>
    <s v="50000853 - Pilates ( 12X Mensais) (R$ 20,60)"/>
    <s v="Pilates"/>
    <n v="173042"/>
    <s v="Finalizado (2/12)"/>
    <n v="14.007999999999999"/>
    <n v="6.5919999999999996"/>
    <n v="20.6"/>
    <s v="Sessão a Faturar"/>
    <m/>
    <n v="59415"/>
    <s v="Unidade Vieiralves"/>
    <n v="173042"/>
    <m/>
  </r>
  <r>
    <x v="11"/>
    <x v="51"/>
    <s v="Lygia de Lima Souza Amirati"/>
    <s v="Feminino"/>
    <x v="23"/>
    <x v="8"/>
    <s v="50000853 - Pilates ( 12X Mensais) (R$ 20,60)"/>
    <s v="Pilates"/>
    <m/>
    <s v="Finalizado (9/12)"/>
    <n v="14.007999999999999"/>
    <n v="6.5919999999999996"/>
    <n v="20.6"/>
    <s v="Sessão a Faturar"/>
    <s v="010988828307"/>
    <n v="43121"/>
    <s v="Unidade Vieiralves"/>
    <m/>
    <m/>
  </r>
  <r>
    <x v="12"/>
    <x v="0"/>
    <s v="Larissa Grimm Fonseca Custódio"/>
    <s v="Feminino"/>
    <x v="6"/>
    <x v="9"/>
    <s v="20103646 - Fisioterapia Perineal Com Biofeedback (R$ 229,39)"/>
    <s v="Fisioterapia Pélvica e Neurológica"/>
    <n v="169975"/>
    <s v="Finalizado (1/10)"/>
    <n v="137.63399999999999"/>
    <n v="91.756"/>
    <n v="229.39"/>
    <s v="Sessão a Faturar"/>
    <s v="55788888478181960025"/>
    <n v="57317"/>
    <s v="Unidade Vieralves (ANEXO)"/>
    <n v="169975"/>
    <m/>
  </r>
  <r>
    <x v="12"/>
    <x v="6"/>
    <s v="Nilzete Passos de Faria"/>
    <s v="Feminino"/>
    <x v="1"/>
    <x v="9"/>
    <s v="50000233 - Fisioterapia Pélvica (R$ 138,17)"/>
    <s v="Fisioterapia Pélvica e Neurológica"/>
    <n v="9008985"/>
    <s v="Finalizado (1/10)"/>
    <n v="82.902000000000001"/>
    <n v="55.268000000000001"/>
    <n v="138.16999999999999"/>
    <s v="Sessão Faturada"/>
    <s v="0901013282010017"/>
    <n v="59202"/>
    <s v="Unidade Vieralves (ANEXO)"/>
    <n v="9008985"/>
    <m/>
  </r>
  <r>
    <x v="12"/>
    <x v="25"/>
    <s v="Karolaine Martins Araujo"/>
    <s v="Feminino"/>
    <x v="2"/>
    <x v="9"/>
    <s v="20103646 - Reabilitação Perineal Com Biofeedback (R$ 138,17)"/>
    <s v="Fisioterapia Pélvica e Neurológica"/>
    <n v="1698261066"/>
    <s v="Finalizado (5/5)"/>
    <n v="82.902000000000001"/>
    <n v="55.268000000000001"/>
    <n v="138.16999999999999"/>
    <s v="Sessão Faturada"/>
    <n v="610360710005000"/>
    <n v="59169"/>
    <s v="Unidade Vieralves (ANEXO)"/>
    <n v="1698261066"/>
    <m/>
  </r>
  <r>
    <x v="12"/>
    <x v="10"/>
    <s v="Juçara Rodrigues Dias Leao"/>
    <s v="Feminino"/>
    <x v="6"/>
    <x v="9"/>
    <s v="20103646 - Fisioterapia Perineal Com Biofeedback (R$ 229,39)"/>
    <s v="Fisioterapia Pélvica e Neurológica"/>
    <n v="167459"/>
    <s v="Finalizado (7/10)"/>
    <n v="137.63399999999999"/>
    <n v="91.756"/>
    <n v="229.39"/>
    <s v="Sessão a Faturar"/>
    <s v="59200277003273040024"/>
    <n v="12635"/>
    <s v="Unidade Vieralves (ANEXO)"/>
    <n v="167459"/>
    <m/>
  </r>
  <r>
    <x v="12"/>
    <x v="46"/>
    <s v="Gleide Luciane Cordeiro de Almeida"/>
    <s v="Feminino"/>
    <x v="6"/>
    <x v="9"/>
    <s v="20103646 - Fisioterapia Perineal Com Biofeedback (R$ 229,39)"/>
    <s v="Fisioterapia Pélvica e Neurológica"/>
    <n v="168835"/>
    <s v="Finalizado (4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3"/>
    <x v="0"/>
    <s v="Camila Bacelar Oliveira"/>
    <s v="Feminino"/>
    <x v="8"/>
    <x v="9"/>
    <s v="20103646 - Reabilitação Perineal Com Biofeedback (R$ 138,17)"/>
    <s v="Fisioterapia Pélvica e Neurológica"/>
    <n v="1706409548"/>
    <s v="Finalizado (1/3)"/>
    <n v="82.902000000000001"/>
    <n v="55.268000000000001"/>
    <n v="138.16999999999999"/>
    <s v="Sessão Faturada"/>
    <n v="954600031712010"/>
    <n v="59325"/>
    <s v="Unidade Vieralves (ANEXO)"/>
    <n v="1706409548"/>
    <m/>
  </r>
  <r>
    <x v="13"/>
    <x v="56"/>
    <s v="Sara Martins Sombra de Oliveira"/>
    <s v="Feminino"/>
    <x v="1"/>
    <x v="9"/>
    <s v="50000233 - Fisioterapia Pélvica (R$ 138,17)"/>
    <s v="Fisioterapia Pélvica e Neurológica"/>
    <n v="9496485"/>
    <s v="Finalizado (4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13"/>
    <x v="6"/>
    <s v="Nilzete Passos de Faria"/>
    <s v="Feminino"/>
    <x v="1"/>
    <x v="9"/>
    <s v="50000233 - Fisioterapia Pélvica (R$ 138,17)"/>
    <s v="Fisioterapia Pélvica e Neurológica"/>
    <n v="9008985"/>
    <s v="Finalizado (2/10)"/>
    <n v="82.902000000000001"/>
    <n v="55.268000000000001"/>
    <n v="138.16999999999999"/>
    <s v="Sessão Faturada"/>
    <s v="0901013282010017"/>
    <n v="59202"/>
    <s v="Unidade Vieralves (ANEXO)"/>
    <n v="9008985"/>
    <m/>
  </r>
  <r>
    <x v="13"/>
    <x v="52"/>
    <s v="Valeria Cerqueira Ribeiro de Lima"/>
    <s v="Feminino"/>
    <x v="6"/>
    <x v="9"/>
    <s v="20103646 - Fisioterapia Perineal Com Biofeedback (R$ 229,39)"/>
    <s v="Fisioterapia Pélvica e Neurológica"/>
    <n v="170017"/>
    <s v="Finalizado (2/3)"/>
    <n v="137.63399999999999"/>
    <n v="91.756"/>
    <n v="229.39"/>
    <s v="Sessão a Faturar"/>
    <s v="55788888476936890011"/>
    <n v="19508"/>
    <s v="Unidade Vieralves (ANEXO)"/>
    <n v="170017"/>
    <m/>
  </r>
  <r>
    <x v="14"/>
    <x v="56"/>
    <s v="Larissa Grimm Fonseca Custódio"/>
    <s v="Feminino"/>
    <x v="6"/>
    <x v="9"/>
    <s v="20103646 - Fisioterapia Perineal Com Biofeedback (R$ 229,39)"/>
    <s v="Fisioterapia Pélvica e Neurológica"/>
    <n v="169975"/>
    <s v="Finalizado (2/10)"/>
    <n v="137.63399999999999"/>
    <n v="91.756"/>
    <n v="229.39"/>
    <s v="Sessão a Faturar"/>
    <s v="55788888478181960025"/>
    <n v="57317"/>
    <s v="Unidade Vieralves (ANEXO)"/>
    <n v="169975"/>
    <m/>
  </r>
  <r>
    <x v="14"/>
    <x v="6"/>
    <s v="Camila Bacelar Oliveira"/>
    <s v="Feminino"/>
    <x v="8"/>
    <x v="9"/>
    <s v="20103646 - Reabilitação Perineal Com Biofeedback (R$ 138,17)"/>
    <s v="Fisioterapia Pélvica e Neurológica"/>
    <n v="1706409548"/>
    <s v="Finalizado (2/3)"/>
    <n v="82.902000000000001"/>
    <n v="55.268000000000001"/>
    <n v="138.16999999999999"/>
    <s v="Sessão Faturada"/>
    <n v="954600031712010"/>
    <n v="59325"/>
    <s v="Unidade Vieralves (ANEXO)"/>
    <n v="1706409548"/>
    <m/>
  </r>
  <r>
    <x v="14"/>
    <x v="25"/>
    <s v="Marcela Zumaeta Vieira Bastos"/>
    <s v="Feminino"/>
    <x v="6"/>
    <x v="9"/>
    <s v="20103646 - Fisioterapia Perineal Com Biofeedback (R$ 229,39)"/>
    <s v="Fisioterapia Pélvica e Neurológica"/>
    <n v="168670"/>
    <s v="Finalizado (5/10)"/>
    <n v="137.63399999999999"/>
    <n v="91.756"/>
    <n v="229.39"/>
    <s v="Sessão a Faturar"/>
    <s v="51588888488764470102"/>
    <n v="48193"/>
    <s v="Unidade Vieralves (ANEXO)"/>
    <n v="168670"/>
    <m/>
  </r>
  <r>
    <x v="14"/>
    <x v="46"/>
    <s v="Gleide Luciane Cordeiro de Almeida"/>
    <s v="Feminino"/>
    <x v="6"/>
    <x v="9"/>
    <s v="20103646 - Fisioterapia Perineal Com Biofeedback (R$ 229,39)"/>
    <s v="Fisioterapia Pélvica e Neurológica"/>
    <n v="168835"/>
    <s v="Finalizado (5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5"/>
    <x v="30"/>
    <s v="Maria Adelina Parente Lins Felix"/>
    <s v="Feminino"/>
    <x v="0"/>
    <x v="9"/>
    <s v="50000144 - Avaliação de Fisioterapia (R$ 39,72)"/>
    <s v="Fisioterapia Pélvica e Neurológica"/>
    <n v="170502"/>
    <s v="Finalizado (1/1)"/>
    <n v="35.747999999999998"/>
    <n v="3.972"/>
    <n v="39.72"/>
    <s v="Sessão Faturada"/>
    <s v="010650363400"/>
    <n v="41281"/>
    <s v="Unidade Vieralves (ANEXO)"/>
    <n v="170502"/>
    <m/>
  </r>
  <r>
    <x v="15"/>
    <x v="30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1/10)"/>
    <n v="53.76"/>
    <n v="35.840000000000003"/>
    <n v="89.6"/>
    <s v="Sessão a Faturar"/>
    <s v="010650363400"/>
    <n v="41281"/>
    <s v="Unidade Vieralves (ANEXO)"/>
    <s v="42263120260309438762"/>
    <m/>
  </r>
  <r>
    <x v="15"/>
    <x v="6"/>
    <s v="Sara Martins Sombra de Oliveira"/>
    <s v="Feminino"/>
    <x v="1"/>
    <x v="9"/>
    <s v="50000233 - Fisioterapia Pélvica (R$ 138,17)"/>
    <s v="Fisioterapia Pélvica e Neurológica"/>
    <n v="9496485"/>
    <s v="Finalizado (5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16"/>
    <x v="52"/>
    <s v="Marcela Zumaeta Vieira Bastos"/>
    <s v="Feminino"/>
    <x v="6"/>
    <x v="9"/>
    <s v="20103646 - Fisioterapia Perineal Com Biofeedback (R$ 229,39)"/>
    <s v="Fisioterapia Pélvica e Neurológica"/>
    <n v="168670"/>
    <s v="Finalizado (6/10)"/>
    <n v="137.63399999999999"/>
    <n v="91.756"/>
    <n v="229.39"/>
    <s v="Sessão a Faturar"/>
    <s v="51588888488764470102"/>
    <n v="48193"/>
    <s v="Unidade Vieralves (ANEXO)"/>
    <n v="168670"/>
    <m/>
  </r>
  <r>
    <x v="17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2/10)"/>
    <n v="53.76"/>
    <n v="35.840000000000003"/>
    <n v="89.6"/>
    <s v="Sessão a Faturar"/>
    <s v="010650363400"/>
    <n v="41281"/>
    <s v="Unidade Vieralves (ANEXO)"/>
    <s v="42263120260309438762"/>
    <m/>
  </r>
  <r>
    <x v="17"/>
    <x v="6"/>
    <s v="Nilzete Passos de Faria"/>
    <s v="Feminino"/>
    <x v="1"/>
    <x v="9"/>
    <s v="50000233 - Fisioterapia Pélvica (R$ 138,17)"/>
    <s v="Fisioterapia Pélvica e Neurológica"/>
    <n v="9008985"/>
    <s v="Finalizado (3/10)"/>
    <n v="82.902000000000001"/>
    <n v="55.268000000000001"/>
    <n v="138.16999999999999"/>
    <s v="Sessão Faturada"/>
    <s v="0901013282010017"/>
    <n v="59202"/>
    <s v="Unidade Vieralves (ANEXO)"/>
    <n v="9008985"/>
    <m/>
  </r>
  <r>
    <x v="17"/>
    <x v="25"/>
    <s v="Karolaine Martins Araujo"/>
    <s v="Feminino"/>
    <x v="2"/>
    <x v="9"/>
    <s v="20103646 - Reabilitação Perineal Com Biofeedback (R$ 138,17)"/>
    <s v="Fisioterapia Pélvica e Neurológica"/>
    <n v="1709233444"/>
    <s v="Finalizado (1/5)"/>
    <n v="82.902000000000001"/>
    <n v="55.268000000000001"/>
    <n v="138.16999999999999"/>
    <s v="Sessão Faturada"/>
    <n v="610360710005000"/>
    <n v="59169"/>
    <s v="Unidade Vieralves (ANEXO)"/>
    <n v="1709233444"/>
    <m/>
  </r>
  <r>
    <x v="18"/>
    <x v="75"/>
    <s v="Nilzete Passos de Faria"/>
    <s v="Feminino"/>
    <x v="1"/>
    <x v="9"/>
    <s v="50000233 - Fisioterapia Pélvica (R$ 138,17)"/>
    <s v="Fisioterapia Pélvica e Neurológica"/>
    <n v="9008985"/>
    <s v="Finalizado (4/10)"/>
    <n v="82.902000000000001"/>
    <n v="55.268000000000001"/>
    <n v="138.16999999999999"/>
    <s v="Sessão Faturada"/>
    <s v="0901013282010017"/>
    <n v="59202"/>
    <s v="Unidade Vieralves (ANEXO)"/>
    <n v="9008985"/>
    <m/>
  </r>
  <r>
    <x v="18"/>
    <x v="30"/>
    <s v="Sara Martins Sombra de Oliveira"/>
    <s v="Feminino"/>
    <x v="1"/>
    <x v="9"/>
    <s v="50000233 - Fisioterapia Pélvica (R$ 138,17)"/>
    <s v="Fisioterapia Pélvica e Neurológica"/>
    <n v="9496485"/>
    <s v="Finalizado (6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18"/>
    <x v="6"/>
    <s v="Valeria Cerqueira Ribeiro de Lima"/>
    <s v="Feminino"/>
    <x v="6"/>
    <x v="9"/>
    <s v="20103646 - Fisioterapia Perineal Com Biofeedback (R$ 229,39)"/>
    <s v="Fisioterapia Pélvica e Neurológica"/>
    <n v="170017"/>
    <s v="Finalizado (3/3)"/>
    <n v="137.63399999999999"/>
    <n v="91.756"/>
    <n v="229.39"/>
    <s v="Sessão a Faturar"/>
    <s v="55788888476936890011"/>
    <n v="19508"/>
    <s v="Unidade Vieralves (ANEXO)"/>
    <n v="170017"/>
    <m/>
  </r>
  <r>
    <x v="18"/>
    <x v="52"/>
    <s v="Larissa Grimm Fonseca Custódio"/>
    <s v="Feminino"/>
    <x v="6"/>
    <x v="9"/>
    <s v="20103646 - Fisioterapia Perineal Com Biofeedback (R$ 229,39)"/>
    <s v="Fisioterapia Pélvica e Neurológica"/>
    <n v="169975"/>
    <s v="Finalizado (3/10)"/>
    <n v="137.63399999999999"/>
    <n v="91.756"/>
    <n v="229.39"/>
    <s v="Sessão a Faturar"/>
    <s v="55788888478181960025"/>
    <n v="57317"/>
    <s v="Unidade Vieralves (ANEXO)"/>
    <n v="169975"/>
    <m/>
  </r>
  <r>
    <x v="22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3/10)"/>
    <n v="53.76"/>
    <n v="35.840000000000003"/>
    <n v="89.6"/>
    <s v="Sessão a Faturar"/>
    <s v="010650363400"/>
    <n v="41281"/>
    <s v="Unidade Vieralves (ANEXO)"/>
    <s v="42263120260309438762"/>
    <m/>
  </r>
  <r>
    <x v="22"/>
    <x v="52"/>
    <s v="Ariel Patricia de Lima da Silva"/>
    <s v="Feminino"/>
    <x v="2"/>
    <x v="9"/>
    <s v="50000144 - Avaliação de Fisioterapia (R$ 51,42)"/>
    <s v="Fisioterapia Pélvica e Neurológica"/>
    <n v="1710468409"/>
    <s v="Finalizado (1/1)"/>
    <n v="46.277999999999999"/>
    <n v="5.1420000000000003"/>
    <n v="51.42"/>
    <s v="Sessão Faturada"/>
    <n v="813153800051020"/>
    <n v="96"/>
    <s v="Unidade Vieralves (ANEXO)"/>
    <n v="1710468409"/>
    <m/>
  </r>
  <r>
    <x v="22"/>
    <x v="52"/>
    <s v="Ariel Patricia de Lima da Silva"/>
    <s v="Feminino"/>
    <x v="2"/>
    <x v="9"/>
    <s v="20103646 - Reabilitação Perineal Com Biofeedback (R$ 138,17)"/>
    <s v="Fisioterapia Pélvica e Neurológica"/>
    <n v="1710469632"/>
    <s v="Finalizado (1/5)"/>
    <n v="82.902000000000001"/>
    <n v="55.268000000000001"/>
    <n v="138.16999999999999"/>
    <s v="Sessão Faturada"/>
    <n v="813153800051020"/>
    <n v="96"/>
    <s v="Unidade Vieralves (ANEXO)"/>
    <n v="1710469632"/>
    <m/>
  </r>
  <r>
    <x v="22"/>
    <x v="25"/>
    <s v="Marcela Zumaeta Vieira Bastos"/>
    <s v="Feminino"/>
    <x v="6"/>
    <x v="9"/>
    <s v="20103646 - Fisioterapia Perineal Com Biofeedback (R$ 229,39)"/>
    <s v="Fisioterapia Pélvica e Neurológica"/>
    <n v="168670"/>
    <s v="Finalizado (7/10)"/>
    <n v="137.63399999999999"/>
    <n v="91.756"/>
    <n v="229.39"/>
    <s v="Sessão a Faturar"/>
    <s v="51588888488764470102"/>
    <n v="48193"/>
    <s v="Unidade Vieralves (ANEXO)"/>
    <n v="168670"/>
    <m/>
  </r>
  <r>
    <x v="22"/>
    <x v="46"/>
    <s v="Gleide Luciane Cordeiro de Almeida"/>
    <s v="Feminino"/>
    <x v="6"/>
    <x v="9"/>
    <s v="20103646 - Fisioterapia Perineal Com Biofeedback (R$ 229,39)"/>
    <s v="Fisioterapia Pélvica e Neurológica"/>
    <n v="168835"/>
    <s v="Finalizado (6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9"/>
    <x v="30"/>
    <s v="Sara Martins Sombra de Oliveira"/>
    <s v="Feminino"/>
    <x v="1"/>
    <x v="9"/>
    <s v="50000233 - Fisioterapia Pélvica (R$ 138,17)"/>
    <s v="Fisioterapia Pélvica e Neurológica"/>
    <n v="9496485"/>
    <s v="Finalizado (7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19"/>
    <x v="25"/>
    <s v="Karolaine Martins Araujo"/>
    <s v="Feminino"/>
    <x v="2"/>
    <x v="9"/>
    <s v="20103646 - Reabilitação Perineal Com Biofeedback (R$ 138,17)"/>
    <s v="Fisioterapia Pélvica e Neurológica"/>
    <n v="1709233444"/>
    <s v="Finalizado (2/5)"/>
    <n v="82.902000000000001"/>
    <n v="55.268000000000001"/>
    <n v="138.16999999999999"/>
    <s v="Sessão Faturada"/>
    <n v="610360710005000"/>
    <n v="59169"/>
    <s v="Unidade Vieralves (ANEXO)"/>
    <n v="1709233444"/>
    <m/>
  </r>
  <r>
    <x v="19"/>
    <x v="10"/>
    <s v="Larissa Grimm Fonseca Custódio"/>
    <s v="Feminino"/>
    <x v="6"/>
    <x v="9"/>
    <s v="20103646 - Fisioterapia Perineal Com Biofeedback (R$ 229,39)"/>
    <s v="Fisioterapia Pélvica e Neurológica"/>
    <n v="169975"/>
    <s v="Finalizado (4/10)"/>
    <n v="137.63399999999999"/>
    <n v="91.756"/>
    <n v="229.39"/>
    <s v="Sessão a Faturar"/>
    <s v="55788888478181960025"/>
    <n v="57317"/>
    <s v="Unidade Vieralves (ANEXO)"/>
    <n v="169975"/>
    <m/>
  </r>
  <r>
    <x v="20"/>
    <x v="6"/>
    <s v="Camila Bacelar Oliveira"/>
    <s v="Feminino"/>
    <x v="8"/>
    <x v="9"/>
    <s v="20103646 - Reabilitação Perineal Com Biofeedback (R$ 138,17)"/>
    <s v="Fisioterapia Pélvica e Neurológica"/>
    <n v="1706409548"/>
    <s v="Finalizado (3/3)"/>
    <n v="82.902000000000001"/>
    <n v="55.268000000000001"/>
    <n v="138.16999999999999"/>
    <s v="Sessão Faturada"/>
    <n v="954600031712010"/>
    <n v="59325"/>
    <s v="Unidade Vieralves (ANEXO)"/>
    <n v="1706409548"/>
    <m/>
  </r>
  <r>
    <x v="20"/>
    <x v="52"/>
    <s v="Ariel Patricia de Lima da Silva"/>
    <s v="Feminino"/>
    <x v="2"/>
    <x v="9"/>
    <s v="20103646 - Reabilitação Perineal Com Biofeedback (R$ 138,17)"/>
    <s v="Fisioterapia Pélvica e Neurológica"/>
    <n v="1710469632"/>
    <s v="Finalizado (2/5)"/>
    <n v="82.902000000000001"/>
    <n v="55.268000000000001"/>
    <n v="138.16999999999999"/>
    <s v="Sessão Faturada"/>
    <n v="813153800051020"/>
    <n v="96"/>
    <s v="Unidade Vieralves (ANEXO)"/>
    <n v="1710469632"/>
    <m/>
  </r>
  <r>
    <x v="1"/>
    <x v="75"/>
    <s v="Nilzete Passos de Faria"/>
    <s v="Feminino"/>
    <x v="1"/>
    <x v="9"/>
    <s v="50000233 - Fisioterapia Pélvica (R$ 138,17)"/>
    <s v="Fisioterapia Pélvica e Neurológica"/>
    <n v="9008985"/>
    <s v="Finalizado (5/10)"/>
    <n v="82.902000000000001"/>
    <n v="55.268000000000001"/>
    <n v="138.16999999999999"/>
    <s v="Sessão Faturada"/>
    <s v="0901013282010017"/>
    <n v="59202"/>
    <s v="Unidade Vieralves (ANEXO)"/>
    <n v="9008985"/>
    <m/>
  </r>
  <r>
    <x v="1"/>
    <x v="30"/>
    <s v="Sara Martins Sombra de Oliveira"/>
    <s v="Feminino"/>
    <x v="1"/>
    <x v="9"/>
    <s v="50000233 - Fisioterapia Pélvica (R$ 138,17)"/>
    <s v="Fisioterapia Pélvica e Neurológica"/>
    <n v="9496485"/>
    <s v="Finalizado (8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1"/>
    <x v="52"/>
    <s v="Karolaine Martins Araujo"/>
    <s v="Feminino"/>
    <x v="2"/>
    <x v="9"/>
    <s v="20103646 - Reabilitação Perineal Com Biofeedback (R$ 138,17)"/>
    <s v="Fisioterapia Pélvica e Neurológica"/>
    <n v="1709233444"/>
    <s v="Finalizado (3/5)"/>
    <n v="82.902000000000001"/>
    <n v="55.268000000000001"/>
    <n v="138.16999999999999"/>
    <s v="Sessão Faturada"/>
    <n v="610360710005000"/>
    <n v="59169"/>
    <s v="Unidade Vieralves (ANEXO)"/>
    <n v="1709233444"/>
    <m/>
  </r>
  <r>
    <x v="1"/>
    <x v="25"/>
    <s v="Larissa Grimm Fonseca Custódio"/>
    <s v="Feminino"/>
    <x v="6"/>
    <x v="9"/>
    <s v="20103646 - Fisioterapia Perineal Com Biofeedback (R$ 229,39)"/>
    <s v="Fisioterapia Pélvica e Neurológica"/>
    <n v="169975"/>
    <s v="Finalizado (5/10)"/>
    <n v="137.63399999999999"/>
    <n v="91.756"/>
    <n v="229.39"/>
    <s v="Sessão a Faturar"/>
    <s v="55788888478181960025"/>
    <n v="57317"/>
    <s v="Unidade Vieralves (ANEXO)"/>
    <n v="169975"/>
    <m/>
  </r>
  <r>
    <x v="2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4/10)"/>
    <n v="53.76"/>
    <n v="35.840000000000003"/>
    <n v="89.6"/>
    <s v="Sessão a Faturar"/>
    <s v="010650363400"/>
    <n v="41281"/>
    <s v="Unidade Vieralves (ANEXO)"/>
    <s v="42263120260309438762"/>
    <m/>
  </r>
  <r>
    <x v="2"/>
    <x v="30"/>
    <s v="Milena Gonçalves Lacerda"/>
    <s v="Feminino"/>
    <x v="2"/>
    <x v="9"/>
    <s v="20103646 - Reabilitação Perineal Com Biofeedback (R$ 138,17)"/>
    <s v="Fisioterapia Pélvica e Neurológica"/>
    <n v="1714182476"/>
    <s v="Finalizado (1/2)"/>
    <n v="82.902000000000001"/>
    <n v="55.268000000000001"/>
    <n v="138.16999999999999"/>
    <s v="Sessão Faturada"/>
    <n v="960019358622000"/>
    <n v="46622"/>
    <s v="Unidade Vieralves (ANEXO)"/>
    <n v="1714182476"/>
    <m/>
  </r>
  <r>
    <x v="2"/>
    <x v="30"/>
    <s v="Milena Gonçalves Lacerda"/>
    <s v="Feminino"/>
    <x v="2"/>
    <x v="9"/>
    <s v="50000144 - Avaliação de Fisioterapia (R$ 51,42)"/>
    <s v="Fisioterapia Pélvica e Neurológica"/>
    <n v="1714181090"/>
    <s v="Finalizado (1/1)"/>
    <n v="46.277999999999999"/>
    <n v="5.1420000000000003"/>
    <n v="51.42"/>
    <s v="Sessão Faturada"/>
    <n v="960019358622000"/>
    <n v="46622"/>
    <s v="Unidade Vieralves (ANEXO)"/>
    <n v="1714181090"/>
    <m/>
  </r>
  <r>
    <x v="2"/>
    <x v="6"/>
    <s v="Marcela Zumaeta Vieira Bastos"/>
    <s v="Feminino"/>
    <x v="6"/>
    <x v="9"/>
    <s v="20103646 - Fisioterapia Perineal Com Biofeedback (R$ 229,39)"/>
    <s v="Fisioterapia Pélvica e Neurológica"/>
    <n v="168670"/>
    <s v="Finalizado (8/10)"/>
    <n v="137.63399999999999"/>
    <n v="91.756"/>
    <n v="229.39"/>
    <s v="Sessão a Faturar"/>
    <s v="51588888488764470102"/>
    <n v="48193"/>
    <s v="Unidade Vieralves (ANEXO)"/>
    <n v="168670"/>
    <m/>
  </r>
  <r>
    <x v="2"/>
    <x v="52"/>
    <s v="Ariel Patricia de Lima da Silva"/>
    <s v="Feminino"/>
    <x v="2"/>
    <x v="9"/>
    <s v="20103646 - Reabilitação Perineal Com Biofeedback (R$ 138,17)"/>
    <s v="Fisioterapia Pélvica e Neurológica"/>
    <n v="1710469632"/>
    <s v="Finalizado (3/5)"/>
    <n v="82.902000000000001"/>
    <n v="55.268000000000001"/>
    <n v="138.16999999999999"/>
    <s v="Sessão Faturada"/>
    <n v="813153800051020"/>
    <n v="96"/>
    <s v="Unidade Vieralves (ANEXO)"/>
    <n v="1710469632"/>
    <m/>
  </r>
  <r>
    <x v="3"/>
    <x v="56"/>
    <s v="Milena Gonçalves Lacerda"/>
    <s v="Feminino"/>
    <x v="2"/>
    <x v="9"/>
    <s v="20103646 - Reabilitação Perineal Com Biofeedback (R$ 138,17)"/>
    <s v="Fisioterapia Pélvica e Neurológica"/>
    <n v="1714182476"/>
    <s v="Finalizado (2/2)"/>
    <n v="82.902000000000001"/>
    <n v="55.268000000000001"/>
    <n v="138.16999999999999"/>
    <s v="Sessão Faturada"/>
    <n v="960019358622000"/>
    <n v="46622"/>
    <s v="Unidade Vieralves (ANEXO)"/>
    <n v="1714182476"/>
    <m/>
  </r>
  <r>
    <x v="3"/>
    <x v="30"/>
    <s v="Sara Martins Sombra de Oliveira"/>
    <s v="Feminino"/>
    <x v="1"/>
    <x v="9"/>
    <s v="50000233 - Fisioterapia Pélvica (R$ 138,17)"/>
    <s v="Fisioterapia Pélvica e Neurológica"/>
    <n v="9496485"/>
    <s v="Finalizado (9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3"/>
    <x v="52"/>
    <s v="Karolaine Martins Araujo"/>
    <s v="Feminino"/>
    <x v="2"/>
    <x v="9"/>
    <s v="20103646 - Reabilitação Perineal Com Biofeedback (R$ 138,17)"/>
    <s v="Fisioterapia Pélvica e Neurológica"/>
    <n v="1709233444"/>
    <s v="Finalizado (4/5)"/>
    <n v="82.902000000000001"/>
    <n v="55.268000000000001"/>
    <n v="138.16999999999999"/>
    <s v="Sessão Faturada"/>
    <n v="610360710005000"/>
    <n v="59169"/>
    <s v="Unidade Vieralves (ANEXO)"/>
    <n v="1709233444"/>
    <m/>
  </r>
  <r>
    <x v="4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5/10)"/>
    <n v="53.76"/>
    <n v="35.840000000000003"/>
    <n v="89.6"/>
    <s v="Sessão a Faturar"/>
    <s v="010650363400"/>
    <n v="41281"/>
    <s v="Unidade Vieralves (ANEXO)"/>
    <s v="42263120260309438762"/>
    <m/>
  </r>
  <r>
    <x v="4"/>
    <x v="30"/>
    <s v="Larissa Grimm Fonseca Custódio"/>
    <s v="Feminino"/>
    <x v="6"/>
    <x v="9"/>
    <s v="20103646 - Fisioterapia Perineal Com Biofeedback (R$ 229,39)"/>
    <s v="Fisioterapia Pélvica e Neurológica"/>
    <n v="169975"/>
    <s v="Finalizado (6/10)"/>
    <n v="137.63399999999999"/>
    <n v="91.756"/>
    <n v="229.39"/>
    <s v="Sessão a Faturar"/>
    <s v="55788888478181960025"/>
    <n v="57317"/>
    <s v="Unidade Vieralves (ANEXO)"/>
    <n v="169975"/>
    <m/>
  </r>
  <r>
    <x v="4"/>
    <x v="52"/>
    <s v="Karolaine Martins Araujo"/>
    <s v="Feminino"/>
    <x v="2"/>
    <x v="9"/>
    <s v="20103646 - Reabilitação Perineal Com Biofeedback (R$ 138,17)"/>
    <s v="Fisioterapia Pélvica e Neurológica"/>
    <n v="1709233444"/>
    <s v="Finalizado (5/5)"/>
    <n v="82.902000000000001"/>
    <n v="55.268000000000001"/>
    <n v="138.16999999999999"/>
    <s v="Sessão Faturada"/>
    <n v="610360710005000"/>
    <n v="59169"/>
    <s v="Unidade Vieralves (ANEXO)"/>
    <n v="1709233444"/>
    <m/>
  </r>
  <r>
    <x v="4"/>
    <x v="25"/>
    <s v="Marcela Zumaeta Vieira Bastos"/>
    <s v="Feminino"/>
    <x v="6"/>
    <x v="9"/>
    <s v="20103646 - Fisioterapia Perineal Com Biofeedback (R$ 229,39)"/>
    <s v="Fisioterapia Pélvica e Neurológica"/>
    <n v="168670"/>
    <s v="Finalizado (9/10)"/>
    <n v="137.63399999999999"/>
    <n v="91.756"/>
    <n v="229.39"/>
    <s v="Sessão a Faturar"/>
    <s v="51588888488764470102"/>
    <n v="48193"/>
    <s v="Unidade Vieralves (ANEXO)"/>
    <n v="168670"/>
    <m/>
  </r>
  <r>
    <x v="5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6/10)"/>
    <n v="53.76"/>
    <n v="35.840000000000003"/>
    <n v="89.6"/>
    <s v="Sessão a Faturar"/>
    <s v="010650363400"/>
    <n v="41281"/>
    <s v="Unidade Vieralves (ANEXO)"/>
    <s v="42263120260309438762"/>
    <m/>
  </r>
  <r>
    <x v="5"/>
    <x v="6"/>
    <s v="Nilzete Passos de Faria"/>
    <s v="Feminino"/>
    <x v="1"/>
    <x v="9"/>
    <s v="50000233 - Fisioterapia Pélvica (R$ 138,17)"/>
    <s v="Fisioterapia Pélvica e Neurológica"/>
    <n v="9008985"/>
    <s v="Finalizado (6/10)"/>
    <n v="82.902000000000001"/>
    <n v="55.268000000000001"/>
    <n v="138.16999999999999"/>
    <s v="Sessão Faturada"/>
    <s v="0901013282010017"/>
    <n v="59202"/>
    <s v="Unidade Vieralves (ANEXO)"/>
    <n v="9008985"/>
    <m/>
  </r>
  <r>
    <x v="5"/>
    <x v="52"/>
    <s v="Ariel Patricia de Lima da Silva"/>
    <s v="Feminino"/>
    <x v="2"/>
    <x v="9"/>
    <s v="20103646 - Reabilitação Perineal Com Biofeedback (R$ 138,17)"/>
    <s v="Fisioterapia Pélvica e Neurológica"/>
    <n v="1710469632"/>
    <s v="Finalizado (4/5)"/>
    <n v="82.902000000000001"/>
    <n v="55.268000000000001"/>
    <n v="138.16999999999999"/>
    <s v="Sessão Faturada"/>
    <n v="813153800051020"/>
    <n v="96"/>
    <s v="Unidade Vieralves (ANEXO)"/>
    <n v="1710469632"/>
    <m/>
  </r>
  <r>
    <x v="5"/>
    <x v="25"/>
    <s v="Ana Carolina Bento Andrade da Encarnação"/>
    <s v="Feminino"/>
    <x v="2"/>
    <x v="9"/>
    <s v="50000144 - Avaliação de Fisioterapia (R$ 51,42)"/>
    <s v="Fisioterapia Pélvica e Neurológica"/>
    <n v="1716267190"/>
    <s v="Finalizado (1/1)"/>
    <n v="46.277999999999999"/>
    <n v="5.1420000000000003"/>
    <n v="51.42"/>
    <s v="Sessão Faturada"/>
    <n v="771015045292010"/>
    <n v="21604"/>
    <s v="Unidade Vieralves (ANEXO)"/>
    <n v="1716267190"/>
    <m/>
  </r>
  <r>
    <x v="5"/>
    <x v="25"/>
    <s v="Ana Carolina Bento Andrade da Encarnação"/>
    <s v="Feminino"/>
    <x v="2"/>
    <x v="9"/>
    <s v="20103646 - Reabilitação Perineal Com Biofeedback (R$ 138,17)"/>
    <s v="Fisioterapia Pélvica e Neurológica"/>
    <n v="1716267587"/>
    <s v="Finalizado (1/3)"/>
    <n v="82.902000000000001"/>
    <n v="55.268000000000001"/>
    <n v="138.16999999999999"/>
    <s v="Sessão a Faturar"/>
    <n v="771015045292010"/>
    <n v="21604"/>
    <s v="Unidade Vieralves (ANEXO)"/>
    <n v="1716267587"/>
    <m/>
  </r>
  <r>
    <x v="6"/>
    <x v="75"/>
    <s v="Nilzete Passos de Faria"/>
    <s v="Feminino"/>
    <x v="1"/>
    <x v="9"/>
    <s v="50000233 - Fisioterapia Pélvica (R$ 138,17)"/>
    <s v="Fisioterapia Pélvica e Neurológica"/>
    <n v="9008985"/>
    <s v="Finalizado (7/10)"/>
    <n v="82.902000000000001"/>
    <n v="55.268000000000001"/>
    <n v="138.16999999999999"/>
    <s v="Sessão Faturada"/>
    <s v="0901013282010017"/>
    <n v="59202"/>
    <s v="Unidade Vieralves (ANEXO)"/>
    <n v="9008985"/>
    <m/>
  </r>
  <r>
    <x v="6"/>
    <x v="0"/>
    <s v="Ana Carolina Bento Andrade da Encarnação"/>
    <s v="Feminino"/>
    <x v="2"/>
    <x v="9"/>
    <s v="20103646 - Reabilitação Perineal Com Biofeedback (R$ 138,17)"/>
    <s v="Fisioterapia Pélvica e Neurológica"/>
    <n v="1716267587"/>
    <s v="Finalizado (2/3)"/>
    <n v="82.902000000000001"/>
    <n v="55.268000000000001"/>
    <n v="138.16999999999999"/>
    <s v="Sessão a Faturar"/>
    <n v="771015045292010"/>
    <n v="21604"/>
    <s v="Unidade Vieralves (ANEXO)"/>
    <n v="1716267587"/>
    <m/>
  </r>
  <r>
    <x v="6"/>
    <x v="30"/>
    <s v="Sara Martins Sombra de Oliveira"/>
    <s v="Feminino"/>
    <x v="1"/>
    <x v="9"/>
    <s v="50000233 - Fisioterapia Pélvica (R$ 138,17)"/>
    <s v="Fisioterapia Pélvica e Neurológica"/>
    <n v="9496485"/>
    <s v="Finalizado (10/10)"/>
    <n v="82.902000000000001"/>
    <n v="55.268000000000001"/>
    <n v="138.16999999999999"/>
    <s v="Sessão Faturada"/>
    <s v="0901013818160071"/>
    <n v="58481"/>
    <s v="Unidade Vieralves (ANEXO)"/>
    <n v="9496485"/>
    <s v="Guia assinada! 03/03"/>
  </r>
  <r>
    <x v="6"/>
    <x v="52"/>
    <s v="Karolaine Martins Araujo"/>
    <s v="Feminino"/>
    <x v="2"/>
    <x v="9"/>
    <s v="20103646 - Reabilitação Perineal Com Biofeedback (R$ 138,17)"/>
    <s v="Fisioterapia Pélvica e Neurológica"/>
    <n v="1716785569"/>
    <s v="Finalizado (1/5)"/>
    <n v="82.902000000000001"/>
    <n v="55.268000000000001"/>
    <n v="138.16999999999999"/>
    <s v="Sessão a Faturar"/>
    <n v="610360710005000"/>
    <n v="59169"/>
    <s v="Unidade Vieralves (ANEXO)"/>
    <n v="1716785569"/>
    <m/>
  </r>
  <r>
    <x v="6"/>
    <x v="25"/>
    <s v="Larissa Grimm Fonseca Custódio"/>
    <s v="Feminino"/>
    <x v="6"/>
    <x v="9"/>
    <s v="20103646 - Fisioterapia Perineal Com Biofeedback (R$ 229,39)"/>
    <s v="Fisioterapia Pélvica e Neurológica"/>
    <n v="169975"/>
    <s v="Finalizado (7/10)"/>
    <n v="137.63399999999999"/>
    <n v="91.756"/>
    <n v="229.39"/>
    <s v="Sessão a Faturar"/>
    <s v="55788888478181960025"/>
    <n v="57317"/>
    <s v="Unidade Vieralves (ANEXO)"/>
    <n v="169975"/>
    <m/>
  </r>
  <r>
    <x v="6"/>
    <x v="10"/>
    <s v="Karen Cristina Rocha dos Santos"/>
    <s v="Feminino"/>
    <x v="2"/>
    <x v="9"/>
    <s v="20103646 - Reabilitação Perineal Com Biofeedback (R$ 138,17)"/>
    <s v="Fisioterapia Pélvica e Neurológica"/>
    <n v="1716805945"/>
    <s v="Finalizado (1/1)"/>
    <n v="82.902000000000001"/>
    <n v="55.268000000000001"/>
    <n v="138.16999999999999"/>
    <s v="Sessão a Faturar"/>
    <n v="774063014265010"/>
    <n v="59739"/>
    <s v="Unidade Vieralves (ANEXO)"/>
    <n v="1716805945"/>
    <m/>
  </r>
  <r>
    <x v="6"/>
    <x v="10"/>
    <s v="Karen Cristina Rocha dos Santos"/>
    <s v="Feminino"/>
    <x v="2"/>
    <x v="9"/>
    <s v="50000144 - Avaliação de Fisioterapia (R$ 51,42)"/>
    <s v="Fisioterapia Pélvica e Neurológica"/>
    <n v="1716805196"/>
    <s v="Finalizado (1/1)"/>
    <n v="46.277999999999999"/>
    <n v="5.1420000000000003"/>
    <n v="51.42"/>
    <s v="Sessão Faturada"/>
    <n v="774063014265010"/>
    <n v="59739"/>
    <s v="Unidade Vieralves (ANEXO)"/>
    <n v="1716805196"/>
    <m/>
  </r>
  <r>
    <x v="7"/>
    <x v="75"/>
    <s v="Maria Adelina Parente Lins Felix"/>
    <s v="Feminino"/>
    <x v="0"/>
    <x v="9"/>
    <s v="50000233 - Fisioterapia Pélvica Com Biofeedback (R$ 89,60)"/>
    <s v="Fisioterapia Pélvica e Neurológica"/>
    <s v="42263120260309438762"/>
    <s v="Finalizado (7/10)"/>
    <n v="53.76"/>
    <n v="35.840000000000003"/>
    <n v="89.6"/>
    <s v="Sessão a Faturar"/>
    <s v="010650363400"/>
    <n v="41281"/>
    <s v="Unidade Vieralves (ANEXO)"/>
    <s v="42263120260309438762"/>
    <m/>
  </r>
  <r>
    <x v="7"/>
    <x v="52"/>
    <s v="Ariel Patricia de Lima da Silva"/>
    <s v="Feminino"/>
    <x v="2"/>
    <x v="9"/>
    <s v="20103646 - Reabilitação Perineal Com Biofeedback (R$ 138,17)"/>
    <s v="Fisioterapia Pélvica e Neurológica"/>
    <n v="1710469632"/>
    <s v="Finalizado (5/5)"/>
    <n v="82.902000000000001"/>
    <n v="55.268000000000001"/>
    <n v="138.16999999999999"/>
    <s v="Sessão Faturada"/>
    <n v="813153800051020"/>
    <n v="96"/>
    <s v="Unidade Vieralves (ANEXO)"/>
    <n v="1710469632"/>
    <m/>
  </r>
  <r>
    <x v="7"/>
    <x v="25"/>
    <s v="Marcela Zumaeta Vieira Bastos"/>
    <s v="Feminino"/>
    <x v="6"/>
    <x v="9"/>
    <s v="20103646 - Fisioterapia Perineal Com Biofeedback (R$ 229,39)"/>
    <s v="Fisioterapia Pélvica e Neurológica"/>
    <n v="168670"/>
    <s v="Finalizado (10/10)"/>
    <n v="137.63399999999999"/>
    <n v="91.756"/>
    <n v="229.39"/>
    <s v="Sessão a Faturar"/>
    <s v="51588888488764470102"/>
    <n v="48193"/>
    <s v="Unidade Vieralves (ANEXO)"/>
    <n v="168670"/>
    <m/>
  </r>
  <r>
    <x v="8"/>
    <x v="0"/>
    <s v="Ana Carolina Bento Andrade da Encarnação"/>
    <s v="Feminino"/>
    <x v="2"/>
    <x v="9"/>
    <s v="20103646 - Reabilitação Perineal Com Biofeedback (R$ 138,17)"/>
    <s v="Fisioterapia Pélvica e Neurológica"/>
    <n v="1716267587"/>
    <s v="Finalizado (3/3)"/>
    <n v="82.902000000000001"/>
    <n v="55.268000000000001"/>
    <n v="138.16999999999999"/>
    <s v="Sessão a Faturar"/>
    <n v="771015045292010"/>
    <n v="21604"/>
    <s v="Unidade Vieralves (ANEXO)"/>
    <n v="1716267587"/>
    <m/>
  </r>
  <r>
    <x v="8"/>
    <x v="56"/>
    <s v="Sara Martins Sombra de Oliveira"/>
    <s v="Feminino"/>
    <x v="1"/>
    <x v="9"/>
    <s v="50000233 - Fisioterapia Pélvica (R$ 138,17)"/>
    <s v="Fisioterapia Pélvica e Neurológica"/>
    <n v="9714743"/>
    <s v="Finalizado (1/10)"/>
    <n v="82.902000000000001"/>
    <n v="55.268000000000001"/>
    <n v="138.16999999999999"/>
    <s v="Sessão a Faturar"/>
    <s v="0901013818160071"/>
    <n v="58481"/>
    <s v="Unidade Vieralves (ANEXO)"/>
    <n v="9714743"/>
    <m/>
  </r>
  <r>
    <x v="8"/>
    <x v="6"/>
    <s v="Layza Maria Batista Lopes"/>
    <s v="Feminino"/>
    <x v="2"/>
    <x v="9"/>
    <s v="20103646 - Reabilitação Perineal Com Biofeedback (R$ 138,17)"/>
    <s v="Fisioterapia Pélvica e Neurológica"/>
    <n v="1717790344"/>
    <s v="Finalizado (1/3)"/>
    <n v="82.902000000000001"/>
    <n v="55.268000000000001"/>
    <n v="138.16999999999999"/>
    <s v="Sessão a Faturar"/>
    <n v="774642023124000"/>
    <n v="54902"/>
    <s v="Unidade Vieralves (ANEXO)"/>
    <n v="1717790344"/>
    <m/>
  </r>
  <r>
    <x v="8"/>
    <x v="6"/>
    <s v="Layza Maria Batista Lopes"/>
    <s v="Feminino"/>
    <x v="2"/>
    <x v="9"/>
    <s v="50000144 - Avaliação de Fisioterapia (R$ 51,42)"/>
    <s v="Fisioterapia Pélvica e Neurológica"/>
    <n v="1717789635"/>
    <s v="Finalizado (1/1)"/>
    <n v="46.277999999999999"/>
    <n v="5.1420000000000003"/>
    <n v="51.42"/>
    <s v="Sessão Faturada"/>
    <n v="774642023124000"/>
    <n v="54902"/>
    <s v="Unidade Vieralves (ANEXO)"/>
    <n v="1717789635"/>
    <m/>
  </r>
  <r>
    <x v="8"/>
    <x v="52"/>
    <s v="Karolaine Martins Araujo"/>
    <s v="Feminino"/>
    <x v="2"/>
    <x v="9"/>
    <s v="20103646 - Reabilitação Perineal Com Biofeedback (R$ 138,17)"/>
    <s v="Fisioterapia Pélvica e Neurológica"/>
    <n v="1716785569"/>
    <s v="Finalizado (2/5)"/>
    <n v="82.902000000000001"/>
    <n v="55.268000000000001"/>
    <n v="138.16999999999999"/>
    <s v="Sessão a Faturar"/>
    <n v="610360710005000"/>
    <n v="59169"/>
    <s v="Unidade Vieralves (ANEXO)"/>
    <n v="1716785569"/>
    <m/>
  </r>
  <r>
    <x v="8"/>
    <x v="25"/>
    <s v="Larissa Grimm Fonseca Custódio"/>
    <s v="Feminino"/>
    <x v="6"/>
    <x v="9"/>
    <s v="20103646 - Fisioterapia Perineal Com Biofeedback (R$ 229,39)"/>
    <s v="Fisioterapia Pélvica e Neurológica"/>
    <n v="169975"/>
    <s v="Finalizado (8/10)"/>
    <n v="137.63399999999999"/>
    <n v="91.756"/>
    <n v="229.39"/>
    <s v="Sessão a Faturar"/>
    <s v="55788888478181960025"/>
    <n v="57317"/>
    <s v="Unidade Vieralves (ANEXO)"/>
    <n v="169975"/>
    <m/>
  </r>
  <r>
    <x v="8"/>
    <x v="10"/>
    <s v="Kaíny Medeiros Maciel"/>
    <s v="Feminino"/>
    <x v="2"/>
    <x v="9"/>
    <s v="20103646 - Reabilitação Perineal Com Biofeedback (R$ 138,17)"/>
    <s v="Fisioterapia Pélvica e Neurológica"/>
    <n v="1717835697"/>
    <s v="Finalizado (1/5)"/>
    <n v="82.902000000000001"/>
    <n v="55.268000000000001"/>
    <n v="138.16999999999999"/>
    <s v="Sessão a Faturar"/>
    <n v="774642015580010"/>
    <n v="59326"/>
    <s v="Unidade Vieralves (ANEXO)"/>
    <n v="1717835697"/>
    <m/>
  </r>
  <r>
    <x v="8"/>
    <x v="10"/>
    <s v="Kaíny Medeiros Maciel"/>
    <s v="Feminino"/>
    <x v="2"/>
    <x v="9"/>
    <s v="50000144 - Avaliação de Fisioterapia (R$ 51,42)"/>
    <s v="Fisioterapia Pélvica e Neurológica"/>
    <n v="1717835065"/>
    <s v="Finalizado (1/1)"/>
    <n v="46.277999999999999"/>
    <n v="5.1420000000000003"/>
    <n v="51.42"/>
    <s v="Sessão Faturada"/>
    <n v="774642015580010"/>
    <n v="59326"/>
    <s v="Unidade Vieralves (ANEXO)"/>
    <n v="1717835065"/>
    <m/>
  </r>
  <r>
    <x v="9"/>
    <x v="6"/>
    <s v="Ariel Patricia de Lima da Silva"/>
    <s v="Feminino"/>
    <x v="2"/>
    <x v="9"/>
    <s v="20103646 - Reabilitação Perineal Com Biofeedback (R$ 138,17)"/>
    <s v="Fisioterapia Pélvica e Neurológica"/>
    <n v="1718270192"/>
    <s v="Finalizado (1/1)"/>
    <n v="82.902000000000001"/>
    <n v="55.268000000000001"/>
    <n v="138.16999999999999"/>
    <s v="Sessão a Faturar"/>
    <n v="813153800051020"/>
    <n v="96"/>
    <s v="Unidade Vieralves (ANEXO)"/>
    <n v="1718270192"/>
    <m/>
  </r>
  <r>
    <x v="9"/>
    <x v="52"/>
    <s v="Karolaine Martins Araujo"/>
    <s v="Feminino"/>
    <x v="2"/>
    <x v="9"/>
    <s v="20103646 - Reabilitação Perineal Com Biofeedback (R$ 138,17)"/>
    <s v="Fisioterapia Pélvica e Neurológica"/>
    <n v="1716785569"/>
    <s v="Finalizado (3/5)"/>
    <n v="82.902000000000001"/>
    <n v="55.268000000000001"/>
    <n v="138.16999999999999"/>
    <s v="Sessão a Faturar"/>
    <n v="610360710005000"/>
    <n v="59169"/>
    <s v="Unidade Vieralves (ANEXO)"/>
    <n v="1716785569"/>
    <m/>
  </r>
  <r>
    <x v="9"/>
    <x v="25"/>
    <s v="Marcela Zumaeta Vieira Bastos"/>
    <s v="Feminino"/>
    <x v="6"/>
    <x v="9"/>
    <s v="20103646 - Fisioterapia Perineal Com Biofeedback (R$ 229,39)"/>
    <s v="Fisioterapia Pélvica e Neurológica"/>
    <n v="173244"/>
    <s v="Finalizado (1/10)"/>
    <n v="137.63399999999999"/>
    <n v="91.756"/>
    <n v="229.39"/>
    <s v="Sessão a Faturar"/>
    <s v="51588888488764470102"/>
    <n v="48193"/>
    <s v="Unidade Vieralves (ANEXO)"/>
    <n v="173244"/>
    <m/>
  </r>
  <r>
    <x v="9"/>
    <x v="10"/>
    <s v="Vannessa Costa Gurgel"/>
    <s v="Feminino"/>
    <x v="1"/>
    <x v="9"/>
    <s v="50000233 - Fisioterapia Pélvica (R$ 138,17)"/>
    <s v="Fisioterapia Pélvica e Neurológica"/>
    <n v="9645810"/>
    <s v="Finalizado (1/10)"/>
    <n v="82.902000000000001"/>
    <n v="55.268000000000001"/>
    <n v="138.16999999999999"/>
    <s v="Sessão a Faturar"/>
    <s v="0901014117090172"/>
    <n v="58947"/>
    <s v="Unidade Vieralves (ANEXO)"/>
    <n v="9645810"/>
    <m/>
  </r>
  <r>
    <x v="9"/>
    <x v="10"/>
    <s v="Vannessa Costa Gurgel"/>
    <s v="Feminino"/>
    <x v="1"/>
    <x v="9"/>
    <s v="50000144 - Consulta de Fisioterapia (R$ 16,00)"/>
    <s v="Fisioterapia Pélvica e Neurológica"/>
    <n v="9592531"/>
    <s v="Finalizado (1/1)"/>
    <n v="14.4"/>
    <n v="1.6"/>
    <n v="16"/>
    <s v="Sessão Faturada"/>
    <s v="0901014117090172"/>
    <n v="58947"/>
    <s v="Unidade Vieralves (ANEXO)"/>
    <n v="9592531"/>
    <m/>
  </r>
  <r>
    <x v="10"/>
    <x v="6"/>
    <s v="Nilzete Passos de Faria"/>
    <s v="Feminino"/>
    <x v="1"/>
    <x v="9"/>
    <s v="50000233 - Fisioterapia Pélvica (R$ 138,17)"/>
    <s v="Fisioterapia Pélvica e Neurológica"/>
    <n v="9008985"/>
    <s v="Finalizado (8/10)"/>
    <n v="82.902000000000001"/>
    <n v="55.268000000000001"/>
    <n v="138.16999999999999"/>
    <s v="Sessão Faturada"/>
    <s v="0901013282010017"/>
    <n v="59202"/>
    <s v="Unidade Vieralves (ANEXO)"/>
    <n v="9008985"/>
    <m/>
  </r>
  <r>
    <x v="10"/>
    <x v="25"/>
    <s v="Layza Maria Batista Lopes"/>
    <s v="Feminino"/>
    <x v="2"/>
    <x v="9"/>
    <s v="20103646 - Reabilitação Perineal Com Biofeedback (R$ 138,17)"/>
    <s v="Fisioterapia Pélvica e Neurológica"/>
    <n v="1717790344"/>
    <s v="Finalizado (2/3)"/>
    <n v="82.902000000000001"/>
    <n v="55.268000000000001"/>
    <n v="138.16999999999999"/>
    <s v="Sessão a Faturar"/>
    <n v="774642023124000"/>
    <n v="54902"/>
    <s v="Unidade Vieralves (ANEXO)"/>
    <n v="1717790344"/>
    <m/>
  </r>
  <r>
    <x v="11"/>
    <x v="0"/>
    <s v="Nilzete Passos de Faria"/>
    <s v="Feminino"/>
    <x v="1"/>
    <x v="9"/>
    <s v="50000233 - Fisioterapia Pélvica (R$ 138,17)"/>
    <s v="Fisioterapia Pélvica e Neurológica"/>
    <n v="9008985"/>
    <s v="Finalizado (9/10)"/>
    <n v="82.902000000000001"/>
    <n v="55.268000000000001"/>
    <n v="138.16999999999999"/>
    <s v="Sessão Faturada"/>
    <s v="0901013282010017"/>
    <n v="59202"/>
    <s v="Unidade Vieralves (ANEXO)"/>
    <n v="9008985"/>
    <m/>
  </r>
  <r>
    <x v="11"/>
    <x v="30"/>
    <s v="Sara Martins Sombra de Oliveira"/>
    <s v="Feminino"/>
    <x v="1"/>
    <x v="9"/>
    <s v="50000233 - Fisioterapia Pélvica (R$ 138,17)"/>
    <s v="Fisioterapia Pélvica e Neurológica"/>
    <n v="9714743"/>
    <s v="Finalizado (2/10)"/>
    <n v="82.902000000000001"/>
    <n v="55.268000000000001"/>
    <n v="138.16999999999999"/>
    <s v="Sessão a Faturar"/>
    <s v="0901013818160071"/>
    <n v="58481"/>
    <s v="Unidade Vieralves (ANEXO)"/>
    <n v="9714743"/>
    <m/>
  </r>
  <r>
    <x v="11"/>
    <x v="6"/>
    <s v="Vannessa Costa Gurgel"/>
    <s v="Feminino"/>
    <x v="1"/>
    <x v="9"/>
    <s v="50000233 - Fisioterapia Pélvica (R$ 138,17)"/>
    <s v="Fisioterapia Pélvica e Neurológica"/>
    <n v="9645810"/>
    <s v="Finalizado (2/10)"/>
    <n v="82.902000000000001"/>
    <n v="55.268000000000001"/>
    <n v="138.16999999999999"/>
    <s v="Sessão a Faturar"/>
    <s v="0901014117090172"/>
    <n v="58947"/>
    <s v="Unidade Vieralves (ANEXO)"/>
    <n v="9645810"/>
    <m/>
  </r>
  <r>
    <x v="11"/>
    <x v="52"/>
    <s v="Karolaine Martins Araujo"/>
    <s v="Feminino"/>
    <x v="2"/>
    <x v="9"/>
    <s v="20103646 - Reabilitação Perineal Com Biofeedback (R$ 138,17)"/>
    <s v="Fisioterapia Pélvica e Neurológica"/>
    <n v="1716785569"/>
    <s v="Finalizado (4/5)"/>
    <n v="82.902000000000001"/>
    <n v="55.268000000000001"/>
    <n v="138.16999999999999"/>
    <s v="Sessão a Faturar"/>
    <n v="610360710005000"/>
    <n v="59169"/>
    <s v="Unidade Vieralves (ANEXO)"/>
    <n v="1716785569"/>
    <m/>
  </r>
  <r>
    <x v="11"/>
    <x v="25"/>
    <s v="Layza Maria Batista Lopes"/>
    <s v="Feminino"/>
    <x v="2"/>
    <x v="9"/>
    <s v="20103646 - Reabilitação Perineal Com Biofeedback (R$ 138,17)"/>
    <s v="Fisioterapia Pélvica e Neurológica"/>
    <n v="1717790344"/>
    <s v="Finalizado (3/3)"/>
    <n v="82.902000000000001"/>
    <n v="55.268000000000001"/>
    <n v="138.16999999999999"/>
    <s v="Sessão a Faturar"/>
    <n v="774642023124000"/>
    <n v="54902"/>
    <s v="Unidade Vieralves (ANEXO)"/>
    <n v="1717790344"/>
    <m/>
  </r>
  <r>
    <x v="11"/>
    <x v="10"/>
    <s v="Kaíny Medeiros Maciel"/>
    <s v="Feminino"/>
    <x v="2"/>
    <x v="9"/>
    <s v="20103646 - Reabilitação Perineal Com Biofeedback (R$ 138,17)"/>
    <s v="Fisioterapia Pélvica e Neurológica"/>
    <n v="1717835697"/>
    <s v="Finalizado (2/5)"/>
    <n v="82.902000000000001"/>
    <n v="55.268000000000001"/>
    <n v="138.16999999999999"/>
    <s v="Sessão a Faturar"/>
    <n v="774642015580010"/>
    <n v="59326"/>
    <s v="Unidade Vieralves (ANEXO)"/>
    <n v="1717835697"/>
    <m/>
  </r>
  <r>
    <x v="12"/>
    <x v="6"/>
    <s v="Diana Barros Chaves"/>
    <s v="Feminino"/>
    <x v="2"/>
    <x v="10"/>
    <s v="20103646 - Reabilitação Perineal Com Biofeedback (R$ 138,17)"/>
    <s v="Fisioterapia Pélvica e Neurológica"/>
    <n v="1704919486"/>
    <s v="Finalizado (2/5)"/>
    <n v="82.902000000000001"/>
    <n v="55.268000000000001"/>
    <n v="138.16999999999999"/>
    <s v="Sessão Faturada"/>
    <n v="774642009164020"/>
    <n v="43980"/>
    <s v="Unidade Vieralves (ANEXO)"/>
    <n v="1704919486"/>
    <m/>
  </r>
  <r>
    <x v="14"/>
    <x v="56"/>
    <s v="Dayanne Torres da Silva"/>
    <s v="Feminino"/>
    <x v="6"/>
    <x v="10"/>
    <s v="50000144 - Avaliação de Fisioterapia (R$ 56,52)"/>
    <s v="Fisioterapia Pélvica e Neurológica"/>
    <n v="7700047093"/>
    <s v="Finalizado (1/1)"/>
    <n v="50.868000000000002"/>
    <n v="5.6520000000000001"/>
    <n v="56.52"/>
    <s v="Sessão Faturada"/>
    <s v="54588888021709000020"/>
    <n v="59506"/>
    <s v="Unidade Vieralves (ANEXO)"/>
    <n v="7700047093"/>
    <m/>
  </r>
  <r>
    <x v="14"/>
    <x v="56"/>
    <s v="Dayanne Torres da Silva"/>
    <s v="Feminino"/>
    <x v="6"/>
    <x v="10"/>
    <s v="20103646 - Fisioterapia Perineal Com Biofeedback (R$ 229,39)"/>
    <s v="Fisioterapia Pélvica e Neurológica"/>
    <n v="170489"/>
    <s v="Finalizado (1/10)"/>
    <n v="137.63399999999999"/>
    <n v="91.756"/>
    <n v="229.39"/>
    <s v="Sessão a Faturar"/>
    <s v="54588888021709000020"/>
    <n v="59506"/>
    <s v="Unidade Vieralves (ANEXO)"/>
    <n v="170489"/>
    <m/>
  </r>
  <r>
    <x v="14"/>
    <x v="6"/>
    <s v="Diana Barros Chaves"/>
    <s v="Feminino"/>
    <x v="2"/>
    <x v="10"/>
    <s v="20103646 - Reabilitação Perineal Com Biofeedback (R$ 138,17)"/>
    <s v="Fisioterapia Pélvica e Neurológica"/>
    <n v="1704919486"/>
    <s v="Finalizado (3/5)"/>
    <n v="82.902000000000001"/>
    <n v="55.268000000000001"/>
    <n v="138.16999999999999"/>
    <s v="Sessão Faturada"/>
    <n v="774642009164020"/>
    <n v="43980"/>
    <s v="Unidade Vieralves (ANEXO)"/>
    <n v="1704919486"/>
    <m/>
  </r>
  <r>
    <x v="14"/>
    <x v="52"/>
    <s v="Victoria de Albuquerque Lopes Kemper"/>
    <s v="Feminino"/>
    <x v="2"/>
    <x v="10"/>
    <s v="20103646 - Reabilitação Perineal Com Biofeedback (R$ 138,17)"/>
    <s v="Fisioterapia Pélvica e Neurológica"/>
    <n v="1707016999"/>
    <s v="Finalizado (1/1)"/>
    <n v="82.902000000000001"/>
    <n v="55.268000000000001"/>
    <n v="138.16999999999999"/>
    <s v="Sessão Faturada"/>
    <n v="610962990048010"/>
    <n v="59508"/>
    <s v="Unidade Vieralves (ANEXO)"/>
    <n v="1707016999"/>
    <m/>
  </r>
  <r>
    <x v="14"/>
    <x v="52"/>
    <s v="Victoria de Albuquerque Lopes Kemper"/>
    <s v="Feminino"/>
    <x v="2"/>
    <x v="10"/>
    <s v="50000144 - Avaliação de Fisioterapia (R$ 51,42)"/>
    <s v="Fisioterapia Pélvica e Neurológica"/>
    <n v="1707016438"/>
    <s v="Finalizado (1/1)"/>
    <n v="46.277999999999999"/>
    <n v="5.1420000000000003"/>
    <n v="51.42"/>
    <s v="Sessão Faturada"/>
    <n v="610962990048010"/>
    <n v="59508"/>
    <s v="Unidade Vieralves (ANEXO)"/>
    <n v="1707016438"/>
    <m/>
  </r>
  <r>
    <x v="14"/>
    <x v="46"/>
    <s v="Adriana Brenda Ferreira Araujo dos Santos"/>
    <s v="Feminino"/>
    <x v="6"/>
    <x v="10"/>
    <s v="20103646 - Fisioterapia Perineal Com Biofeedback (R$ 229,39)"/>
    <s v="Fisioterapia Pélvica e Neurológica"/>
    <n v="169428"/>
    <s v="Finalizado (4/10)"/>
    <n v="137.63399999999999"/>
    <n v="91.756"/>
    <n v="229.39"/>
    <s v="Sessão a Faturar"/>
    <s v="54588888460185190027"/>
    <n v="17798"/>
    <s v="Unidade Vieralves (ANEXO)"/>
    <n v="169428"/>
    <m/>
  </r>
  <r>
    <x v="16"/>
    <x v="6"/>
    <s v="Diana Barros Chaves"/>
    <s v="Feminino"/>
    <x v="2"/>
    <x v="10"/>
    <s v="20103646 - Reabilitação Perineal Com Biofeedback (R$ 138,17)"/>
    <s v="Fisioterapia Pélvica e Neurológica"/>
    <n v="1704919486"/>
    <s v="Finalizado (4/5)"/>
    <n v="82.902000000000001"/>
    <n v="55.268000000000001"/>
    <n v="138.16999999999999"/>
    <s v="Sessão Faturada"/>
    <n v="774642009164020"/>
    <n v="43980"/>
    <s v="Unidade Vieralves (ANEXO)"/>
    <n v="1704919486"/>
    <m/>
  </r>
  <r>
    <x v="16"/>
    <x v="52"/>
    <s v="Dayanne Torres da Silva"/>
    <s v="Feminino"/>
    <x v="6"/>
    <x v="10"/>
    <s v="20103646 - Fisioterapia Perineal Com Biofeedback (R$ 229,39)"/>
    <s v="Fisioterapia Pélvica e Neurológica"/>
    <n v="170489"/>
    <s v="Finalizado (2/10)"/>
    <n v="137.63399999999999"/>
    <n v="91.756"/>
    <n v="229.39"/>
    <s v="Sessão a Faturar"/>
    <s v="54588888021709000020"/>
    <n v="59506"/>
    <s v="Unidade Vieralves (ANEXO)"/>
    <n v="170489"/>
    <m/>
  </r>
  <r>
    <x v="16"/>
    <x v="25"/>
    <s v="Maria Dayana Lopes e Silva"/>
    <s v="Feminino"/>
    <x v="2"/>
    <x v="10"/>
    <s v="20103646 - Reabilitação Perineal Com Biofeedback (R$ 138,17)"/>
    <s v="Fisioterapia Pélvica e Neurológica"/>
    <n v="1708062370"/>
    <s v="Finalizado (1/3)"/>
    <n v="82.902000000000001"/>
    <n v="55.268000000000001"/>
    <n v="138.16999999999999"/>
    <s v="Sessão Faturada"/>
    <n v="775255000647020"/>
    <n v="59310"/>
    <s v="Unidade Vieralves (ANEXO)"/>
    <n v="1708062370"/>
    <m/>
  </r>
  <r>
    <x v="16"/>
    <x v="46"/>
    <s v="Adriana Brenda Ferreira Araujo dos Santos"/>
    <s v="Feminino"/>
    <x v="6"/>
    <x v="10"/>
    <s v="20103646 - Fisioterapia Perineal Com Biofeedback (R$ 229,39)"/>
    <s v="Fisioterapia Pélvica e Neurológica"/>
    <n v="169428"/>
    <s v="Finalizado (5/10)"/>
    <n v="137.63399999999999"/>
    <n v="91.756"/>
    <n v="229.39"/>
    <s v="Sessão a Faturar"/>
    <s v="54588888460185190027"/>
    <n v="17798"/>
    <s v="Unidade Vieralves (ANEXO)"/>
    <n v="169428"/>
    <m/>
  </r>
  <r>
    <x v="17"/>
    <x v="56"/>
    <s v="Dayanne Torres da Silva"/>
    <s v="Feminino"/>
    <x v="6"/>
    <x v="10"/>
    <s v="20103646 - Fisioterapia Perineal Com Biofeedback (R$ 229,39)"/>
    <s v="Fisioterapia Pélvica e Neurológica"/>
    <n v="170489"/>
    <s v="Não compareceu (3/10)"/>
    <n v="229.39"/>
    <n v="0"/>
    <n v="229.39"/>
    <s v="Sessão a Faturar"/>
    <s v="54588888021709000020"/>
    <n v="59506"/>
    <s v="Unidade Vieralves (ANEXO)"/>
    <n v="170489"/>
    <m/>
  </r>
  <r>
    <x v="22"/>
    <x v="6"/>
    <s v="Diana Barros Chaves"/>
    <s v="Feminino"/>
    <x v="2"/>
    <x v="10"/>
    <s v="20103646 - Reabilitação Perineal Com Biofeedback (R$ 138,17)"/>
    <s v="Fisioterapia Pélvica e Neurológica"/>
    <n v="1704919486"/>
    <s v="Finalizado (5/5)"/>
    <n v="82.902000000000001"/>
    <n v="55.268000000000001"/>
    <n v="138.16999999999999"/>
    <s v="Sessão Faturada"/>
    <n v="774642009164020"/>
    <n v="43980"/>
    <s v="Unidade Vieralves (ANEXO)"/>
    <n v="1704919486"/>
    <m/>
  </r>
  <r>
    <x v="22"/>
    <x v="52"/>
    <s v="Dayanne Torres da Silva"/>
    <s v="Feminino"/>
    <x v="6"/>
    <x v="10"/>
    <s v="20103646 - Fisioterapia Perineal Com Biofeedback (R$ 229,39)"/>
    <s v="Fisioterapia Pélvica e Neurológica"/>
    <n v="170489"/>
    <s v="Finalizado (4/10)"/>
    <n v="137.63399999999999"/>
    <n v="91.756"/>
    <n v="229.39"/>
    <s v="Sessão a Faturar"/>
    <s v="54588888021709000020"/>
    <n v="59506"/>
    <s v="Unidade Vieralves (ANEXO)"/>
    <n v="170489"/>
    <m/>
  </r>
  <r>
    <x v="20"/>
    <x v="52"/>
    <s v="Dayanne Torres da Silva"/>
    <s v="Feminino"/>
    <x v="6"/>
    <x v="10"/>
    <s v="20103646 - Fisioterapia Perineal Com Biofeedback (R$ 229,39)"/>
    <s v="Fisioterapia Pélvica e Neurológica"/>
    <n v="170489"/>
    <s v="Finalizado (5/10)"/>
    <n v="137.63399999999999"/>
    <n v="91.756"/>
    <n v="229.39"/>
    <s v="Sessão a Faturar"/>
    <s v="54588888021709000020"/>
    <n v="59506"/>
    <s v="Unidade Vieralves (ANEXO)"/>
    <n v="170489"/>
    <m/>
  </r>
  <r>
    <x v="20"/>
    <x v="46"/>
    <s v="Alaiza de Figueiredo Santos"/>
    <s v="Feminino"/>
    <x v="2"/>
    <x v="10"/>
    <s v="50000144 - Avaliação de Fisioterapia (R$ 51,42)"/>
    <s v="Fisioterapia Pélvica e Neurológica"/>
    <n v="1711688251"/>
    <s v="Finalizado (1/1)"/>
    <n v="46.277999999999999"/>
    <n v="5.1420000000000003"/>
    <n v="51.42"/>
    <s v="Sessão Faturada"/>
    <n v="771015050792000"/>
    <n v="54164"/>
    <s v="Unidade Vieralves (ANEXO)"/>
    <n v="1711688251"/>
    <m/>
  </r>
  <r>
    <x v="20"/>
    <x v="46"/>
    <s v="Alaiza de Figueiredo Santos"/>
    <s v="Feminino"/>
    <x v="2"/>
    <x v="10"/>
    <s v="20103646 - Reabilitação Perineal Com Biofeedback (R$ 138,17)"/>
    <s v="Fisioterapia Pélvica e Neurológica"/>
    <n v="1711688680"/>
    <s v="Finalizado (1/2)"/>
    <n v="82.902000000000001"/>
    <n v="55.268000000000001"/>
    <n v="138.16999999999999"/>
    <s v="Sessão a Faturar"/>
    <n v="771015050792000"/>
    <n v="54164"/>
    <s v="Unidade Vieralves (ANEXO)"/>
    <n v="1711688680"/>
    <m/>
  </r>
  <r>
    <x v="0"/>
    <x v="30"/>
    <s v="Rosiane Mendes Valente"/>
    <s v="Feminino"/>
    <x v="1"/>
    <x v="10"/>
    <s v="50000233 - Fisioterapia Pélvica (R$ 138,17)"/>
    <s v="Fisioterapia Pélvica e Neurológica"/>
    <n v="8804058"/>
    <s v="Finalizado (5/10)"/>
    <n v="82.902000000000001"/>
    <n v="55.268000000000001"/>
    <n v="138.16999999999999"/>
    <s v="Sessão Faturada"/>
    <n v="1301013577000200"/>
    <n v="55856"/>
    <s v="Unidade Vieralves (ANEXO)"/>
    <n v="8804058"/>
    <m/>
  </r>
  <r>
    <x v="0"/>
    <x v="6"/>
    <s v="Dayanne Torres da Silva"/>
    <s v="Feminino"/>
    <x v="6"/>
    <x v="10"/>
    <s v="20103646 - Fisioterapia Perineal Com Biofeedback (R$ 229,39)"/>
    <s v="Fisioterapia Pélvica e Neurológica"/>
    <n v="170489"/>
    <s v="Finalizado (6/10)"/>
    <n v="137.63399999999999"/>
    <n v="91.756"/>
    <n v="229.39"/>
    <s v="Sessão a Faturar"/>
    <s v="54588888021709000020"/>
    <n v="59506"/>
    <s v="Unidade Vieralves (ANEXO)"/>
    <n v="170489"/>
    <m/>
  </r>
  <r>
    <x v="0"/>
    <x v="10"/>
    <s v="Maria Dayana Lopes e Silva"/>
    <s v="Feminino"/>
    <x v="2"/>
    <x v="10"/>
    <s v="20103646 - Reabilitação Perineal Com Biofeedback (R$ 138,17)"/>
    <s v="Fisioterapia Pélvica e Neurológica"/>
    <n v="1708062370"/>
    <s v="Finalizado (2/3)"/>
    <n v="82.902000000000001"/>
    <n v="55.268000000000001"/>
    <n v="138.16999999999999"/>
    <s v="Sessão Faturada"/>
    <n v="775255000647020"/>
    <n v="59310"/>
    <s v="Unidade Vieralves (ANEXO)"/>
    <n v="1708062370"/>
    <m/>
  </r>
  <r>
    <x v="0"/>
    <x v="46"/>
    <s v="Adriana Brenda Ferreira Araujo dos Santos"/>
    <s v="Feminino"/>
    <x v="6"/>
    <x v="10"/>
    <s v="20103646 - Fisioterapia Perineal Com Biofeedback (R$ 229,39)"/>
    <s v="Fisioterapia Pélvica e Neurológica"/>
    <n v="169428"/>
    <s v="Finalizado (6/10)"/>
    <n v="137.63399999999999"/>
    <n v="91.756"/>
    <n v="229.39"/>
    <s v="Sessão a Faturar"/>
    <s v="54588888460185190027"/>
    <n v="17798"/>
    <s v="Unidade Vieralves (ANEXO)"/>
    <n v="169428"/>
    <m/>
  </r>
  <r>
    <x v="4"/>
    <x v="6"/>
    <s v="Maria Dayana Lopes e Silva"/>
    <s v="Feminino"/>
    <x v="2"/>
    <x v="10"/>
    <s v="20103646 - Reabilitação Perineal Com Biofeedback (R$ 138,17)"/>
    <s v="Fisioterapia Pélvica e Neurológica"/>
    <n v="1708062370"/>
    <s v="Finalizado (3/3)"/>
    <n v="82.902000000000001"/>
    <n v="55.268000000000001"/>
    <n v="138.16999999999999"/>
    <s v="Sessão Faturada"/>
    <n v="775255000647020"/>
    <n v="59310"/>
    <s v="Unidade Vieralves (ANEXO)"/>
    <n v="1708062370"/>
    <m/>
  </r>
  <r>
    <x v="4"/>
    <x v="52"/>
    <s v="Dayanne Torres da Silva"/>
    <s v="Feminino"/>
    <x v="6"/>
    <x v="10"/>
    <s v="20103646 - Fisioterapia Perineal Com Biofeedback (R$ 229,39)"/>
    <s v="Fisioterapia Pélvica e Neurológica"/>
    <n v="170489"/>
    <s v="Finalizado (7/10)"/>
    <n v="137.63399999999999"/>
    <n v="91.756"/>
    <n v="229.39"/>
    <s v="Sessão a Faturar"/>
    <s v="54588888021709000020"/>
    <n v="59506"/>
    <s v="Unidade Vieralves (ANEXO)"/>
    <n v="170489"/>
    <m/>
  </r>
  <r>
    <x v="4"/>
    <x v="10"/>
    <s v="Adriana Brenda Ferreira Araujo dos Santos"/>
    <s v="Feminino"/>
    <x v="6"/>
    <x v="10"/>
    <s v="20103646 - Fisioterapia Perineal Com Biofeedback (R$ 229,39)"/>
    <s v="Fisioterapia Pélvica e Neurológica"/>
    <n v="169428"/>
    <s v="Finalizado (7/10)"/>
    <n v="137.63399999999999"/>
    <n v="91.756"/>
    <n v="229.39"/>
    <s v="Sessão a Faturar"/>
    <s v="54588888460185190027"/>
    <n v="17798"/>
    <s v="Unidade Vieralves (ANEXO)"/>
    <n v="169428"/>
    <m/>
  </r>
  <r>
    <x v="5"/>
    <x v="6"/>
    <s v="Dayanne Torres da Silva"/>
    <s v="Feminino"/>
    <x v="6"/>
    <x v="10"/>
    <s v="20103646 - Fisioterapia Perineal Com Biofeedback (R$ 229,39)"/>
    <s v="Fisioterapia Pélvica e Neurológica"/>
    <n v="170489"/>
    <s v="Finalizado (8/10)"/>
    <n v="137.63399999999999"/>
    <n v="91.756"/>
    <n v="229.39"/>
    <s v="Sessão a Faturar"/>
    <s v="54588888021709000020"/>
    <n v="59506"/>
    <s v="Unidade Vieralves (ANEXO)"/>
    <n v="170489"/>
    <m/>
  </r>
  <r>
    <x v="5"/>
    <x v="10"/>
    <s v="Adriana Brenda Ferreira Araujo dos Santos"/>
    <s v="Feminino"/>
    <x v="6"/>
    <x v="10"/>
    <s v="20103646 - Fisioterapia Perineal Com Biofeedback (R$ 229,39)"/>
    <s v="Fisioterapia Pélvica e Neurológica"/>
    <n v="169428"/>
    <s v="Finalizado (8/10)"/>
    <n v="137.63399999999999"/>
    <n v="91.756"/>
    <n v="229.39"/>
    <s v="Sessão a Faturar"/>
    <s v="54588888460185190027"/>
    <n v="17798"/>
    <s v="Unidade Vieralves (ANEXO)"/>
    <n v="169428"/>
    <m/>
  </r>
  <r>
    <x v="7"/>
    <x v="56"/>
    <s v="Thayná Valente de Oliveira Rodrigues"/>
    <s v="Feminino"/>
    <x v="6"/>
    <x v="10"/>
    <s v="50000144 - Avaliação de Fisioterapia (R$ 56,52)"/>
    <s v="Fisioterapia Pélvica e Neurológica"/>
    <n v="7700047349"/>
    <s v="Finalizado (1/1)"/>
    <n v="50.868000000000002"/>
    <n v="5.6520000000000001"/>
    <n v="56.52"/>
    <s v="Sessão Faturada"/>
    <s v="55788888489822570010"/>
    <n v="59708"/>
    <s v="Unidade Vieralves (ANEXO)"/>
    <n v="7700047349"/>
    <m/>
  </r>
  <r>
    <x v="7"/>
    <x v="56"/>
    <s v="Thayná Valente de Oliveira Rodrigues"/>
    <s v="Feminino"/>
    <x v="6"/>
    <x v="10"/>
    <s v="20103646 - Fisioterapia Perineal Com Biofeedback (R$ 229,39)"/>
    <s v="Fisioterapia Pélvica e Neurológica"/>
    <n v="172923"/>
    <s v="Finalizado (1/10)"/>
    <n v="137.63399999999999"/>
    <n v="91.756"/>
    <n v="229.39"/>
    <s v="Sessão a Faturar"/>
    <s v="55788888489822570010"/>
    <n v="59708"/>
    <s v="Unidade Vieralves (ANEXO)"/>
    <n v="172923"/>
    <m/>
  </r>
  <r>
    <x v="7"/>
    <x v="52"/>
    <s v="Bárbara de Melo Sampaio"/>
    <m/>
    <x v="1"/>
    <x v="10"/>
    <s v="50000233 - Fisioterapia Pélvica (R$ 138,17)"/>
    <s v="Fisioterapia Pélvica e Neurológica"/>
    <n v="9547594"/>
    <s v="Finalizado (1/10)"/>
    <n v="82.902000000000001"/>
    <n v="55.268000000000001"/>
    <n v="138.16999999999999"/>
    <s v="Sessão a Faturar"/>
    <s v="0801011719070015"/>
    <n v="59753"/>
    <s v="Unidade Vieralves (ANEXO)"/>
    <n v="9547594"/>
    <m/>
  </r>
  <r>
    <x v="7"/>
    <x v="52"/>
    <s v="Bárbara de Melo Sampaio"/>
    <m/>
    <x v="1"/>
    <x v="10"/>
    <s v="50000144 - Consulta de Fisioterapia (R$ 16,00)"/>
    <s v="Fisioterapia Pélvica e Neurológica"/>
    <n v="9547302"/>
    <s v="Finalizado (1/1)"/>
    <n v="14.4"/>
    <n v="1.6"/>
    <n v="16"/>
    <s v="Sessão Faturada"/>
    <s v="0801011719070015"/>
    <n v="59753"/>
    <s v="Unidade Vieralves (ANEXO)"/>
    <n v="9547302"/>
    <m/>
  </r>
  <r>
    <x v="7"/>
    <x v="46"/>
    <s v="Adriana Brenda Ferreira Araujo dos Santos"/>
    <s v="Feminino"/>
    <x v="6"/>
    <x v="10"/>
    <s v="20103646 - Fisioterapia Perineal Com Biofeedback (R$ 229,39)"/>
    <s v="Fisioterapia Pélvica e Neurológica"/>
    <n v="169428"/>
    <s v="Finalizado (9/10)"/>
    <n v="137.63399999999999"/>
    <n v="91.756"/>
    <n v="229.39"/>
    <s v="Sessão a Faturar"/>
    <s v="54588888460185190027"/>
    <n v="17798"/>
    <s v="Unidade Vieralves (ANEXO)"/>
    <n v="169428"/>
    <m/>
  </r>
  <r>
    <x v="9"/>
    <x v="0"/>
    <s v="Maria de Fatima Ferreira Galvao"/>
    <s v="Feminino"/>
    <x v="1"/>
    <x v="10"/>
    <s v="50000144 - Consulta de Fisioterapia (R$ 16,00)"/>
    <s v="Fisioterapia Pélvica e Neurológica"/>
    <n v="9586099"/>
    <s v="Finalizado (1/1)"/>
    <n v="14.4"/>
    <n v="1.6"/>
    <n v="16"/>
    <s v="Sessão Faturada"/>
    <s v="0701011241230035"/>
    <n v="59799"/>
    <s v="Unidade Vieralves (ANEXO)"/>
    <n v="9586099"/>
    <m/>
  </r>
  <r>
    <x v="9"/>
    <x v="0"/>
    <s v="Maria de Fatima Ferreira Galvao"/>
    <s v="Feminino"/>
    <x v="1"/>
    <x v="10"/>
    <s v="50000233 - Fisioterapia Pélvica (R$ 138,17)"/>
    <s v="Fisioterapia Pélvica e Neurológica"/>
    <n v="9586175"/>
    <s v="Finalizado (1/10)"/>
    <n v="82.902000000000001"/>
    <n v="55.268000000000001"/>
    <n v="138.16999999999999"/>
    <s v="Sessão a Faturar"/>
    <s v="0701011241230035"/>
    <n v="59799"/>
    <s v="Unidade Vieralves (ANEXO)"/>
    <n v="9586175"/>
    <m/>
  </r>
  <r>
    <x v="9"/>
    <x v="6"/>
    <s v="Dayanne Torres da Silva"/>
    <s v="Feminino"/>
    <x v="6"/>
    <x v="10"/>
    <s v="20103646 - Fisioterapia Perineal Com Biofeedback (R$ 229,39)"/>
    <s v="Fisioterapia Pélvica e Neurológica"/>
    <n v="170489"/>
    <s v="Finalizado (9/10)"/>
    <n v="137.63399999999999"/>
    <n v="91.756"/>
    <n v="229.39"/>
    <s v="Sessão a Faturar"/>
    <s v="54588888021709000020"/>
    <n v="59506"/>
    <s v="Unidade Vieralves (ANEXO)"/>
    <n v="170489"/>
    <m/>
  </r>
  <r>
    <x v="9"/>
    <x v="10"/>
    <s v="Adriana Brenda Ferreira Araujo dos Santos"/>
    <s v="Feminino"/>
    <x v="6"/>
    <x v="10"/>
    <s v="20103646 - Fisioterapia Perineal Com Biofeedback (R$ 229,39)"/>
    <s v="Fisioterapia Pélvica e Neurológica"/>
    <n v="169428"/>
    <s v="Finalizado (10/10)"/>
    <n v="137.63399999999999"/>
    <n v="91.756"/>
    <n v="229.39"/>
    <s v="Sessão a Faturar"/>
    <s v="54588888460185190027"/>
    <n v="17798"/>
    <s v="Unidade Vieralves (ANEXO)"/>
    <n v="169428"/>
    <m/>
  </r>
  <r>
    <x v="9"/>
    <x v="46"/>
    <s v="Alaiza de Figueiredo Santos"/>
    <s v="Feminino"/>
    <x v="2"/>
    <x v="10"/>
    <s v="20103646 - Reabilitação Perineal Com Biofeedback (R$ 138,17)"/>
    <s v="Fisioterapia Pélvica e Neurológica"/>
    <n v="1711688680"/>
    <s v="Finalizado (2/2)"/>
    <n v="82.902000000000001"/>
    <n v="55.268000000000001"/>
    <n v="138.16999999999999"/>
    <s v="Sessão a Faturar"/>
    <n v="771015050792000"/>
    <n v="54164"/>
    <s v="Unidade Vieralves (ANEXO)"/>
    <n v="1711688680"/>
    <m/>
  </r>
  <r>
    <x v="10"/>
    <x v="56"/>
    <s v="Thayná Valente de Oliveira Rodrigues"/>
    <s v="Feminino"/>
    <x v="6"/>
    <x v="10"/>
    <s v="20103646 - Fisioterapia Perineal Com Biofeedback (R$ 229,39)"/>
    <s v="Fisioterapia Pélvica e Neurológica"/>
    <n v="172923"/>
    <s v="Finalizado (2/10)"/>
    <n v="137.63399999999999"/>
    <n v="91.756"/>
    <n v="229.39"/>
    <s v="Sessão a Faturar"/>
    <s v="55788888489822570010"/>
    <n v="59708"/>
    <s v="Unidade Vieralves (ANEXO)"/>
    <n v="172923"/>
    <m/>
  </r>
  <r>
    <x v="10"/>
    <x v="25"/>
    <s v="Bárbara de Melo Sampaio"/>
    <m/>
    <x v="1"/>
    <x v="10"/>
    <s v="50000233 - Fisioterapia Pélvica (R$ 138,17)"/>
    <s v="Fisioterapia Pélvica e Neurológica"/>
    <n v="9547594"/>
    <s v="Finalizado (2/10)"/>
    <n v="82.902000000000001"/>
    <n v="55.268000000000001"/>
    <n v="138.16999999999999"/>
    <s v="Sessão a Faturar"/>
    <s v="0801011719070015"/>
    <n v="59753"/>
    <s v="Unidade Vieralves (ANEXO)"/>
    <n v="9547594"/>
    <m/>
  </r>
  <r>
    <x v="10"/>
    <x v="46"/>
    <s v="Adriana Brenda Ferreira Araujo dos Santos"/>
    <s v="Feminino"/>
    <x v="6"/>
    <x v="10"/>
    <s v="20103646 - Fisioterapia Perineal Com Biofeedback (R$ 229,39)"/>
    <s v="Fisioterapia Pélvica e Neurológica"/>
    <n v="173249"/>
    <s v="Finalizado (1/10)"/>
    <n v="137.63399999999999"/>
    <n v="91.756"/>
    <n v="229.39"/>
    <s v="Sessão a Faturar"/>
    <s v="54588888460185190027"/>
    <n v="17798"/>
    <s v="Unidade Vieralves (ANEXO)"/>
    <n v="173249"/>
    <m/>
  </r>
  <r>
    <x v="12"/>
    <x v="41"/>
    <s v="Rocivaldo Alfredo da Silva"/>
    <s v="Masculino"/>
    <x v="16"/>
    <x v="11"/>
    <s v="50000160 - Fisioterapia Ortopedica (R$ 25,00)"/>
    <s v="Fisioterapia"/>
    <n v="169222"/>
    <s v="Finalizado (5/10)"/>
    <n v="21"/>
    <n v="4"/>
    <n v="25"/>
    <s v="Sessão a Faturar"/>
    <n v="59425"/>
    <n v="59425"/>
    <s v="Unidade Sao Jose"/>
    <n v="169222"/>
    <m/>
  </r>
  <r>
    <x v="12"/>
    <x v="36"/>
    <s v="Jose Francinaldo dos Santos"/>
    <s v="Masculino"/>
    <x v="7"/>
    <x v="11"/>
    <s v="Sao José - 14 - Fisioterapia Pós Operatória - Pacote (R$ 50,00)"/>
    <s v="Fisioterapia"/>
    <n v="167932"/>
    <s v="Finalizado (9/10)"/>
    <n v="37.5"/>
    <n v="12.5"/>
    <n v="50"/>
    <s v="Pago"/>
    <n v="59333"/>
    <n v="59333"/>
    <s v="Unidade Sao Jose"/>
    <n v="167932"/>
    <m/>
  </r>
  <r>
    <x v="12"/>
    <x v="40"/>
    <s v="Sonia Maria Morais Maia"/>
    <s v="Feminino"/>
    <x v="0"/>
    <x v="11"/>
    <s v="50000160 - Fisioterapia Ortopedica (R$ 49,72)"/>
    <s v="Fisioterapia"/>
    <s v="42263120260211278075"/>
    <s v="Finalizado (7/10)"/>
    <n v="41.764800000000001"/>
    <n v="7.9551999999999996"/>
    <n v="49.72"/>
    <s v="Sessão Faturada"/>
    <s v="010650548005"/>
    <n v="55667"/>
    <s v="Unidade Sao Jose"/>
    <s v="42263120260211278075"/>
    <m/>
  </r>
  <r>
    <x v="12"/>
    <x v="45"/>
    <s v="Sonia Maria Morais Maia"/>
    <s v="Feminino"/>
    <x v="0"/>
    <x v="11"/>
    <s v="31602185 - Estimulação Elétrica Transcutânea Fisioterapia (Novo - 01/12) (R$ 54,13)"/>
    <s v="Fisioterapia"/>
    <s v="42263120260211278104"/>
    <s v="Finalizado (7/10)"/>
    <n v="45.469200000000001"/>
    <n v="8.6608000000000001"/>
    <n v="54.13"/>
    <s v="Sessão Faturada"/>
    <s v="010650548005"/>
    <n v="55667"/>
    <s v="Unidade Sao Jose"/>
    <s v="42263120260211278104"/>
    <m/>
  </r>
  <r>
    <x v="12"/>
    <x v="35"/>
    <s v="Raimundo Antonio de Oliveira"/>
    <s v="Masculino"/>
    <x v="27"/>
    <x v="11"/>
    <s v="20103514 - Patol. Em Diferentes Segmentos da Coluna (R$ 14,83)"/>
    <s v="Fisioterapia"/>
    <n v="1704249681"/>
    <s v="Finalizado (2/4)"/>
    <n v="12.4572"/>
    <n v="2.3727999999999998"/>
    <n v="14.83"/>
    <s v="Sessão Faturada"/>
    <n v="772530028185000"/>
    <n v="27968"/>
    <s v="Unidade Sao Jose"/>
    <n v="1704249681"/>
    <m/>
  </r>
  <r>
    <x v="12"/>
    <x v="42"/>
    <s v="Raimundo Antonio de Oliveira"/>
    <s v="Masculino"/>
    <x v="27"/>
    <x v="11"/>
    <s v="20103115 - Atividade Reflexa Cinesioterápica (R$ 20,81)"/>
    <s v="Fisioterapia"/>
    <n v="1704250241"/>
    <s v="Finalizado (3/5)"/>
    <n v="17.480399999999999"/>
    <n v="3.3296000000000001"/>
    <n v="20.81"/>
    <s v="Sessão Faturada"/>
    <n v="772530028185000"/>
    <n v="27968"/>
    <s v="Unidade Sao Jose"/>
    <n v="1704250241"/>
    <m/>
  </r>
  <r>
    <x v="12"/>
    <x v="38"/>
    <s v="Sara Gonçalves Vieira"/>
    <s v="Feminino"/>
    <x v="7"/>
    <x v="11"/>
    <s v="Sao José - 2 - Fisioterapia Ortopédica - Pacote (R$ 20,00)"/>
    <s v="Fisioterapia"/>
    <n v="14551"/>
    <s v="Finalizado (10/10)"/>
    <n v="15"/>
    <n v="5"/>
    <n v="20"/>
    <s v="Pago"/>
    <n v="56256"/>
    <n v="56256"/>
    <s v="Unidade Sao Jose"/>
    <n v="14551"/>
    <m/>
  </r>
  <r>
    <x v="12"/>
    <x v="38"/>
    <s v="Andriely Oliveira Braga"/>
    <s v="Feminino"/>
    <x v="27"/>
    <x v="11"/>
    <s v="20103662 - Pos Operatorio Em Um Membro (R$ 14,99)"/>
    <s v="Fisioterapia"/>
    <n v="1705691880"/>
    <s v="Finalizado (1/5)"/>
    <n v="12.5916"/>
    <n v="2.3984000000000001"/>
    <n v="14.99"/>
    <s v="Sessão Faturada"/>
    <n v="813227000396000"/>
    <n v="52145"/>
    <s v="Unidade Sao Jose"/>
    <n v="1705691880"/>
    <m/>
  </r>
  <r>
    <x v="12"/>
    <x v="38"/>
    <s v="Andriely Oliveira Braga"/>
    <s v="Feminino"/>
    <x v="27"/>
    <x v="11"/>
    <s v="50000144 - Avaliação de Fisioterapia (R$ 51,42)"/>
    <s v="Fisioterapia"/>
    <n v="1705683579"/>
    <s v="Finalizado (1/1)"/>
    <n v="46.277999999999999"/>
    <n v="5.1420000000000003"/>
    <n v="51.42"/>
    <s v="Sessão Faturada"/>
    <n v="813227000396000"/>
    <n v="52145"/>
    <s v="Unidade Sao Jose"/>
    <n v="1705683579"/>
    <m/>
  </r>
  <r>
    <x v="12"/>
    <x v="62"/>
    <s v="Andriely Oliveira Braga"/>
    <s v="Feminino"/>
    <x v="27"/>
    <x v="11"/>
    <s v="20103115 - Atividade Reflexa Cinesioterápica (R$ 20,81)"/>
    <s v="Fisioterapia"/>
    <n v="1705684289"/>
    <s v="Finalizado (1/4)"/>
    <n v="17.480399999999999"/>
    <n v="3.3296000000000001"/>
    <n v="20.81"/>
    <s v="Sessão Faturada"/>
    <n v="813227000396000"/>
    <n v="52145"/>
    <s v="Unidade Sao Jose"/>
    <n v="1705684289"/>
    <m/>
  </r>
  <r>
    <x v="12"/>
    <x v="22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5/10)"/>
    <n v="30"/>
    <n v="10"/>
    <n v="40"/>
    <s v="Pago"/>
    <n v="10962"/>
    <n v="10962"/>
    <s v="Unidade Sao Jose"/>
    <n v="168954"/>
    <m/>
  </r>
  <r>
    <x v="12"/>
    <x v="0"/>
    <s v="Luan Raphael Fernandes da Silva"/>
    <s v="Masculino"/>
    <x v="27"/>
    <x v="11"/>
    <s v="20103662 - Pos Operatorio Em Um Membro (R$ 14,99)"/>
    <s v="Fisioterapia"/>
    <n v="1704870242"/>
    <s v="Finalizado (2/5)"/>
    <n v="12.5916"/>
    <n v="2.3984000000000001"/>
    <n v="14.99"/>
    <s v="Sessão Faturada"/>
    <n v="775216014346010"/>
    <n v="59334"/>
    <s v="Unidade Sao Jose"/>
    <n v="1704870242"/>
    <m/>
  </r>
  <r>
    <x v="12"/>
    <x v="1"/>
    <s v="Luan Raphael Fernandes da Silva"/>
    <s v="Masculino"/>
    <x v="27"/>
    <x v="11"/>
    <s v="20103115 - Atividade Reflexa Cinesioterápica (R$ 20,81)"/>
    <s v="Fisioterapia"/>
    <n v="1704870574"/>
    <s v="Finalizado (2/3)"/>
    <n v="17.480399999999999"/>
    <n v="3.3296000000000001"/>
    <n v="20.81"/>
    <s v="Sessão Faturada"/>
    <n v="775216014346010"/>
    <n v="59334"/>
    <s v="Unidade Sao Jose"/>
    <n v="1704870574"/>
    <m/>
  </r>
  <r>
    <x v="12"/>
    <x v="2"/>
    <s v="Natan Michiles"/>
    <s v="Masculino"/>
    <x v="7"/>
    <x v="11"/>
    <s v="Sao José - 2 - Fisioterapia Ortopédica - Pacote (R$ 20,00)"/>
    <s v="Fisioterapia"/>
    <n v="168797"/>
    <s v="Finalizado (10/10)"/>
    <n v="15"/>
    <n v="5"/>
    <n v="20"/>
    <s v="Pago"/>
    <n v="53679"/>
    <n v="53679"/>
    <s v="Unidade Sao Jose"/>
    <n v="168797"/>
    <m/>
  </r>
  <r>
    <x v="12"/>
    <x v="2"/>
    <s v="Maria Aparecida Correa do Nascimento"/>
    <s v="Feminino"/>
    <x v="7"/>
    <x v="11"/>
    <s v="Sao José - 12 - Fisioterapia Ortopédica - Pacote 2 (R$ 20,00)"/>
    <s v="Fisioterapia"/>
    <n v="168976"/>
    <s v="Finalizado (2/10)"/>
    <n v="15"/>
    <n v="5"/>
    <n v="20"/>
    <s v="Pago"/>
    <n v="47708"/>
    <n v="47708"/>
    <s v="Unidade Sao Jose"/>
    <n v="168976"/>
    <m/>
  </r>
  <r>
    <x v="12"/>
    <x v="2"/>
    <s v="Suelen de Souza Moraes"/>
    <s v="Feminino"/>
    <x v="7"/>
    <x v="11"/>
    <s v="Sao José - 2 - Fisioterapia Ortopédica - Pacote (R$ 20,00)"/>
    <s v="Fisioterapia"/>
    <s v="/168940"/>
    <s v="Finalizado (6/30)"/>
    <n v="15"/>
    <n v="5"/>
    <n v="20"/>
    <s v="No Prazo"/>
    <n v="59411"/>
    <n v="59411"/>
    <s v="Unidade Sao Jose"/>
    <s v="/168940"/>
    <m/>
  </r>
  <r>
    <x v="12"/>
    <x v="2"/>
    <s v="Elizandra Araujo Coelho"/>
    <s v="Feminino"/>
    <x v="7"/>
    <x v="11"/>
    <s v="Sao José - 2 - Fisioterapia Ortopédica - Pacote (R$ 20,00)"/>
    <s v="Fisioterapia"/>
    <n v="167496"/>
    <s v="Finalizado (15/20)"/>
    <n v="15"/>
    <n v="5"/>
    <n v="20"/>
    <s v="Pago"/>
    <n v="59298"/>
    <n v="59298"/>
    <s v="Unidade Sao Jose"/>
    <n v="167496"/>
    <m/>
  </r>
  <r>
    <x v="12"/>
    <x v="13"/>
    <s v="Ana Cleide da Silva Lima"/>
    <s v="Feminino"/>
    <x v="7"/>
    <x v="11"/>
    <s v="Sao José - 2 - Fisioterapia Ortopédica - Pacote (R$ 20,00)"/>
    <s v="Fisioterapia"/>
    <n v="169727"/>
    <s v="Finalizado (4/10)"/>
    <n v="15"/>
    <n v="5"/>
    <n v="20"/>
    <s v="Pago"/>
    <n v="98278639000"/>
    <n v="54132"/>
    <s v="Unidade Sao Jose"/>
    <n v="169727"/>
    <m/>
  </r>
  <r>
    <x v="12"/>
    <x v="13"/>
    <s v="Jose Railton Neris da Silva"/>
    <s v="Masculino"/>
    <x v="7"/>
    <x v="11"/>
    <s v="Sao José - 2 - Fisioterapia Ortopédica - Pacote (R$ 20,00)"/>
    <s v="Fisioterapia"/>
    <n v="168229"/>
    <s v="Finalizado (8/10)"/>
    <n v="15"/>
    <n v="5"/>
    <n v="20"/>
    <s v="Pago"/>
    <n v="1"/>
    <n v="43346"/>
    <s v="Unidade Sao Jose"/>
    <n v="168229"/>
    <m/>
  </r>
  <r>
    <x v="12"/>
    <x v="15"/>
    <s v="Ana de Jesus Figueira"/>
    <s v="Feminino"/>
    <x v="16"/>
    <x v="11"/>
    <s v="50000160 - Fisioterapia Ortopedica (R$ 25,00)"/>
    <s v="Fisioterapia"/>
    <n v="169067"/>
    <s v="Finalizado (3/10)"/>
    <n v="21"/>
    <n v="4"/>
    <n v="25"/>
    <s v="Sessão a Faturar"/>
    <n v="51923"/>
    <n v="51923"/>
    <s v="Unidade Sao Jose"/>
    <n v="169067"/>
    <m/>
  </r>
  <r>
    <x v="12"/>
    <x v="17"/>
    <s v="Gabriel Parente de Castro"/>
    <s v="Masculino"/>
    <x v="12"/>
    <x v="11"/>
    <s v="20103662 - Pos Operatorio Em Um Membro (R$ 14,99)"/>
    <s v="Fisioterapia"/>
    <n v="168508"/>
    <s v="Finalizado (9/10)"/>
    <n v="12.5916"/>
    <n v="2.3984000000000001"/>
    <n v="14.99"/>
    <s v="Sessão Faturada"/>
    <n v="9.5078029485153997E+17"/>
    <n v="59364"/>
    <s v="Unidade Sao Jose"/>
    <n v="168508"/>
    <m/>
  </r>
  <r>
    <x v="12"/>
    <x v="17"/>
    <s v="Adriana Andrade do Nascimento"/>
    <s v="Feminino"/>
    <x v="27"/>
    <x v="11"/>
    <s v="20103492 - Patol. Em Dois Ou Mais Membros (R$ 14,83)"/>
    <s v="Fisioterapia"/>
    <n v="1704793453"/>
    <s v="Finalizado (2/3)"/>
    <n v="12.4572"/>
    <n v="2.3727999999999998"/>
    <n v="14.83"/>
    <s v="Sessão Faturada"/>
    <n v="774170002917010"/>
    <n v="59296"/>
    <s v="Unidade Sao Jose"/>
    <n v="1704793453"/>
    <m/>
  </r>
  <r>
    <x v="12"/>
    <x v="18"/>
    <s v="Adriana Andrade do Nascimento"/>
    <s v="Feminino"/>
    <x v="27"/>
    <x v="11"/>
    <s v="20103115 - Atividade Reflexa Cinesioterápica (R$ 20,81)"/>
    <s v="Fisioterapia"/>
    <n v="1704795069"/>
    <s v="Finalizado (2/3)"/>
    <n v="17.480399999999999"/>
    <n v="3.3296000000000001"/>
    <n v="20.81"/>
    <s v="Sessão Faturada"/>
    <n v="774170002917010"/>
    <n v="59296"/>
    <s v="Unidade Sao Jose"/>
    <n v="1704795069"/>
    <m/>
  </r>
  <r>
    <x v="12"/>
    <x v="18"/>
    <s v="Gabriel Parente de Castro"/>
    <s v="Masculino"/>
    <x v="12"/>
    <x v="11"/>
    <s v="31602185 - Estimulação Elétrica Transcutânea (Tens) (R$ 49,00)"/>
    <s v="Fisioterapia"/>
    <n v="10282027"/>
    <s v="Finalizado (9/10)"/>
    <n v="41.16"/>
    <n v="7.84"/>
    <n v="49"/>
    <s v="Sessão Faturada"/>
    <n v="9.5078029485153997E+17"/>
    <n v="59364"/>
    <s v="Unidade Sao Jose"/>
    <n v="10282027"/>
    <m/>
  </r>
  <r>
    <x v="12"/>
    <x v="10"/>
    <s v="Caio Fabricio Palhares Pereira"/>
    <s v="Masculino"/>
    <x v="27"/>
    <x v="11"/>
    <s v="20103492 - Patol. Em Dois Ou Mais Membros (R$ 14,83)"/>
    <s v="Fisioterapia"/>
    <n v="1705960528"/>
    <s v="Finalizado (1/2)"/>
    <n v="12.4572"/>
    <n v="2.3727999999999998"/>
    <n v="14.83"/>
    <s v="Sessão Faturada"/>
    <n v="770179019534000"/>
    <n v="55944"/>
    <s v="Unidade Sao Jose"/>
    <n v="1705960528"/>
    <m/>
  </r>
  <r>
    <x v="12"/>
    <x v="10"/>
    <s v="Enio Lincon Oliveira Barbosa"/>
    <s v="Masculino"/>
    <x v="27"/>
    <x v="11"/>
    <s v="20103522 - Fisioterapia - Pac Com Dependencia de Vida Diária (R$ 23,59)"/>
    <s v="Fisioterapia"/>
    <n v="1696934678"/>
    <s v="Finalizado (4/4)"/>
    <n v="19.8156"/>
    <n v="3.7744"/>
    <n v="23.59"/>
    <s v="Sessão Faturada"/>
    <n v="610171790056000"/>
    <n v="59275"/>
    <s v="Unidade Sao Jose"/>
    <n v="1696934678"/>
    <m/>
  </r>
  <r>
    <x v="12"/>
    <x v="10"/>
    <s v="Sarah Gabriela  da Silva Debastiani Amorim"/>
    <s v="Feminino"/>
    <x v="8"/>
    <x v="11"/>
    <s v="20103492 - Patologia Em Dois Ou Mais Membros (R$ 14,83), 20103514 - Patologia Em Diferentes Segmentos da Coluna (R$ 14,83)"/>
    <s v="Fisioterapia"/>
    <n v="1696929869"/>
    <s v="Finalizado (4/4)"/>
    <n v="24.914400000000001"/>
    <n v="4.7455999999999996"/>
    <n v="29.66"/>
    <s v="Sessão Faturada"/>
    <n v="954600015270010"/>
    <n v="44887"/>
    <s v="Unidade Sao Jose"/>
    <n v="1696929869"/>
    <m/>
  </r>
  <r>
    <x v="12"/>
    <x v="11"/>
    <s v="Sarah Gabriela  da Silva Debastiani Amorim"/>
    <s v="Feminino"/>
    <x v="8"/>
    <x v="11"/>
    <s v="20103115 - Atividade Reflexa Cinesioterápica (R$ 20,81)"/>
    <s v="Fisioterapia"/>
    <n v="1696929945"/>
    <s v="Finalizado (4/4)"/>
    <n v="17.480399999999999"/>
    <n v="3.3296000000000001"/>
    <n v="20.81"/>
    <s v="Sessão Faturada"/>
    <n v="954600015270010"/>
    <n v="44887"/>
    <s v="Unidade Sao Jose"/>
    <n v="1696929945"/>
    <m/>
  </r>
  <r>
    <x v="12"/>
    <x v="11"/>
    <s v="Caio Fabricio Palhares Pereira"/>
    <s v="Masculino"/>
    <x v="27"/>
    <x v="11"/>
    <s v="20103115 - Atividade Reflexa Cinesioterápica (R$ 20,81)"/>
    <s v="Fisioterapia"/>
    <n v="1705962130"/>
    <s v="Finalizado (1/2)"/>
    <n v="17.480399999999999"/>
    <n v="3.3296000000000001"/>
    <n v="20.81"/>
    <s v="Sessão Faturada"/>
    <n v="770179019534000"/>
    <n v="55944"/>
    <s v="Unidade Sao Jose"/>
    <n v="1705962130"/>
    <m/>
  </r>
  <r>
    <x v="13"/>
    <x v="44"/>
    <s v="Tereza da Rocha Vieira"/>
    <s v="Feminino"/>
    <x v="10"/>
    <x v="11"/>
    <s v="50000160 - Fisioterapia Ortopédica (R$ 15,00)"/>
    <s v="Fisioterapia"/>
    <n v="6238998"/>
    <s v="Finalizado (10/10)"/>
    <n v="12.6"/>
    <n v="2.4"/>
    <n v="15"/>
    <s v="Sessão Faturada"/>
    <s v="00010001253014045"/>
    <n v="52943"/>
    <s v="Unidade Sao Jose"/>
    <n v="6238998"/>
    <m/>
  </r>
  <r>
    <x v="13"/>
    <x v="36"/>
    <s v="Rocivaldo Alfredo da Silva"/>
    <s v="Masculino"/>
    <x v="16"/>
    <x v="11"/>
    <s v="50000160 - Fisioterapia Ortopedica (R$ 25,00)"/>
    <s v="Fisioterapia"/>
    <n v="169222"/>
    <s v="Finalizado (6/10)"/>
    <n v="21"/>
    <n v="4"/>
    <n v="25"/>
    <s v="Sessão a Faturar"/>
    <n v="59425"/>
    <n v="59425"/>
    <s v="Unidade Sao Jose"/>
    <n v="169222"/>
    <m/>
  </r>
  <r>
    <x v="13"/>
    <x v="38"/>
    <s v="Jose Ferreira da Silva Filho"/>
    <s v="Masculino"/>
    <x v="7"/>
    <x v="11"/>
    <s v="Sao José - 2 - Fisioterapia Ortopédica - Pacote (R$ 20,00)"/>
    <s v="Fisioterapia"/>
    <n v="168091"/>
    <s v="Finalizado (7/10)"/>
    <n v="15"/>
    <n v="5"/>
    <n v="20"/>
    <s v="Pago"/>
    <n v="2"/>
    <n v="59347"/>
    <s v="Unidade Sao Jose"/>
    <n v="168091"/>
    <m/>
  </r>
  <r>
    <x v="13"/>
    <x v="0"/>
    <s v="Osmar Barbosa dos Santos Junior"/>
    <s v="Masculino"/>
    <x v="8"/>
    <x v="11"/>
    <s v="20103662 - Pos Operatorio Em Um Membro (R$ 14,99)"/>
    <s v="Fisioterapia"/>
    <n v="1704692114"/>
    <s v="Finalizado (2/5)"/>
    <n v="12.5916"/>
    <n v="2.3984000000000001"/>
    <n v="14.99"/>
    <s v="Sessão Faturada"/>
    <n v="954600036315000"/>
    <n v="58555"/>
    <s v="Unidade Sao Jose"/>
    <n v="1704692114"/>
    <m/>
  </r>
  <r>
    <x v="13"/>
    <x v="0"/>
    <s v="Lucelia Rodrigues Lopes Hermelindo"/>
    <s v="Feminino"/>
    <x v="27"/>
    <x v="11"/>
    <s v="20103492 - Patol. Em Dois Ou Mais Membros (R$ 14,83)"/>
    <s v="Fisioterapia"/>
    <n v="1701379603"/>
    <s v="Finalizado (5/5)"/>
    <n v="12.4572"/>
    <n v="2.3727999999999998"/>
    <n v="14.83"/>
    <s v="Sessão Faturada"/>
    <n v="771015043141020"/>
    <n v="43044"/>
    <s v="Unidade Sao Jose"/>
    <n v="1701379603"/>
    <m/>
  </r>
  <r>
    <x v="13"/>
    <x v="1"/>
    <s v="Lucelia Rodrigues Lopes Hermelindo"/>
    <s v="Feminino"/>
    <x v="27"/>
    <x v="11"/>
    <s v="20103115 - Atividade Reflexa Cinesioterápica (R$ 20,81)"/>
    <s v="Fisioterapia"/>
    <n v="1701379847"/>
    <s v="Finalizado (5/5)"/>
    <n v="17.480399999999999"/>
    <n v="3.3296000000000001"/>
    <n v="20.81"/>
    <s v="Sessão Faturada"/>
    <n v="771015043141020"/>
    <n v="43044"/>
    <s v="Unidade Sao Jose"/>
    <n v="1701379847"/>
    <m/>
  </r>
  <r>
    <x v="13"/>
    <x v="1"/>
    <s v="Osmar Barbosa dos Santos Junior"/>
    <s v="Masculino"/>
    <x v="8"/>
    <x v="11"/>
    <s v="20103115 - Atividade Reflexa Cinesioterápica (R$ 20,81)"/>
    <s v="Fisioterapia"/>
    <n v="1704692534"/>
    <s v="Finalizado (2/3)"/>
    <n v="17.480399999999999"/>
    <n v="3.3296000000000001"/>
    <n v="20.81"/>
    <s v="Sessão Faturada"/>
    <n v="954600036315000"/>
    <n v="58555"/>
    <s v="Unidade Sao Jose"/>
    <n v="1704692534"/>
    <m/>
  </r>
  <r>
    <x v="13"/>
    <x v="2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6/10)"/>
    <n v="30"/>
    <n v="10"/>
    <n v="40"/>
    <s v="Pago"/>
    <n v="10962"/>
    <n v="10962"/>
    <s v="Unidade Sao Jose"/>
    <n v="168954"/>
    <m/>
  </r>
  <r>
    <x v="13"/>
    <x v="2"/>
    <s v="Análio da Silva Ferreira"/>
    <s v="Masculino"/>
    <x v="7"/>
    <x v="11"/>
    <s v="Sao José - 2 - Fisioterapia Ortopédica - Pacote (R$ 20,00)"/>
    <s v="Fisioterapia"/>
    <n v="167002"/>
    <s v="Finalizado (5/10)"/>
    <n v="15"/>
    <n v="5"/>
    <n v="20"/>
    <s v="Pago"/>
    <n v="52875"/>
    <n v="52875"/>
    <s v="Unidade Sao Jose"/>
    <n v="167002"/>
    <m/>
  </r>
  <r>
    <x v="13"/>
    <x v="2"/>
    <s v="Elizandra Araujo Coelho"/>
    <s v="Feminino"/>
    <x v="7"/>
    <x v="11"/>
    <s v="Sao José - 2 - Fisioterapia Ortopédica - Pacote (R$ 20,00)"/>
    <s v="Fisioterapia"/>
    <n v="167496"/>
    <s v="Finalizado (16/20)"/>
    <n v="15"/>
    <n v="5"/>
    <n v="20"/>
    <s v="Pago"/>
    <n v="59298"/>
    <n v="59298"/>
    <s v="Unidade Sao Jose"/>
    <n v="167496"/>
    <m/>
  </r>
  <r>
    <x v="13"/>
    <x v="13"/>
    <s v="Edivaldo Monteiro de Souza"/>
    <s v="Masculino"/>
    <x v="7"/>
    <x v="11"/>
    <s v="Sao José - 2 - Fisioterapia Ortopédica - Pacote (R$ 19,00)"/>
    <s v="Fisioterapia"/>
    <n v="167771"/>
    <s v="Finalizado (8/10)"/>
    <n v="14.25"/>
    <n v="4.75"/>
    <n v="19"/>
    <s v="Pago"/>
    <n v="52631"/>
    <n v="52631"/>
    <s v="Unidade Sao Jose"/>
    <n v="167771"/>
    <m/>
  </r>
  <r>
    <x v="13"/>
    <x v="17"/>
    <s v="Gabriel Parente de Castro"/>
    <s v="Masculino"/>
    <x v="12"/>
    <x v="11"/>
    <s v="20103662 - Pos Operatorio Em Um Membro (R$ 14,99)"/>
    <s v="Fisioterapia"/>
    <n v="168508"/>
    <s v="Finalizado (10/10)"/>
    <n v="12.5916"/>
    <n v="2.3984000000000001"/>
    <n v="14.99"/>
    <s v="Sessão Faturada"/>
    <n v="9.5078029485153997E+17"/>
    <n v="59364"/>
    <s v="Unidade Sao Jose"/>
    <n v="168508"/>
    <m/>
  </r>
  <r>
    <x v="13"/>
    <x v="17"/>
    <s v="Thiago Lima Trindade"/>
    <s v="Masculino"/>
    <x v="7"/>
    <x v="11"/>
    <s v="Sao José - 14 - Fisioterapia Pós Operatória - Pacote (R$ 50,00)"/>
    <s v="Fisioterapia"/>
    <n v="170313"/>
    <s v="Finalizado (1/10)"/>
    <n v="37.5"/>
    <n v="12.5"/>
    <n v="50"/>
    <s v="Pago"/>
    <n v="59510"/>
    <n v="59510"/>
    <s v="Unidade Sao Jose"/>
    <n v="170313"/>
    <m/>
  </r>
  <r>
    <x v="13"/>
    <x v="17"/>
    <s v="Maria Aparecida Correa do Nascimento"/>
    <s v="Feminino"/>
    <x v="7"/>
    <x v="11"/>
    <s v="Sao José - 12 - Fisioterapia Ortopédica - Pacote 2 (R$ 20,00)"/>
    <s v="Fisioterapia"/>
    <n v="168976"/>
    <s v="Finalizado (3/10)"/>
    <n v="15"/>
    <n v="5"/>
    <n v="20"/>
    <s v="Pago"/>
    <n v="47708"/>
    <n v="47708"/>
    <s v="Unidade Sao Jose"/>
    <n v="168976"/>
    <m/>
  </r>
  <r>
    <x v="13"/>
    <x v="18"/>
    <s v="Gabriel Parente de Castro"/>
    <s v="Masculino"/>
    <x v="12"/>
    <x v="11"/>
    <s v="31602185 - Estimulação Elétrica Transcutânea (Tens) (R$ 49,00)"/>
    <s v="Fisioterapia"/>
    <n v="10282027"/>
    <s v="Finalizado (10/10)"/>
    <n v="41.16"/>
    <n v="7.84"/>
    <n v="49"/>
    <s v="Sessão Faturada"/>
    <n v="9.5078029485153997E+17"/>
    <n v="59364"/>
    <s v="Unidade Sao Jose"/>
    <n v="10282027"/>
    <m/>
  </r>
  <r>
    <x v="13"/>
    <x v="8"/>
    <s v="Marcleane Oliveira da Costa"/>
    <s v="Feminino"/>
    <x v="8"/>
    <x v="11"/>
    <s v="20103115 - Atividade Reflexa Cinesioterápica (R$ 20,81)"/>
    <s v="Fisioterapia"/>
    <n v="1706520010"/>
    <s v="Finalizado (1/4)"/>
    <n v="17.480399999999999"/>
    <n v="3.3296000000000001"/>
    <n v="20.81"/>
    <s v="Sessão Faturada"/>
    <n v="954600022098000"/>
    <n v="58941"/>
    <s v="Unidade Sao Jose"/>
    <n v="1706520010"/>
    <m/>
  </r>
  <r>
    <x v="13"/>
    <x v="8"/>
    <s v="Marcleane Oliveira da Costa"/>
    <s v="Feminino"/>
    <x v="8"/>
    <x v="11"/>
    <s v="20103492 - Patologia Em Dois Ou Mais Membros (R$ 14,83), 20103514 - Patologia Em Diferentes Segmentos da Coluna (R$ 14,83)"/>
    <s v="Fisioterapia"/>
    <n v="1706519852"/>
    <s v="Finalizado (1/4)"/>
    <n v="24.914400000000001"/>
    <n v="4.7455999999999996"/>
    <n v="29.66"/>
    <s v="Sessão Faturada"/>
    <n v="954600022098000"/>
    <n v="58941"/>
    <s v="Unidade Sao Jose"/>
    <n v="1706519852"/>
    <m/>
  </r>
  <r>
    <x v="14"/>
    <x v="41"/>
    <s v="Cleide Luiza da Silva Cabral"/>
    <s v="Feminino"/>
    <x v="27"/>
    <x v="11"/>
    <s v="20103115 - Atividade Reflexa Cinesioterápica (R$ 20,81)"/>
    <s v="Fisioterapia"/>
    <n v="1706660774"/>
    <s v="Finalizado (1/3)"/>
    <n v="17.480399999999999"/>
    <n v="3.3296000000000001"/>
    <n v="20.81"/>
    <s v="Sessão Faturada"/>
    <n v="897137800051020"/>
    <n v="54445"/>
    <s v="Unidade Sao Jose"/>
    <n v="1706660774"/>
    <m/>
  </r>
  <r>
    <x v="14"/>
    <x v="65"/>
    <s v="Cleide Luiza da Silva Cabral"/>
    <s v="Feminino"/>
    <x v="27"/>
    <x v="11"/>
    <s v="20103492 - Patol. Em Dois Ou Mais Membros (R$ 14,83), 20103514 - Patol. Em Diferentes Segmentos da Coluna (R$ 14,83)"/>
    <s v="Fisioterapia"/>
    <n v="1706660488"/>
    <s v="Finalizado (1/5)"/>
    <n v="24.914400000000001"/>
    <n v="4.7455999999999996"/>
    <n v="29.66"/>
    <s v="Sessão Faturada"/>
    <n v="897137800051020"/>
    <n v="54445"/>
    <s v="Unidade Sao Jose"/>
    <n v="1706660488"/>
    <m/>
  </r>
  <r>
    <x v="14"/>
    <x v="36"/>
    <s v="Rocivaldo Alfredo da Silva"/>
    <s v="Masculino"/>
    <x v="16"/>
    <x v="11"/>
    <s v="50000160 - Fisioterapia Ortopedica (R$ 25,00)"/>
    <s v="Fisioterapia"/>
    <n v="169222"/>
    <s v="Finalizado (7/10)"/>
    <n v="21"/>
    <n v="4"/>
    <n v="25"/>
    <s v="Sessão a Faturar"/>
    <n v="59425"/>
    <n v="59425"/>
    <s v="Unidade Sao Jose"/>
    <n v="169222"/>
    <m/>
  </r>
  <r>
    <x v="14"/>
    <x v="36"/>
    <s v="José Ferreira de Souza"/>
    <s v="Masculino"/>
    <x v="7"/>
    <x v="11"/>
    <s v="Sao José - 4 - Fisioterapia Neurológica/Respiratória - Pacote (R$ 50,00)"/>
    <s v="Fisioterapia"/>
    <n v="170300"/>
    <s v="Finalizado (1/5)"/>
    <n v="37.5"/>
    <n v="12.5"/>
    <n v="50"/>
    <s v="Pago"/>
    <n v="56030"/>
    <n v="56030"/>
    <s v="Unidade Sao Jose"/>
    <n v="170300"/>
    <m/>
  </r>
  <r>
    <x v="14"/>
    <x v="40"/>
    <s v="Sonia Maria Morais Maia"/>
    <s v="Feminino"/>
    <x v="0"/>
    <x v="11"/>
    <s v="50000160 - Fisioterapia Ortopedica (R$ 49,72)"/>
    <s v="Fisioterapia"/>
    <s v="42263120260211278075"/>
    <s v="Finalizado (8/10)"/>
    <n v="41.764800000000001"/>
    <n v="7.9551999999999996"/>
    <n v="49.72"/>
    <s v="Sessão Faturada"/>
    <s v="010650548005"/>
    <n v="55667"/>
    <s v="Unidade Sao Jose"/>
    <s v="42263120260211278075"/>
    <m/>
  </r>
  <r>
    <x v="14"/>
    <x v="40"/>
    <s v="Manoel de Freitas Mendonça Neto"/>
    <s v="Masculino"/>
    <x v="8"/>
    <x v="11"/>
    <s v="20103115 - Atividade Reflexa Cinesioterápica (R$ 20,81)"/>
    <s v="Fisioterapia"/>
    <n v="1706723754"/>
    <s v="Finalizado (1/4)"/>
    <n v="17.480399999999999"/>
    <n v="3.3296000000000001"/>
    <n v="20.81"/>
    <s v="Sessão Faturada"/>
    <n v="954600000256020"/>
    <n v="47993"/>
    <s v="Unidade Sao Jose"/>
    <n v="1706723754"/>
    <m/>
  </r>
  <r>
    <x v="14"/>
    <x v="40"/>
    <s v="Manoel de Freitas Mendonça Neto"/>
    <s v="Masculino"/>
    <x v="8"/>
    <x v="11"/>
    <s v="20103492 - Patologia Em Dois Ou Mais Membros (R$ 14,83)"/>
    <s v="Fisioterapia"/>
    <n v="1706723222"/>
    <s v="Finalizado (1/5)"/>
    <n v="12.4572"/>
    <n v="2.3727999999999998"/>
    <n v="14.83"/>
    <s v="Sessão Faturada"/>
    <n v="954600000256020"/>
    <n v="47993"/>
    <s v="Unidade Sao Jose"/>
    <n v="1706723222"/>
    <m/>
  </r>
  <r>
    <x v="14"/>
    <x v="40"/>
    <s v="Francinete Ferreira de Souza"/>
    <s v="Feminino"/>
    <x v="8"/>
    <x v="11"/>
    <s v="20103492 - Patologia Em Dois Ou Mais Membros (R$ 14,83), 20103514 - Patologia Em Diferentes Segmentos da Coluna (R$ 14,83)"/>
    <s v="Fisioterapia"/>
    <n v="1704198256"/>
    <s v="Finalizado (3/5)"/>
    <n v="24.914400000000001"/>
    <n v="4.7455999999999996"/>
    <n v="29.66"/>
    <s v="Sessão Faturada"/>
    <n v="954390037672020"/>
    <n v="41225"/>
    <s v="Unidade Sao Jose"/>
    <n v="1704198256"/>
    <m/>
  </r>
  <r>
    <x v="14"/>
    <x v="40"/>
    <s v="Amaziles Andrade de Morais"/>
    <s v="Feminino"/>
    <x v="27"/>
    <x v="11"/>
    <s v="20103522 - Fisioterapia - Pac Com Dependencia de Vida Diária (R$ 23,59)"/>
    <s v="Fisioterapia"/>
    <n v="1702658130"/>
    <s v="Finalizado (4/5)"/>
    <n v="19.8156"/>
    <n v="3.7744"/>
    <n v="23.59"/>
    <s v="Sessão Faturada"/>
    <n v="771015039373010"/>
    <n v="48191"/>
    <s v="Unidade Sao Jose"/>
    <n v="1702658130"/>
    <m/>
  </r>
  <r>
    <x v="14"/>
    <x v="40"/>
    <s v="Jose Francinaldo dos Santos"/>
    <s v="Masculino"/>
    <x v="7"/>
    <x v="11"/>
    <s v="Sao José - 14 - Fisioterapia Pós Operatória - Pacote (R$ 50,00)"/>
    <s v="Fisioterapia"/>
    <n v="167932"/>
    <s v="Finalizado (10/10)"/>
    <n v="37.5"/>
    <n v="12.5"/>
    <n v="50"/>
    <s v="Pago"/>
    <n v="59333"/>
    <n v="59333"/>
    <s v="Unidade Sao Jose"/>
    <n v="167932"/>
    <m/>
  </r>
  <r>
    <x v="14"/>
    <x v="40"/>
    <s v="Osmar Barbosa dos Santos Junior"/>
    <s v="Masculino"/>
    <x v="8"/>
    <x v="11"/>
    <s v="20103662 - Pos Operatorio Em Um Membro (R$ 14,99)"/>
    <s v="Fisioterapia"/>
    <n v="1704692114"/>
    <s v="Finalizado (3/5)"/>
    <n v="12.5916"/>
    <n v="2.3984000000000001"/>
    <n v="14.99"/>
    <s v="Sessão Faturada"/>
    <n v="954600036315000"/>
    <n v="58555"/>
    <s v="Unidade Sao Jose"/>
    <n v="1704692114"/>
    <m/>
  </r>
  <r>
    <x v="14"/>
    <x v="49"/>
    <s v="Amaziles Andrade de Morais"/>
    <s v="Feminino"/>
    <x v="27"/>
    <x v="11"/>
    <s v="20103115 - Atividade Reflexa Cinesioterápica (R$ 20,81)"/>
    <s v="Fisioterapia"/>
    <n v="1702713875"/>
    <s v="Finalizado (4/5)"/>
    <n v="17.480399999999999"/>
    <n v="3.3296000000000001"/>
    <n v="20.81"/>
    <s v="Sessão Faturada"/>
    <n v="771015039373010"/>
    <n v="48191"/>
    <s v="Unidade Sao Jose"/>
    <n v="1702713875"/>
    <m/>
  </r>
  <r>
    <x v="14"/>
    <x v="45"/>
    <s v="Sonia Maria Morais Maia"/>
    <s v="Feminino"/>
    <x v="0"/>
    <x v="11"/>
    <s v="31602185 - Estimulação Elétrica Transcutânea Fisioterapia (Novo - 01/12) (R$ 54,13)"/>
    <s v="Fisioterapia"/>
    <s v="42263120260211278104"/>
    <s v="Finalizado (8/10)"/>
    <n v="45.469200000000001"/>
    <n v="8.6608000000000001"/>
    <n v="54.13"/>
    <s v="Sessão Faturada"/>
    <s v="010650548005"/>
    <n v="55667"/>
    <s v="Unidade Sao Jose"/>
    <s v="42263120260211278104"/>
    <m/>
  </r>
  <r>
    <x v="14"/>
    <x v="45"/>
    <s v="Francinete Ferreira de Souza"/>
    <s v="Feminino"/>
    <x v="8"/>
    <x v="11"/>
    <s v="20103115 - Atividade Reflexa Cinesioterápica (R$ 20,81)"/>
    <s v="Fisioterapia"/>
    <n v="1704198631"/>
    <s v="Finalizado (3/4)"/>
    <n v="17.480399999999999"/>
    <n v="3.3296000000000001"/>
    <n v="20.81"/>
    <s v="Sessão Faturada"/>
    <n v="954390037672020"/>
    <n v="41225"/>
    <s v="Unidade Sao Jose"/>
    <n v="1704198631"/>
    <m/>
  </r>
  <r>
    <x v="14"/>
    <x v="45"/>
    <s v="Osmar Barbosa dos Santos Junior"/>
    <s v="Masculino"/>
    <x v="8"/>
    <x v="11"/>
    <s v="20103115 - Atividade Reflexa Cinesioterápica (R$ 20,81)"/>
    <s v="Fisioterapia"/>
    <n v="1704692534"/>
    <s v="Finalizado (3/3)"/>
    <n v="17.480399999999999"/>
    <n v="3.3296000000000001"/>
    <n v="20.81"/>
    <s v="Sessão Faturada"/>
    <n v="954600036315000"/>
    <n v="58555"/>
    <s v="Unidade Sao Jose"/>
    <n v="1704692534"/>
    <m/>
  </r>
  <r>
    <x v="14"/>
    <x v="55"/>
    <s v="Amaziles Andrade de Morais"/>
    <s v="Feminino"/>
    <x v="27"/>
    <x v="11"/>
    <s v="20103468 - Parkinson (R$ 12,22)"/>
    <s v="Fisioterapia"/>
    <n v="1702714878"/>
    <s v="Finalizado (4/5)"/>
    <n v="10.264799999999999"/>
    <n v="1.9552"/>
    <n v="12.22"/>
    <s v="Sessão Faturada"/>
    <n v="771015039373010"/>
    <n v="48191"/>
    <s v="Unidade Sao Jose"/>
    <n v="1702714878"/>
    <m/>
  </r>
  <r>
    <x v="14"/>
    <x v="35"/>
    <s v="Raimundo Antonio de Oliveira"/>
    <s v="Masculino"/>
    <x v="27"/>
    <x v="11"/>
    <s v="20103115 - Atividade Reflexa Cinesioterápica (R$ 20,81)"/>
    <s v="Fisioterapia"/>
    <n v="1704250241"/>
    <s v="Finalizado (4/5)"/>
    <n v="17.480399999999999"/>
    <n v="3.3296000000000001"/>
    <n v="20.81"/>
    <s v="Sessão Faturada"/>
    <n v="772530028185000"/>
    <n v="27968"/>
    <s v="Unidade Sao Jose"/>
    <n v="1704250241"/>
    <m/>
  </r>
  <r>
    <x v="14"/>
    <x v="35"/>
    <s v="Andriely Oliveira Braga"/>
    <s v="Feminino"/>
    <x v="27"/>
    <x v="11"/>
    <s v="20103662 - Pos Operatorio Em Um Membro (R$ 14,99)"/>
    <s v="Fisioterapia"/>
    <n v="1705691880"/>
    <s v="Finalizado (2/5)"/>
    <n v="12.5916"/>
    <n v="2.3984000000000001"/>
    <n v="14.99"/>
    <s v="Sessão Faturada"/>
    <n v="813227000396000"/>
    <n v="52145"/>
    <s v="Unidade Sao Jose"/>
    <n v="1705691880"/>
    <m/>
  </r>
  <r>
    <x v="14"/>
    <x v="35"/>
    <s v="Francisco Miguel Pessoa de Lima"/>
    <s v="Masculino"/>
    <x v="7"/>
    <x v="11"/>
    <s v="Sao José - 1 - Fisioterapia Ortopédica - Sessão (R$ 45,00), Sao José - 2 - Fisioterapia Ortopédica - Pacote (R$ 20,00)"/>
    <s v="Fisioterapia"/>
    <n v="170312"/>
    <s v="Finalizado (1/10)"/>
    <n v="48.75"/>
    <n v="16.25"/>
    <n v="65"/>
    <s v="Pago"/>
    <n v="59509"/>
    <n v="59509"/>
    <s v="Unidade Sao Jose"/>
    <n v="170312"/>
    <m/>
  </r>
  <r>
    <x v="14"/>
    <x v="35"/>
    <s v="Sheila Ferreira do Nascimento"/>
    <s v="Feminino"/>
    <x v="27"/>
    <x v="11"/>
    <s v="20103522 - Fisioterapia - Pac Com Dependencia de Vida Diária (R$ 23,59)"/>
    <s v="Fisioterapia"/>
    <n v="1704256373"/>
    <s v="Finalizado (2/5)"/>
    <n v="19.8156"/>
    <n v="3.7744"/>
    <n v="23.59"/>
    <s v="Sessão Faturada"/>
    <n v="774239001511020"/>
    <n v="27492"/>
    <s v="Unidade Sao Jose"/>
    <n v="1704256373"/>
    <m/>
  </r>
  <r>
    <x v="14"/>
    <x v="70"/>
    <s v="Sheila Ferreira do Nascimento"/>
    <s v="Feminino"/>
    <x v="27"/>
    <x v="11"/>
    <s v="20103115 - Atividade Reflexa Cinesioterápica (R$ 20,81)"/>
    <s v="Fisioterapia"/>
    <n v="1704256558"/>
    <s v="Finalizado (2/3)"/>
    <n v="17.480399999999999"/>
    <n v="3.3296000000000001"/>
    <n v="20.81"/>
    <s v="Sessão Faturada"/>
    <n v="774239001511020"/>
    <n v="27492"/>
    <s v="Unidade Sao Jose"/>
    <n v="1704256558"/>
    <m/>
  </r>
  <r>
    <x v="14"/>
    <x v="42"/>
    <s v="Raimundo Antonio de Oliveira"/>
    <s v="Masculino"/>
    <x v="27"/>
    <x v="11"/>
    <s v="20103514 - Patol. Em Diferentes Segmentos da Coluna (R$ 14,83)"/>
    <s v="Fisioterapia"/>
    <n v="1704249681"/>
    <s v="Finalizado (3/4)"/>
    <n v="12.4572"/>
    <n v="2.3727999999999998"/>
    <n v="14.83"/>
    <s v="Sessão Faturada"/>
    <n v="772530028185000"/>
    <n v="27968"/>
    <s v="Unidade Sao Jose"/>
    <n v="1704249681"/>
    <m/>
  </r>
  <r>
    <x v="14"/>
    <x v="42"/>
    <s v="Andriely Oliveira Braga"/>
    <s v="Feminino"/>
    <x v="27"/>
    <x v="11"/>
    <s v="20103115 - Atividade Reflexa Cinesioterápica (R$ 20,81)"/>
    <s v="Fisioterapia"/>
    <n v="1705684289"/>
    <s v="Finalizado (2/4)"/>
    <n v="17.480399999999999"/>
    <n v="3.3296000000000001"/>
    <n v="20.81"/>
    <s v="Sessão Faturada"/>
    <n v="813227000396000"/>
    <n v="52145"/>
    <s v="Unidade Sao Jose"/>
    <n v="1705684289"/>
    <m/>
  </r>
  <r>
    <x v="14"/>
    <x v="71"/>
    <s v="Sheila Ferreira do Nascimento"/>
    <s v="Feminino"/>
    <x v="27"/>
    <x v="11"/>
    <s v="20103514 - Patol. Em Diferentes Segmentos da Coluna (R$ 14,83)"/>
    <s v="Fisioterapia"/>
    <n v="1704256854"/>
    <s v="Finalizado (2/5)"/>
    <n v="12.4572"/>
    <n v="2.3727999999999998"/>
    <n v="14.83"/>
    <s v="Sessão Faturada"/>
    <n v="774239001511020"/>
    <n v="27492"/>
    <s v="Unidade Sao Jose"/>
    <n v="1704256854"/>
    <m/>
  </r>
  <r>
    <x v="14"/>
    <x v="43"/>
    <s v="Vanessa Soares de Almeida"/>
    <s v="Feminino"/>
    <x v="7"/>
    <x v="11"/>
    <s v="Sao José - 2 - Fisioterapia Ortopédica - Pacote (R$ 20,00)"/>
    <s v="Fisioterapia"/>
    <n v="170464"/>
    <s v="Finalizado (1/10)"/>
    <n v="15"/>
    <n v="5"/>
    <n v="20"/>
    <s v="Pago"/>
    <s v="."/>
    <n v="52536"/>
    <s v="Unidade Sao Jose"/>
    <n v="170464"/>
    <m/>
  </r>
  <r>
    <x v="14"/>
    <x v="22"/>
    <s v="Renato de Araújo Santos"/>
    <s v="Masculino"/>
    <x v="7"/>
    <x v="11"/>
    <s v="Sao José - 1 - Fisioterapia Ortopédica - Sessão (R$ 45,00), Sao José - 2 - Fisioterapia Ortopédica - Pacote (R$ 20,00)"/>
    <s v="Fisioterapia"/>
    <n v="170405"/>
    <s v="Finalizado (1/10)"/>
    <n v="48.75"/>
    <n v="16.25"/>
    <n v="65"/>
    <s v="Pago"/>
    <n v="59520"/>
    <n v="59520"/>
    <s v="Unidade Sao Jose"/>
    <n v="170405"/>
    <m/>
  </r>
  <r>
    <x v="14"/>
    <x v="22"/>
    <s v="Marcleane Oliveira da Costa"/>
    <s v="Feminino"/>
    <x v="8"/>
    <x v="11"/>
    <s v="20103492 - Patologia Em Dois Ou Mais Membros (R$ 14,83), 20103514 - Patologia Em Diferentes Segmentos da Coluna (R$ 14,83)"/>
    <s v="Fisioterapia"/>
    <n v="1706519852"/>
    <s v="Finalizado (2/4)"/>
    <n v="24.914400000000001"/>
    <n v="4.7455999999999996"/>
    <n v="29.66"/>
    <s v="Sessão Faturada"/>
    <n v="954600022098000"/>
    <n v="58941"/>
    <s v="Unidade Sao Jose"/>
    <n v="1706519852"/>
    <m/>
  </r>
  <r>
    <x v="14"/>
    <x v="23"/>
    <s v="Marcleane Oliveira da Costa"/>
    <s v="Feminino"/>
    <x v="8"/>
    <x v="11"/>
    <s v="20103115 - Atividade Reflexa Cinesioterápica (R$ 20,81)"/>
    <s v="Fisioterapia"/>
    <n v="1706520010"/>
    <s v="Finalizado (2/4)"/>
    <n v="17.480399999999999"/>
    <n v="3.3296000000000001"/>
    <n v="20.81"/>
    <s v="Sessão Faturada"/>
    <n v="954600022098000"/>
    <n v="58941"/>
    <s v="Unidade Sao Jose"/>
    <n v="1706520010"/>
    <m/>
  </r>
  <r>
    <x v="14"/>
    <x v="0"/>
    <s v="Mônica Batista Jakinon"/>
    <s v="Feminino"/>
    <x v="8"/>
    <x v="11"/>
    <s v="20103492 - Patologia Em Dois Ou Mais Membros (R$ 14,83)"/>
    <s v="Fisioterapia"/>
    <n v="1706914771"/>
    <s v="Finalizado (1/5)"/>
    <n v="12.4572"/>
    <n v="2.3727999999999998"/>
    <n v="14.83"/>
    <s v="Sessão Faturada"/>
    <n v="954600030899000"/>
    <n v="57642"/>
    <s v="Unidade Sao Jose"/>
    <n v="1706914771"/>
    <m/>
  </r>
  <r>
    <x v="14"/>
    <x v="0"/>
    <s v="Luan Raphael Fernandes da Silva"/>
    <s v="Masculino"/>
    <x v="27"/>
    <x v="11"/>
    <s v="20103662 - Pos Operatorio Em Um Membro (R$ 14,99)"/>
    <s v="Fisioterapia"/>
    <n v="1704870242"/>
    <s v="Finalizado (3/5)"/>
    <n v="12.5916"/>
    <n v="2.3984000000000001"/>
    <n v="14.99"/>
    <s v="Sessão Faturada"/>
    <n v="775216014346010"/>
    <n v="59334"/>
    <s v="Unidade Sao Jose"/>
    <n v="1704870242"/>
    <m/>
  </r>
  <r>
    <x v="14"/>
    <x v="1"/>
    <s v="Luan Raphael Fernandes da Silva"/>
    <s v="Masculino"/>
    <x v="27"/>
    <x v="11"/>
    <s v="20103115 - Atividade Reflexa Cinesioterápica (R$ 20,81)"/>
    <s v="Fisioterapia"/>
    <n v="1704870574"/>
    <s v="Finalizado (3/3)"/>
    <n v="17.480399999999999"/>
    <n v="3.3296000000000001"/>
    <n v="20.81"/>
    <s v="Sessão Faturada"/>
    <n v="775216014346010"/>
    <n v="59334"/>
    <s v="Unidade Sao Jose"/>
    <n v="1704870574"/>
    <m/>
  </r>
  <r>
    <x v="14"/>
    <x v="1"/>
    <s v="Mônica Batista Jakinon"/>
    <s v="Feminino"/>
    <x v="8"/>
    <x v="11"/>
    <s v="20103115 - Atividade Reflexa Cinesioterápica (R$ 20,81)"/>
    <s v="Fisioterapia"/>
    <n v="1706915066"/>
    <s v="Finalizado (1/2)"/>
    <n v="17.480399999999999"/>
    <n v="3.3296000000000001"/>
    <n v="20.81"/>
    <s v="Sessão Faturada"/>
    <n v="954600030899000"/>
    <n v="57642"/>
    <s v="Unidade Sao Jose"/>
    <n v="1706915066"/>
    <m/>
  </r>
  <r>
    <x v="14"/>
    <x v="4"/>
    <s v="Suelen de Souza Moraes"/>
    <s v="Feminino"/>
    <x v="7"/>
    <x v="11"/>
    <s v="Sao José - 2 - Fisioterapia Ortopédica - Pacote (R$ 20,00)"/>
    <s v="Fisioterapia"/>
    <s v="/168940"/>
    <s v="Finalizado (7/30)"/>
    <n v="15"/>
    <n v="5"/>
    <n v="20"/>
    <s v="No Prazo"/>
    <n v="59411"/>
    <n v="59411"/>
    <s v="Unidade Sao Jose"/>
    <s v="/168940"/>
    <m/>
  </r>
  <r>
    <x v="14"/>
    <x v="4"/>
    <s v="Ana Cleide da Silva Lima"/>
    <s v="Feminino"/>
    <x v="7"/>
    <x v="11"/>
    <s v="Sao José - 2 - Fisioterapia Ortopédica - Pacote (R$ 20,00)"/>
    <s v="Fisioterapia"/>
    <n v="169727"/>
    <s v="Finalizado (5/10)"/>
    <n v="15"/>
    <n v="5"/>
    <n v="20"/>
    <s v="Pago"/>
    <n v="98278639000"/>
    <n v="54132"/>
    <s v="Unidade Sao Jose"/>
    <n v="169727"/>
    <m/>
  </r>
  <r>
    <x v="14"/>
    <x v="13"/>
    <s v="Edivaldo Monteiro de Souza"/>
    <s v="Masculino"/>
    <x v="7"/>
    <x v="11"/>
    <s v="Sao José - 2 - Fisioterapia Ortopédica - Pacote (R$ 19,00)"/>
    <s v="Fisioterapia"/>
    <n v="167771"/>
    <s v="Finalizado (9/10)"/>
    <n v="14.25"/>
    <n v="4.75"/>
    <n v="19"/>
    <s v="Pago"/>
    <n v="52631"/>
    <n v="52631"/>
    <s v="Unidade Sao Jose"/>
    <n v="167771"/>
    <m/>
  </r>
  <r>
    <x v="14"/>
    <x v="13"/>
    <s v="Joao Paulo Pinheiro dos Santos"/>
    <s v="Masculino"/>
    <x v="8"/>
    <x v="11"/>
    <s v="20103662 - Pos Operatorio Em Um Membro (R$ 14,99)"/>
    <s v="Fisioterapia"/>
    <n v="1703436663"/>
    <s v="Finalizado (4/5)"/>
    <n v="12.5916"/>
    <n v="2.3984000000000001"/>
    <n v="14.99"/>
    <s v="Sessão Faturada"/>
    <n v="954600009601010"/>
    <n v="24910"/>
    <s v="Unidade Sao Jose"/>
    <n v="1703436663"/>
    <m/>
  </r>
  <r>
    <x v="14"/>
    <x v="14"/>
    <s v="Joao Paulo Pinheiro dos Santos"/>
    <s v="Masculino"/>
    <x v="8"/>
    <x v="11"/>
    <s v="20103115 - Atividade Reflexa Cinesioterápica (R$ 20,81)"/>
    <s v="Fisioterapia"/>
    <n v="1703436894"/>
    <s v="Finalizado (4/5)"/>
    <n v="17.480399999999999"/>
    <n v="3.3296000000000001"/>
    <n v="20.81"/>
    <s v="Sessão Faturada"/>
    <n v="954600009601010"/>
    <n v="24910"/>
    <s v="Unidade Sao Jose"/>
    <n v="1703436894"/>
    <m/>
  </r>
  <r>
    <x v="14"/>
    <x v="15"/>
    <s v="Paulo Eduardo Silva de Souza"/>
    <s v="Masculino"/>
    <x v="7"/>
    <x v="11"/>
    <s v="Sao José - 2 - Fisioterapia Ortopédica - Pacote (R$ 20,00)"/>
    <s v="Fisioterapia"/>
    <n v="170450"/>
    <s v="Finalizado (1/10)"/>
    <n v="15"/>
    <n v="5"/>
    <n v="20"/>
    <s v="Pago"/>
    <n v="59524"/>
    <n v="59524"/>
    <s v="Unidade Sao Jose"/>
    <n v="170450"/>
    <m/>
  </r>
  <r>
    <x v="14"/>
    <x v="15"/>
    <s v="Ana de Jesus Figueira"/>
    <s v="Feminino"/>
    <x v="16"/>
    <x v="11"/>
    <s v="50000160 - Fisioterapia Ortopedica (R$ 25,00)"/>
    <s v="Fisioterapia"/>
    <n v="169067"/>
    <s v="Finalizado (4/10)"/>
    <n v="21"/>
    <n v="4"/>
    <n v="25"/>
    <s v="Sessão a Faturar"/>
    <n v="51923"/>
    <n v="51923"/>
    <s v="Unidade Sao Jose"/>
    <n v="169067"/>
    <m/>
  </r>
  <r>
    <x v="14"/>
    <x v="15"/>
    <s v="Jose Ferreira da Silva Filho"/>
    <s v="Masculino"/>
    <x v="7"/>
    <x v="11"/>
    <s v="Sao José - 2 - Fisioterapia Ortopédica - Pacote (R$ 20,00)"/>
    <s v="Fisioterapia"/>
    <n v="168091"/>
    <s v="Finalizado (8/10)"/>
    <n v="15"/>
    <n v="5"/>
    <n v="20"/>
    <s v="Pago"/>
    <n v="2"/>
    <n v="59347"/>
    <s v="Unidade Sao Jose"/>
    <n v="168091"/>
    <m/>
  </r>
  <r>
    <x v="14"/>
    <x v="15"/>
    <s v="Maria Aparecida Correa do Nascimento"/>
    <s v="Feminino"/>
    <x v="7"/>
    <x v="11"/>
    <s v="Sao José - 12 - Fisioterapia Ortopédica - Pacote 2 (R$ 20,00)"/>
    <s v="Fisioterapia"/>
    <n v="168976"/>
    <s v="Finalizado (4/10)"/>
    <n v="15"/>
    <n v="5"/>
    <n v="20"/>
    <s v="Pago"/>
    <n v="47708"/>
    <n v="47708"/>
    <s v="Unidade Sao Jose"/>
    <n v="168976"/>
    <m/>
  </r>
  <r>
    <x v="14"/>
    <x v="17"/>
    <s v="Thiago Lima Trindade"/>
    <s v="Masculino"/>
    <x v="7"/>
    <x v="11"/>
    <s v="Sao José - 14 - Fisioterapia Pós Operatória - Pacote (R$ 50,00)"/>
    <s v="Fisioterapia"/>
    <n v="170313"/>
    <s v="Finalizado (2/10)"/>
    <n v="37.5"/>
    <n v="12.5"/>
    <n v="50"/>
    <s v="Pago"/>
    <n v="59510"/>
    <n v="59510"/>
    <s v="Unidade Sao Jose"/>
    <n v="170313"/>
    <m/>
  </r>
  <r>
    <x v="14"/>
    <x v="17"/>
    <s v="Gabriel Parente de Castro"/>
    <s v="Masculino"/>
    <x v="12"/>
    <x v="11"/>
    <s v="31602185 - Estimulação Elétrica Transcutânea (Tens) (R$ 49,00)"/>
    <s v="Fisioterapia"/>
    <n v="10319479"/>
    <s v="Finalizado (1/10)"/>
    <n v="41.16"/>
    <n v="7.84"/>
    <n v="49"/>
    <s v="Sessão Faturada"/>
    <n v="9.5078029485153997E+17"/>
    <n v="59364"/>
    <s v="Unidade Sao Jose"/>
    <n v="10319479"/>
    <m/>
  </r>
  <r>
    <x v="14"/>
    <x v="18"/>
    <s v="Gabriel Parente de Castro"/>
    <s v="Masculino"/>
    <x v="12"/>
    <x v="11"/>
    <s v="20103662 - Pos Operatorio Em Um Membro (R$ 14,99)"/>
    <s v="Fisioterapia"/>
    <n v="170538"/>
    <s v="Finalizado (1/10)"/>
    <n v="12.5916"/>
    <n v="2.3984000000000001"/>
    <n v="14.99"/>
    <s v="Sessão Faturada"/>
    <n v="9.5078029485153997E+17"/>
    <n v="59364"/>
    <s v="Unidade Sao Jose"/>
    <n v="170538"/>
    <m/>
  </r>
  <r>
    <x v="14"/>
    <x v="8"/>
    <s v="Adriana Andrade do Nascimento"/>
    <s v="Feminino"/>
    <x v="27"/>
    <x v="11"/>
    <s v="20103492 - Patol. Em Dois Ou Mais Membros (R$ 14,83)"/>
    <s v="Fisioterapia"/>
    <n v="1704793453"/>
    <s v="Finalizado (3/3)"/>
    <n v="12.4572"/>
    <n v="2.3727999999999998"/>
    <n v="14.83"/>
    <s v="Sessão Faturada"/>
    <n v="774170002917010"/>
    <n v="59296"/>
    <s v="Unidade Sao Jose"/>
    <n v="1704793453"/>
    <m/>
  </r>
  <r>
    <x v="14"/>
    <x v="9"/>
    <s v="Adriana Andrade do Nascimento"/>
    <s v="Feminino"/>
    <x v="27"/>
    <x v="11"/>
    <s v="20103115 - Atividade Reflexa Cinesioterápica (R$ 20,81)"/>
    <s v="Fisioterapia"/>
    <n v="1704795069"/>
    <s v="Finalizado (3/3)"/>
    <n v="17.480399999999999"/>
    <n v="3.3296000000000001"/>
    <n v="20.81"/>
    <s v="Sessão Faturada"/>
    <n v="774170002917010"/>
    <n v="59296"/>
    <s v="Unidade Sao Jose"/>
    <n v="1704795069"/>
    <m/>
  </r>
  <r>
    <x v="14"/>
    <x v="10"/>
    <s v="Caio Fabricio Palhares Pereira"/>
    <s v="Masculino"/>
    <x v="27"/>
    <x v="11"/>
    <s v="20103492 - Patol. Em Dois Ou Mais Membros (R$ 14,83)"/>
    <s v="Fisioterapia"/>
    <n v="1705960528"/>
    <s v="Finalizado (2/2)"/>
    <n v="12.4572"/>
    <n v="2.3727999999999998"/>
    <n v="14.83"/>
    <s v="Sessão Faturada"/>
    <n v="770179019534000"/>
    <n v="55944"/>
    <s v="Unidade Sao Jose"/>
    <n v="1705960528"/>
    <m/>
  </r>
  <r>
    <x v="14"/>
    <x v="10"/>
    <s v="Caio Fabricio Palhares Pereira"/>
    <s v="Masculino"/>
    <x v="27"/>
    <x v="11"/>
    <s v="20103115 - Atividade Reflexa Cinesioterápica (R$ 20,81)"/>
    <s v="Fisioterapia"/>
    <n v="1705962130"/>
    <s v="Finalizado (2/2)"/>
    <n v="17.480399999999999"/>
    <n v="3.3296000000000001"/>
    <n v="20.81"/>
    <s v="Sessão Faturada"/>
    <n v="770179019534000"/>
    <n v="55944"/>
    <s v="Unidade Sao Jose"/>
    <n v="1705962130"/>
    <m/>
  </r>
  <r>
    <x v="15"/>
    <x v="44"/>
    <s v="Cleide Luiza da Silva Cabral"/>
    <s v="Feminino"/>
    <x v="27"/>
    <x v="11"/>
    <s v="20103492 - Patol. Em Dois Ou Mais Membros (R$ 14,83), 20103514 - Patol. Em Diferentes Segmentos da Coluna (R$ 14,83)"/>
    <s v="Fisioterapia"/>
    <n v="1706660488"/>
    <s v="Finalizado (2/5)"/>
    <n v="24.914400000000001"/>
    <n v="4.7455999999999996"/>
    <n v="29.66"/>
    <s v="Sessão Faturada"/>
    <n v="897137800051020"/>
    <n v="54445"/>
    <s v="Unidade Sao Jose"/>
    <n v="1706660488"/>
    <m/>
  </r>
  <r>
    <x v="15"/>
    <x v="44"/>
    <s v="Michele Freire de Souza"/>
    <s v="Feminino"/>
    <x v="7"/>
    <x v="11"/>
    <s v="Sao José - 2 - Fisioterapia Ortopédica - Pacote (R$ 20,00)"/>
    <s v="Fisioterapia"/>
    <n v="170528"/>
    <s v="Finalizado (1/10)"/>
    <n v="15"/>
    <n v="5"/>
    <n v="20"/>
    <s v="Pago"/>
    <n v="59532"/>
    <n v="59532"/>
    <s v="Unidade Sao Jose"/>
    <n v="170528"/>
    <m/>
  </r>
  <r>
    <x v="15"/>
    <x v="60"/>
    <s v="Cleide Luiza da Silva Cabral"/>
    <s v="Feminino"/>
    <x v="27"/>
    <x v="11"/>
    <s v="20103115 - Atividade Reflexa Cinesioterápica (R$ 20,81)"/>
    <s v="Fisioterapia"/>
    <n v="1706660774"/>
    <s v="Finalizado (2/3)"/>
    <n v="17.480399999999999"/>
    <n v="3.3296000000000001"/>
    <n v="20.81"/>
    <s v="Sessão Faturada"/>
    <n v="897137800051020"/>
    <n v="54445"/>
    <s v="Unidade Sao Jose"/>
    <n v="1706660774"/>
    <m/>
  </r>
  <r>
    <x v="15"/>
    <x v="41"/>
    <s v="Elizandra Araujo Coelho"/>
    <s v="Feminino"/>
    <x v="7"/>
    <x v="11"/>
    <s v="Sao José - 2 - Fisioterapia Ortopédica - Pacote (R$ 20,00)"/>
    <s v="Fisioterapia"/>
    <n v="167496"/>
    <s v="Finalizado (17/20)"/>
    <n v="15"/>
    <n v="5"/>
    <n v="20"/>
    <s v="Pago"/>
    <n v="59298"/>
    <n v="59298"/>
    <s v="Unidade Sao Jose"/>
    <n v="167496"/>
    <m/>
  </r>
  <r>
    <x v="15"/>
    <x v="36"/>
    <s v="Rocivaldo Alfredo da Silva"/>
    <s v="Masculino"/>
    <x v="16"/>
    <x v="11"/>
    <s v="50000160 - Fisioterapia Ortopedica (R$ 25,00)"/>
    <s v="Fisioterapia"/>
    <n v="169222"/>
    <s v="Finalizado (8/10)"/>
    <n v="21"/>
    <n v="4"/>
    <n v="25"/>
    <s v="Sessão a Faturar"/>
    <n v="59425"/>
    <n v="59425"/>
    <s v="Unidade Sao Jose"/>
    <n v="169222"/>
    <m/>
  </r>
  <r>
    <x v="15"/>
    <x v="36"/>
    <s v="Manoel de Freitas Mendonça Neto"/>
    <s v="Masculino"/>
    <x v="8"/>
    <x v="11"/>
    <s v="20103115 - Atividade Reflexa Cinesioterápica (R$ 20,81)"/>
    <s v="Fisioterapia"/>
    <n v="1706723754"/>
    <s v="Finalizado (2/4)"/>
    <n v="17.480399999999999"/>
    <n v="3.3296000000000001"/>
    <n v="20.81"/>
    <s v="Sessão Faturada"/>
    <n v="954600000256020"/>
    <n v="47993"/>
    <s v="Unidade Sao Jose"/>
    <n v="1706723754"/>
    <m/>
  </r>
  <r>
    <x v="15"/>
    <x v="61"/>
    <s v="Manoel de Freitas Mendonça Neto"/>
    <s v="Masculino"/>
    <x v="8"/>
    <x v="11"/>
    <s v="20103492 - Patologia Em Dois Ou Mais Membros (R$ 14,83)"/>
    <s v="Fisioterapia"/>
    <n v="1706723222"/>
    <s v="Finalizado (2/5)"/>
    <n v="12.4572"/>
    <n v="2.3727999999999998"/>
    <n v="14.83"/>
    <s v="Sessão Faturada"/>
    <n v="954600000256020"/>
    <n v="47993"/>
    <s v="Unidade Sao Jose"/>
    <n v="1706723222"/>
    <m/>
  </r>
  <r>
    <x v="15"/>
    <x v="40"/>
    <s v="Francinete Ferreira de Souza"/>
    <s v="Feminino"/>
    <x v="8"/>
    <x v="11"/>
    <s v="20103492 - Patologia Em Dois Ou Mais Membros (R$ 14,83), 20103514 - Patologia Em Diferentes Segmentos da Coluna (R$ 14,83)"/>
    <s v="Fisioterapia"/>
    <n v="1704198256"/>
    <s v="Finalizado (4/5)"/>
    <n v="24.914400000000001"/>
    <n v="4.7455999999999996"/>
    <n v="29.66"/>
    <s v="Sessão Faturada"/>
    <n v="954390037672020"/>
    <n v="41225"/>
    <s v="Unidade Sao Jose"/>
    <n v="1704198256"/>
    <m/>
  </r>
  <r>
    <x v="15"/>
    <x v="40"/>
    <s v="José Ferreira de Souza"/>
    <s v="Masculino"/>
    <x v="7"/>
    <x v="11"/>
    <s v="Sao José - 4 - Fisioterapia Neurológica/Respiratória - Pacote (R$ 50,00)"/>
    <s v="Fisioterapia"/>
    <n v="170300"/>
    <s v="Finalizado (2/5)"/>
    <n v="37.5"/>
    <n v="12.5"/>
    <n v="50"/>
    <s v="Pago"/>
    <n v="56030"/>
    <n v="56030"/>
    <s v="Unidade Sao Jose"/>
    <n v="170300"/>
    <m/>
  </r>
  <r>
    <x v="15"/>
    <x v="45"/>
    <s v="Francinete Ferreira de Souza"/>
    <s v="Feminino"/>
    <x v="8"/>
    <x v="11"/>
    <s v="20103115 - Atividade Reflexa Cinesioterápica (R$ 20,81)"/>
    <s v="Fisioterapia"/>
    <n v="1704198631"/>
    <s v="Finalizado (4/4)"/>
    <n v="17.480399999999999"/>
    <n v="3.3296000000000001"/>
    <n v="20.81"/>
    <s v="Sessão Faturada"/>
    <n v="954390037672020"/>
    <n v="41225"/>
    <s v="Unidade Sao Jose"/>
    <n v="1704198631"/>
    <m/>
  </r>
  <r>
    <x v="15"/>
    <x v="35"/>
    <s v="Renato de Araújo Santos"/>
    <s v="Masculino"/>
    <x v="7"/>
    <x v="11"/>
    <s v="Sao José - 2 - Fisioterapia Ortopédica - Pacote (R$ 20,00)"/>
    <s v="Fisioterapia"/>
    <n v="170405"/>
    <s v="Finalizado (2/10)"/>
    <n v="15"/>
    <n v="5"/>
    <n v="20"/>
    <s v="Pago"/>
    <n v="59520"/>
    <n v="59520"/>
    <s v="Unidade Sao Jose"/>
    <n v="170405"/>
    <m/>
  </r>
  <r>
    <x v="15"/>
    <x v="43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7/10)"/>
    <n v="30"/>
    <n v="10"/>
    <n v="40"/>
    <s v="Pago"/>
    <n v="10962"/>
    <n v="10962"/>
    <s v="Unidade Sao Jose"/>
    <n v="168954"/>
    <m/>
  </r>
  <r>
    <x v="15"/>
    <x v="22"/>
    <s v="Marcleane Oliveira da Costa"/>
    <s v="Feminino"/>
    <x v="8"/>
    <x v="11"/>
    <s v="20103492 - Patologia Em Dois Ou Mais Membros (R$ 14,83), 20103514 - Patologia Em Diferentes Segmentos da Coluna (R$ 14,83)"/>
    <s v="Fisioterapia"/>
    <n v="1706519852"/>
    <s v="Finalizado (3/4)"/>
    <n v="24.914400000000001"/>
    <n v="4.7455999999999996"/>
    <n v="29.66"/>
    <s v="Sessão Faturada"/>
    <n v="954600022098000"/>
    <n v="58941"/>
    <s v="Unidade Sao Jose"/>
    <n v="1706519852"/>
    <m/>
  </r>
  <r>
    <x v="15"/>
    <x v="23"/>
    <s v="Marcleane Oliveira da Costa"/>
    <s v="Feminino"/>
    <x v="8"/>
    <x v="11"/>
    <s v="20103115 - Atividade Reflexa Cinesioterápica (R$ 20,81)"/>
    <s v="Fisioterapia"/>
    <n v="1706520010"/>
    <s v="Finalizado (3/4)"/>
    <n v="17.480399999999999"/>
    <n v="3.3296000000000001"/>
    <n v="20.81"/>
    <s v="Sessão Faturada"/>
    <n v="954600022098000"/>
    <n v="58941"/>
    <s v="Unidade Sao Jose"/>
    <n v="1706520010"/>
    <m/>
  </r>
  <r>
    <x v="15"/>
    <x v="0"/>
    <s v="Francisco Miguel Pessoa de Lima"/>
    <s v="Masculino"/>
    <x v="7"/>
    <x v="11"/>
    <s v="Sao José - 2 - Fisioterapia Ortopédica - Pacote (R$ 20,00)"/>
    <s v="Fisioterapia"/>
    <n v="170312"/>
    <s v="Finalizado (2/10)"/>
    <n v="15"/>
    <n v="5"/>
    <n v="20"/>
    <s v="Pago"/>
    <n v="59509"/>
    <n v="59509"/>
    <s v="Unidade Sao Jose"/>
    <n v="170312"/>
    <m/>
  </r>
  <r>
    <x v="15"/>
    <x v="0"/>
    <s v="Keila Maria Ferreira de Brito"/>
    <s v="Feminino"/>
    <x v="27"/>
    <x v="11"/>
    <s v="20103492 - Patol. Em Dois Ou Mais Membros (R$ 14,83), 20103514 - Patol. Em Diferentes Segmentos da Coluna (R$ 14,83)"/>
    <s v="Fisioterapia"/>
    <n v="1701889729"/>
    <s v="Finalizado (2/3)"/>
    <n v="24.914400000000001"/>
    <n v="4.7455999999999996"/>
    <n v="29.66"/>
    <s v="Sessão Faturada"/>
    <n v="773458004820010"/>
    <n v="11496"/>
    <s v="Unidade Sao Jose"/>
    <n v="1701889729"/>
    <m/>
  </r>
  <r>
    <x v="15"/>
    <x v="1"/>
    <s v="Keila Maria Ferreira de Brito"/>
    <s v="Feminino"/>
    <x v="27"/>
    <x v="11"/>
    <s v="20103115 - Atividade Reflexa Cinesioterápica (R$ 20,81)"/>
    <s v="Fisioterapia"/>
    <n v="1701889894"/>
    <s v="Finalizado (2/2)"/>
    <n v="17.480399999999999"/>
    <n v="3.3296000000000001"/>
    <n v="20.81"/>
    <s v="Sessão Faturada"/>
    <n v="773458004820010"/>
    <n v="11496"/>
    <s v="Unidade Sao Jose"/>
    <n v="1701889894"/>
    <m/>
  </r>
  <r>
    <x v="15"/>
    <x v="2"/>
    <s v="Francisco de Assis da Silva Junior"/>
    <s v="Masculino"/>
    <x v="7"/>
    <x v="11"/>
    <s v="Sao José - 14 - Fisioterapia Pós Operatória - Pacote (R$ 50,00)"/>
    <s v="Fisioterapia"/>
    <n v="170673"/>
    <s v="Finalizado (1/10)"/>
    <n v="37.5"/>
    <n v="12.5"/>
    <n v="50"/>
    <s v="Pago"/>
    <n v="39841"/>
    <n v="39841"/>
    <s v="Unidade Sao Jose"/>
    <n v="170673"/>
    <m/>
  </r>
  <r>
    <x v="15"/>
    <x v="4"/>
    <s v="Suelen de Souza Moraes"/>
    <s v="Feminino"/>
    <x v="7"/>
    <x v="11"/>
    <s v="Sao José - 2 - Fisioterapia Ortopédica - Pacote (R$ 20,00)"/>
    <s v="Fisioterapia"/>
    <s v="/168940"/>
    <s v="Finalizado (8/30)"/>
    <n v="15"/>
    <n v="5"/>
    <n v="20"/>
    <s v="No Prazo"/>
    <n v="59411"/>
    <n v="59411"/>
    <s v="Unidade Sao Jose"/>
    <s v="/168940"/>
    <m/>
  </r>
  <r>
    <x v="15"/>
    <x v="13"/>
    <s v="Sara Gonçalves Vieira"/>
    <s v="Feminino"/>
    <x v="7"/>
    <x v="11"/>
    <s v="Sao José - 2 - Fisioterapia Ortopédica - Pacote (R$ 20,00)"/>
    <s v="Fisioterapia"/>
    <n v="170117"/>
    <s v="Finalizado (1/10)"/>
    <n v="15"/>
    <n v="5"/>
    <n v="20"/>
    <s v="Pago"/>
    <n v="56256"/>
    <n v="56256"/>
    <s v="Unidade Sao Jose"/>
    <n v="170117"/>
    <m/>
  </r>
  <r>
    <x v="15"/>
    <x v="15"/>
    <s v="Paulo Eduardo Silva de Souza"/>
    <s v="Masculino"/>
    <x v="7"/>
    <x v="11"/>
    <s v="Sao José - 2 - Fisioterapia Ortopédica - Pacote (R$ 20,00)"/>
    <s v="Fisioterapia"/>
    <n v="170450"/>
    <s v="Finalizado (2/10)"/>
    <n v="15"/>
    <n v="5"/>
    <n v="20"/>
    <s v="Pago"/>
    <n v="59524"/>
    <n v="59524"/>
    <s v="Unidade Sao Jose"/>
    <n v="170450"/>
    <m/>
  </r>
  <r>
    <x v="15"/>
    <x v="17"/>
    <s v="Maria Aparecida Correa do Nascimento"/>
    <s v="Feminino"/>
    <x v="7"/>
    <x v="11"/>
    <s v="Sao José - 12 - Fisioterapia Ortopédica - Pacote 2 (R$ 20,00)"/>
    <s v="Fisioterapia"/>
    <n v="168976"/>
    <s v="Finalizado (5/10)"/>
    <n v="15"/>
    <n v="5"/>
    <n v="20"/>
    <s v="Pago"/>
    <n v="47708"/>
    <n v="47708"/>
    <s v="Unidade Sao Jose"/>
    <n v="168976"/>
    <m/>
  </r>
  <r>
    <x v="15"/>
    <x v="17"/>
    <s v="Marcelo Cabral Scardua"/>
    <s v="Masculino"/>
    <x v="19"/>
    <x v="11"/>
    <s v="20103484 - Patol. Em Um Membro - 17/03/2026 (R$ 55,79)"/>
    <s v="Fisioterapia"/>
    <n v="5800370"/>
    <s v="Finalizado (4/5)"/>
    <n v="46.863599999999998"/>
    <n v="8.9263999999999992"/>
    <n v="55.79"/>
    <s v="Sessão Faturada"/>
    <s v="0001000130520040"/>
    <n v="45758"/>
    <s v="Unidade Sao Jose"/>
    <n v="5800370"/>
    <m/>
  </r>
  <r>
    <x v="16"/>
    <x v="41"/>
    <s v="Renato de Araújo Santos"/>
    <s v="Masculino"/>
    <x v="7"/>
    <x v="11"/>
    <s v="Sao José - 2 - Fisioterapia Ortopédica - Pacote (R$ 20,00)"/>
    <s v="Fisioterapia"/>
    <n v="170405"/>
    <s v="Finalizado (3/10)"/>
    <n v="15"/>
    <n v="5"/>
    <n v="20"/>
    <s v="Pago"/>
    <n v="59520"/>
    <n v="59520"/>
    <s v="Unidade Sao Jose"/>
    <n v="170405"/>
    <m/>
  </r>
  <r>
    <x v="16"/>
    <x v="36"/>
    <s v="Manoel de Freitas Mendonça Neto"/>
    <s v="Masculino"/>
    <x v="8"/>
    <x v="11"/>
    <s v="20103115 - Atividade Reflexa Cinesioterápica (R$ 20,81)"/>
    <s v="Fisioterapia"/>
    <n v="1706723754"/>
    <s v="Finalizado (3/4)"/>
    <n v="17.480399999999999"/>
    <n v="3.3296000000000001"/>
    <n v="20.81"/>
    <s v="Sessão Faturada"/>
    <n v="954600000256020"/>
    <n v="47993"/>
    <s v="Unidade Sao Jose"/>
    <n v="1706723754"/>
    <m/>
  </r>
  <r>
    <x v="16"/>
    <x v="36"/>
    <s v="Rocivaldo Alfredo da Silva"/>
    <s v="Masculino"/>
    <x v="16"/>
    <x v="11"/>
    <s v="50000160 - Fisioterapia Ortopedica (R$ 25,00)"/>
    <s v="Fisioterapia"/>
    <n v="169222"/>
    <s v="Finalizado (9/10)"/>
    <n v="21"/>
    <n v="4"/>
    <n v="25"/>
    <s v="Sessão a Faturar"/>
    <n v="59425"/>
    <n v="59425"/>
    <s v="Unidade Sao Jose"/>
    <n v="169222"/>
    <m/>
  </r>
  <r>
    <x v="16"/>
    <x v="61"/>
    <s v="Manoel de Freitas Mendonça Neto"/>
    <s v="Masculino"/>
    <x v="8"/>
    <x v="11"/>
    <s v="20103492 - Patologia Em Dois Ou Mais Membros (R$ 14,83)"/>
    <s v="Fisioterapia"/>
    <n v="1706723222"/>
    <s v="Finalizado (3/5)"/>
    <n v="12.4572"/>
    <n v="2.3727999999999998"/>
    <n v="14.83"/>
    <s v="Sessão Faturada"/>
    <n v="954600000256020"/>
    <n v="47993"/>
    <s v="Unidade Sao Jose"/>
    <n v="1706723222"/>
    <m/>
  </r>
  <r>
    <x v="16"/>
    <x v="40"/>
    <s v="Sonia Maria Morais Maia"/>
    <s v="Feminino"/>
    <x v="0"/>
    <x v="11"/>
    <s v="50000160 - Fisioterapia Ortopedica (R$ 49,72)"/>
    <s v="Fisioterapia"/>
    <s v="42263120260211278075"/>
    <s v="Finalizado (9/10)"/>
    <n v="41.764800000000001"/>
    <n v="7.9551999999999996"/>
    <n v="49.72"/>
    <s v="Sessão Faturada"/>
    <s v="010650548005"/>
    <n v="55667"/>
    <s v="Unidade Sao Jose"/>
    <s v="42263120260211278075"/>
    <m/>
  </r>
  <r>
    <x v="16"/>
    <x v="40"/>
    <s v="José Ferreira de Souza"/>
    <s v="Masculino"/>
    <x v="7"/>
    <x v="11"/>
    <s v="Sao José - 4 - Fisioterapia Neurológica/Respiratória - Pacote (R$ 50,00)"/>
    <s v="Fisioterapia"/>
    <n v="170300"/>
    <s v="Finalizado (3/5)"/>
    <n v="37.5"/>
    <n v="12.5"/>
    <n v="50"/>
    <s v="Pago"/>
    <n v="56030"/>
    <n v="56030"/>
    <s v="Unidade Sao Jose"/>
    <n v="170300"/>
    <m/>
  </r>
  <r>
    <x v="16"/>
    <x v="40"/>
    <s v="Andriely Oliveira Braga"/>
    <s v="Feminino"/>
    <x v="27"/>
    <x v="11"/>
    <s v="20103662 - Pos Operatorio Em Um Membro (R$ 14,99)"/>
    <s v="Fisioterapia"/>
    <n v="1705691880"/>
    <s v="Finalizado (3/5)"/>
    <n v="12.5916"/>
    <n v="2.3984000000000001"/>
    <n v="14.99"/>
    <s v="Sessão Faturada"/>
    <n v="813227000396000"/>
    <n v="52145"/>
    <s v="Unidade Sao Jose"/>
    <n v="1705691880"/>
    <m/>
  </r>
  <r>
    <x v="16"/>
    <x v="45"/>
    <s v="Sonia Maria Morais Maia"/>
    <s v="Feminino"/>
    <x v="0"/>
    <x v="11"/>
    <s v="31602185 - Estimulação Elétrica Transcutânea Fisioterapia (Novo - 01/12) (R$ 54,13)"/>
    <s v="Fisioterapia"/>
    <s v="42263120260211278104"/>
    <s v="Finalizado (9/10)"/>
    <n v="45.469200000000001"/>
    <n v="8.6608000000000001"/>
    <n v="54.13"/>
    <s v="Sessão Faturada"/>
    <s v="010650548005"/>
    <n v="55667"/>
    <s v="Unidade Sao Jose"/>
    <s v="42263120260211278104"/>
    <m/>
  </r>
  <r>
    <x v="16"/>
    <x v="45"/>
    <s v="Andriely Oliveira Braga"/>
    <s v="Feminino"/>
    <x v="27"/>
    <x v="11"/>
    <s v="20103115 - Atividade Reflexa Cinesioterápica (R$ 20,81)"/>
    <s v="Fisioterapia"/>
    <n v="1705684289"/>
    <s v="Finalizado (3/4)"/>
    <n v="17.480399999999999"/>
    <n v="3.3296000000000001"/>
    <n v="20.81"/>
    <s v="Sessão Faturada"/>
    <n v="813227000396000"/>
    <n v="52145"/>
    <s v="Unidade Sao Jose"/>
    <n v="1705684289"/>
    <m/>
  </r>
  <r>
    <x v="16"/>
    <x v="35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8/10)"/>
    <n v="30"/>
    <n v="10"/>
    <n v="40"/>
    <s v="Pago"/>
    <n v="10962"/>
    <n v="10962"/>
    <s v="Unidade Sao Jose"/>
    <n v="168954"/>
    <m/>
  </r>
  <r>
    <x v="16"/>
    <x v="35"/>
    <s v="Francisco Miguel Pessoa de Lima"/>
    <s v="Masculino"/>
    <x v="7"/>
    <x v="11"/>
    <s v="Sao José - 2 - Fisioterapia Ortopédica - Pacote (R$ 20,00)"/>
    <s v="Fisioterapia"/>
    <n v="170312"/>
    <s v="Finalizado (3/10)"/>
    <n v="15"/>
    <n v="5"/>
    <n v="20"/>
    <s v="Pago"/>
    <n v="59509"/>
    <n v="59509"/>
    <s v="Unidade Sao Jose"/>
    <n v="170312"/>
    <m/>
  </r>
  <r>
    <x v="16"/>
    <x v="35"/>
    <s v="Amaziles Andrade de Morais"/>
    <s v="Feminino"/>
    <x v="27"/>
    <x v="11"/>
    <s v="20103522 - Fisioterapia - Pac Com Dependencia de Vida Diária (R$ 23,59)"/>
    <s v="Fisioterapia"/>
    <n v="1702658130"/>
    <s v="Finalizado (5/5)"/>
    <n v="19.8156"/>
    <n v="3.7744"/>
    <n v="23.59"/>
    <s v="Sessão Faturada"/>
    <n v="771015039373010"/>
    <n v="48191"/>
    <s v="Unidade Sao Jose"/>
    <n v="1702658130"/>
    <m/>
  </r>
  <r>
    <x v="16"/>
    <x v="70"/>
    <s v="Amaziles Andrade de Morais"/>
    <s v="Feminino"/>
    <x v="27"/>
    <x v="11"/>
    <s v="20103115 - Atividade Reflexa Cinesioterápica (R$ 20,81)"/>
    <s v="Fisioterapia"/>
    <n v="1702713875"/>
    <s v="Finalizado (5/5)"/>
    <n v="17.480399999999999"/>
    <n v="3.3296000000000001"/>
    <n v="20.81"/>
    <s v="Sessão Faturada"/>
    <n v="771015039373010"/>
    <n v="48191"/>
    <s v="Unidade Sao Jose"/>
    <n v="1702713875"/>
    <m/>
  </r>
  <r>
    <x v="16"/>
    <x v="71"/>
    <s v="Amaziles Andrade de Morais"/>
    <s v="Feminino"/>
    <x v="27"/>
    <x v="11"/>
    <s v="20103468 - Parkinson (R$ 12,22)"/>
    <s v="Fisioterapia"/>
    <n v="1702714878"/>
    <s v="Finalizado (5/5)"/>
    <n v="10.264799999999999"/>
    <n v="1.9552"/>
    <n v="12.22"/>
    <s v="Sessão Faturada"/>
    <n v="771015039373010"/>
    <n v="48191"/>
    <s v="Unidade Sao Jose"/>
    <n v="1702714878"/>
    <m/>
  </r>
  <r>
    <x v="16"/>
    <x v="38"/>
    <s v="Sara Gonçalves Vieira"/>
    <s v="Feminino"/>
    <x v="7"/>
    <x v="11"/>
    <s v="Sao José - 2 - Fisioterapia Ortopédica - Pacote (R$ 20,00)"/>
    <s v="Fisioterapia"/>
    <n v="170117"/>
    <s v="Finalizado (2/10)"/>
    <n v="15"/>
    <n v="5"/>
    <n v="20"/>
    <s v="Pago"/>
    <n v="56256"/>
    <n v="56256"/>
    <s v="Unidade Sao Jose"/>
    <n v="170117"/>
    <m/>
  </r>
  <r>
    <x v="16"/>
    <x v="38"/>
    <s v="Sheila Ferreira do Nascimento"/>
    <s v="Feminino"/>
    <x v="27"/>
    <x v="11"/>
    <s v="20103522 - Fisioterapia - Pac Com Dependencia de Vida Diária (R$ 23,59)"/>
    <s v="Fisioterapia"/>
    <n v="1704256373"/>
    <s v="Finalizado (3/5)"/>
    <n v="19.8156"/>
    <n v="3.7744"/>
    <n v="23.59"/>
    <s v="Sessão Faturada"/>
    <n v="774239001511020"/>
    <n v="27492"/>
    <s v="Unidade Sao Jose"/>
    <n v="1704256373"/>
    <m/>
  </r>
  <r>
    <x v="16"/>
    <x v="38"/>
    <s v="Raimundo Antonio de Oliveira"/>
    <s v="Masculino"/>
    <x v="27"/>
    <x v="11"/>
    <s v="20103115 - Atividade Reflexa Cinesioterápica (R$ 20,81)"/>
    <s v="Fisioterapia"/>
    <n v="1704250241"/>
    <s v="Finalizado (5/5)"/>
    <n v="17.480399999999999"/>
    <n v="3.3296000000000001"/>
    <n v="20.81"/>
    <s v="Sessão Faturada"/>
    <n v="772530028185000"/>
    <n v="27968"/>
    <s v="Unidade Sao Jose"/>
    <n v="1704250241"/>
    <m/>
  </r>
  <r>
    <x v="16"/>
    <x v="68"/>
    <s v="Sheila Ferreira do Nascimento"/>
    <s v="Feminino"/>
    <x v="27"/>
    <x v="11"/>
    <s v="20103115 - Atividade Reflexa Cinesioterápica (R$ 20,81)"/>
    <s v="Fisioterapia"/>
    <n v="1704256558"/>
    <s v="Finalizado (3/3)"/>
    <n v="17.480399999999999"/>
    <n v="3.3296000000000001"/>
    <n v="20.81"/>
    <s v="Sessão Faturada"/>
    <n v="774239001511020"/>
    <n v="27492"/>
    <s v="Unidade Sao Jose"/>
    <n v="1704256558"/>
    <m/>
  </r>
  <r>
    <x v="16"/>
    <x v="62"/>
    <s v="Raimundo Antonio de Oliveira"/>
    <s v="Masculino"/>
    <x v="27"/>
    <x v="11"/>
    <s v="20103514 - Patol. Em Diferentes Segmentos da Coluna (R$ 14,83)"/>
    <s v="Fisioterapia"/>
    <n v="1704249681"/>
    <s v="Finalizado (4/4)"/>
    <n v="12.4572"/>
    <n v="2.3727999999999998"/>
    <n v="14.83"/>
    <s v="Sessão Faturada"/>
    <n v="772530028185000"/>
    <n v="27968"/>
    <s v="Unidade Sao Jose"/>
    <n v="1704249681"/>
    <m/>
  </r>
  <r>
    <x v="16"/>
    <x v="69"/>
    <s v="Sheila Ferreira do Nascimento"/>
    <s v="Feminino"/>
    <x v="27"/>
    <x v="11"/>
    <s v="20103514 - Patol. Em Diferentes Segmentos da Coluna (R$ 14,83)"/>
    <s v="Fisioterapia"/>
    <n v="1704256854"/>
    <s v="Finalizado (3/5)"/>
    <n v="12.4572"/>
    <n v="2.3727999999999998"/>
    <n v="14.83"/>
    <s v="Sessão Faturada"/>
    <n v="774239001511020"/>
    <n v="27492"/>
    <s v="Unidade Sao Jose"/>
    <n v="1704256854"/>
    <m/>
  </r>
  <r>
    <x v="16"/>
    <x v="39"/>
    <s v="William Sarmento da Costa"/>
    <s v="Masculino"/>
    <x v="8"/>
    <x v="11"/>
    <s v="20103492 - Patologia Em Dois Ou Mais Membros (R$ 14,83)"/>
    <s v="Fisioterapia"/>
    <n v="1707875614"/>
    <s v="Finalizado (1/1)"/>
    <n v="12.4572"/>
    <n v="2.3727999999999998"/>
    <n v="14.83"/>
    <s v="Sessão Faturada"/>
    <n v="954600024228000"/>
    <n v="59222"/>
    <s v="Unidade Sao Jose"/>
    <n v="1707875614"/>
    <m/>
  </r>
  <r>
    <x v="16"/>
    <x v="39"/>
    <s v="William Sarmento da Costa"/>
    <s v="Masculino"/>
    <x v="8"/>
    <x v="11"/>
    <s v="20103115 - Atividade Reflexa Cinesioterápica (R$ 20,81)"/>
    <s v="Fisioterapia"/>
    <n v="1707875825"/>
    <s v="Finalizado (1/1)"/>
    <n v="17.480399999999999"/>
    <n v="3.3296000000000001"/>
    <n v="20.81"/>
    <s v="Sessão Faturada"/>
    <n v="954600024228000"/>
    <n v="59222"/>
    <s v="Unidade Sao Jose"/>
    <n v="1707875825"/>
    <m/>
  </r>
  <r>
    <x v="16"/>
    <x v="0"/>
    <s v="Jose Francinaldo dos Santos"/>
    <s v="Masculino"/>
    <x v="7"/>
    <x v="11"/>
    <s v="Sao José - 4 - Fisioterapia Neurológica/Respiratória - Pacote (R$ 50,00)"/>
    <s v="Fisioterapia"/>
    <n v="170818"/>
    <s v="Finalizado (1/10)"/>
    <n v="37.5"/>
    <n v="12.5"/>
    <n v="50"/>
    <s v="No Prazo"/>
    <n v="59333"/>
    <n v="59333"/>
    <s v="Unidade Sao Jose"/>
    <n v="170818"/>
    <m/>
  </r>
  <r>
    <x v="16"/>
    <x v="2"/>
    <s v="Marcleane Oliveira da Costa"/>
    <s v="Feminino"/>
    <x v="8"/>
    <x v="11"/>
    <s v="20103492 - Patologia Em Dois Ou Mais Membros (R$ 14,83), 20103514 - Patologia Em Diferentes Segmentos da Coluna (R$ 14,83)"/>
    <s v="Fisioterapia"/>
    <n v="1706519852"/>
    <s v="Finalizado (4/4)"/>
    <n v="24.914400000000001"/>
    <n v="4.7455999999999996"/>
    <n v="29.66"/>
    <s v="Sessão Faturada"/>
    <n v="954600022098000"/>
    <n v="58941"/>
    <s v="Unidade Sao Jose"/>
    <n v="1706519852"/>
    <m/>
  </r>
  <r>
    <x v="16"/>
    <x v="3"/>
    <s v="Marcleane Oliveira da Costa"/>
    <s v="Feminino"/>
    <x v="8"/>
    <x v="11"/>
    <s v="20103115 - Atividade Reflexa Cinesioterápica (R$ 20,81)"/>
    <s v="Fisioterapia"/>
    <n v="1706520010"/>
    <s v="Finalizado (4/4)"/>
    <n v="17.480399999999999"/>
    <n v="3.3296000000000001"/>
    <n v="20.81"/>
    <s v="Sessão Faturada"/>
    <n v="954600022098000"/>
    <n v="58941"/>
    <s v="Unidade Sao Jose"/>
    <n v="1706520010"/>
    <m/>
  </r>
  <r>
    <x v="16"/>
    <x v="4"/>
    <s v="Mônica Batista Jakinon"/>
    <s v="Feminino"/>
    <x v="8"/>
    <x v="11"/>
    <s v="20103115 - Atividade Reflexa Cinesioterápica (R$ 20,81)"/>
    <s v="Fisioterapia"/>
    <n v="1706915066"/>
    <s v="Finalizado (2/2)"/>
    <n v="17.480399999999999"/>
    <n v="3.3296000000000001"/>
    <n v="20.81"/>
    <s v="Sessão Faturada"/>
    <n v="954600030899000"/>
    <n v="57642"/>
    <s v="Unidade Sao Jose"/>
    <n v="1706915066"/>
    <m/>
  </r>
  <r>
    <x v="16"/>
    <x v="4"/>
    <s v="Suelen de Souza Moraes"/>
    <s v="Feminino"/>
    <x v="7"/>
    <x v="11"/>
    <s v="Sao José - 2 - Fisioterapia Ortopédica - Pacote (R$ 20,00)"/>
    <s v="Fisioterapia"/>
    <s v="/168940"/>
    <s v="Finalizado (9/30)"/>
    <n v="15"/>
    <n v="5"/>
    <n v="20"/>
    <s v="No Prazo"/>
    <n v="59411"/>
    <n v="59411"/>
    <s v="Unidade Sao Jose"/>
    <s v="/168940"/>
    <m/>
  </r>
  <r>
    <x v="16"/>
    <x v="4"/>
    <s v="Mônica Batista Jakinon"/>
    <s v="Feminino"/>
    <x v="8"/>
    <x v="11"/>
    <s v="20103492 - Patologia Em Dois Ou Mais Membros (R$ 14,83)"/>
    <s v="Fisioterapia"/>
    <n v="1706914771"/>
    <s v="Finalizado (2/5)"/>
    <n v="12.4572"/>
    <n v="2.3727999999999998"/>
    <n v="14.83"/>
    <s v="Sessão Faturada"/>
    <n v="954600030899000"/>
    <n v="57642"/>
    <s v="Unidade Sao Jose"/>
    <n v="1706914771"/>
    <m/>
  </r>
  <r>
    <x v="16"/>
    <x v="4"/>
    <s v="Francisco de Assis da Silva Junior"/>
    <s v="Masculino"/>
    <x v="7"/>
    <x v="11"/>
    <s v="Sao José - 14 - Fisioterapia Pós Operatória - Pacote (R$ 50,00)"/>
    <s v="Fisioterapia"/>
    <n v="170673"/>
    <s v="Finalizado (2/10)"/>
    <n v="37.5"/>
    <n v="12.5"/>
    <n v="50"/>
    <s v="Pago"/>
    <n v="39841"/>
    <n v="39841"/>
    <s v="Unidade Sao Jose"/>
    <n v="170673"/>
    <m/>
  </r>
  <r>
    <x v="16"/>
    <x v="13"/>
    <s v="Jessica da Costa Barbosa"/>
    <s v="Feminino"/>
    <x v="7"/>
    <x v="11"/>
    <s v="Sao José - 2 - Fisioterapia Ortopédica - Pacote (R$ 20,00)"/>
    <s v="Fisioterapia"/>
    <n v="158525"/>
    <s v="Finalizado (10/10)"/>
    <n v="15"/>
    <n v="5"/>
    <n v="20"/>
    <s v="Pago"/>
    <n v="57549"/>
    <n v="57549"/>
    <s v="Unidade Sao Jose"/>
    <n v="158525"/>
    <m/>
  </r>
  <r>
    <x v="16"/>
    <x v="13"/>
    <s v="Lauriethe Silva Nascimento Garrido"/>
    <s v="Feminino"/>
    <x v="7"/>
    <x v="11"/>
    <s v="Sao José - 2 - Fisioterapia Ortopédica - Pacote (R$ 20,00)"/>
    <s v="Fisioterapia"/>
    <n v="170690"/>
    <s v="Finalizado (1/10)"/>
    <n v="15"/>
    <n v="5"/>
    <n v="20"/>
    <s v="Pago"/>
    <n v="59555"/>
    <n v="59555"/>
    <s v="Unidade Sao Jose"/>
    <n v="170690"/>
    <m/>
  </r>
  <r>
    <x v="16"/>
    <x v="13"/>
    <s v="Edivaldo Monteiro de Souza"/>
    <s v="Masculino"/>
    <x v="7"/>
    <x v="11"/>
    <s v="Sao José - 2 - Fisioterapia Ortopédica - Pacote (R$ 19,00)"/>
    <s v="Fisioterapia"/>
    <n v="167771"/>
    <s v="Finalizado (10/10)"/>
    <n v="14.25"/>
    <n v="4.75"/>
    <n v="19"/>
    <s v="Pago"/>
    <n v="52631"/>
    <n v="52631"/>
    <s v="Unidade Sao Jose"/>
    <n v="167771"/>
    <m/>
  </r>
  <r>
    <x v="16"/>
    <x v="13"/>
    <s v="Joao Paulo Pinheiro dos Santos"/>
    <s v="Masculino"/>
    <x v="8"/>
    <x v="11"/>
    <s v="20103662 - Pos Operatorio Em Um Membro (R$ 14,99)"/>
    <s v="Fisioterapia"/>
    <n v="1703436663"/>
    <s v="Finalizado (5/5)"/>
    <n v="12.5916"/>
    <n v="2.3984000000000001"/>
    <n v="14.99"/>
    <s v="Sessão Faturada"/>
    <n v="954600009601010"/>
    <n v="24910"/>
    <s v="Unidade Sao Jose"/>
    <n v="1703436663"/>
    <m/>
  </r>
  <r>
    <x v="16"/>
    <x v="14"/>
    <s v="Joao Paulo Pinheiro dos Santos"/>
    <s v="Masculino"/>
    <x v="8"/>
    <x v="11"/>
    <s v="20103115 - Atividade Reflexa Cinesioterápica (R$ 20,81)"/>
    <s v="Fisioterapia"/>
    <n v="1703436894"/>
    <s v="Finalizado (5/5)"/>
    <n v="17.480399999999999"/>
    <n v="3.3296000000000001"/>
    <n v="20.81"/>
    <s v="Sessão Faturada"/>
    <n v="954600009601010"/>
    <n v="24910"/>
    <s v="Unidade Sao Jose"/>
    <n v="1703436894"/>
    <m/>
  </r>
  <r>
    <x v="16"/>
    <x v="6"/>
    <s v="Ana Cleide da Silva Lima"/>
    <s v="Feminino"/>
    <x v="7"/>
    <x v="11"/>
    <s v="Sao José - 2 - Fisioterapia Ortopédica - Pacote (R$ 20,00)"/>
    <s v="Fisioterapia"/>
    <n v="169727"/>
    <s v="Finalizado (6/10)"/>
    <n v="15"/>
    <n v="5"/>
    <n v="20"/>
    <s v="Pago"/>
    <n v="98278639000"/>
    <n v="54132"/>
    <s v="Unidade Sao Jose"/>
    <n v="169727"/>
    <m/>
  </r>
  <r>
    <x v="16"/>
    <x v="15"/>
    <s v="Vanessa Soares de Almeida"/>
    <s v="Feminino"/>
    <x v="7"/>
    <x v="11"/>
    <s v="Sao José - 2 - Fisioterapia Ortopédica - Pacote (R$ 20,00)"/>
    <s v="Fisioterapia"/>
    <n v="170464"/>
    <s v="Finalizado (2/10)"/>
    <n v="15"/>
    <n v="5"/>
    <n v="20"/>
    <s v="Pago"/>
    <s v="."/>
    <n v="52536"/>
    <s v="Unidade Sao Jose"/>
    <n v="170464"/>
    <m/>
  </r>
  <r>
    <x v="16"/>
    <x v="15"/>
    <s v="Thiago Lima da Rocha"/>
    <s v="Feminino"/>
    <x v="7"/>
    <x v="11"/>
    <s v="Sao José - 2 - Fisioterapia Ortopédica - Pacote (R$ 20,00)"/>
    <s v="Fisioterapia"/>
    <n v="170853"/>
    <s v="Finalizado (1/10)"/>
    <n v="15"/>
    <n v="5"/>
    <n v="20"/>
    <s v="Pago"/>
    <n v="59571"/>
    <n v="59571"/>
    <s v="Unidade Sao Jose"/>
    <n v="170853"/>
    <m/>
  </r>
  <r>
    <x v="16"/>
    <x v="15"/>
    <s v="Paulo Eduardo Silva de Souza"/>
    <s v="Masculino"/>
    <x v="7"/>
    <x v="11"/>
    <s v="Sao José - 2 - Fisioterapia Ortopédica - Pacote (R$ 20,00)"/>
    <s v="Fisioterapia"/>
    <n v="170450"/>
    <s v="Finalizado (3/10)"/>
    <n v="15"/>
    <n v="5"/>
    <n v="20"/>
    <s v="Pago"/>
    <n v="59524"/>
    <n v="59524"/>
    <s v="Unidade Sao Jose"/>
    <n v="170450"/>
    <m/>
  </r>
  <r>
    <x v="16"/>
    <x v="17"/>
    <s v="Maria Aparecida Correa do Nascimento"/>
    <s v="Feminino"/>
    <x v="7"/>
    <x v="11"/>
    <s v="Sao José - 12 - Fisioterapia Ortopédica - Pacote 2 (R$ 20,00)"/>
    <s v="Fisioterapia"/>
    <n v="168976"/>
    <s v="Finalizado (6/10)"/>
    <n v="15"/>
    <n v="5"/>
    <n v="20"/>
    <s v="Pago"/>
    <n v="47708"/>
    <n v="47708"/>
    <s v="Unidade Sao Jose"/>
    <n v="168976"/>
    <m/>
  </r>
  <r>
    <x v="16"/>
    <x v="17"/>
    <s v="Michele Freire de Souza"/>
    <s v="Feminino"/>
    <x v="7"/>
    <x v="11"/>
    <s v="Sao José - 2 - Fisioterapia Ortopédica - Pacote (R$ 20,00)"/>
    <s v="Fisioterapia"/>
    <n v="170528"/>
    <s v="Finalizado (2/10)"/>
    <n v="15"/>
    <n v="5"/>
    <n v="20"/>
    <s v="Pago"/>
    <n v="59532"/>
    <n v="59532"/>
    <s v="Unidade Sao Jose"/>
    <n v="170528"/>
    <m/>
  </r>
  <r>
    <x v="16"/>
    <x v="8"/>
    <s v="Gabriel Parente de Castro"/>
    <s v="Masculino"/>
    <x v="12"/>
    <x v="11"/>
    <s v="31602185 - Estimulação Elétrica Transcutânea (Tens) (R$ 49,00)"/>
    <s v="Fisioterapia"/>
    <n v="10319479"/>
    <s v="Finalizado (2/10)"/>
    <n v="41.16"/>
    <n v="7.84"/>
    <n v="49"/>
    <s v="Sessão Faturada"/>
    <n v="9.5078029485153997E+17"/>
    <n v="59364"/>
    <s v="Unidade Sao Jose"/>
    <n v="10319479"/>
    <m/>
  </r>
  <r>
    <x v="16"/>
    <x v="9"/>
    <s v="Gabriel Parente de Castro"/>
    <s v="Masculino"/>
    <x v="12"/>
    <x v="11"/>
    <s v="20103662 - Pos Operatorio Em Um Membro (R$ 14,99)"/>
    <s v="Fisioterapia"/>
    <n v="170538"/>
    <s v="Finalizado (2/10)"/>
    <n v="12.5916"/>
    <n v="2.3984000000000001"/>
    <n v="14.99"/>
    <s v="Sessão Faturada"/>
    <n v="9.5078029485153997E+17"/>
    <n v="59364"/>
    <s v="Unidade Sao Jose"/>
    <n v="170538"/>
    <m/>
  </r>
  <r>
    <x v="21"/>
    <x v="41"/>
    <s v="Michele Freire de Souza"/>
    <s v="Feminino"/>
    <x v="7"/>
    <x v="11"/>
    <s v="Sao José - 2 - Fisioterapia Ortopédica - Pacote (R$ 20,00)"/>
    <s v="Fisioterapia"/>
    <n v="170528"/>
    <s v="Finalizado (3/10)"/>
    <n v="15"/>
    <n v="5"/>
    <n v="20"/>
    <s v="Pago"/>
    <n v="59532"/>
    <n v="59532"/>
    <s v="Unidade Sao Jose"/>
    <n v="170528"/>
    <m/>
  </r>
  <r>
    <x v="21"/>
    <x v="41"/>
    <s v="Francisco Sampaio Lima"/>
    <s v="Masculino"/>
    <x v="7"/>
    <x v="11"/>
    <s v="Sao José - 2 - Fisioterapia Ortopédica - Pacote (R$ 20,00)"/>
    <s v="Fisioterapia"/>
    <n v="168204"/>
    <s v="Finalizado (4/10)"/>
    <n v="15"/>
    <n v="5"/>
    <n v="20"/>
    <s v="Pago"/>
    <n v="59270"/>
    <n v="59270"/>
    <s v="Unidade Sao Jose"/>
    <n v="168204"/>
    <m/>
  </r>
  <r>
    <x v="21"/>
    <x v="41"/>
    <s v="Soniele Maria Santos da Silva"/>
    <s v="Feminino"/>
    <x v="8"/>
    <x v="11"/>
    <s v="20103115 - Atividade Reflexa Cinesioterápica (R$ 20,81)"/>
    <s v="Fisioterapia"/>
    <n v="1700230375"/>
    <s v="Finalizado (3/3)"/>
    <n v="17.480399999999999"/>
    <n v="3.3296000000000001"/>
    <n v="20.81"/>
    <s v="Sessão Faturada"/>
    <n v="954600000507010"/>
    <n v="50297"/>
    <s v="Unidade Sao Jose"/>
    <n v="1700230375"/>
    <m/>
  </r>
  <r>
    <x v="21"/>
    <x v="65"/>
    <s v="Soniele Maria Santos da Silva"/>
    <s v="Feminino"/>
    <x v="8"/>
    <x v="11"/>
    <s v="20103492 - Patologia Em Dois Ou Mais Membros (R$ 14,83)"/>
    <s v="Fisioterapia"/>
    <n v="1700230252"/>
    <s v="Finalizado (3/4)"/>
    <n v="12.4572"/>
    <n v="2.3727999999999998"/>
    <n v="14.83"/>
    <s v="Sessão Faturada"/>
    <n v="954600000507010"/>
    <n v="50297"/>
    <s v="Unidade Sao Jose"/>
    <n v="1700230252"/>
    <m/>
  </r>
  <r>
    <x v="21"/>
    <x v="36"/>
    <s v="Rocivaldo Alfredo da Silva"/>
    <s v="Masculino"/>
    <x v="16"/>
    <x v="11"/>
    <s v="50000160 - Fisioterapia Ortopedica (R$ 25,00)"/>
    <s v="Fisioterapia"/>
    <n v="169222"/>
    <s v="Finalizado (10/10)"/>
    <n v="21"/>
    <n v="4"/>
    <n v="25"/>
    <s v="Sessão a Faturar"/>
    <n v="59425"/>
    <n v="59425"/>
    <s v="Unidade Sao Jose"/>
    <n v="169222"/>
    <m/>
  </r>
  <r>
    <x v="21"/>
    <x v="36"/>
    <s v="Thiago Lima da Rocha"/>
    <s v="Feminino"/>
    <x v="7"/>
    <x v="11"/>
    <s v="Sao José - 2 - Fisioterapia Ortopédica - Pacote (R$ 20,00)"/>
    <s v="Fisioterapia"/>
    <n v="170853"/>
    <s v="Finalizado (2/10)"/>
    <n v="15"/>
    <n v="5"/>
    <n v="20"/>
    <s v="Pago"/>
    <n v="59571"/>
    <n v="59571"/>
    <s v="Unidade Sao Jose"/>
    <n v="170853"/>
    <m/>
  </r>
  <r>
    <x v="21"/>
    <x v="35"/>
    <s v="Elizandra Araujo Coelho"/>
    <s v="Feminino"/>
    <x v="7"/>
    <x v="11"/>
    <s v="Sao José - 2 - Fisioterapia Ortopédica - Pacote (R$ 20,00)"/>
    <s v="Fisioterapia"/>
    <n v="167496"/>
    <s v="Finalizado (18/20)"/>
    <n v="15"/>
    <n v="5"/>
    <n v="20"/>
    <s v="Pago"/>
    <n v="59298"/>
    <n v="59298"/>
    <s v="Unidade Sao Jose"/>
    <n v="167496"/>
    <m/>
  </r>
  <r>
    <x v="21"/>
    <x v="35"/>
    <s v="Francisco Miguel Pessoa de Lima"/>
    <s v="Masculino"/>
    <x v="7"/>
    <x v="11"/>
    <s v="Sao José - 2 - Fisioterapia Ortopédica - Pacote (R$ 20,00)"/>
    <s v="Fisioterapia"/>
    <n v="170312"/>
    <s v="Finalizado (4/10)"/>
    <n v="15"/>
    <n v="5"/>
    <n v="20"/>
    <s v="Pago"/>
    <n v="59509"/>
    <n v="59509"/>
    <s v="Unidade Sao Jose"/>
    <n v="170312"/>
    <m/>
  </r>
  <r>
    <x v="21"/>
    <x v="38"/>
    <s v="Adna Melo da Silva Juvenal"/>
    <s v="Feminino"/>
    <x v="8"/>
    <x v="11"/>
    <s v="20103492 - Patologia Em Dois Ou Mais Membros (R$ 14,83), 20103514 - Patologia Em Diferentes Segmentos da Coluna (R$ 14,83)"/>
    <s v="Fisioterapia"/>
    <n v="1701456690"/>
    <s v="Finalizado (3/4)"/>
    <n v="24.914400000000001"/>
    <n v="4.7455999999999996"/>
    <n v="29.66"/>
    <s v="Sessão Faturada"/>
    <n v="954600025615010"/>
    <n v="54008"/>
    <s v="Unidade Sao Jose"/>
    <n v="1701456690"/>
    <m/>
  </r>
  <r>
    <x v="21"/>
    <x v="38"/>
    <s v="Maria Jurandir Melo da Silva"/>
    <s v="Feminino"/>
    <x v="7"/>
    <x v="11"/>
    <s v="Sao José - 2 - Fisioterapia Ortopédica - Pacote (R$ 20,00)"/>
    <s v="Fisioterapia"/>
    <n v="166494"/>
    <s v="Finalizado (6/10)"/>
    <n v="15"/>
    <n v="5"/>
    <n v="20"/>
    <s v="Pago"/>
    <n v="59191"/>
    <n v="59191"/>
    <s v="Unidade Sao Jose"/>
    <n v="166494"/>
    <m/>
  </r>
  <r>
    <x v="21"/>
    <x v="62"/>
    <s v="Adna Melo da Silva Juvenal"/>
    <s v="Feminino"/>
    <x v="8"/>
    <x v="11"/>
    <s v="20103115 - Atividade Reflexa Cinesioterápica (R$ 20,81)"/>
    <s v="Fisioterapia"/>
    <n v="1701456200"/>
    <s v="Finalizado (3/3)"/>
    <n v="17.480399999999999"/>
    <n v="3.3296000000000001"/>
    <n v="20.81"/>
    <s v="Sessão Faturada"/>
    <n v="954600025615010"/>
    <n v="54008"/>
    <s v="Unidade Sao Jose"/>
    <n v="1701456200"/>
    <m/>
  </r>
  <r>
    <x v="21"/>
    <x v="37"/>
    <s v="Gledson da Costa Lobato"/>
    <s v="Masculino"/>
    <x v="7"/>
    <x v="11"/>
    <s v="Sao José - 2 - Fisioterapia Ortopédica - Pacote (R$ 20,00)"/>
    <s v="Fisioterapia"/>
    <n v="168623"/>
    <s v="Finalizado (9/10)"/>
    <n v="15"/>
    <n v="5"/>
    <n v="20"/>
    <s v="Pago"/>
    <n v="59386"/>
    <n v="59386"/>
    <s v="Unidade Sao Jose"/>
    <n v="168623"/>
    <m/>
  </r>
  <r>
    <x v="21"/>
    <x v="37"/>
    <s v="Lucca Gabriel Rodrigues"/>
    <s v="Masculino"/>
    <x v="7"/>
    <x v="11"/>
    <s v="Sao José - 4 - Fisioterapia Neurológica/Respiratória - Pacote (R$ 50,00)"/>
    <s v="Fisioterapia"/>
    <n v="170023"/>
    <s v="Finalizado (2/5)"/>
    <n v="37.5"/>
    <n v="12.5"/>
    <n v="50"/>
    <s v="Pago"/>
    <n v="59489"/>
    <n v="59489"/>
    <s v="Unidade Sao Jose"/>
    <n v="170023"/>
    <m/>
  </r>
  <r>
    <x v="17"/>
    <x v="41"/>
    <s v="Alessandro Ramos Veiga"/>
    <s v="Masculino"/>
    <x v="2"/>
    <x v="11"/>
    <s v="50000144 - Avaliação de Fisioterapia (R$ 51,42)"/>
    <s v="Fisioterapia"/>
    <n v="1708847065"/>
    <s v="Finalizado (1/1)"/>
    <n v="46.277999999999999"/>
    <n v="5.1420000000000003"/>
    <n v="51.42"/>
    <s v="Sessão Faturada"/>
    <n v="771015061093000"/>
    <n v="59531"/>
    <s v="Unidade Sao Jose"/>
    <n v="1708847065"/>
    <m/>
  </r>
  <r>
    <x v="17"/>
    <x v="36"/>
    <s v="Alessandro Ramos Veiga"/>
    <s v="Masculino"/>
    <x v="2"/>
    <x v="11"/>
    <s v="20103522 - Fisioterapia - Pac Com Dependencia de Vida Diária (R$ 23,59)"/>
    <s v="Fisioterapia"/>
    <n v="1708869061"/>
    <s v="Finalizado (1/5)"/>
    <n v="19.8156"/>
    <n v="3.7744"/>
    <n v="23.59"/>
    <s v="Sessão Faturada"/>
    <n v="771015061093000"/>
    <n v="59531"/>
    <s v="Unidade Sao Jose"/>
    <n v="1708869061"/>
    <m/>
  </r>
  <r>
    <x v="17"/>
    <x v="36"/>
    <s v="Sonia Maria Morais Maia"/>
    <s v="Feminino"/>
    <x v="0"/>
    <x v="11"/>
    <s v="50000160 - Fisioterapia Ortopedica (R$ 49,72)"/>
    <s v="Fisioterapia"/>
    <s v="42263120260211278075"/>
    <s v="Finalizado (10/10)"/>
    <n v="41.764800000000001"/>
    <n v="7.9551999999999996"/>
    <n v="49.72"/>
    <s v="Sessão Faturada"/>
    <s v="010650548005"/>
    <n v="55667"/>
    <s v="Unidade Sao Jose"/>
    <s v="42263120260211278075"/>
    <m/>
  </r>
  <r>
    <x v="17"/>
    <x v="36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08867832"/>
    <s v="Finalizado (1/5)"/>
    <n v="24.914400000000001"/>
    <n v="4.7455999999999996"/>
    <n v="29.66"/>
    <s v="Sessão Faturada"/>
    <n v="771015061093000"/>
    <n v="59531"/>
    <s v="Unidade Sao Jose"/>
    <n v="1708867832"/>
    <m/>
  </r>
  <r>
    <x v="17"/>
    <x v="36"/>
    <s v="Alessandro Ramos Veiga"/>
    <s v="Masculino"/>
    <x v="2"/>
    <x v="11"/>
    <s v="20103115 - Atividade Reflexa Cinesioterápica (R$ 20,81)"/>
    <s v="Fisioterapia"/>
    <n v="1708868215"/>
    <s v="Finalizado (1/2)"/>
    <n v="17.480399999999999"/>
    <n v="3.3296000000000001"/>
    <n v="20.81"/>
    <s v="Sessão Faturada"/>
    <n v="771015061093000"/>
    <n v="59531"/>
    <s v="Unidade Sao Jose"/>
    <n v="1708868215"/>
    <m/>
  </r>
  <r>
    <x v="17"/>
    <x v="61"/>
    <s v="Sonia Maria Morais Maia"/>
    <s v="Feminino"/>
    <x v="0"/>
    <x v="11"/>
    <s v="31602185 - Estimulação Elétrica Transcutânea Fisioterapia (Novo - 01/12) (R$ 54,13)"/>
    <s v="Fisioterapia"/>
    <s v="42263120260211278104"/>
    <s v="Finalizado (10/10)"/>
    <n v="45.469200000000001"/>
    <n v="8.6608000000000001"/>
    <n v="54.13"/>
    <s v="Sessão Faturada"/>
    <s v="010650548005"/>
    <n v="55667"/>
    <s v="Unidade Sao Jose"/>
    <s v="42263120260211278104"/>
    <m/>
  </r>
  <r>
    <x v="17"/>
    <x v="40"/>
    <s v="Jose Francinaldo dos Santos"/>
    <s v="Masculino"/>
    <x v="7"/>
    <x v="11"/>
    <s v="Sao José - 4 - Fisioterapia Neurológica/Respiratória - Pacote (R$ 50,00)"/>
    <s v="Fisioterapia"/>
    <n v="170818"/>
    <s v="Finalizado (2/10)"/>
    <n v="37.5"/>
    <n v="12.5"/>
    <n v="50"/>
    <s v="No Prazo"/>
    <n v="59333"/>
    <n v="59333"/>
    <s v="Unidade Sao Jose"/>
    <n v="170818"/>
    <m/>
  </r>
  <r>
    <x v="17"/>
    <x v="40"/>
    <s v="Andriely Oliveira Braga"/>
    <s v="Feminino"/>
    <x v="27"/>
    <x v="11"/>
    <s v="20103662 - Pos Operatorio Em Um Membro (R$ 14,99)"/>
    <s v="Fisioterapia"/>
    <n v="1705691880"/>
    <s v="Finalizado (4/5)"/>
    <n v="12.5916"/>
    <n v="2.3984000000000001"/>
    <n v="14.99"/>
    <s v="Sessão Faturada"/>
    <n v="813227000396000"/>
    <n v="52145"/>
    <s v="Unidade Sao Jose"/>
    <n v="1705691880"/>
    <m/>
  </r>
  <r>
    <x v="17"/>
    <x v="40"/>
    <s v="Francisco Miguel Pessoa de Lima"/>
    <s v="Masculino"/>
    <x v="7"/>
    <x v="11"/>
    <s v="Sao José - 2 - Fisioterapia Ortopédica - Pacote (R$ 20,00)"/>
    <s v="Fisioterapia"/>
    <n v="170312"/>
    <s v="Finalizado (5/10)"/>
    <n v="15"/>
    <n v="5"/>
    <n v="20"/>
    <s v="Pago"/>
    <n v="59509"/>
    <n v="59509"/>
    <s v="Unidade Sao Jose"/>
    <n v="170312"/>
    <m/>
  </r>
  <r>
    <x v="17"/>
    <x v="45"/>
    <s v="Andriely Oliveira Braga"/>
    <s v="Feminino"/>
    <x v="27"/>
    <x v="11"/>
    <s v="20103115 - Atividade Reflexa Cinesioterápica (R$ 20,81)"/>
    <s v="Fisioterapia"/>
    <n v="1705684289"/>
    <s v="Finalizado (4/4)"/>
    <n v="17.480399999999999"/>
    <n v="3.3296000000000001"/>
    <n v="20.81"/>
    <s v="Sessão Faturada"/>
    <n v="813227000396000"/>
    <n v="52145"/>
    <s v="Unidade Sao Jose"/>
    <n v="1705684289"/>
    <m/>
  </r>
  <r>
    <x v="17"/>
    <x v="35"/>
    <s v="Renato de Araújo Santos"/>
    <s v="Masculino"/>
    <x v="7"/>
    <x v="11"/>
    <s v="Sao José - 2 - Fisioterapia Ortopédica - Pacote (R$ 20,00)"/>
    <s v="Fisioterapia"/>
    <n v="170405"/>
    <s v="Finalizado (4/10)"/>
    <n v="15"/>
    <n v="5"/>
    <n v="20"/>
    <s v="Pago"/>
    <n v="59520"/>
    <n v="59520"/>
    <s v="Unidade Sao Jose"/>
    <n v="170405"/>
    <m/>
  </r>
  <r>
    <x v="17"/>
    <x v="37"/>
    <s v="Renilson Santos de Assis"/>
    <s v="Masculino"/>
    <x v="27"/>
    <x v="11"/>
    <s v="50000144 - Avaliação de Fisioterapia (R$ 51,42)"/>
    <s v="Fisioterapia"/>
    <n v="1708960949"/>
    <s v="Finalizado (1/1)"/>
    <n v="46.277999999999999"/>
    <n v="5.1420000000000003"/>
    <n v="51.42"/>
    <s v="Sessão Faturada"/>
    <n v="772682001643000"/>
    <n v="57157"/>
    <s v="Unidade Sao Jose"/>
    <n v="1708960949"/>
    <m/>
  </r>
  <r>
    <x v="17"/>
    <x v="39"/>
    <s v="Renilson Santos de Assis"/>
    <s v="Masculino"/>
    <x v="27"/>
    <x v="11"/>
    <s v="20103662 - Pos Operatorio Em Um Membro (R$ 14,99)"/>
    <s v="Fisioterapia"/>
    <n v="1708985795"/>
    <s v="Finalizado (1/5)"/>
    <n v="12.5916"/>
    <n v="2.3984000000000001"/>
    <n v="14.99"/>
    <s v="Sessão Faturada"/>
    <n v="772682001643000"/>
    <n v="57157"/>
    <s v="Unidade Sao Jose"/>
    <n v="1708985795"/>
    <m/>
  </r>
  <r>
    <x v="17"/>
    <x v="72"/>
    <s v="Renilson Santos de Assis"/>
    <s v="Masculino"/>
    <x v="27"/>
    <x v="11"/>
    <s v="20103484 - Patologia Em Um Membro (R$ 12,22), 20103514 - Patol. Em Diferentes Segmentos da Coluna (R$ 14,83)"/>
    <s v="Fisioterapia"/>
    <n v="1708986196"/>
    <s v="Finalizado (1/5)"/>
    <n v="22.722000000000001"/>
    <n v="4.3280000000000003"/>
    <n v="27.05"/>
    <s v="Sessão Faturada"/>
    <n v="772682001643000"/>
    <n v="57157"/>
    <s v="Unidade Sao Jose"/>
    <n v="1708986196"/>
    <m/>
  </r>
  <r>
    <x v="17"/>
    <x v="59"/>
    <s v="Renilson Santos de Assis"/>
    <s v="Masculino"/>
    <x v="27"/>
    <x v="11"/>
    <s v="20103115 - Atividade Reflexa Cinesioterápica (R$ 20,81)"/>
    <s v="Fisioterapia"/>
    <n v="1708981198"/>
    <s v="Finalizado (1/1)"/>
    <n v="17.480399999999999"/>
    <n v="3.3296000000000001"/>
    <n v="20.81"/>
    <s v="Sessão Faturada"/>
    <n v="772682001643000"/>
    <n v="57157"/>
    <s v="Unidade Sao Jose"/>
    <n v="1708981198"/>
    <m/>
  </r>
  <r>
    <x v="17"/>
    <x v="43"/>
    <s v="Cildomar dos Santos Lira"/>
    <s v="Masculino"/>
    <x v="7"/>
    <x v="11"/>
    <s v="Sao José - 2 - Fisioterapia Ortopédica - Pacote (R$ 20,00)"/>
    <s v="Fisioterapia"/>
    <n v="170978"/>
    <s v="Finalizado (1/10)"/>
    <n v="15"/>
    <n v="5"/>
    <n v="20"/>
    <s v="Pago"/>
    <n v="331883"/>
    <n v="33183"/>
    <s v="Unidade Sao Jose"/>
    <n v="170978"/>
    <m/>
  </r>
  <r>
    <x v="17"/>
    <x v="0"/>
    <s v="Lucelia Rodrigues Lopes Hermelindo"/>
    <s v="Feminino"/>
    <x v="27"/>
    <x v="11"/>
    <s v="20103115 - Atividade Reflexa Cinesioterápica (R$ 20,81)"/>
    <s v="Fisioterapia"/>
    <n v="1709115999"/>
    <s v="Finalizado (1/1)"/>
    <n v="17.480399999999999"/>
    <n v="3.3296000000000001"/>
    <n v="20.81"/>
    <s v="Sessão Faturada"/>
    <n v="771015043141020"/>
    <n v="43044"/>
    <s v="Unidade Sao Jose"/>
    <n v="1709115999"/>
    <m/>
  </r>
  <r>
    <x v="17"/>
    <x v="0"/>
    <s v="Meire Rosana Uchoa de Oliveira"/>
    <s v="Feminino"/>
    <x v="27"/>
    <x v="11"/>
    <s v="50000144 - Avaliação de Fisioterapia (R$ 51,42)"/>
    <s v="Fisioterapia"/>
    <n v="1709096849"/>
    <s v="Finalizado (1/1)"/>
    <n v="46.277999999999999"/>
    <n v="5.1420000000000003"/>
    <n v="51.42"/>
    <s v="Sessão Faturada"/>
    <n v="774634026093020"/>
    <n v="39208"/>
    <s v="Unidade Sao Jose"/>
    <n v="1709096849"/>
    <m/>
  </r>
  <r>
    <x v="17"/>
    <x v="1"/>
    <s v="Lucelia Rodrigues Lopes Hermelindo"/>
    <s v="Feminino"/>
    <x v="27"/>
    <x v="11"/>
    <s v="20103492 - Patol. Em Dois Ou Mais Membros (R$ 14,83)"/>
    <s v="Fisioterapia"/>
    <n v="1709116722"/>
    <s v="Finalizado (1/5)"/>
    <n v="12.4572"/>
    <n v="2.3727999999999998"/>
    <n v="14.83"/>
    <s v="Sessão Faturada"/>
    <n v="771015043141020"/>
    <n v="43044"/>
    <s v="Unidade Sao Jose"/>
    <n v="1709116722"/>
    <m/>
  </r>
  <r>
    <x v="17"/>
    <x v="2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9/10)"/>
    <n v="30"/>
    <n v="10"/>
    <n v="40"/>
    <s v="Pago"/>
    <n v="10962"/>
    <n v="10962"/>
    <s v="Unidade Sao Jose"/>
    <n v="168954"/>
    <m/>
  </r>
  <r>
    <x v="17"/>
    <x v="2"/>
    <s v="Jhonatan Xavier Vieira"/>
    <s v="Masculino"/>
    <x v="7"/>
    <x v="11"/>
    <s v="Sao José - 14 - Fisioterapia Pós Operatória - Pacote (R$ 50,00)"/>
    <s v="Fisioterapia"/>
    <n v="171009"/>
    <s v="Finalizado (1/5)"/>
    <n v="37.5"/>
    <n v="12.5"/>
    <n v="50"/>
    <s v="Pago"/>
    <n v="59583"/>
    <n v="59583"/>
    <s v="Unidade Sao Jose"/>
    <n v="171009"/>
    <m/>
  </r>
  <r>
    <x v="17"/>
    <x v="4"/>
    <s v="Meire Rosana Uchoa de Oliveira"/>
    <s v="Feminino"/>
    <x v="27"/>
    <x v="11"/>
    <s v="20103492 - Patol. Em Dois Ou Mais Membros (R$ 14,83), 20103514 - Patol. Em Diferentes Segmentos da Coluna (R$ 14,83)"/>
    <s v="Fisioterapia"/>
    <n v="1709145003"/>
    <s v="Finalizado (1/4)"/>
    <n v="24.914400000000001"/>
    <n v="4.7455999999999996"/>
    <n v="29.66"/>
    <s v="Sessão Faturada"/>
    <n v="774634026093020"/>
    <n v="39208"/>
    <s v="Unidade Sao Jose"/>
    <n v="1709145003"/>
    <m/>
  </r>
  <r>
    <x v="17"/>
    <x v="4"/>
    <s v="Jose Railton Neris da Silva"/>
    <s v="Masculino"/>
    <x v="7"/>
    <x v="11"/>
    <s v="Sao José - 2 - Fisioterapia Ortopédica - Pacote (R$ 20,00)"/>
    <s v="Fisioterapia"/>
    <n v="168229"/>
    <s v="Finalizado (9/10)"/>
    <n v="15"/>
    <n v="5"/>
    <n v="20"/>
    <s v="Pago"/>
    <n v="1"/>
    <n v="43346"/>
    <s v="Unidade Sao Jose"/>
    <n v="168229"/>
    <m/>
  </r>
  <r>
    <x v="17"/>
    <x v="4"/>
    <s v="Suelen de Souza Moraes"/>
    <s v="Feminino"/>
    <x v="7"/>
    <x v="11"/>
    <s v="Sao José - 2 - Fisioterapia Ortopédica - Pacote (R$ 20,00)"/>
    <s v="Fisioterapia"/>
    <s v="/168940"/>
    <s v="Finalizado (10/30)"/>
    <n v="15"/>
    <n v="5"/>
    <n v="20"/>
    <s v="No Prazo"/>
    <n v="59411"/>
    <n v="59411"/>
    <s v="Unidade Sao Jose"/>
    <s v="/168940"/>
    <m/>
  </r>
  <r>
    <x v="17"/>
    <x v="5"/>
    <s v="Meire Rosana Uchoa de Oliveira"/>
    <s v="Feminino"/>
    <x v="27"/>
    <x v="11"/>
    <s v="20103115 - Atividade Reflexa Cinesioterápica (R$ 20,81)"/>
    <s v="Fisioterapia"/>
    <n v="1709145258"/>
    <s v="Finalizado (1/1)"/>
    <n v="17.480399999999999"/>
    <n v="3.3296000000000001"/>
    <n v="20.81"/>
    <s v="Sessão Faturada"/>
    <n v="774634026093020"/>
    <n v="39208"/>
    <s v="Unidade Sao Jose"/>
    <n v="1709145258"/>
    <m/>
  </r>
  <r>
    <x v="17"/>
    <x v="6"/>
    <s v="Ana Cleide da Silva Lima"/>
    <s v="Feminino"/>
    <x v="7"/>
    <x v="11"/>
    <s v="Sao José - 2 - Fisioterapia Ortopédica - Pacote (R$ 20,00)"/>
    <s v="Fisioterapia"/>
    <n v="169727"/>
    <s v="Finalizado (7/10)"/>
    <n v="15"/>
    <n v="5"/>
    <n v="20"/>
    <s v="Pago"/>
    <n v="98278639000"/>
    <n v="54132"/>
    <s v="Unidade Sao Jose"/>
    <n v="169727"/>
    <m/>
  </r>
  <r>
    <x v="17"/>
    <x v="6"/>
    <s v="Lauriethe Silva Nascimento Garrido"/>
    <s v="Feminino"/>
    <x v="7"/>
    <x v="11"/>
    <s v="Sao José - 2 - Fisioterapia Ortopédica - Pacote (R$ 20,00)"/>
    <s v="Fisioterapia"/>
    <n v="170690"/>
    <s v="Finalizado (2/10)"/>
    <n v="15"/>
    <n v="5"/>
    <n v="20"/>
    <s v="Pago"/>
    <n v="59555"/>
    <n v="59555"/>
    <s v="Unidade Sao Jose"/>
    <n v="170690"/>
    <m/>
  </r>
  <r>
    <x v="17"/>
    <x v="15"/>
    <s v="Marcelo Cabral Scardua"/>
    <s v="Masculino"/>
    <x v="19"/>
    <x v="11"/>
    <s v="20103484 - Patol. Em Um Membro - 17/03/2026 (R$ 55,79)"/>
    <s v="Fisioterapia"/>
    <n v="5800370"/>
    <s v="Finalizado (5/5)"/>
    <n v="46.863599999999998"/>
    <n v="8.9263999999999992"/>
    <n v="55.79"/>
    <s v="Sessão Faturada"/>
    <s v="0001000130520040"/>
    <n v="45758"/>
    <s v="Unidade Sao Jose"/>
    <n v="5800370"/>
    <m/>
  </r>
  <r>
    <x v="17"/>
    <x v="15"/>
    <s v="Ana de Jesus Figueira"/>
    <s v="Feminino"/>
    <x v="16"/>
    <x v="11"/>
    <s v="50000160 - Fisioterapia Ortopedica (R$ 25,00)"/>
    <s v="Fisioterapia"/>
    <n v="169067"/>
    <s v="Finalizado (5/10)"/>
    <n v="21"/>
    <n v="4"/>
    <n v="25"/>
    <s v="Sessão a Faturar"/>
    <n v="51923"/>
    <n v="51923"/>
    <s v="Unidade Sao Jose"/>
    <n v="169067"/>
    <m/>
  </r>
  <r>
    <x v="17"/>
    <x v="15"/>
    <s v="Paulo Eduardo Silva de Souza"/>
    <s v="Masculino"/>
    <x v="7"/>
    <x v="11"/>
    <s v="Sao José - 2 - Fisioterapia Ortopédica - Pacote (R$ 20,00)"/>
    <s v="Fisioterapia"/>
    <n v="170450"/>
    <s v="Finalizado (4/10)"/>
    <n v="15"/>
    <n v="5"/>
    <n v="20"/>
    <s v="Pago"/>
    <n v="59524"/>
    <n v="59524"/>
    <s v="Unidade Sao Jose"/>
    <n v="170450"/>
    <m/>
  </r>
  <r>
    <x v="17"/>
    <x v="15"/>
    <s v="Michele Freire de Souza"/>
    <s v="Feminino"/>
    <x v="7"/>
    <x v="11"/>
    <s v="Sao José - 2 - Fisioterapia Ortopédica - Pacote (R$ 20,00)"/>
    <s v="Fisioterapia"/>
    <n v="170528"/>
    <s v="Finalizado (4/10)"/>
    <n v="15"/>
    <n v="5"/>
    <n v="20"/>
    <s v="Pago"/>
    <n v="59532"/>
    <n v="59532"/>
    <s v="Unidade Sao Jose"/>
    <n v="170528"/>
    <m/>
  </r>
  <r>
    <x v="17"/>
    <x v="17"/>
    <s v="Maria Aparecida Correa do Nascimento"/>
    <s v="Feminino"/>
    <x v="7"/>
    <x v="11"/>
    <s v="Sao José - 12 - Fisioterapia Ortopédica - Pacote 2 (R$ 20,00)"/>
    <s v="Fisioterapia"/>
    <n v="168976"/>
    <s v="Finalizado (7/10)"/>
    <n v="15"/>
    <n v="5"/>
    <n v="20"/>
    <s v="Pago"/>
    <n v="47708"/>
    <n v="47708"/>
    <s v="Unidade Sao Jose"/>
    <n v="168976"/>
    <m/>
  </r>
  <r>
    <x v="17"/>
    <x v="17"/>
    <s v="Thiago Lima Trindade"/>
    <s v="Masculino"/>
    <x v="7"/>
    <x v="11"/>
    <s v="Sao José - 14 - Fisioterapia Pós Operatória - Pacote (R$ 50,00)"/>
    <s v="Fisioterapia"/>
    <n v="170313"/>
    <s v="Finalizado (3/10)"/>
    <n v="37.5"/>
    <n v="12.5"/>
    <n v="50"/>
    <s v="Pago"/>
    <n v="59510"/>
    <n v="59510"/>
    <s v="Unidade Sao Jose"/>
    <n v="170313"/>
    <m/>
  </r>
  <r>
    <x v="17"/>
    <x v="17"/>
    <s v="Wilsiane Aciole Lopes"/>
    <s v="Feminino"/>
    <x v="2"/>
    <x v="11"/>
    <s v="20103492 - Fisioterapia - Patologia Em Dois Ou Mais Membros (R$ 14,83), 20103514 - Fisioterapia - Patologia Em Diferentes Segmentos da Coluna (R$ 14,83)"/>
    <s v="Fisioterapia"/>
    <n v="1709207024"/>
    <s v="Finalizado (1/1)"/>
    <n v="24.914400000000001"/>
    <n v="4.7455999999999996"/>
    <n v="29.66"/>
    <s v="Sessão Faturada"/>
    <n v="773709039322010"/>
    <n v="56208"/>
    <s v="Unidade Sao Jose"/>
    <n v="1709207024"/>
    <m/>
  </r>
  <r>
    <x v="17"/>
    <x v="17"/>
    <s v="Wilsiane Aciole Lopes"/>
    <s v="Feminino"/>
    <x v="2"/>
    <x v="11"/>
    <s v="20103115 - Atividade Reflexa Cinesioterápica (R$ 20,81)"/>
    <s v="Fisioterapia"/>
    <n v="1709207296"/>
    <s v="Finalizado (1/1)"/>
    <n v="17.480399999999999"/>
    <n v="3.3296000000000001"/>
    <n v="20.81"/>
    <s v="Sessão Faturada"/>
    <n v="773709039322010"/>
    <n v="56208"/>
    <s v="Unidade Sao Jose"/>
    <n v="1709207296"/>
    <m/>
  </r>
  <r>
    <x v="17"/>
    <x v="8"/>
    <s v="Gabriel Parente de Castro"/>
    <s v="Masculino"/>
    <x v="12"/>
    <x v="11"/>
    <s v="31602185 - Estimulação Elétrica Transcutânea (Tens) (R$ 49,00)"/>
    <s v="Fisioterapia"/>
    <n v="10319479"/>
    <s v="Finalizado (3/10)"/>
    <n v="41.16"/>
    <n v="7.84"/>
    <n v="49"/>
    <s v="Sessão Faturada"/>
    <n v="9.5078029485153997E+17"/>
    <n v="59364"/>
    <s v="Unidade Sao Jose"/>
    <n v="10319479"/>
    <m/>
  </r>
  <r>
    <x v="17"/>
    <x v="9"/>
    <s v="Gabriel Parente de Castro"/>
    <s v="Masculino"/>
    <x v="12"/>
    <x v="11"/>
    <s v="20103662 - Pos Operatorio Em Um Membro (R$ 14,99)"/>
    <s v="Fisioterapia"/>
    <n v="170538"/>
    <s v="Finalizado (3/10)"/>
    <n v="12.5916"/>
    <n v="2.3984000000000001"/>
    <n v="14.99"/>
    <s v="Sessão Faturada"/>
    <n v="9.5078029485153997E+17"/>
    <n v="59364"/>
    <s v="Unidade Sao Jose"/>
    <n v="170538"/>
    <m/>
  </r>
  <r>
    <x v="18"/>
    <x v="44"/>
    <s v="Jhonatan Xavier Vieira"/>
    <s v="Masculino"/>
    <x v="7"/>
    <x v="11"/>
    <s v="Sao José - 14 - Fisioterapia Pós Operatória - Pacote (R$ 50,00)"/>
    <s v="Fisioterapia"/>
    <n v="171009"/>
    <s v="Finalizado (2/5)"/>
    <n v="37.5"/>
    <n v="12.5"/>
    <n v="50"/>
    <s v="Pago"/>
    <n v="59583"/>
    <n v="59583"/>
    <s v="Unidade Sao Jose"/>
    <n v="171009"/>
    <m/>
  </r>
  <r>
    <x v="18"/>
    <x v="44"/>
    <s v="Cleide Luiza da Silva Cabral"/>
    <s v="Feminino"/>
    <x v="27"/>
    <x v="11"/>
    <s v="20103115 - Atividade Reflexa Cinesioterápica (R$ 20,81)"/>
    <s v="Fisioterapia"/>
    <n v="1706660774"/>
    <s v="Finalizado (3/3)"/>
    <n v="17.480399999999999"/>
    <n v="3.3296000000000001"/>
    <n v="20.81"/>
    <s v="Sessão Faturada"/>
    <n v="897137800051020"/>
    <n v="54445"/>
    <s v="Unidade Sao Jose"/>
    <n v="1706660774"/>
    <m/>
  </r>
  <r>
    <x v="18"/>
    <x v="44"/>
    <s v="Tereza da Rocha Vieira"/>
    <s v="Feminino"/>
    <x v="10"/>
    <x v="11"/>
    <s v="50000160 - Fisioterapia Ortopédica (R$ 15,00)"/>
    <s v="Fisioterapia"/>
    <n v="15114021"/>
    <s v="Finalizado (1/10)"/>
    <n v="12.6"/>
    <n v="2.4"/>
    <n v="15"/>
    <s v="Sessão Faturada"/>
    <s v="00010001253014045"/>
    <n v="52943"/>
    <s v="Unidade Sao Jose"/>
    <n v="15114021"/>
    <m/>
  </r>
  <r>
    <x v="18"/>
    <x v="60"/>
    <s v="Cleide Luiza da Silva Cabral"/>
    <s v="Feminino"/>
    <x v="27"/>
    <x v="11"/>
    <s v="20103492 - Patol. Em Dois Ou Mais Membros (R$ 14,83), 20103514 - Patol. Em Diferentes Segmentos da Coluna (R$ 14,83)"/>
    <s v="Fisioterapia"/>
    <n v="1706660488"/>
    <s v="Finalizado (3/5)"/>
    <n v="24.914400000000001"/>
    <n v="4.7455999999999996"/>
    <n v="29.66"/>
    <s v="Sessão Faturada"/>
    <n v="897137800051020"/>
    <n v="54445"/>
    <s v="Unidade Sao Jose"/>
    <n v="1706660488"/>
    <m/>
  </r>
  <r>
    <x v="18"/>
    <x v="36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08867832"/>
    <s v="Finalizado (2/5)"/>
    <n v="24.914400000000001"/>
    <n v="4.7455999999999996"/>
    <n v="29.66"/>
    <s v="Sessão Faturada"/>
    <n v="771015061093000"/>
    <n v="59531"/>
    <s v="Unidade Sao Jose"/>
    <n v="1708867832"/>
    <m/>
  </r>
  <r>
    <x v="18"/>
    <x v="36"/>
    <s v="Alessandro Ramos Veiga"/>
    <s v="Masculino"/>
    <x v="4"/>
    <x v="11"/>
    <s v="31602185 - Estimulação Elétrica Transcutânea - Removido 13/04/2026 (R$ 40,00)"/>
    <s v="Fisioterapia"/>
    <n v="1709495061"/>
    <s v="Finalizado (1/5)"/>
    <n v="33.6"/>
    <n v="6.4"/>
    <n v="40"/>
    <s v="Sessão Faturada"/>
    <n v="771015061093000"/>
    <n v="59531"/>
    <s v="Unidade Sao Jose"/>
    <n v="1709495061"/>
    <m/>
  </r>
  <r>
    <x v="18"/>
    <x v="36"/>
    <s v="Manoel de Freitas Mendonça Neto"/>
    <s v="Masculino"/>
    <x v="8"/>
    <x v="11"/>
    <s v="20103115 - Atividade Reflexa Cinesioterápica (R$ 20,81)"/>
    <s v="Fisioterapia"/>
    <n v="1706723754"/>
    <s v="Finalizado (4/4)"/>
    <n v="17.480399999999999"/>
    <n v="3.3296000000000001"/>
    <n v="20.81"/>
    <s v="Sessão Faturada"/>
    <n v="954600000256020"/>
    <n v="47993"/>
    <s v="Unidade Sao Jose"/>
    <n v="1706723754"/>
    <m/>
  </r>
  <r>
    <x v="18"/>
    <x v="57"/>
    <s v="Alessandro Ramos Veiga"/>
    <s v="Masculino"/>
    <x v="2"/>
    <x v="11"/>
    <s v="20103115 - Atividade Reflexa Cinesioterápica (R$ 20,81)"/>
    <s v="Fisioterapia"/>
    <n v="1708868215"/>
    <s v="Finalizado (2/2)"/>
    <n v="17.480399999999999"/>
    <n v="3.3296000000000001"/>
    <n v="20.81"/>
    <s v="Sessão Faturada"/>
    <n v="771015061093000"/>
    <n v="59531"/>
    <s v="Unidade Sao Jose"/>
    <n v="1708868215"/>
    <m/>
  </r>
  <r>
    <x v="18"/>
    <x v="61"/>
    <s v="Manoel de Freitas Mendonça Neto"/>
    <s v="Masculino"/>
    <x v="8"/>
    <x v="11"/>
    <s v="20103492 - Patologia Em Dois Ou Mais Membros (R$ 14,83)"/>
    <s v="Fisioterapia"/>
    <n v="1706723222"/>
    <s v="Finalizado (4/5)"/>
    <n v="12.4572"/>
    <n v="2.3727999999999998"/>
    <n v="14.83"/>
    <s v="Sessão Faturada"/>
    <n v="954600000256020"/>
    <n v="47993"/>
    <s v="Unidade Sao Jose"/>
    <n v="1706723222"/>
    <m/>
  </r>
  <r>
    <x v="18"/>
    <x v="67"/>
    <s v="Alessandro Ramos Veiga"/>
    <s v="Masculino"/>
    <x v="2"/>
    <x v="11"/>
    <s v="20103522 - Fisioterapia - Pac Com Dependencia de Vida Diária (R$ 23,59)"/>
    <s v="Fisioterapia"/>
    <n v="1708869061"/>
    <s v="Finalizado (2/5)"/>
    <n v="19.8156"/>
    <n v="3.7744"/>
    <n v="23.59"/>
    <s v="Sessão Faturada"/>
    <n v="771015061093000"/>
    <n v="59531"/>
    <s v="Unidade Sao Jose"/>
    <n v="1708869061"/>
    <m/>
  </r>
  <r>
    <x v="18"/>
    <x v="40"/>
    <s v="José Ferreira de Souza"/>
    <s v="Masculino"/>
    <x v="7"/>
    <x v="11"/>
    <s v="Sao José - 4 - Fisioterapia Neurológica/Respiratória - Pacote (R$ 50,00)"/>
    <s v="Fisioterapia"/>
    <n v="170300"/>
    <s v="Finalizado (4/5)"/>
    <n v="37.5"/>
    <n v="12.5"/>
    <n v="50"/>
    <s v="Pago"/>
    <n v="56030"/>
    <n v="56030"/>
    <s v="Unidade Sao Jose"/>
    <n v="170300"/>
    <m/>
  </r>
  <r>
    <x v="18"/>
    <x v="40"/>
    <s v="Renato de Araújo Santos"/>
    <s v="Masculino"/>
    <x v="7"/>
    <x v="11"/>
    <s v="Sao José - 2 - Fisioterapia Ortopédica - Pacote (R$ 20,00)"/>
    <s v="Fisioterapia"/>
    <n v="170405"/>
    <s v="Finalizado (5/10)"/>
    <n v="15"/>
    <n v="5"/>
    <n v="20"/>
    <s v="Pago"/>
    <n v="59520"/>
    <n v="59520"/>
    <s v="Unidade Sao Jose"/>
    <n v="170405"/>
    <m/>
  </r>
  <r>
    <x v="18"/>
    <x v="35"/>
    <s v="Francisco Miguel Pessoa de Lima"/>
    <s v="Masculino"/>
    <x v="7"/>
    <x v="11"/>
    <s v="Sao José - 2 - Fisioterapia Ortopédica - Pacote (R$ 20,00)"/>
    <s v="Fisioterapia"/>
    <n v="170312"/>
    <s v="Finalizado (6/10)"/>
    <n v="15"/>
    <n v="5"/>
    <n v="20"/>
    <s v="Pago"/>
    <n v="59509"/>
    <n v="59509"/>
    <s v="Unidade Sao Jose"/>
    <n v="170312"/>
    <m/>
  </r>
  <r>
    <x v="18"/>
    <x v="38"/>
    <s v="Jose Ferreira da Silva Filho"/>
    <s v="Masculino"/>
    <x v="7"/>
    <x v="11"/>
    <s v="Sao José - 2 - Fisioterapia Ortopédica - Pacote (R$ 20,00)"/>
    <s v="Fisioterapia"/>
    <n v="168091"/>
    <s v="Finalizado (9/10)"/>
    <n v="15"/>
    <n v="5"/>
    <n v="20"/>
    <s v="Pago"/>
    <n v="2"/>
    <n v="59347"/>
    <s v="Unidade Sao Jose"/>
    <n v="168091"/>
    <m/>
  </r>
  <r>
    <x v="18"/>
    <x v="37"/>
    <s v="Cildomar dos Santos Lira"/>
    <s v="Masculino"/>
    <x v="7"/>
    <x v="11"/>
    <s v="Sao José - 2 - Fisioterapia Ortopédica - Pacote (R$ 20,00)"/>
    <s v="Fisioterapia"/>
    <n v="170978"/>
    <s v="Finalizado (2/10)"/>
    <n v="15"/>
    <n v="5"/>
    <n v="20"/>
    <s v="Pago"/>
    <n v="331883"/>
    <n v="33183"/>
    <s v="Unidade Sao Jose"/>
    <n v="170978"/>
    <m/>
  </r>
  <r>
    <x v="18"/>
    <x v="37"/>
    <s v="Renilson Santos de Assis"/>
    <s v="Masculino"/>
    <x v="27"/>
    <x v="11"/>
    <s v="20103662 - Pos Operatorio Em Um Membro (R$ 14,99)"/>
    <s v="Fisioterapia"/>
    <n v="1708985795"/>
    <s v="Finalizado (2/5)"/>
    <n v="12.5916"/>
    <n v="2.3984000000000001"/>
    <n v="14.99"/>
    <s v="Sessão Faturada"/>
    <n v="772682001643000"/>
    <n v="57157"/>
    <s v="Unidade Sao Jose"/>
    <n v="1708985795"/>
    <m/>
  </r>
  <r>
    <x v="18"/>
    <x v="37"/>
    <s v="Renilson Santos de Assis"/>
    <s v="Masculino"/>
    <x v="4"/>
    <x v="11"/>
    <s v="31602185 - Estimulação Elétrica Transcutânea - Removido 13/04/2026 (R$ 40,00)"/>
    <s v="Fisioterapia"/>
    <n v="1709622137"/>
    <s v="Finalizado (1/5)"/>
    <n v="33.6"/>
    <n v="6.4"/>
    <n v="40"/>
    <s v="Sessão a Faturar"/>
    <n v="772682001643000"/>
    <n v="57157"/>
    <s v="Unidade Sao Jose"/>
    <n v="1709622137"/>
    <m/>
  </r>
  <r>
    <x v="18"/>
    <x v="37"/>
    <s v="Elvis Miranda dos Santos"/>
    <s v="Masculino"/>
    <x v="7"/>
    <x v="11"/>
    <s v="Sao José - 14 - Fisioterapia Pós Operatória - Pacote (R$ 50,00)"/>
    <s v="Fisioterapia"/>
    <n v="170740"/>
    <s v="Finalizado (1/5)"/>
    <n v="37.5"/>
    <n v="12.5"/>
    <n v="50"/>
    <s v="Pago"/>
    <n v="59561"/>
    <n v="59561"/>
    <s v="Unidade Sao Jose"/>
    <n v="170740"/>
    <m/>
  </r>
  <r>
    <x v="18"/>
    <x v="63"/>
    <s v="Renilson Santos de Assis"/>
    <s v="Masculino"/>
    <x v="27"/>
    <x v="11"/>
    <s v="20103484 - Patologia Em Um Membro (R$ 12,22), 20103514 - Patol. Em Diferentes Segmentos da Coluna (R$ 14,83)"/>
    <s v="Fisioterapia"/>
    <n v="1708986196"/>
    <s v="Finalizado (2/5)"/>
    <n v="22.722000000000001"/>
    <n v="4.3280000000000003"/>
    <n v="27.05"/>
    <s v="Sessão Faturada"/>
    <n v="772682001643000"/>
    <n v="57157"/>
    <s v="Unidade Sao Jose"/>
    <n v="1708986196"/>
    <m/>
  </r>
  <r>
    <x v="18"/>
    <x v="39"/>
    <s v="Osmar Barbosa dos Santos Junior"/>
    <s v="Masculino"/>
    <x v="8"/>
    <x v="11"/>
    <s v="20103662 - Pos Operatorio Em Um Membro (R$ 14,99)"/>
    <s v="Fisioterapia"/>
    <n v="1704692114"/>
    <s v="Finalizado (4/5)"/>
    <n v="12.5916"/>
    <n v="2.3984000000000001"/>
    <n v="14.99"/>
    <s v="Sessão Faturada"/>
    <n v="954600036315000"/>
    <n v="58555"/>
    <s v="Unidade Sao Jose"/>
    <n v="1704692114"/>
    <m/>
  </r>
  <r>
    <x v="18"/>
    <x v="22"/>
    <s v="Meire Rosana Uchoa de Oliveira"/>
    <s v="Feminino"/>
    <x v="27"/>
    <x v="11"/>
    <s v="20103492 - Patol. Em Dois Ou Mais Membros (R$ 14,83), 20103514 - Patol. Em Diferentes Segmentos da Coluna (R$ 14,83)"/>
    <s v="Fisioterapia"/>
    <n v="1709145003"/>
    <s v="Finalizado (2/4)"/>
    <n v="24.914400000000001"/>
    <n v="4.7455999999999996"/>
    <n v="29.66"/>
    <s v="Sessão Faturada"/>
    <n v="774634026093020"/>
    <n v="39208"/>
    <s v="Unidade Sao Jose"/>
    <n v="1709145003"/>
    <m/>
  </r>
  <r>
    <x v="18"/>
    <x v="0"/>
    <s v="Francisca da Silva Rebouças"/>
    <s v="Feminino"/>
    <x v="7"/>
    <x v="11"/>
    <s v="Sao José - 4 - Fisioterapia Neurológica/Respiratória - Pacote (R$ 50,00)"/>
    <s v="Fisioterapia"/>
    <n v="171002"/>
    <s v="Finalizado (1/5)"/>
    <n v="37.5"/>
    <n v="12.5"/>
    <n v="50"/>
    <s v="Pago"/>
    <n v="59581"/>
    <n v="59581"/>
    <s v="Unidade Sao Jose"/>
    <n v="171002"/>
    <m/>
  </r>
  <r>
    <x v="18"/>
    <x v="2"/>
    <s v="Deisilena Calado da Cruz"/>
    <s v="Feminino"/>
    <x v="7"/>
    <x v="11"/>
    <s v="Sao José - 2 - Fisioterapia Ortopédica - Pacote (R$ 20,00), Sao José - 12 - Fisioterapia Ortopédica - Pacote 2 (R$ 20,00)"/>
    <s v="Fisioterapia"/>
    <n v="168954"/>
    <s v="Finalizado (10/10)"/>
    <n v="30"/>
    <n v="10"/>
    <n v="40"/>
    <s v="Pago"/>
    <n v="10962"/>
    <n v="10962"/>
    <s v="Unidade Sao Jose"/>
    <n v="168954"/>
    <m/>
  </r>
  <r>
    <x v="18"/>
    <x v="4"/>
    <s v="Francisco de Assis da Silva Junior"/>
    <s v="Masculino"/>
    <x v="7"/>
    <x v="11"/>
    <s v="Sao José - 14 - Fisioterapia Pós Operatória - Pacote (R$ 50,00)"/>
    <s v="Fisioterapia"/>
    <n v="170673"/>
    <s v="Finalizado (3/10)"/>
    <n v="37.5"/>
    <n v="12.5"/>
    <n v="50"/>
    <s v="Pago"/>
    <n v="39841"/>
    <n v="39841"/>
    <s v="Unidade Sao Jose"/>
    <n v="170673"/>
    <m/>
  </r>
  <r>
    <x v="18"/>
    <x v="4"/>
    <s v="Joao Paulo Pinheiro dos Santos"/>
    <s v="Masculino"/>
    <x v="8"/>
    <x v="11"/>
    <s v="20103662 - Pos Operatorio Em Um Membro (R$ 14,99)"/>
    <s v="Fisioterapia"/>
    <n v="1709783209"/>
    <s v="Finalizado (1/5)"/>
    <n v="12.5916"/>
    <n v="2.3984000000000001"/>
    <n v="14.99"/>
    <s v="Sessão Faturada"/>
    <n v="954600009601010"/>
    <n v="24910"/>
    <s v="Unidade Sao Jose"/>
    <n v="1709783209"/>
    <m/>
  </r>
  <r>
    <x v="18"/>
    <x v="4"/>
    <s v="Suelen de Souza Moraes"/>
    <s v="Feminino"/>
    <x v="7"/>
    <x v="11"/>
    <s v="Sao José - 2 - Fisioterapia Ortopédica - Pacote (R$ 20,00)"/>
    <s v="Fisioterapia"/>
    <s v="/168940"/>
    <s v="Finalizado (11/30)"/>
    <n v="15"/>
    <n v="5"/>
    <n v="20"/>
    <s v="No Prazo"/>
    <n v="59411"/>
    <n v="59411"/>
    <s v="Unidade Sao Jose"/>
    <s v="/168940"/>
    <m/>
  </r>
  <r>
    <x v="18"/>
    <x v="4"/>
    <s v="Beatriz de Souza Figueiredo"/>
    <s v="Feminino"/>
    <x v="8"/>
    <x v="11"/>
    <s v="20103662 - Pos Operatorio Em Um Membro (R$ 14,99)"/>
    <s v="Fisioterapia"/>
    <n v="1709771057"/>
    <s v="Finalizado (1/5)"/>
    <n v="12.5916"/>
    <n v="2.3984000000000001"/>
    <n v="14.99"/>
    <s v="Sessão a Faturar"/>
    <n v="954440004065020"/>
    <n v="57037"/>
    <s v="Unidade Sao Jose"/>
    <n v="1709771057"/>
    <m/>
  </r>
  <r>
    <x v="18"/>
    <x v="4"/>
    <s v="Análio da Silva Ferreira"/>
    <s v="Masculino"/>
    <x v="7"/>
    <x v="11"/>
    <s v="Sao José - 2 - Fisioterapia Ortopédica - Pacote (R$ 20,00)"/>
    <s v="Fisioterapia"/>
    <n v="167002"/>
    <s v="Finalizado (6/10)"/>
    <n v="15"/>
    <n v="5"/>
    <n v="20"/>
    <s v="Pago"/>
    <n v="52875"/>
    <n v="52875"/>
    <s v="Unidade Sao Jose"/>
    <n v="167002"/>
    <m/>
  </r>
  <r>
    <x v="18"/>
    <x v="13"/>
    <s v="Lauriethe Silva Nascimento Garrido"/>
    <s v="Feminino"/>
    <x v="7"/>
    <x v="11"/>
    <s v="Sao José - 2 - Fisioterapia Ortopédica - Pacote (R$ 20,00)"/>
    <s v="Fisioterapia"/>
    <n v="170690"/>
    <s v="Finalizado (3/10)"/>
    <n v="15"/>
    <n v="5"/>
    <n v="20"/>
    <s v="Pago"/>
    <n v="59555"/>
    <n v="59555"/>
    <s v="Unidade Sao Jose"/>
    <n v="170690"/>
    <m/>
  </r>
  <r>
    <x v="18"/>
    <x v="15"/>
    <s v="Maria Aparecida Correa do Nascimento"/>
    <s v="Feminino"/>
    <x v="7"/>
    <x v="11"/>
    <s v="Sao José - 12 - Fisioterapia Ortopédica - Pacote 2 (R$ 20,00)"/>
    <s v="Fisioterapia"/>
    <n v="168976"/>
    <s v="Finalizado (8/10)"/>
    <n v="15"/>
    <n v="5"/>
    <n v="20"/>
    <s v="Pago"/>
    <n v="47708"/>
    <n v="47708"/>
    <s v="Unidade Sao Jose"/>
    <n v="168976"/>
    <m/>
  </r>
  <r>
    <x v="18"/>
    <x v="15"/>
    <s v="Paulo Eduardo Silva de Souza"/>
    <s v="Masculino"/>
    <x v="7"/>
    <x v="11"/>
    <s v="Sao José - 2 - Fisioterapia Ortopédica - Pacote (R$ 20,00)"/>
    <s v="Fisioterapia"/>
    <n v="170450"/>
    <s v="Finalizado (5/10)"/>
    <n v="15"/>
    <n v="5"/>
    <n v="20"/>
    <s v="Pago"/>
    <n v="59524"/>
    <n v="59524"/>
    <s v="Unidade Sao Jose"/>
    <n v="170450"/>
    <m/>
  </r>
  <r>
    <x v="18"/>
    <x v="17"/>
    <s v="Michele Freire de Souza"/>
    <s v="Feminino"/>
    <x v="7"/>
    <x v="11"/>
    <s v="Sao José - 2 - Fisioterapia Ortopédica - Pacote (R$ 20,00)"/>
    <s v="Fisioterapia"/>
    <n v="170528"/>
    <s v="Finalizado (5/10)"/>
    <n v="15"/>
    <n v="5"/>
    <n v="20"/>
    <s v="Pago"/>
    <n v="59532"/>
    <n v="59532"/>
    <s v="Unidade Sao Jose"/>
    <n v="170528"/>
    <m/>
  </r>
  <r>
    <x v="18"/>
    <x v="8"/>
    <s v="Gabriel Parente de Castro"/>
    <s v="Masculino"/>
    <x v="12"/>
    <x v="11"/>
    <s v="31602185 - Estimulação Elétrica Transcutânea (Tens) (R$ 49,00)"/>
    <s v="Fisioterapia"/>
    <n v="10319479"/>
    <s v="Finalizado (4/10)"/>
    <n v="41.16"/>
    <n v="7.84"/>
    <n v="49"/>
    <s v="Sessão Faturada"/>
    <n v="9.5078029485153997E+17"/>
    <n v="59364"/>
    <s v="Unidade Sao Jose"/>
    <n v="10319479"/>
    <m/>
  </r>
  <r>
    <x v="18"/>
    <x v="8"/>
    <s v="Luan Raphael Fernandes da Silva"/>
    <s v="Masculino"/>
    <x v="27"/>
    <x v="11"/>
    <s v="20103662 - Pos Operatorio Em Um Membro (R$ 14,99)"/>
    <s v="Fisioterapia"/>
    <n v="1704870242"/>
    <s v="Finalizado (4/5)"/>
    <n v="12.5916"/>
    <n v="2.3984000000000001"/>
    <n v="14.99"/>
    <s v="Sessão Faturada"/>
    <n v="775216014346010"/>
    <n v="59334"/>
    <s v="Unidade Sao Jose"/>
    <n v="1704870242"/>
    <m/>
  </r>
  <r>
    <x v="18"/>
    <x v="9"/>
    <s v="Gabriel Parente de Castro"/>
    <s v="Masculino"/>
    <x v="12"/>
    <x v="11"/>
    <s v="20103662 - Pos Operatorio Em Um Membro (R$ 14,99)"/>
    <s v="Fisioterapia"/>
    <n v="170538"/>
    <s v="Finalizado (4/10)"/>
    <n v="12.5916"/>
    <n v="2.3984000000000001"/>
    <n v="14.99"/>
    <s v="Sessão Faturada"/>
    <n v="9.5078029485153997E+17"/>
    <n v="59364"/>
    <s v="Unidade Sao Jose"/>
    <n v="170538"/>
    <m/>
  </r>
  <r>
    <x v="18"/>
    <x v="10"/>
    <s v="Samuel Santana Bruce"/>
    <s v="Masculino"/>
    <x v="2"/>
    <x v="11"/>
    <s v="20103492 - Fisioterapia - Patologia Em Dois Ou Mais Membros (R$ 14,83)"/>
    <s v="Fisioterapia"/>
    <n v="1702233567"/>
    <s v="Finalizado (3/5)"/>
    <n v="12.4572"/>
    <n v="2.3727999999999998"/>
    <n v="14.83"/>
    <s v="Sessão Faturada"/>
    <n v="775225007463010"/>
    <n v="58863"/>
    <s v="Unidade Sao Jose"/>
    <n v="1702233567"/>
    <m/>
  </r>
  <r>
    <x v="22"/>
    <x v="44"/>
    <s v="Elizandra Araujo Coelho"/>
    <s v="Feminino"/>
    <x v="7"/>
    <x v="11"/>
    <s v="Sao José - 2 - Fisioterapia Ortopédica - Pacote (R$ 20,00)"/>
    <s v="Fisioterapia"/>
    <n v="167496"/>
    <s v="Finalizado (19/20)"/>
    <n v="15"/>
    <n v="5"/>
    <n v="20"/>
    <s v="Pago"/>
    <n v="59298"/>
    <n v="59298"/>
    <s v="Unidade Sao Jose"/>
    <n v="167496"/>
    <m/>
  </r>
  <r>
    <x v="22"/>
    <x v="41"/>
    <s v="Francinete Ferreira de Souza"/>
    <s v="Feminino"/>
    <x v="8"/>
    <x v="11"/>
    <s v="20103492 - Patologia Em Dois Ou Mais Membros (R$ 14,83), 20103514 - Patologia Em Diferentes Segmentos da Coluna (R$ 14,83)"/>
    <s v="Fisioterapia"/>
    <n v="1704198256"/>
    <s v="Finalizado (5/5)"/>
    <n v="24.914400000000001"/>
    <n v="4.7455999999999996"/>
    <n v="29.66"/>
    <s v="Sessão Faturada"/>
    <n v="954390037672020"/>
    <n v="41225"/>
    <s v="Unidade Sao Jose"/>
    <n v="1704198256"/>
    <m/>
  </r>
  <r>
    <x v="22"/>
    <x v="41"/>
    <s v="Jhonatan Xavier Vieira"/>
    <s v="Masculino"/>
    <x v="7"/>
    <x v="11"/>
    <s v="Sao José - 14 - Fisioterapia Pós Operatória - Pacote (R$ 50,00)"/>
    <s v="Fisioterapia"/>
    <n v="171009"/>
    <s v="Finalizado (3/5)"/>
    <n v="37.5"/>
    <n v="12.5"/>
    <n v="50"/>
    <s v="Pago"/>
    <n v="59583"/>
    <n v="59583"/>
    <s v="Unidade Sao Jose"/>
    <n v="171009"/>
    <m/>
  </r>
  <r>
    <x v="22"/>
    <x v="41"/>
    <s v="Vanderlei Moraes da Silva"/>
    <s v="Masculino"/>
    <x v="16"/>
    <x v="11"/>
    <s v="50000160 - Fisioterapia Ortopedica (R$ 25,00)"/>
    <s v="Fisioterapia"/>
    <n v="171180"/>
    <s v="Finalizado (1/10)"/>
    <n v="21"/>
    <n v="4"/>
    <n v="25"/>
    <s v="Sessão a Faturar"/>
    <n v="58809"/>
    <n v="58809"/>
    <s v="Unidade Sao Jose"/>
    <n v="171180"/>
    <m/>
  </r>
  <r>
    <x v="22"/>
    <x v="36"/>
    <s v="Francilene Sousa Campos da Silva"/>
    <s v="Feminino"/>
    <x v="27"/>
    <x v="11"/>
    <s v="20103492 - Patol. Em Dois Ou Mais Membros (R$ 14,83)"/>
    <s v="Fisioterapia"/>
    <n v="1710119702"/>
    <s v="Finalizado (1/5)"/>
    <n v="12.4572"/>
    <n v="2.3727999999999998"/>
    <n v="14.83"/>
    <s v="Sessão Faturada"/>
    <n v="813227000779000"/>
    <n v="58889"/>
    <s v="Unidade Sao Jose"/>
    <n v="1710119702"/>
    <m/>
  </r>
  <r>
    <x v="22"/>
    <x v="36"/>
    <s v="Sara Gonçalves Vieira"/>
    <s v="Feminino"/>
    <x v="7"/>
    <x v="11"/>
    <s v="Sao José - 2 - Fisioterapia Ortopédica - Pacote (R$ 20,00)"/>
    <s v="Fisioterapia"/>
    <n v="170117"/>
    <s v="Finalizado (3/10)"/>
    <n v="15"/>
    <n v="5"/>
    <n v="20"/>
    <s v="Pago"/>
    <n v="56256"/>
    <n v="56256"/>
    <s v="Unidade Sao Jose"/>
    <n v="170117"/>
    <m/>
  </r>
  <r>
    <x v="22"/>
    <x v="40"/>
    <s v="Andriely Oliveira Braga"/>
    <s v="Feminino"/>
    <x v="27"/>
    <x v="11"/>
    <s v="20103662 - Pos Operatorio Em Um Membro (R$ 14,99)"/>
    <s v="Fisioterapia"/>
    <n v="1705691880"/>
    <s v="Finalizado (5/5)"/>
    <n v="12.5916"/>
    <n v="2.3984000000000001"/>
    <n v="14.99"/>
    <s v="Sessão Faturada"/>
    <n v="813227000396000"/>
    <n v="52145"/>
    <s v="Unidade Sao Jose"/>
    <n v="1705691880"/>
    <m/>
  </r>
  <r>
    <x v="22"/>
    <x v="40"/>
    <s v="José Ferreira de Souza"/>
    <s v="Masculino"/>
    <x v="7"/>
    <x v="11"/>
    <s v="Sao José - 4 - Fisioterapia Neurológica/Respiratória - Pacote (R$ 50,00)"/>
    <s v="Fisioterapia"/>
    <n v="170300"/>
    <s v="Finalizado (5/5)"/>
    <n v="37.5"/>
    <n v="12.5"/>
    <n v="50"/>
    <s v="Pago"/>
    <n v="56030"/>
    <n v="56030"/>
    <s v="Unidade Sao Jose"/>
    <n v="170300"/>
    <m/>
  </r>
  <r>
    <x v="22"/>
    <x v="40"/>
    <s v="Jose Francinaldo dos Santos"/>
    <s v="Masculino"/>
    <x v="7"/>
    <x v="11"/>
    <s v="Sao José - 4 - Fisioterapia Neurológica/Respiratória - Pacote (R$ 50,00)"/>
    <s v="Fisioterapia"/>
    <n v="170818"/>
    <s v="Finalizado (3/10)"/>
    <n v="37.5"/>
    <n v="12.5"/>
    <n v="50"/>
    <s v="No Prazo"/>
    <n v="59333"/>
    <n v="59333"/>
    <s v="Unidade Sao Jose"/>
    <n v="170818"/>
    <m/>
  </r>
  <r>
    <x v="22"/>
    <x v="40"/>
    <s v="Sonia Maria Morais Maia"/>
    <s v="Feminino"/>
    <x v="0"/>
    <x v="11"/>
    <s v="31602185 - Estimulação Elétrica Transcutânea Fisioterapia (Novo - 01/12) (R$ 54,13)"/>
    <s v="Fisioterapia"/>
    <s v="52263120260310440139"/>
    <s v="Finalizado (1/10)"/>
    <n v="45.469200000000001"/>
    <n v="8.6608000000000001"/>
    <n v="54.13"/>
    <s v="Sessão a Faturar"/>
    <s v="010650548005"/>
    <n v="55667"/>
    <s v="Unidade Sao Jose"/>
    <s v="52263120260310440139"/>
    <m/>
  </r>
  <r>
    <x v="22"/>
    <x v="45"/>
    <s v="Sonia Maria Morais Maia"/>
    <s v="Feminino"/>
    <x v="0"/>
    <x v="11"/>
    <s v="50000160 - Fisioterapia Ortopedica (R$ 49,72)"/>
    <s v="Fisioterapia"/>
    <s v="42263120260310440094"/>
    <s v="Finalizado (1/10)"/>
    <n v="41.764800000000001"/>
    <n v="7.9551999999999996"/>
    <n v="49.72"/>
    <s v="Sessão a Faturar"/>
    <s v="010650548005"/>
    <n v="55667"/>
    <s v="Unidade Sao Jose"/>
    <s v="42263120260310440094"/>
    <m/>
  </r>
  <r>
    <x v="22"/>
    <x v="35"/>
    <s v="Alessandro Ramos Veiga"/>
    <s v="Masculino"/>
    <x v="2"/>
    <x v="11"/>
    <s v="20103522 - Fisioterapia - Pac Com Dependencia de Vida Diária (R$ 23,59)"/>
    <s v="Fisioterapia"/>
    <n v="1708869061"/>
    <s v="Finalizado (3/5)"/>
    <n v="19.8156"/>
    <n v="3.7744"/>
    <n v="23.59"/>
    <s v="Sessão Faturada"/>
    <n v="771015061093000"/>
    <n v="59531"/>
    <s v="Unidade Sao Jose"/>
    <n v="1708869061"/>
    <m/>
  </r>
  <r>
    <x v="22"/>
    <x v="35"/>
    <s v="Ronaldo Campos Alfaia"/>
    <s v="Masculino"/>
    <x v="7"/>
    <x v="11"/>
    <s v="Sao José - 2 - Fisioterapia Ortopédica - Pacote (R$ 20,00)"/>
    <s v="Fisioterapia"/>
    <n v="145081"/>
    <s v="Finalizado (7/10)"/>
    <n v="15"/>
    <n v="5"/>
    <n v="20"/>
    <s v="Pago"/>
    <n v="46847"/>
    <n v="46847"/>
    <s v="Unidade Sao Jose"/>
    <n v="145081"/>
    <m/>
  </r>
  <r>
    <x v="22"/>
    <x v="35"/>
    <s v="Francisco Miguel Pessoa de Lima"/>
    <s v="Masculino"/>
    <x v="7"/>
    <x v="11"/>
    <s v="Sao José - 2 - Fisioterapia Ortopédica - Pacote (R$ 20,00)"/>
    <s v="Fisioterapia"/>
    <n v="170312"/>
    <s v="Finalizado (7/10)"/>
    <n v="15"/>
    <n v="5"/>
    <n v="20"/>
    <s v="Pago"/>
    <n v="59509"/>
    <n v="59509"/>
    <s v="Unidade Sao Jose"/>
    <n v="170312"/>
    <m/>
  </r>
  <r>
    <x v="22"/>
    <x v="35"/>
    <s v="Amaziles Andrade de Morais"/>
    <s v="Feminino"/>
    <x v="27"/>
    <x v="11"/>
    <s v="20103468 - Parkinson (R$ 12,22)"/>
    <s v="Fisioterapia"/>
    <n v="1710166174"/>
    <s v="Finalizado (1/4)"/>
    <n v="10.264799999999999"/>
    <n v="1.9552"/>
    <n v="12.22"/>
    <s v="Sessão Faturada"/>
    <n v="771015039373010"/>
    <n v="48191"/>
    <s v="Unidade Sao Jose"/>
    <n v="1710166174"/>
    <m/>
  </r>
  <r>
    <x v="22"/>
    <x v="70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08867832"/>
    <s v="Finalizado (3/5)"/>
    <n v="24.914400000000001"/>
    <n v="4.7455999999999996"/>
    <n v="29.66"/>
    <s v="Sessão Faturada"/>
    <n v="771015061093000"/>
    <n v="59531"/>
    <s v="Unidade Sao Jose"/>
    <n v="1708867832"/>
    <m/>
  </r>
  <r>
    <x v="22"/>
    <x v="42"/>
    <s v="Amaziles Andrade de Morais"/>
    <s v="Feminino"/>
    <x v="27"/>
    <x v="11"/>
    <s v="20103522 - Fisioterapia - Pac Com Dependencia de Vida Diária (R$ 23,59)"/>
    <s v="Fisioterapia"/>
    <n v="1710165412"/>
    <s v="Finalizado (1/4)"/>
    <n v="19.8156"/>
    <n v="3.7744"/>
    <n v="23.59"/>
    <s v="Sessão Faturada"/>
    <n v="771015039373010"/>
    <n v="48191"/>
    <s v="Unidade Sao Jose"/>
    <n v="1710165412"/>
    <m/>
  </r>
  <r>
    <x v="22"/>
    <x v="71"/>
    <s v="Alessandro Ramos Veiga"/>
    <s v="Masculino"/>
    <x v="4"/>
    <x v="11"/>
    <s v="31602185 - Estimulação Elétrica Transcutânea - Removido 13/04/2026 (R$ 40,00)"/>
    <s v="Fisioterapia"/>
    <n v="1709495061"/>
    <s v="Finalizado (2/5)"/>
    <n v="33.6"/>
    <n v="6.4"/>
    <n v="40"/>
    <s v="Sessão Faturada"/>
    <n v="771015061093000"/>
    <n v="59531"/>
    <s v="Unidade Sao Jose"/>
    <n v="1709495061"/>
    <m/>
  </r>
  <r>
    <x v="22"/>
    <x v="38"/>
    <s v="Renilson Santos de Assis"/>
    <s v="Masculino"/>
    <x v="4"/>
    <x v="11"/>
    <s v="31602185 - Estimulação Elétrica Transcutânea - Removido 13/04/2026 (R$ 40,00)"/>
    <s v="Fisioterapia"/>
    <n v="1709622137"/>
    <s v="Finalizado (2/5)"/>
    <n v="33.6"/>
    <n v="6.4"/>
    <n v="40"/>
    <s v="Sessão a Faturar"/>
    <n v="772682001643000"/>
    <n v="57157"/>
    <s v="Unidade Sao Jose"/>
    <n v="1709622137"/>
    <m/>
  </r>
  <r>
    <x v="22"/>
    <x v="38"/>
    <s v="Renilson Santos de Assis"/>
    <s v="Masculino"/>
    <x v="27"/>
    <x v="11"/>
    <s v="20103662 - Pos Operatorio Em Um Membro (R$ 14,99)"/>
    <s v="Fisioterapia"/>
    <n v="1708985795"/>
    <s v="Finalizado (3/5)"/>
    <n v="12.5916"/>
    <n v="2.3984000000000001"/>
    <n v="14.99"/>
    <s v="Sessão Faturada"/>
    <n v="772682001643000"/>
    <n v="57157"/>
    <s v="Unidade Sao Jose"/>
    <n v="1708985795"/>
    <m/>
  </r>
  <r>
    <x v="22"/>
    <x v="62"/>
    <s v="Renilson Santos de Assis"/>
    <s v="Masculino"/>
    <x v="27"/>
    <x v="11"/>
    <s v="20103484 - Patologia Em Um Membro (R$ 12,22), 20103514 - Patol. Em Diferentes Segmentos da Coluna (R$ 14,83)"/>
    <s v="Fisioterapia"/>
    <n v="1708986196"/>
    <s v="Finalizado (3/5)"/>
    <n v="22.722000000000001"/>
    <n v="4.3280000000000003"/>
    <n v="27.05"/>
    <s v="Sessão Faturada"/>
    <n v="772682001643000"/>
    <n v="57157"/>
    <s v="Unidade Sao Jose"/>
    <n v="1708986196"/>
    <m/>
  </r>
  <r>
    <x v="22"/>
    <x v="37"/>
    <s v="Sheila Ferreira do Nascimento"/>
    <s v="Feminino"/>
    <x v="27"/>
    <x v="11"/>
    <s v="20103522 - Fisioterapia - Pac Com Dependencia de Vida Diária (R$ 23,59)"/>
    <s v="Fisioterapia"/>
    <n v="1704256373"/>
    <s v="Finalizado (4/5)"/>
    <n v="19.8156"/>
    <n v="3.7744"/>
    <n v="23.59"/>
    <s v="Sessão Faturada"/>
    <n v="774239001511020"/>
    <n v="27492"/>
    <s v="Unidade Sao Jose"/>
    <n v="1704256373"/>
    <m/>
  </r>
  <r>
    <x v="22"/>
    <x v="63"/>
    <s v="Sheila Ferreira do Nascimento"/>
    <s v="Feminino"/>
    <x v="27"/>
    <x v="11"/>
    <s v="20103514 - Patol. Em Diferentes Segmentos da Coluna (R$ 14,83)"/>
    <s v="Fisioterapia"/>
    <n v="1704256854"/>
    <s v="Finalizado (4/5)"/>
    <n v="12.4572"/>
    <n v="2.3727999999999998"/>
    <n v="14.83"/>
    <s v="Sessão Faturada"/>
    <n v="774239001511020"/>
    <n v="27492"/>
    <s v="Unidade Sao Jose"/>
    <n v="1704256854"/>
    <m/>
  </r>
  <r>
    <x v="22"/>
    <x v="39"/>
    <s v="Francisca da Silva Rebouças"/>
    <s v="Feminino"/>
    <x v="7"/>
    <x v="11"/>
    <s v="Sao José - 4 - Fisioterapia Neurológica/Respiratória - Pacote (R$ 50,00)"/>
    <s v="Fisioterapia"/>
    <n v="171002"/>
    <s v="Finalizado (2/5)"/>
    <n v="37.5"/>
    <n v="12.5"/>
    <n v="50"/>
    <s v="Pago"/>
    <n v="59581"/>
    <n v="59581"/>
    <s v="Unidade Sao Jose"/>
    <n v="171002"/>
    <m/>
  </r>
  <r>
    <x v="22"/>
    <x v="39"/>
    <s v="Vanessa Soares de Almeida"/>
    <s v="Feminino"/>
    <x v="7"/>
    <x v="11"/>
    <s v="Sao José - 2 - Fisioterapia Ortopédica - Pacote (R$ 20,00)"/>
    <s v="Fisioterapia"/>
    <n v="170464"/>
    <s v="Finalizado (3/10)"/>
    <n v="15"/>
    <n v="5"/>
    <n v="20"/>
    <s v="Pago"/>
    <s v="."/>
    <n v="52536"/>
    <s v="Unidade Sao Jose"/>
    <n v="170464"/>
    <m/>
  </r>
  <r>
    <x v="22"/>
    <x v="22"/>
    <s v="Meire Rosana Uchoa de Oliveira"/>
    <s v="Feminino"/>
    <x v="4"/>
    <x v="11"/>
    <s v="31602185 - Estimulação Elétrica Transcutânea - Removido 13/04/2026 (R$ 40,00)"/>
    <s v="Fisioterapia"/>
    <n v="1710340723"/>
    <s v="Finalizado (1/2)"/>
    <n v="33.6"/>
    <n v="6.4"/>
    <n v="40"/>
    <s v="Sessão Faturada"/>
    <n v="774634026093020"/>
    <n v="39208"/>
    <s v="Unidade Sao Jose"/>
    <n v="1710340723"/>
    <m/>
  </r>
  <r>
    <x v="22"/>
    <x v="22"/>
    <s v="Meire Rosana Uchoa de Oliveira"/>
    <s v="Feminino"/>
    <x v="27"/>
    <x v="11"/>
    <s v="20103492 - Patol. Em Dois Ou Mais Membros (R$ 14,83), 20103514 - Patol. Em Diferentes Segmentos da Coluna (R$ 14,83)"/>
    <s v="Fisioterapia"/>
    <n v="1709145003"/>
    <s v="Finalizado (3/4)"/>
    <n v="24.914400000000001"/>
    <n v="4.7455999999999996"/>
    <n v="29.66"/>
    <s v="Sessão Faturada"/>
    <n v="774634026093020"/>
    <n v="39208"/>
    <s v="Unidade Sao Jose"/>
    <n v="1709145003"/>
    <m/>
  </r>
  <r>
    <x v="22"/>
    <x v="2"/>
    <s v="Ana Cleide da Silva Lima"/>
    <s v="Feminino"/>
    <x v="7"/>
    <x v="11"/>
    <s v="Sao José - 2 - Fisioterapia Ortopédica - Pacote (R$ 20,00)"/>
    <s v="Fisioterapia"/>
    <n v="169727"/>
    <s v="Finalizado (8/10)"/>
    <n v="15"/>
    <n v="5"/>
    <n v="20"/>
    <s v="Pago"/>
    <n v="98278639000"/>
    <n v="54132"/>
    <s v="Unidade Sao Jose"/>
    <n v="169727"/>
    <m/>
  </r>
  <r>
    <x v="22"/>
    <x v="4"/>
    <s v="Francisco de Assis da Silva Junior"/>
    <s v="Masculino"/>
    <x v="7"/>
    <x v="11"/>
    <s v="Sao José - 14 - Fisioterapia Pós Operatória - Pacote (R$ 50,00)"/>
    <s v="Fisioterapia"/>
    <n v="170673"/>
    <s v="Finalizado (4/10)"/>
    <n v="37.5"/>
    <n v="12.5"/>
    <n v="50"/>
    <s v="Pago"/>
    <n v="39841"/>
    <n v="39841"/>
    <s v="Unidade Sao Jose"/>
    <n v="170673"/>
    <m/>
  </r>
  <r>
    <x v="22"/>
    <x v="4"/>
    <s v="Suelen de Souza Moraes"/>
    <s v="Feminino"/>
    <x v="7"/>
    <x v="11"/>
    <s v="Sao José - 2 - Fisioterapia Ortopédica - Pacote (R$ 20,00)"/>
    <s v="Fisioterapia"/>
    <s v="/168940"/>
    <s v="Finalizado (12/30)"/>
    <n v="15"/>
    <n v="5"/>
    <n v="20"/>
    <s v="No Prazo"/>
    <n v="59411"/>
    <n v="59411"/>
    <s v="Unidade Sao Jose"/>
    <s v="/168940"/>
    <m/>
  </r>
  <r>
    <x v="22"/>
    <x v="13"/>
    <s v="Grêta Tâmi Araújo da Silva"/>
    <s v="Feminino"/>
    <x v="7"/>
    <x v="11"/>
    <s v="Sao José - 2 - Fisioterapia Ortopédica - Pacote (R$ 20,00)"/>
    <s v="Fisioterapia"/>
    <n v="171029"/>
    <s v="Finalizado (1/10)"/>
    <n v="15"/>
    <n v="5"/>
    <n v="20"/>
    <s v="Pago"/>
    <n v="59586"/>
    <n v="59586"/>
    <s v="Unidade Sao Jose"/>
    <n v="171029"/>
    <m/>
  </r>
  <r>
    <x v="22"/>
    <x v="6"/>
    <s v="Lauriethe Silva Nascimento Garrido"/>
    <s v="Feminino"/>
    <x v="7"/>
    <x v="11"/>
    <s v="Sao José - 2 - Fisioterapia Ortopédica - Pacote (R$ 20,00)"/>
    <s v="Fisioterapia"/>
    <n v="170690"/>
    <s v="Finalizado (4/10)"/>
    <n v="15"/>
    <n v="5"/>
    <n v="20"/>
    <s v="Pago"/>
    <n v="59555"/>
    <n v="59555"/>
    <s v="Unidade Sao Jose"/>
    <n v="170690"/>
    <m/>
  </r>
  <r>
    <x v="22"/>
    <x v="6"/>
    <s v="Joao Paulo Pinheiro dos Santos"/>
    <s v="Masculino"/>
    <x v="8"/>
    <x v="11"/>
    <s v="20103662 - Pos Operatorio Em Um Membro (R$ 14,99)"/>
    <s v="Fisioterapia"/>
    <n v="1709783209"/>
    <s v="Finalizado (2/5)"/>
    <n v="12.5916"/>
    <n v="2.3984000000000001"/>
    <n v="14.99"/>
    <s v="Sessão Faturada"/>
    <n v="954600009601010"/>
    <n v="24910"/>
    <s v="Unidade Sao Jose"/>
    <n v="1709783209"/>
    <m/>
  </r>
  <r>
    <x v="22"/>
    <x v="6"/>
    <s v="Joao Paulo Pinheiro dos Santos"/>
    <s v="Masculino"/>
    <x v="9"/>
    <x v="11"/>
    <s v="31602185 - Estimulação Elétrica Transcutânea (Tens) - Removido 13/04/2026 (R$ 40,00)"/>
    <s v="Fisioterapia"/>
    <n v="1710440770"/>
    <s v="Finalizado (1/5)"/>
    <n v="33.6"/>
    <n v="6.4"/>
    <n v="40"/>
    <s v="Sessão Faturada"/>
    <n v="954600009601010"/>
    <n v="24910"/>
    <s v="Unidade Sao Jose"/>
    <n v="1710440770"/>
    <m/>
  </r>
  <r>
    <x v="22"/>
    <x v="15"/>
    <s v="Jeane Cardoso Pinheiro"/>
    <s v="Feminino"/>
    <x v="8"/>
    <x v="11"/>
    <s v="20103492 - Patologia Em Dois Ou Mais Membros (R$ 14,83), 20103514 - Patologia Em Diferentes Segmentos da Coluna (R$ 14,83)"/>
    <s v="Fisioterapia"/>
    <n v="1710427395"/>
    <s v="Finalizado (1/1)"/>
    <n v="24.914400000000001"/>
    <n v="4.7455999999999996"/>
    <n v="29.66"/>
    <s v="Sessão Faturada"/>
    <n v="954600033294000"/>
    <n v="57294"/>
    <s v="Unidade Sao Jose"/>
    <n v="1710427395"/>
    <m/>
  </r>
  <r>
    <x v="22"/>
    <x v="15"/>
    <s v="Ana de Jesus Figueira"/>
    <s v="Feminino"/>
    <x v="16"/>
    <x v="11"/>
    <s v="50000160 - Fisioterapia Ortopedica (R$ 25,00)"/>
    <s v="Fisioterapia"/>
    <n v="169067"/>
    <s v="Finalizado (6/10)"/>
    <n v="21"/>
    <n v="4"/>
    <n v="25"/>
    <s v="Sessão a Faturar"/>
    <n v="51923"/>
    <n v="51923"/>
    <s v="Unidade Sao Jose"/>
    <n v="169067"/>
    <m/>
  </r>
  <r>
    <x v="22"/>
    <x v="15"/>
    <s v="Paulo Eduardo Silva de Souza"/>
    <s v="Masculino"/>
    <x v="7"/>
    <x v="11"/>
    <s v="Sao José - 2 - Fisioterapia Ortopédica - Pacote (R$ 20,00)"/>
    <s v="Fisioterapia"/>
    <n v="170450"/>
    <s v="Finalizado (6/10)"/>
    <n v="15"/>
    <n v="5"/>
    <n v="20"/>
    <s v="Pago"/>
    <n v="59524"/>
    <n v="59524"/>
    <s v="Unidade Sao Jose"/>
    <n v="170450"/>
    <m/>
  </r>
  <r>
    <x v="22"/>
    <x v="17"/>
    <s v="Maria Aparecida Correa do Nascimento"/>
    <s v="Feminino"/>
    <x v="7"/>
    <x v="11"/>
    <s v="Sao José - 12 - Fisioterapia Ortopédica - Pacote 2 (R$ 20,00)"/>
    <s v="Fisioterapia"/>
    <n v="168976"/>
    <s v="Finalizado (9/10)"/>
    <n v="15"/>
    <n v="5"/>
    <n v="20"/>
    <s v="Pago"/>
    <n v="47708"/>
    <n v="47708"/>
    <s v="Unidade Sao Jose"/>
    <n v="168976"/>
    <m/>
  </r>
  <r>
    <x v="22"/>
    <x v="17"/>
    <s v="Michele Freire de Souza"/>
    <s v="Feminino"/>
    <x v="7"/>
    <x v="11"/>
    <s v="Sao José - 2 - Fisioterapia Ortopédica - Pacote (R$ 20,00)"/>
    <s v="Fisioterapia"/>
    <n v="170528"/>
    <s v="Finalizado (6/10)"/>
    <n v="15"/>
    <n v="5"/>
    <n v="20"/>
    <s v="Pago"/>
    <n v="59532"/>
    <n v="59532"/>
    <s v="Unidade Sao Jose"/>
    <n v="170528"/>
    <m/>
  </r>
  <r>
    <x v="22"/>
    <x v="17"/>
    <s v="Thiago Lima Trindade"/>
    <s v="Masculino"/>
    <x v="7"/>
    <x v="11"/>
    <s v="Sao José - 14 - Fisioterapia Pós Operatória - Pacote (R$ 50,00)"/>
    <s v="Fisioterapia"/>
    <n v="170313"/>
    <s v="Finalizado (4/10)"/>
    <n v="37.5"/>
    <n v="12.5"/>
    <n v="50"/>
    <s v="Pago"/>
    <n v="59510"/>
    <n v="59510"/>
    <s v="Unidade Sao Jose"/>
    <n v="170313"/>
    <m/>
  </r>
  <r>
    <x v="22"/>
    <x v="17"/>
    <s v="Osmar Barbosa dos Santos Junior"/>
    <s v="Masculino"/>
    <x v="8"/>
    <x v="11"/>
    <s v="20103662 - Pos Operatorio Em Um Membro (R$ 14,99)"/>
    <s v="Fisioterapia"/>
    <n v="1704692114"/>
    <s v="Finalizado (5/5)"/>
    <n v="12.5916"/>
    <n v="2.3984000000000001"/>
    <n v="14.99"/>
    <s v="Sessão Faturada"/>
    <n v="954600036315000"/>
    <n v="58555"/>
    <s v="Unidade Sao Jose"/>
    <n v="1704692114"/>
    <m/>
  </r>
  <r>
    <x v="22"/>
    <x v="10"/>
    <s v="Samuel Santana Bruce"/>
    <s v="Masculino"/>
    <x v="2"/>
    <x v="11"/>
    <s v="20103492 - Fisioterapia - Patologia Em Dois Ou Mais Membros (R$ 14,83)"/>
    <s v="Fisioterapia"/>
    <n v="1702233567"/>
    <s v="Finalizado (4/5)"/>
    <n v="12.4572"/>
    <n v="2.3727999999999998"/>
    <n v="14.83"/>
    <s v="Sessão Faturada"/>
    <n v="775225007463010"/>
    <n v="58863"/>
    <s v="Unidade Sao Jose"/>
    <n v="1702233567"/>
    <m/>
  </r>
  <r>
    <x v="19"/>
    <x v="44"/>
    <s v="Vanderlei Moraes da Silva"/>
    <s v="Masculino"/>
    <x v="16"/>
    <x v="11"/>
    <s v="50000160 - Fisioterapia Ortopedica (R$ 25,00)"/>
    <s v="Fisioterapia"/>
    <n v="171180"/>
    <s v="Finalizado (2/10)"/>
    <n v="21"/>
    <n v="4"/>
    <n v="25"/>
    <s v="Sessão a Faturar"/>
    <n v="58809"/>
    <n v="58809"/>
    <s v="Unidade Sao Jose"/>
    <n v="171180"/>
    <m/>
  </r>
  <r>
    <x v="19"/>
    <x v="44"/>
    <s v="Tereza da Rocha Vieira"/>
    <s v="Feminino"/>
    <x v="10"/>
    <x v="11"/>
    <s v="50000160 - Fisioterapia Ortopédica (R$ 15,00)"/>
    <s v="Fisioterapia"/>
    <n v="15114021"/>
    <s v="Finalizado (2/10)"/>
    <n v="12.6"/>
    <n v="2.4"/>
    <n v="15"/>
    <s v="Sessão Faturada"/>
    <s v="00010001253014045"/>
    <n v="52943"/>
    <s v="Unidade Sao Jose"/>
    <n v="15114021"/>
    <m/>
  </r>
  <r>
    <x v="19"/>
    <x v="44"/>
    <s v="Alessandro Ramos Veiga"/>
    <s v="Masculino"/>
    <x v="2"/>
    <x v="11"/>
    <s v="20103522 - Fisioterapia - Pac Com Dependencia de Vida Diária (R$ 23,59)"/>
    <s v="Fisioterapia"/>
    <n v="1708869061"/>
    <s v="Finalizado (4/5)"/>
    <n v="19.8156"/>
    <n v="3.7744"/>
    <n v="23.59"/>
    <s v="Sessão Faturada"/>
    <n v="771015061093000"/>
    <n v="59531"/>
    <s v="Unidade Sao Jose"/>
    <n v="1708869061"/>
    <m/>
  </r>
  <r>
    <x v="19"/>
    <x v="73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08867832"/>
    <s v="Finalizado (4/5)"/>
    <n v="24.914400000000001"/>
    <n v="4.7455999999999996"/>
    <n v="29.66"/>
    <s v="Sessão Faturada"/>
    <n v="771015061093000"/>
    <n v="59531"/>
    <s v="Unidade Sao Jose"/>
    <n v="1708867832"/>
    <m/>
  </r>
  <r>
    <x v="19"/>
    <x v="74"/>
    <s v="Alessandro Ramos Veiga"/>
    <s v="Masculino"/>
    <x v="4"/>
    <x v="11"/>
    <s v="31602185 - Estimulação Elétrica Transcutânea - Removido 13/04/2026 (R$ 40,00)"/>
    <s v="Fisioterapia"/>
    <n v="1709495061"/>
    <s v="Finalizado (3/5)"/>
    <n v="33.6"/>
    <n v="6.4"/>
    <n v="40"/>
    <s v="Sessão Faturada"/>
    <n v="771015061093000"/>
    <n v="59531"/>
    <s v="Unidade Sao Jose"/>
    <n v="1709495061"/>
    <m/>
  </r>
  <r>
    <x v="19"/>
    <x v="36"/>
    <s v="Francilene Sousa Campos da Silva"/>
    <s v="Feminino"/>
    <x v="4"/>
    <x v="11"/>
    <s v="31602185 - Estimulação Elétrica Transcutânea - Removido 13/04/2026 (R$ 40,00)"/>
    <s v="Fisioterapia"/>
    <n v="1710732173"/>
    <s v="Finalizado (1/5)"/>
    <n v="33.6"/>
    <n v="6.4"/>
    <n v="40"/>
    <s v="Sessão Faturada"/>
    <n v="813227000779000"/>
    <n v="58889"/>
    <s v="Unidade Sao Jose"/>
    <n v="1710732173"/>
    <m/>
  </r>
  <r>
    <x v="19"/>
    <x v="36"/>
    <s v="Francinete Ferreira de Souza"/>
    <s v="Feminino"/>
    <x v="8"/>
    <x v="11"/>
    <s v="20103492 - Patologia Em Dois Ou Mais Membros (R$ 14,83), 20103514 - Patologia Em Diferentes Segmentos da Coluna (R$ 14,83)"/>
    <s v="Fisioterapia"/>
    <n v="1710740777"/>
    <s v="Finalizado (1/5)"/>
    <n v="24.914400000000001"/>
    <n v="4.7455999999999996"/>
    <n v="29.66"/>
    <s v="Sessão Faturada"/>
    <n v="954390037672020"/>
    <n v="41225"/>
    <s v="Unidade Sao Jose"/>
    <n v="1710740777"/>
    <m/>
  </r>
  <r>
    <x v="19"/>
    <x v="36"/>
    <s v="Francilene Sousa Campos da Silva"/>
    <s v="Feminino"/>
    <x v="27"/>
    <x v="11"/>
    <s v="20103492 - Patol. Em Dois Ou Mais Membros (R$ 14,83)"/>
    <s v="Fisioterapia"/>
    <n v="1710119702"/>
    <s v="Finalizado (2/5)"/>
    <n v="12.4572"/>
    <n v="2.3727999999999998"/>
    <n v="14.83"/>
    <s v="Sessão Faturada"/>
    <n v="813227000779000"/>
    <n v="58889"/>
    <s v="Unidade Sao Jose"/>
    <n v="1710119702"/>
    <m/>
  </r>
  <r>
    <x v="19"/>
    <x v="36"/>
    <s v="Manoel de Freitas Mendonça Neto"/>
    <s v="Masculino"/>
    <x v="8"/>
    <x v="11"/>
    <s v="20103492 - Patologia Em Dois Ou Mais Membros (R$ 14,83)"/>
    <s v="Fisioterapia"/>
    <n v="1706723222"/>
    <s v="Finalizado (5/5)"/>
    <n v="12.4572"/>
    <n v="2.3727999999999998"/>
    <n v="14.83"/>
    <s v="Sessão Faturada"/>
    <n v="954600000256020"/>
    <n v="47993"/>
    <s v="Unidade Sao Jose"/>
    <n v="1706723222"/>
    <m/>
  </r>
  <r>
    <x v="19"/>
    <x v="40"/>
    <s v="Renato de Araújo Santos"/>
    <s v="Masculino"/>
    <x v="7"/>
    <x v="11"/>
    <s v="Sao José - 2 - Fisioterapia Ortopédica - Pacote (R$ 20,00)"/>
    <s v="Fisioterapia"/>
    <n v="170405"/>
    <s v="Finalizado (6/10)"/>
    <n v="15"/>
    <n v="5"/>
    <n v="20"/>
    <s v="Pago"/>
    <n v="59520"/>
    <n v="59520"/>
    <s v="Unidade Sao Jose"/>
    <n v="170405"/>
    <m/>
  </r>
  <r>
    <x v="19"/>
    <x v="40"/>
    <s v="Ronaldo Campos Alfaia"/>
    <s v="Masculino"/>
    <x v="7"/>
    <x v="11"/>
    <s v="Sao José - 2 - Fisioterapia Ortopédica - Pacote (R$ 20,00)"/>
    <s v="Fisioterapia"/>
    <n v="145081"/>
    <s v="Finalizado (8/10)"/>
    <n v="15"/>
    <n v="5"/>
    <n v="20"/>
    <s v="Pago"/>
    <n v="46847"/>
    <n v="46847"/>
    <s v="Unidade Sao Jose"/>
    <n v="145081"/>
    <m/>
  </r>
  <r>
    <x v="19"/>
    <x v="35"/>
    <s v="Francisco Miguel Pessoa de Lima"/>
    <s v="Masculino"/>
    <x v="7"/>
    <x v="11"/>
    <s v="Sao José - 2 - Fisioterapia Ortopédica - Pacote (R$ 20,00)"/>
    <s v="Fisioterapia"/>
    <n v="170312"/>
    <s v="Finalizado (8/10)"/>
    <n v="15"/>
    <n v="5"/>
    <n v="20"/>
    <s v="Pago"/>
    <n v="59509"/>
    <n v="59509"/>
    <s v="Unidade Sao Jose"/>
    <n v="170312"/>
    <m/>
  </r>
  <r>
    <x v="19"/>
    <x v="37"/>
    <s v="Kize Coelho Mar"/>
    <s v="Feminino"/>
    <x v="8"/>
    <x v="11"/>
    <s v="50000144 - Consulta de Fisioterapia (R$ 51,42)"/>
    <s v="Fisioterapia"/>
    <n v="1710804276"/>
    <s v="Finalizado (1/1)"/>
    <n v="46.277999999999999"/>
    <n v="5.1420000000000003"/>
    <n v="51.42"/>
    <s v="Sessão Faturada"/>
    <n v="954600030813000"/>
    <n v="59602"/>
    <s v="Unidade Sao Jose"/>
    <n v="1710804276"/>
    <m/>
  </r>
  <r>
    <x v="19"/>
    <x v="39"/>
    <s v="Francisca da Silva Rebouças"/>
    <s v="Feminino"/>
    <x v="7"/>
    <x v="11"/>
    <s v="Sao José - 4 - Fisioterapia Neurológica/Respiratória - Pacote (R$ 50,00)"/>
    <s v="Fisioterapia"/>
    <n v="171002"/>
    <s v="Finalizado (3/5)"/>
    <n v="37.5"/>
    <n v="12.5"/>
    <n v="50"/>
    <s v="Pago"/>
    <n v="59581"/>
    <n v="59581"/>
    <s v="Unidade Sao Jose"/>
    <n v="171002"/>
    <m/>
  </r>
  <r>
    <x v="19"/>
    <x v="43"/>
    <s v="Kize Coelho Mar"/>
    <s v="Feminino"/>
    <x v="8"/>
    <x v="11"/>
    <s v="20103492 - Patologia Em Dois Ou Mais Membros (R$ 14,83)"/>
    <s v="Fisioterapia"/>
    <n v="1710867446"/>
    <s v="Finalizado (1/5)"/>
    <n v="12.4572"/>
    <n v="2.3727999999999998"/>
    <n v="14.83"/>
    <s v="Sessão Faturada"/>
    <n v="954600030813000"/>
    <n v="59602"/>
    <s v="Unidade Sao Jose"/>
    <n v="1710867446"/>
    <m/>
  </r>
  <r>
    <x v="19"/>
    <x v="22"/>
    <s v="Juliana Garcia Viana"/>
    <s v="Feminino"/>
    <x v="8"/>
    <x v="11"/>
    <s v="20103484 - Patologia Em Um Membro (R$ 12,22)"/>
    <s v="Fisioterapia"/>
    <n v="1710919651"/>
    <s v="Finalizado (1/5)"/>
    <n v="10.264799999999999"/>
    <n v="1.9552"/>
    <n v="12.22"/>
    <s v="Sessão a Faturar"/>
    <n v="954600033006000"/>
    <n v="56608"/>
    <s v="Unidade Sao Jose"/>
    <n v="1710919651"/>
    <m/>
  </r>
  <r>
    <x v="19"/>
    <x v="22"/>
    <s v="Thiago Lima da Rocha"/>
    <s v="Feminino"/>
    <x v="7"/>
    <x v="11"/>
    <s v="Sao José - 2 - Fisioterapia Ortopédica - Pacote (R$ 20,00)"/>
    <s v="Fisioterapia"/>
    <n v="170853"/>
    <s v="Finalizado (3/10)"/>
    <n v="15"/>
    <n v="5"/>
    <n v="20"/>
    <s v="Pago"/>
    <n v="59571"/>
    <n v="59571"/>
    <s v="Unidade Sao Jose"/>
    <n v="170853"/>
    <m/>
  </r>
  <r>
    <x v="19"/>
    <x v="4"/>
    <s v="Joao Paulo Pinheiro dos Santos"/>
    <s v="Masculino"/>
    <x v="8"/>
    <x v="11"/>
    <s v="20103662 - Pos Operatorio Em Um Membro (R$ 14,99)"/>
    <s v="Fisioterapia"/>
    <n v="1709783209"/>
    <s v="Finalizado (3/5)"/>
    <n v="12.5916"/>
    <n v="2.3984000000000001"/>
    <n v="14.99"/>
    <s v="Sessão Faturada"/>
    <n v="954600009601010"/>
    <n v="24910"/>
    <s v="Unidade Sao Jose"/>
    <n v="1709783209"/>
    <m/>
  </r>
  <r>
    <x v="19"/>
    <x v="4"/>
    <s v="Joao Paulo Pinheiro dos Santos"/>
    <s v="Masculino"/>
    <x v="9"/>
    <x v="11"/>
    <s v="31602185 - Estimulação Elétrica Transcutânea (Tens) - Removido 13/04/2026 (R$ 40,00)"/>
    <s v="Fisioterapia"/>
    <n v="1710440770"/>
    <s v="Finalizado (2/5)"/>
    <n v="33.6"/>
    <n v="6.4"/>
    <n v="40"/>
    <s v="Sessão Faturada"/>
    <n v="954600009601010"/>
    <n v="24910"/>
    <s v="Unidade Sao Jose"/>
    <n v="1710440770"/>
    <m/>
  </r>
  <r>
    <x v="19"/>
    <x v="13"/>
    <s v="Grêta Tâmi Araújo da Silva"/>
    <s v="Feminino"/>
    <x v="7"/>
    <x v="11"/>
    <s v="Sao José - 2 - Fisioterapia Ortopédica - Pacote (R$ 20,00)"/>
    <s v="Fisioterapia"/>
    <n v="171029"/>
    <s v="Finalizado (2/10)"/>
    <n v="15"/>
    <n v="5"/>
    <n v="20"/>
    <s v="Pago"/>
    <n v="59586"/>
    <n v="59586"/>
    <s v="Unidade Sao Jose"/>
    <n v="171029"/>
    <m/>
  </r>
  <r>
    <x v="19"/>
    <x v="13"/>
    <s v="Suelen de Souza Moraes"/>
    <s v="Feminino"/>
    <x v="7"/>
    <x v="11"/>
    <s v="Sao José - 2 - Fisioterapia Ortopédica - Pacote (R$ 20,00)"/>
    <s v="Fisioterapia"/>
    <s v="/168940"/>
    <s v="Finalizado (13/30)"/>
    <n v="15"/>
    <n v="5"/>
    <n v="20"/>
    <s v="No Prazo"/>
    <n v="59411"/>
    <n v="59411"/>
    <s v="Unidade Sao Jose"/>
    <s v="/168940"/>
    <m/>
  </r>
  <r>
    <x v="19"/>
    <x v="6"/>
    <s v="Rosalvo Jerônimo Corrêa Júnior"/>
    <s v="Masculino"/>
    <x v="5"/>
    <x v="11"/>
    <s v="50000144 - Avaliação de Fisioterapia (R$ 37,63)"/>
    <s v="Fisioterapia"/>
    <n v="171327"/>
    <s v="Finalizado (1/1)"/>
    <n v="33.866999999999997"/>
    <n v="3.7629999999999999"/>
    <n v="37.630000000000003"/>
    <s v="Sessão Faturada"/>
    <s v="010119271100"/>
    <n v="21327"/>
    <s v="Unidade Sao Jose"/>
    <n v="171327"/>
    <m/>
  </r>
  <r>
    <x v="19"/>
    <x v="6"/>
    <s v="Rosalvo Jerônimo Corrêa Júnior"/>
    <s v="Masculino"/>
    <x v="5"/>
    <x v="11"/>
    <s v="98860020 - Fisioterapia Complexidade 2 (R$ 73,81)"/>
    <s v="Fisioterapia"/>
    <n v="78534330"/>
    <s v="Finalizado (1/10)"/>
    <n v="62.000399999999999"/>
    <n v="11.8096"/>
    <n v="73.81"/>
    <s v="Sessão a Faturar"/>
    <s v="010119271100"/>
    <n v="21327"/>
    <s v="Unidade Sao Jose"/>
    <n v="78534330"/>
    <m/>
  </r>
  <r>
    <x v="19"/>
    <x v="6"/>
    <s v="Rosalvo Jerônimo Corrêa Júnior"/>
    <s v="Masculino"/>
    <x v="5"/>
    <x v="11"/>
    <s v="31602185 - Estimulação Elétrica Transcutânea (Tens) (R$ 125,40)"/>
    <s v="Fisioterapia"/>
    <n v="78534690"/>
    <s v="Finalizado (1/10)"/>
    <n v="105.336"/>
    <n v="20.064"/>
    <n v="125.4"/>
    <s v="Sessão a Faturar"/>
    <s v="010119271100"/>
    <n v="21327"/>
    <s v="Unidade Sao Jose"/>
    <n v="78534690"/>
    <m/>
  </r>
  <r>
    <x v="19"/>
    <x v="15"/>
    <s v="Maria Aparecida Correa do Nascimento"/>
    <s v="Feminino"/>
    <x v="7"/>
    <x v="11"/>
    <s v="Sao José - 12 - Fisioterapia Ortopédica - Pacote 2 (R$ 20,00)"/>
    <s v="Fisioterapia"/>
    <n v="168976"/>
    <s v="Finalizado (10/10)"/>
    <n v="15"/>
    <n v="5"/>
    <n v="20"/>
    <s v="Pago"/>
    <n v="47708"/>
    <n v="47708"/>
    <s v="Unidade Sao Jose"/>
    <n v="168976"/>
    <m/>
  </r>
  <r>
    <x v="19"/>
    <x v="15"/>
    <s v="Paulo Eduardo Silva de Souza"/>
    <s v="Masculino"/>
    <x v="7"/>
    <x v="11"/>
    <s v="Sao José - 2 - Fisioterapia Ortopédica - Pacote (R$ 20,00)"/>
    <s v="Fisioterapia"/>
    <n v="170450"/>
    <s v="Finalizado (7/10)"/>
    <n v="15"/>
    <n v="5"/>
    <n v="20"/>
    <s v="Pago"/>
    <n v="59524"/>
    <n v="59524"/>
    <s v="Unidade Sao Jose"/>
    <n v="170450"/>
    <m/>
  </r>
  <r>
    <x v="19"/>
    <x v="17"/>
    <s v="Luan Raphael Fernandes da Silva"/>
    <s v="Masculino"/>
    <x v="27"/>
    <x v="11"/>
    <s v="20103662 - Pos Operatorio Em Um Membro (R$ 14,99)"/>
    <s v="Fisioterapia"/>
    <n v="1704870242"/>
    <s v="Finalizado (5/5)"/>
    <n v="12.5916"/>
    <n v="2.3984000000000001"/>
    <n v="14.99"/>
    <s v="Sessão Faturada"/>
    <n v="775216014346010"/>
    <n v="59334"/>
    <s v="Unidade Sao Jose"/>
    <n v="1704870242"/>
    <m/>
  </r>
  <r>
    <x v="19"/>
    <x v="17"/>
    <s v="Michele Freire de Souza"/>
    <s v="Feminino"/>
    <x v="7"/>
    <x v="11"/>
    <s v="Sao José - 2 - Fisioterapia Ortopédica - Pacote (R$ 20,00)"/>
    <s v="Fisioterapia"/>
    <n v="170528"/>
    <s v="Finalizado (7/10)"/>
    <n v="15"/>
    <n v="5"/>
    <n v="20"/>
    <s v="Pago"/>
    <n v="59532"/>
    <n v="59532"/>
    <s v="Unidade Sao Jose"/>
    <n v="170528"/>
    <m/>
  </r>
  <r>
    <x v="19"/>
    <x v="8"/>
    <s v="Gabriel Parente de Castro"/>
    <s v="Masculino"/>
    <x v="12"/>
    <x v="11"/>
    <s v="20103662 - Pos Operatorio Em Um Membro (R$ 14,99)"/>
    <s v="Fisioterapia"/>
    <n v="170538"/>
    <s v="Finalizado (5/10)"/>
    <n v="12.5916"/>
    <n v="2.3984000000000001"/>
    <n v="14.99"/>
    <s v="Sessão Faturada"/>
    <n v="9.5078029485153997E+17"/>
    <n v="59364"/>
    <s v="Unidade Sao Jose"/>
    <n v="170538"/>
    <m/>
  </r>
  <r>
    <x v="19"/>
    <x v="8"/>
    <s v="Gabriel Parente de Castro"/>
    <s v="Masculino"/>
    <x v="12"/>
    <x v="11"/>
    <s v="31602185 - Estimulação Elétrica Transcutânea (Tens) (R$ 49,00)"/>
    <s v="Fisioterapia"/>
    <n v="10319479"/>
    <s v="Finalizado (5/10)"/>
    <n v="41.16"/>
    <n v="7.84"/>
    <n v="49"/>
    <s v="Sessão Faturada"/>
    <n v="9.5078029485153997E+17"/>
    <n v="59364"/>
    <s v="Unidade Sao Jose"/>
    <n v="10319479"/>
    <m/>
  </r>
  <r>
    <x v="20"/>
    <x v="44"/>
    <s v="Francisca Neta de Lira Araujo"/>
    <s v="Feminino"/>
    <x v="7"/>
    <x v="11"/>
    <s v="Sao José - 4 - Fisioterapia Neurológica/Respiratória - Pacote (R$ 50,00)"/>
    <s v="Fisioterapia"/>
    <n v="171525"/>
    <s v="Finalizado (1/10)"/>
    <n v="37.5"/>
    <n v="12.5"/>
    <n v="50"/>
    <s v="Pago"/>
    <n v="59631"/>
    <n v="59631"/>
    <s v="Unidade Sao Jose"/>
    <n v="171525"/>
    <m/>
  </r>
  <r>
    <x v="20"/>
    <x v="41"/>
    <s v="Vanderlei Moraes da Silva"/>
    <s v="Masculino"/>
    <x v="16"/>
    <x v="11"/>
    <s v="50000160 - Fisioterapia Ortopedica (R$ 25,00)"/>
    <s v="Fisioterapia"/>
    <n v="171180"/>
    <s v="Finalizado (3/10)"/>
    <n v="21"/>
    <n v="4"/>
    <n v="25"/>
    <s v="Sessão a Faturar"/>
    <n v="58809"/>
    <n v="58809"/>
    <s v="Unidade Sao Jose"/>
    <n v="171180"/>
    <m/>
  </r>
  <r>
    <x v="20"/>
    <x v="36"/>
    <s v="Sonia Maria Morais Maia"/>
    <s v="Feminino"/>
    <x v="0"/>
    <x v="11"/>
    <s v="50000160 - Fisioterapia Ortopedica (R$ 49,72)"/>
    <s v="Fisioterapia"/>
    <s v="42263120260310440094"/>
    <s v="Finalizado (2/10)"/>
    <n v="41.764800000000001"/>
    <n v="7.9551999999999996"/>
    <n v="49.72"/>
    <s v="Sessão a Faturar"/>
    <s v="010650548005"/>
    <n v="55667"/>
    <s v="Unidade Sao Jose"/>
    <s v="42263120260310440094"/>
    <m/>
  </r>
  <r>
    <x v="20"/>
    <x v="36"/>
    <s v="Manoel de Freitas Mendonça Neto"/>
    <s v="Masculino"/>
    <x v="8"/>
    <x v="11"/>
    <s v="20103492 - Patologia Em Dois Ou Mais Membros (R$ 14,83)"/>
    <s v="Fisioterapia"/>
    <n v="1711345071"/>
    <s v="Finalizado (1/5)"/>
    <n v="12.4572"/>
    <n v="2.3727999999999998"/>
    <n v="14.83"/>
    <s v="Sessão Faturada"/>
    <n v="954600000256020"/>
    <n v="47993"/>
    <s v="Unidade Sao Jose"/>
    <n v="1711345071"/>
    <m/>
  </r>
  <r>
    <x v="20"/>
    <x v="36"/>
    <s v="Manoel de Freitas Mendonça Neto"/>
    <s v="Masculino"/>
    <x v="9"/>
    <x v="11"/>
    <s v="31602185 - Estimulação Elétrica Transcutânea (Tens) - Removido 13/04/2026 (R$ 40,00)"/>
    <s v="Fisioterapia"/>
    <n v="1711347208"/>
    <s v="Finalizado (1/5)"/>
    <n v="33.6"/>
    <n v="6.4"/>
    <n v="40"/>
    <s v="Sessão Faturada"/>
    <n v="954600000256020"/>
    <n v="47993"/>
    <s v="Unidade Sao Jose"/>
    <n v="1711347208"/>
    <m/>
  </r>
  <r>
    <x v="20"/>
    <x v="36"/>
    <s v="Jose Francinaldo dos Santos"/>
    <s v="Masculino"/>
    <x v="7"/>
    <x v="11"/>
    <s v="Sao José - 4 - Fisioterapia Neurológica/Respiratória - Pacote (R$ 50,00)"/>
    <s v="Fisioterapia"/>
    <n v="170818"/>
    <s v="Finalizado (4/10)"/>
    <n v="37.5"/>
    <n v="12.5"/>
    <n v="50"/>
    <s v="No Prazo"/>
    <n v="59333"/>
    <n v="59333"/>
    <s v="Unidade Sao Jose"/>
    <n v="170818"/>
    <m/>
  </r>
  <r>
    <x v="20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2/10)"/>
    <n v="45.469200000000001"/>
    <n v="8.6608000000000001"/>
    <n v="54.13"/>
    <s v="Sessão a Faturar"/>
    <s v="010650548005"/>
    <n v="55667"/>
    <s v="Unidade Sao Jose"/>
    <s v="52263120260310440139"/>
    <m/>
  </r>
  <r>
    <x v="20"/>
    <x v="40"/>
    <s v="Andriely Oliveira Braga"/>
    <s v="Feminino"/>
    <x v="27"/>
    <x v="11"/>
    <s v="20103662 - Pos Operatorio Em Um Membro (R$ 14,99)"/>
    <s v="Fisioterapia"/>
    <n v="1711366375"/>
    <s v="Finalizado (1/5)"/>
    <n v="12.5916"/>
    <n v="2.3984000000000001"/>
    <n v="14.99"/>
    <s v="Sessão Faturada"/>
    <n v="813227000396000"/>
    <n v="52145"/>
    <s v="Unidade Sao Jose"/>
    <n v="1711366375"/>
    <m/>
  </r>
  <r>
    <x v="20"/>
    <x v="40"/>
    <s v="Francilene Sousa Campos da Silva"/>
    <s v="Feminino"/>
    <x v="4"/>
    <x v="11"/>
    <s v="31602185 - Estimulação Elétrica Transcutânea - Removido 13/04/2026 (R$ 40,00)"/>
    <s v="Fisioterapia"/>
    <n v="1710732173"/>
    <s v="Finalizado (2/5)"/>
    <n v="33.6"/>
    <n v="6.4"/>
    <n v="40"/>
    <s v="Sessão Faturada"/>
    <n v="813227000779000"/>
    <n v="58889"/>
    <s v="Unidade Sao Jose"/>
    <n v="1710732173"/>
    <m/>
  </r>
  <r>
    <x v="20"/>
    <x v="40"/>
    <s v="Renato de Araújo Santos"/>
    <s v="Masculino"/>
    <x v="7"/>
    <x v="11"/>
    <s v="Sao José - 2 - Fisioterapia Ortopédica - Pacote (R$ 20,00)"/>
    <s v="Fisioterapia"/>
    <n v="170405"/>
    <s v="Finalizado (7/10)"/>
    <n v="15"/>
    <n v="5"/>
    <n v="20"/>
    <s v="Pago"/>
    <n v="59520"/>
    <n v="59520"/>
    <s v="Unidade Sao Jose"/>
    <n v="170405"/>
    <m/>
  </r>
  <r>
    <x v="20"/>
    <x v="45"/>
    <s v="Francilene Sousa Campos da Silva"/>
    <s v="Feminino"/>
    <x v="27"/>
    <x v="11"/>
    <s v="20103492 - Patol. Em Dois Ou Mais Membros (R$ 14,83)"/>
    <s v="Fisioterapia"/>
    <n v="1710119702"/>
    <s v="Finalizado (3/5)"/>
    <n v="12.4572"/>
    <n v="2.3727999999999998"/>
    <n v="14.83"/>
    <s v="Sessão Faturada"/>
    <n v="813227000779000"/>
    <n v="58889"/>
    <s v="Unidade Sao Jose"/>
    <n v="1710119702"/>
    <m/>
  </r>
  <r>
    <x v="20"/>
    <x v="35"/>
    <s v="Sara Gonçalves Vieira"/>
    <s v="Feminino"/>
    <x v="7"/>
    <x v="11"/>
    <s v="Sao José - 2 - Fisioterapia Ortopédica - Pacote (R$ 20,00)"/>
    <s v="Fisioterapia"/>
    <n v="170117"/>
    <s v="Finalizado (4/10)"/>
    <n v="15"/>
    <n v="5"/>
    <n v="20"/>
    <s v="Pago"/>
    <n v="56256"/>
    <n v="56256"/>
    <s v="Unidade Sao Jose"/>
    <n v="170117"/>
    <m/>
  </r>
  <r>
    <x v="20"/>
    <x v="35"/>
    <s v="Amaziles Andrade de Morais"/>
    <s v="Feminino"/>
    <x v="27"/>
    <x v="11"/>
    <s v="20103468 - Parkinson (R$ 12,22)"/>
    <s v="Fisioterapia"/>
    <n v="1710166174"/>
    <s v="Finalizado (2/4)"/>
    <n v="10.264799999999999"/>
    <n v="1.9552"/>
    <n v="12.22"/>
    <s v="Sessão Faturada"/>
    <n v="771015039373010"/>
    <n v="48191"/>
    <s v="Unidade Sao Jose"/>
    <n v="1710166174"/>
    <m/>
  </r>
  <r>
    <x v="20"/>
    <x v="35"/>
    <s v="Francinete Ferreira de Souza"/>
    <s v="Feminino"/>
    <x v="8"/>
    <x v="11"/>
    <s v="20103492 - Patologia Em Dois Ou Mais Membros (R$ 14,83), 20103514 - Patologia Em Diferentes Segmentos da Coluna (R$ 14,83)"/>
    <s v="Fisioterapia"/>
    <n v="1710740777"/>
    <s v="Finalizado (2/5)"/>
    <n v="24.914400000000001"/>
    <n v="4.7455999999999996"/>
    <n v="29.66"/>
    <s v="Sessão Faturada"/>
    <n v="954390037672020"/>
    <n v="41225"/>
    <s v="Unidade Sao Jose"/>
    <n v="1710740777"/>
    <m/>
  </r>
  <r>
    <x v="20"/>
    <x v="35"/>
    <s v="Francinete Ferreira de Souza"/>
    <s v="Feminino"/>
    <x v="9"/>
    <x v="11"/>
    <s v="31602185 - Estimulação Elétrica Transcutânea (Tens) - Removido 13/04/2026 (R$ 40,00)"/>
    <s v="Fisioterapia"/>
    <n v="1711357320"/>
    <s v="Finalizado (1/5)"/>
    <n v="33.6"/>
    <n v="6.4"/>
    <n v="40"/>
    <s v="Sessão Faturada"/>
    <n v="954390037672020"/>
    <n v="41225"/>
    <s v="Unidade Sao Jose"/>
    <n v="1711357320"/>
    <m/>
  </r>
  <r>
    <x v="20"/>
    <x v="35"/>
    <s v="Francisco Miguel Pessoa de Lima"/>
    <s v="Masculino"/>
    <x v="7"/>
    <x v="11"/>
    <s v="Sao José - 2 - Fisioterapia Ortopédica - Pacote (R$ 20,00)"/>
    <s v="Fisioterapia"/>
    <n v="170312"/>
    <s v="Finalizado (9/10)"/>
    <n v="15"/>
    <n v="5"/>
    <n v="20"/>
    <s v="Pago"/>
    <n v="59509"/>
    <n v="59509"/>
    <s v="Unidade Sao Jose"/>
    <n v="170312"/>
    <m/>
  </r>
  <r>
    <x v="20"/>
    <x v="42"/>
    <s v="Amaziles Andrade de Morais"/>
    <s v="Feminino"/>
    <x v="27"/>
    <x v="11"/>
    <s v="20103522 - Fisioterapia - Pac Com Dependencia de Vida Diária (R$ 23,59)"/>
    <s v="Fisioterapia"/>
    <n v="1710165412"/>
    <s v="Finalizado (2/4)"/>
    <n v="19.8156"/>
    <n v="3.7744"/>
    <n v="23.59"/>
    <s v="Sessão Faturada"/>
    <n v="771015039373010"/>
    <n v="48191"/>
    <s v="Unidade Sao Jose"/>
    <n v="1710165412"/>
    <m/>
  </r>
  <r>
    <x v="20"/>
    <x v="38"/>
    <s v="Elizandra Araujo Coelho"/>
    <s v="Feminino"/>
    <x v="7"/>
    <x v="11"/>
    <s v="Sao José - 2 - Fisioterapia Ortopédica - Pacote (R$ 20,00)"/>
    <s v="Fisioterapia"/>
    <n v="167496"/>
    <s v="Finalizado (20/20)"/>
    <n v="15"/>
    <n v="5"/>
    <n v="20"/>
    <s v="Pago"/>
    <n v="59298"/>
    <n v="59298"/>
    <s v="Unidade Sao Jose"/>
    <n v="167496"/>
    <m/>
  </r>
  <r>
    <x v="20"/>
    <x v="38"/>
    <s v="Sheila Ferreira do Nascimento"/>
    <s v="Feminino"/>
    <x v="27"/>
    <x v="11"/>
    <s v="20103522 - Fisioterapia - Pac Com Dependencia de Vida Diária (R$ 23,59)"/>
    <s v="Fisioterapia"/>
    <n v="1704256373"/>
    <s v="Finalizado (5/5)"/>
    <n v="19.8156"/>
    <n v="3.7744"/>
    <n v="23.59"/>
    <s v="Sessão Faturada"/>
    <n v="774239001511020"/>
    <n v="27492"/>
    <s v="Unidade Sao Jose"/>
    <n v="1704256373"/>
    <m/>
  </r>
  <r>
    <x v="20"/>
    <x v="38"/>
    <s v="Kize Coelho Mar"/>
    <s v="Feminino"/>
    <x v="8"/>
    <x v="11"/>
    <s v="20103492 - Patologia Em Dois Ou Mais Membros (R$ 14,83)"/>
    <s v="Fisioterapia"/>
    <n v="1710867446"/>
    <s v="Finalizado (2/5)"/>
    <n v="12.4572"/>
    <n v="2.3727999999999998"/>
    <n v="14.83"/>
    <s v="Sessão Faturada"/>
    <n v="954600030813000"/>
    <n v="59602"/>
    <s v="Unidade Sao Jose"/>
    <n v="1710867446"/>
    <m/>
  </r>
  <r>
    <x v="20"/>
    <x v="62"/>
    <s v="Sheila Ferreira do Nascimento"/>
    <s v="Feminino"/>
    <x v="27"/>
    <x v="11"/>
    <s v="20103514 - Patol. Em Diferentes Segmentos da Coluna (R$ 14,83)"/>
    <s v="Fisioterapia"/>
    <n v="1704256854"/>
    <s v="Finalizado (5/5)"/>
    <n v="12.4572"/>
    <n v="2.3727999999999998"/>
    <n v="14.83"/>
    <s v="Sessão Faturada"/>
    <n v="774239001511020"/>
    <n v="27492"/>
    <s v="Unidade Sao Jose"/>
    <n v="1704256854"/>
    <m/>
  </r>
  <r>
    <x v="20"/>
    <x v="37"/>
    <s v="Jorge Frank dos Santos Lira"/>
    <s v="Masculino"/>
    <x v="8"/>
    <x v="11"/>
    <s v="20103492 - Patologia Em Dois Ou Mais Membros (R$ 14,83), 20103514 - Patologia Em Diferentes Segmentos da Coluna (R$ 14,83)"/>
    <s v="Fisioterapia"/>
    <n v="1711428940"/>
    <s v="Finalizado (1/5)"/>
    <n v="24.914400000000001"/>
    <n v="4.7455999999999996"/>
    <n v="29.66"/>
    <s v="Sessão Faturada"/>
    <n v="954600002780020"/>
    <n v="58709"/>
    <s v="Unidade Sao Jose"/>
    <n v="1711428940"/>
    <m/>
  </r>
  <r>
    <x v="20"/>
    <x v="37"/>
    <s v="Jorge Frank dos Santos Lira"/>
    <s v="Masculino"/>
    <x v="8"/>
    <x v="11"/>
    <s v="50000144 - Consulta de Fisioterapia (R$ 51,42)"/>
    <s v="Fisioterapia"/>
    <n v="1711437887"/>
    <s v="Finalizado (1/1)"/>
    <n v="46.277999999999999"/>
    <n v="5.1420000000000003"/>
    <n v="51.42"/>
    <s v="Sessão Faturada"/>
    <n v="954600002780020"/>
    <n v="58709"/>
    <s v="Unidade Sao Jose"/>
    <n v="1711437887"/>
    <m/>
  </r>
  <r>
    <x v="20"/>
    <x v="39"/>
    <s v="Francisca da Silva Rebouças"/>
    <s v="Feminino"/>
    <x v="7"/>
    <x v="11"/>
    <s v="Sao José - 4 - Fisioterapia Neurológica/Respiratória - Pacote (R$ 50,00)"/>
    <s v="Fisioterapia"/>
    <n v="171002"/>
    <s v="Finalizado (4/5)"/>
    <n v="37.5"/>
    <n v="12.5"/>
    <n v="50"/>
    <s v="Pago"/>
    <n v="59581"/>
    <n v="59581"/>
    <s v="Unidade Sao Jose"/>
    <n v="171002"/>
    <m/>
  </r>
  <r>
    <x v="20"/>
    <x v="43"/>
    <s v="Cildomar dos Santos Lira"/>
    <s v="Masculino"/>
    <x v="7"/>
    <x v="11"/>
    <s v="Sao José - 2 - Fisioterapia Ortopédica - Pacote (R$ 20,00)"/>
    <s v="Fisioterapia"/>
    <n v="170978"/>
    <s v="Finalizado (3/10)"/>
    <n v="15"/>
    <n v="5"/>
    <n v="20"/>
    <s v="Pago"/>
    <n v="331883"/>
    <n v="33183"/>
    <s v="Unidade Sao Jose"/>
    <n v="170978"/>
    <m/>
  </r>
  <r>
    <x v="20"/>
    <x v="0"/>
    <s v="Eduardo Silva Cavalcante"/>
    <s v="Masculino"/>
    <x v="7"/>
    <x v="11"/>
    <s v="Sao José - 1 - Fisioterapia Ortopédica - Sessão (R$ 45,00)"/>
    <s v="Fisioterapia"/>
    <m/>
    <s v="Finalizado (1/1)"/>
    <n v="33.75"/>
    <n v="11.25"/>
    <n v="45"/>
    <s v="Pago"/>
    <n v="59633"/>
    <n v="59633"/>
    <s v="Unidade Sao Jose"/>
    <m/>
    <m/>
  </r>
  <r>
    <x v="20"/>
    <x v="0"/>
    <s v="Osmar Barbosa dos Santos Junior"/>
    <s v="Masculino"/>
    <x v="8"/>
    <x v="11"/>
    <s v="20103662 - Pos Operatorio Em Um Membro (R$ 14,99)"/>
    <s v="Fisioterapia"/>
    <n v="1711547864"/>
    <s v="Finalizado (1/5)"/>
    <n v="12.5916"/>
    <n v="2.3984000000000001"/>
    <n v="14.99"/>
    <s v="Sessão Faturada"/>
    <n v="954600036315000"/>
    <n v="58555"/>
    <s v="Unidade Sao Jose"/>
    <n v="1711547864"/>
    <m/>
  </r>
  <r>
    <x v="20"/>
    <x v="0"/>
    <s v="Osmar Barbosa dos Santos Junior"/>
    <s v="Masculino"/>
    <x v="9"/>
    <x v="11"/>
    <s v="31602185 - Estimulação Elétrica Transcutânea (Tens) - Removido 13/04/2026 (R$ 40,00)"/>
    <s v="Fisioterapia"/>
    <n v="1711550784"/>
    <s v="Finalizado (1/5)"/>
    <n v="33.6"/>
    <n v="6.4"/>
    <n v="40"/>
    <s v="Sessão Faturada"/>
    <n v="954600036315000"/>
    <n v="58555"/>
    <s v="Unidade Sao Jose"/>
    <n v="1711550784"/>
    <m/>
  </r>
  <r>
    <x v="20"/>
    <x v="0"/>
    <s v="Alessandro Ramos Veiga"/>
    <s v="Masculino"/>
    <x v="4"/>
    <x v="11"/>
    <s v="31602185 - Estimulação Elétrica Transcutânea - Removido 13/04/2026 (R$ 40,00)"/>
    <s v="Fisioterapia"/>
    <n v="1709495061"/>
    <s v="Finalizado (4/5)"/>
    <n v="33.6"/>
    <n v="6.4"/>
    <n v="40"/>
    <s v="Sessão Faturada"/>
    <n v="771015061093000"/>
    <n v="59531"/>
    <s v="Unidade Sao Jose"/>
    <n v="1709495061"/>
    <m/>
  </r>
  <r>
    <x v="20"/>
    <x v="0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08867832"/>
    <s v="Finalizado (5/5)"/>
    <n v="24.914400000000001"/>
    <n v="4.7455999999999996"/>
    <n v="29.66"/>
    <s v="Sessão Faturada"/>
    <n v="771015061093000"/>
    <n v="59531"/>
    <s v="Unidade Sao Jose"/>
    <n v="1708867832"/>
    <m/>
  </r>
  <r>
    <x v="20"/>
    <x v="0"/>
    <s v="Alessandro Ramos Veiga"/>
    <s v="Masculino"/>
    <x v="2"/>
    <x v="11"/>
    <s v="20103522 - Fisioterapia - Pac Com Dependencia de Vida Diária (R$ 23,59)"/>
    <s v="Fisioterapia"/>
    <n v="1708869061"/>
    <s v="Finalizado (5/5)"/>
    <n v="19.8156"/>
    <n v="3.7744"/>
    <n v="23.59"/>
    <s v="Sessão Faturada"/>
    <n v="771015061093000"/>
    <n v="59531"/>
    <s v="Unidade Sao Jose"/>
    <n v="1708869061"/>
    <m/>
  </r>
  <r>
    <x v="20"/>
    <x v="4"/>
    <s v="Suelen de Souza Moraes"/>
    <s v="Feminino"/>
    <x v="7"/>
    <x v="11"/>
    <s v="Sao José - 2 - Fisioterapia Ortopédica - Pacote (R$ 20,00)"/>
    <s v="Fisioterapia"/>
    <s v="/168940"/>
    <s v="Finalizado (14/30)"/>
    <n v="15"/>
    <n v="5"/>
    <n v="20"/>
    <s v="No Prazo"/>
    <n v="59411"/>
    <n v="59411"/>
    <s v="Unidade Sao Jose"/>
    <s v="/168940"/>
    <m/>
  </r>
  <r>
    <x v="20"/>
    <x v="4"/>
    <s v="Mônica Batista Jakinon"/>
    <s v="Feminino"/>
    <x v="8"/>
    <x v="11"/>
    <s v="20103492 - Patologia Em Dois Ou Mais Membros (R$ 14,83)"/>
    <s v="Fisioterapia"/>
    <n v="1706914771"/>
    <s v="Finalizado (3/5)"/>
    <n v="12.4572"/>
    <n v="2.3727999999999998"/>
    <n v="14.83"/>
    <s v="Sessão Faturada"/>
    <n v="954600030899000"/>
    <n v="57642"/>
    <s v="Unidade Sao Jose"/>
    <n v="1706914771"/>
    <m/>
  </r>
  <r>
    <x v="20"/>
    <x v="13"/>
    <s v="Lauriethe Silva Nascimento Garrido"/>
    <s v="Feminino"/>
    <x v="7"/>
    <x v="11"/>
    <s v="Sao José - 2 - Fisioterapia Ortopédica - Pacote (R$ 20,00)"/>
    <s v="Fisioterapia"/>
    <n v="170690"/>
    <s v="Finalizado (5/10)"/>
    <n v="15"/>
    <n v="5"/>
    <n v="20"/>
    <s v="Pago"/>
    <n v="59555"/>
    <n v="59555"/>
    <s v="Unidade Sao Jose"/>
    <n v="170690"/>
    <m/>
  </r>
  <r>
    <x v="20"/>
    <x v="6"/>
    <s v="Joao Paulo Pinheiro dos Santos"/>
    <s v="Masculino"/>
    <x v="8"/>
    <x v="11"/>
    <s v="20103662 - Pos Operatorio Em Um Membro (R$ 14,99)"/>
    <s v="Fisioterapia"/>
    <n v="1709783209"/>
    <s v="Finalizado (4/5)"/>
    <n v="12.5916"/>
    <n v="2.3984000000000001"/>
    <n v="14.99"/>
    <s v="Sessão Faturada"/>
    <n v="954600009601010"/>
    <n v="24910"/>
    <s v="Unidade Sao Jose"/>
    <n v="1709783209"/>
    <m/>
  </r>
  <r>
    <x v="20"/>
    <x v="7"/>
    <s v="Joao Paulo Pinheiro dos Santos"/>
    <s v="Masculino"/>
    <x v="9"/>
    <x v="11"/>
    <s v="31602185 - Estimulação Elétrica Transcutânea (Tens) - Removido 13/04/2026 (R$ 40,00)"/>
    <s v="Fisioterapia"/>
    <n v="1710440770"/>
    <s v="Finalizado (3/5)"/>
    <n v="33.6"/>
    <n v="6.4"/>
    <n v="40"/>
    <s v="Sessão Faturada"/>
    <n v="954600009601010"/>
    <n v="24910"/>
    <s v="Unidade Sao Jose"/>
    <n v="1710440770"/>
    <m/>
  </r>
  <r>
    <x v="20"/>
    <x v="15"/>
    <s v="Paulo Eduardo Silva de Souza"/>
    <s v="Masculino"/>
    <x v="7"/>
    <x v="11"/>
    <s v="Sao José - 2 - Fisioterapia Ortopédica - Pacote (R$ 20,00)"/>
    <s v="Fisioterapia"/>
    <n v="170450"/>
    <s v="Finalizado (8/10)"/>
    <n v="15"/>
    <n v="5"/>
    <n v="20"/>
    <s v="Pago"/>
    <n v="59524"/>
    <n v="59524"/>
    <s v="Unidade Sao Jose"/>
    <n v="170450"/>
    <m/>
  </r>
  <r>
    <x v="20"/>
    <x v="15"/>
    <s v="Ana de Jesus Figueira"/>
    <s v="Feminino"/>
    <x v="16"/>
    <x v="11"/>
    <s v="50000160 - Fisioterapia Ortopedica (R$ 25,00)"/>
    <s v="Fisioterapia"/>
    <n v="169067"/>
    <s v="Finalizado (7/10)"/>
    <n v="21"/>
    <n v="4"/>
    <n v="25"/>
    <s v="Sessão a Faturar"/>
    <n v="51923"/>
    <n v="51923"/>
    <s v="Unidade Sao Jose"/>
    <n v="169067"/>
    <m/>
  </r>
  <r>
    <x v="20"/>
    <x v="17"/>
    <s v="Thiago Lima Trindade"/>
    <s v="Masculino"/>
    <x v="7"/>
    <x v="11"/>
    <s v="Sao José - 14 - Fisioterapia Pós Operatória - Pacote (R$ 50,00)"/>
    <s v="Fisioterapia"/>
    <n v="170313"/>
    <s v="Finalizado (5/10)"/>
    <n v="37.5"/>
    <n v="12.5"/>
    <n v="50"/>
    <s v="Pago"/>
    <n v="59510"/>
    <n v="59510"/>
    <s v="Unidade Sao Jose"/>
    <n v="170313"/>
    <m/>
  </r>
  <r>
    <x v="20"/>
    <x v="8"/>
    <s v="Gabriel Parente de Castro"/>
    <s v="Masculino"/>
    <x v="12"/>
    <x v="11"/>
    <s v="31602185 - Estimulação Elétrica Transcutânea (Tens) (R$ 49,00)"/>
    <s v="Fisioterapia"/>
    <n v="10319479"/>
    <s v="Finalizado (6/10)"/>
    <n v="41.16"/>
    <n v="7.84"/>
    <n v="49"/>
    <s v="Sessão Faturada"/>
    <n v="9.5078029485153997E+17"/>
    <n v="59364"/>
    <s v="Unidade Sao Jose"/>
    <n v="10319479"/>
    <m/>
  </r>
  <r>
    <x v="20"/>
    <x v="8"/>
    <s v="Gabriel Parente de Castro"/>
    <s v="Masculino"/>
    <x v="12"/>
    <x v="11"/>
    <s v="20103662 - Pos Operatorio Em Um Membro (R$ 14,99)"/>
    <s v="Fisioterapia"/>
    <n v="170538"/>
    <s v="Finalizado (6/10)"/>
    <n v="12.5916"/>
    <n v="2.3984000000000001"/>
    <n v="14.99"/>
    <s v="Sessão Faturada"/>
    <n v="9.5078029485153997E+17"/>
    <n v="59364"/>
    <s v="Unidade Sao Jose"/>
    <n v="170538"/>
    <m/>
  </r>
  <r>
    <x v="20"/>
    <x v="10"/>
    <s v="Samuel Santana Bruce"/>
    <s v="Masculino"/>
    <x v="2"/>
    <x v="11"/>
    <s v="20103492 - Fisioterapia - Patologia Em Dois Ou Mais Membros (R$ 14,83)"/>
    <s v="Fisioterapia"/>
    <n v="1702233567"/>
    <s v="Finalizado (5/5)"/>
    <n v="12.4572"/>
    <n v="2.3727999999999998"/>
    <n v="14.83"/>
    <s v="Sessão Faturada"/>
    <n v="775225007463010"/>
    <n v="58863"/>
    <s v="Unidade Sao Jose"/>
    <n v="1702233567"/>
    <m/>
  </r>
  <r>
    <x v="20"/>
    <x v="10"/>
    <s v="Evanilson Cavalcante Batista"/>
    <s v="Masculino"/>
    <x v="7"/>
    <x v="11"/>
    <s v="Sao José - 4 - Fisioterapia Neurológica/Respiratória - Pacote (R$ 50,00)"/>
    <s v="Fisioterapia"/>
    <n v="171698"/>
    <s v="Finalizado (1/5)"/>
    <n v="37.5"/>
    <n v="12.5"/>
    <n v="50"/>
    <s v="Pago"/>
    <n v="59647"/>
    <n v="59647"/>
    <s v="Unidade Sao Jose"/>
    <n v="171698"/>
    <m/>
  </r>
  <r>
    <x v="23"/>
    <x v="44"/>
    <s v="Tereza da Rocha Vieira"/>
    <s v="Feminino"/>
    <x v="10"/>
    <x v="11"/>
    <s v="50000160 - Fisioterapia Ortopédica (R$ 15,00)"/>
    <s v="Fisioterapia"/>
    <n v="15114021"/>
    <s v="Finalizado (3/10)"/>
    <n v="12.6"/>
    <n v="2.4"/>
    <n v="15"/>
    <s v="Sessão Faturada"/>
    <s v="00010001253014045"/>
    <n v="52943"/>
    <s v="Unidade Sao Jose"/>
    <n v="15114021"/>
    <m/>
  </r>
  <r>
    <x v="23"/>
    <x v="44"/>
    <s v="Vanderlei Moraes da Silva"/>
    <s v="Masculino"/>
    <x v="16"/>
    <x v="11"/>
    <s v="50000160 - Fisioterapia Ortopedica (R$ 25,00)"/>
    <s v="Fisioterapia"/>
    <n v="171180"/>
    <s v="Finalizado (4/10)"/>
    <n v="21"/>
    <n v="4"/>
    <n v="25"/>
    <s v="Sessão a Faturar"/>
    <n v="58809"/>
    <n v="58809"/>
    <s v="Unidade Sao Jose"/>
    <n v="171180"/>
    <m/>
  </r>
  <r>
    <x v="23"/>
    <x v="41"/>
    <s v="Evanilson Cavalcante Batista"/>
    <s v="Masculino"/>
    <x v="7"/>
    <x v="11"/>
    <s v="Sao José - 4 - Fisioterapia Neurológica/Respiratória - Pacote (R$ 50,00)"/>
    <s v="Fisioterapia"/>
    <n v="171698"/>
    <s v="Finalizado (2/5)"/>
    <n v="37.5"/>
    <n v="12.5"/>
    <n v="50"/>
    <s v="Pago"/>
    <n v="59647"/>
    <n v="59647"/>
    <s v="Unidade Sao Jose"/>
    <n v="171698"/>
    <m/>
  </r>
  <r>
    <x v="23"/>
    <x v="41"/>
    <s v="Soniele Maria Santos da Silva"/>
    <s v="Feminino"/>
    <x v="8"/>
    <x v="11"/>
    <s v="20103492 - Patologia Em Dois Ou Mais Membros (R$ 14,83)"/>
    <s v="Fisioterapia"/>
    <n v="1700230252"/>
    <s v="Finalizado (4/4)"/>
    <n v="12.4572"/>
    <n v="2.3727999999999998"/>
    <n v="14.83"/>
    <s v="Sessão Faturada"/>
    <n v="954600000507010"/>
    <n v="50297"/>
    <s v="Unidade Sao Jose"/>
    <n v="1700230252"/>
    <m/>
  </r>
  <r>
    <x v="23"/>
    <x v="41"/>
    <s v="Manuele da Palma Monteiro"/>
    <s v="Feminino"/>
    <x v="7"/>
    <x v="11"/>
    <s v="Sao José - 2 - Fisioterapia Ortopédica - Pacote (R$ 20,00)"/>
    <s v="Fisioterapia"/>
    <n v="171038"/>
    <s v="Finalizado (1/10)"/>
    <n v="15"/>
    <n v="5"/>
    <n v="20"/>
    <s v="Pago"/>
    <n v="59589"/>
    <n v="59589"/>
    <s v="Unidade Sao Jose"/>
    <n v="171038"/>
    <m/>
  </r>
  <r>
    <x v="23"/>
    <x v="41"/>
    <s v="Francisco Sampaio Lima"/>
    <s v="Masculino"/>
    <x v="7"/>
    <x v="11"/>
    <s v="Sao José - 2 - Fisioterapia Ortopédica - Pacote (R$ 20,00)"/>
    <s v="Fisioterapia"/>
    <n v="168204"/>
    <s v="Finalizado (5/10)"/>
    <n v="15"/>
    <n v="5"/>
    <n v="20"/>
    <s v="Pago"/>
    <n v="59270"/>
    <n v="59270"/>
    <s v="Unidade Sao Jose"/>
    <n v="168204"/>
    <m/>
  </r>
  <r>
    <x v="23"/>
    <x v="38"/>
    <s v="Adna Melo da Silva Juvenal"/>
    <s v="Feminino"/>
    <x v="8"/>
    <x v="11"/>
    <s v="20103492 - Patologia Em Dois Ou Mais Membros (R$ 14,83), 20103514 - Patologia Em Diferentes Segmentos da Coluna (R$ 14,83)"/>
    <s v="Fisioterapia"/>
    <n v="1701456690"/>
    <s v="Finalizado (4/4)"/>
    <n v="24.914400000000001"/>
    <n v="4.7455999999999996"/>
    <n v="29.66"/>
    <s v="Sessão Faturada"/>
    <n v="954600025615010"/>
    <n v="54008"/>
    <s v="Unidade Sao Jose"/>
    <n v="1701456690"/>
    <m/>
  </r>
  <r>
    <x v="23"/>
    <x v="38"/>
    <s v="Maria Jurandir Melo da Silva"/>
    <s v="Feminino"/>
    <x v="7"/>
    <x v="11"/>
    <s v="Sao José - 2 - Fisioterapia Ortopédica - Pacote (R$ 20,00)"/>
    <s v="Fisioterapia"/>
    <n v="166494"/>
    <s v="Finalizado (7/10)"/>
    <n v="15"/>
    <n v="5"/>
    <n v="20"/>
    <s v="Pago"/>
    <n v="59191"/>
    <n v="59191"/>
    <s v="Unidade Sao Jose"/>
    <n v="166494"/>
    <m/>
  </r>
  <r>
    <x v="23"/>
    <x v="38"/>
    <s v="Vanessa Soares de Almeida"/>
    <s v="Feminino"/>
    <x v="7"/>
    <x v="11"/>
    <s v="Sao José - 2 - Fisioterapia Ortopédica - Pacote (R$ 20,00)"/>
    <s v="Fisioterapia"/>
    <n v="170464"/>
    <s v="Finalizado (4/10)"/>
    <n v="15"/>
    <n v="5"/>
    <n v="20"/>
    <s v="Pago"/>
    <s v="."/>
    <n v="52536"/>
    <s v="Unidade Sao Jose"/>
    <n v="170464"/>
    <m/>
  </r>
  <r>
    <x v="23"/>
    <x v="38"/>
    <s v="Luan Raphael Fernandes da Silva"/>
    <s v="Masculino"/>
    <x v="27"/>
    <x v="11"/>
    <s v="20103662 - Pos Operatorio Em Um Membro (R$ 14,99)"/>
    <s v="Fisioterapia"/>
    <n v="1711947902"/>
    <s v="Finalizado (1/5)"/>
    <n v="12.5916"/>
    <n v="2.3984000000000001"/>
    <n v="14.99"/>
    <s v="Sessão a Faturar"/>
    <n v="775216014346010"/>
    <n v="59334"/>
    <s v="Unidade Sao Jose"/>
    <n v="1711947902"/>
    <m/>
  </r>
  <r>
    <x v="23"/>
    <x v="62"/>
    <s v="Luan Raphael Fernandes da Silva"/>
    <s v="Masculino"/>
    <x v="4"/>
    <x v="11"/>
    <s v="31602185 - Estimulação Elétrica Transcutânea - Removido 13/04/2026 (R$ 40,00)"/>
    <s v="Fisioterapia"/>
    <n v="1711947149"/>
    <s v="Finalizado (1/5)"/>
    <n v="33.6"/>
    <n v="6.4"/>
    <n v="40"/>
    <s v="Sessão Faturada"/>
    <n v="775216014346010"/>
    <n v="59334"/>
    <s v="Unidade Sao Jose"/>
    <n v="1711947149"/>
    <m/>
  </r>
  <r>
    <x v="23"/>
    <x v="37"/>
    <s v="Kize Coelho Mar"/>
    <s v="Feminino"/>
    <x v="9"/>
    <x v="11"/>
    <s v="31602185 - Estimulação Elétrica Transcutânea (Tens) - Removido 13/04/2026 (R$ 40,00)"/>
    <s v="Fisioterapia"/>
    <n v="1711961933"/>
    <s v="Finalizado (1/5)"/>
    <n v="33.6"/>
    <n v="6.4"/>
    <n v="40"/>
    <s v="Sessão a Faturar"/>
    <n v="954600030813000"/>
    <n v="59602"/>
    <s v="Unidade Sao Jose"/>
    <n v="1711961933"/>
    <m/>
  </r>
  <r>
    <x v="23"/>
    <x v="37"/>
    <s v="Kize Coelho Mar"/>
    <s v="Feminino"/>
    <x v="8"/>
    <x v="11"/>
    <s v="20103492 - Patologia Em Dois Ou Mais Membros (R$ 14,83)"/>
    <s v="Fisioterapia"/>
    <n v="1710867446"/>
    <s v="Finalizado (3/5)"/>
    <n v="12.4572"/>
    <n v="2.3727999999999998"/>
    <n v="14.83"/>
    <s v="Sessão Faturada"/>
    <n v="954600030813000"/>
    <n v="59602"/>
    <s v="Unidade Sao Jose"/>
    <n v="1710867446"/>
    <m/>
  </r>
  <r>
    <x v="23"/>
    <x v="37"/>
    <s v="Lucca Gabriel Rodrigues"/>
    <s v="Masculino"/>
    <x v="7"/>
    <x v="11"/>
    <s v="Sao José - 4 - Fisioterapia Neurológica/Respiratória - Pacote (R$ 50,00)"/>
    <s v="Fisioterapia"/>
    <n v="170023"/>
    <s v="Finalizado (3/5)"/>
    <n v="37.5"/>
    <n v="12.5"/>
    <n v="50"/>
    <s v="Pago"/>
    <n v="59489"/>
    <n v="59489"/>
    <s v="Unidade Sao Jose"/>
    <n v="170023"/>
    <m/>
  </r>
  <r>
    <x v="23"/>
    <x v="39"/>
    <s v="Francisca da Silva Rebouças"/>
    <s v="Feminino"/>
    <x v="7"/>
    <x v="11"/>
    <s v="Sao José - 4 - Fisioterapia Neurológica/Respiratória - Pacote (R$ 50,00)"/>
    <s v="Fisioterapia"/>
    <n v="171002"/>
    <s v="Finalizado (5/5)"/>
    <n v="37.5"/>
    <n v="12.5"/>
    <n v="50"/>
    <s v="Pago"/>
    <n v="59581"/>
    <n v="59581"/>
    <s v="Unidade Sao Jose"/>
    <n v="171002"/>
    <m/>
  </r>
  <r>
    <x v="0"/>
    <x v="44"/>
    <s v="Vanderlei Moraes da Silva"/>
    <s v="Masculino"/>
    <x v="16"/>
    <x v="11"/>
    <s v="50000160 - Fisioterapia Ortopedica (R$ 25,00)"/>
    <s v="Fisioterapia"/>
    <n v="171180"/>
    <s v="Finalizado (5/10)"/>
    <n v="21"/>
    <n v="4"/>
    <n v="25"/>
    <s v="Sessão a Faturar"/>
    <n v="58809"/>
    <n v="58809"/>
    <s v="Unidade Sao Jose"/>
    <n v="171180"/>
    <m/>
  </r>
  <r>
    <x v="0"/>
    <x v="41"/>
    <s v="Evanilson Cavalcante Batista"/>
    <s v="Masculino"/>
    <x v="7"/>
    <x v="11"/>
    <s v="Sao José - 4 - Fisioterapia Neurológica/Respiratória - Pacote (R$ 50,00)"/>
    <s v="Fisioterapia"/>
    <n v="171698"/>
    <s v="Finalizado (3/5)"/>
    <n v="37.5"/>
    <n v="12.5"/>
    <n v="50"/>
    <s v="Pago"/>
    <n v="59647"/>
    <n v="59647"/>
    <s v="Unidade Sao Jose"/>
    <n v="171698"/>
    <m/>
  </r>
  <r>
    <x v="0"/>
    <x v="36"/>
    <s v="Devanete Gonçalves de Oliveira"/>
    <s v="Feminino"/>
    <x v="7"/>
    <x v="11"/>
    <s v="Sao José - 2 - Fisioterapia Ortopédica - Pacote (R$ 20,00)"/>
    <s v="Fisioterapia"/>
    <n v="171787"/>
    <s v="Finalizado (1/10)"/>
    <n v="15"/>
    <n v="5"/>
    <n v="20"/>
    <s v="Pago"/>
    <n v="59652"/>
    <n v="59652"/>
    <s v="Unidade Sao Jose"/>
    <n v="171787"/>
    <m/>
  </r>
  <r>
    <x v="0"/>
    <x v="36"/>
    <s v="Vania Valeria Belo"/>
    <s v="Feminino"/>
    <x v="27"/>
    <x v="11"/>
    <s v="20103522 - Fisioterapia - Pac Com Dependencia de Vida Diária (R$ 23,59)"/>
    <s v="Fisioterapia"/>
    <n v="1712618172"/>
    <s v="Finalizado (1/5)"/>
    <n v="19.8156"/>
    <n v="3.7744"/>
    <n v="23.59"/>
    <s v="Sessão a Faturar"/>
    <n v="814053200035000"/>
    <n v="28034"/>
    <s v="Unidade Sao Jose"/>
    <n v="1712618172"/>
    <m/>
  </r>
  <r>
    <x v="0"/>
    <x v="36"/>
    <s v="Francilene Sousa Campos da Silva"/>
    <s v="Feminino"/>
    <x v="27"/>
    <x v="11"/>
    <s v="20103492 - Patol. Em Dois Ou Mais Membros (R$ 14,83)"/>
    <s v="Fisioterapia"/>
    <n v="1710119702"/>
    <s v="Finalizado (4/5)"/>
    <n v="12.4572"/>
    <n v="2.3727999999999998"/>
    <n v="14.83"/>
    <s v="Sessão Faturada"/>
    <n v="813227000779000"/>
    <n v="58889"/>
    <s v="Unidade Sao Jose"/>
    <n v="1710119702"/>
    <m/>
  </r>
  <r>
    <x v="0"/>
    <x v="36"/>
    <s v="Sonia Maria Morais Maia"/>
    <s v="Feminino"/>
    <x v="0"/>
    <x v="11"/>
    <s v="50000160 - Fisioterapia Ortopedica (R$ 49,72)"/>
    <s v="Fisioterapia"/>
    <s v="42263120260310440094"/>
    <s v="Finalizado (3/10)"/>
    <n v="41.764800000000001"/>
    <n v="7.9551999999999996"/>
    <n v="49.72"/>
    <s v="Sessão a Faturar"/>
    <s v="010650548005"/>
    <n v="55667"/>
    <s v="Unidade Sao Jose"/>
    <s v="42263120260310440094"/>
    <m/>
  </r>
  <r>
    <x v="0"/>
    <x v="61"/>
    <s v="Francilene Sousa Campos da Silva"/>
    <s v="Feminino"/>
    <x v="4"/>
    <x v="11"/>
    <s v="31602185 - Estimulação Elétrica Transcutânea - Removido 13/04/2026 (R$ 40,00)"/>
    <s v="Fisioterapia"/>
    <n v="1710732173"/>
    <s v="Finalizado (3/5)"/>
    <n v="33.6"/>
    <n v="6.4"/>
    <n v="40"/>
    <s v="Sessão Faturada"/>
    <n v="813227000779000"/>
    <n v="58889"/>
    <s v="Unidade Sao Jose"/>
    <n v="1710732173"/>
    <m/>
  </r>
  <r>
    <x v="0"/>
    <x v="61"/>
    <s v="Vania Valeria Belo"/>
    <s v="Feminino"/>
    <x v="27"/>
    <x v="11"/>
    <s v="20103492 - Patol. Em Dois Ou Mais Membros (R$ 14,83)"/>
    <s v="Fisioterapia"/>
    <n v="1712619113"/>
    <s v="Finalizado (1/5)"/>
    <n v="12.4572"/>
    <n v="2.3727999999999998"/>
    <n v="14.83"/>
    <s v="Sessão a Faturar"/>
    <n v="814053200035000"/>
    <n v="28034"/>
    <s v="Unidade Sao Jose"/>
    <n v="1712619113"/>
    <m/>
  </r>
  <r>
    <x v="0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3/10)"/>
    <n v="45.469200000000001"/>
    <n v="8.6608000000000001"/>
    <n v="54.13"/>
    <s v="Sessão a Faturar"/>
    <s v="010650548005"/>
    <n v="55667"/>
    <s v="Unidade Sao Jose"/>
    <s v="52263120260310440139"/>
    <m/>
  </r>
  <r>
    <x v="0"/>
    <x v="40"/>
    <s v="Jorge Frank dos Santos Lira"/>
    <s v="Masculino"/>
    <x v="9"/>
    <x v="11"/>
    <s v="31602185 - Estimulação Elétrica Transcutânea (Tens) - Removido 13/04/2026 (R$ 40,00)"/>
    <s v="Fisioterapia"/>
    <n v="1712639512"/>
    <s v="Finalizado (1/5)"/>
    <n v="33.6"/>
    <n v="6.4"/>
    <n v="40"/>
    <s v="Sessão Faturada"/>
    <n v="954600002780020"/>
    <n v="58709"/>
    <s v="Unidade Sao Jose"/>
    <n v="1712639512"/>
    <m/>
  </r>
  <r>
    <x v="0"/>
    <x v="40"/>
    <s v="Manoel de Freitas Mendonça Neto"/>
    <s v="Masculino"/>
    <x v="8"/>
    <x v="11"/>
    <s v="20103492 - Patologia Em Dois Ou Mais Membros (R$ 14,83)"/>
    <s v="Fisioterapia"/>
    <n v="1711345071"/>
    <s v="Finalizado (2/5)"/>
    <n v="12.4572"/>
    <n v="2.3727999999999998"/>
    <n v="14.83"/>
    <s v="Sessão Faturada"/>
    <n v="954600000256020"/>
    <n v="47993"/>
    <s v="Unidade Sao Jose"/>
    <n v="1711345071"/>
    <m/>
  </r>
  <r>
    <x v="0"/>
    <x v="40"/>
    <s v="Jorge Frank dos Santos Lira"/>
    <s v="Masculino"/>
    <x v="8"/>
    <x v="11"/>
    <s v="20103492 - Patologia Em Dois Ou Mais Membros (R$ 14,83), 20103514 - Patologia Em Diferentes Segmentos da Coluna (R$ 14,83)"/>
    <s v="Fisioterapia"/>
    <n v="1711428940"/>
    <s v="Finalizado (2/5)"/>
    <n v="24.914400000000001"/>
    <n v="4.7455999999999996"/>
    <n v="29.66"/>
    <s v="Sessão Faturada"/>
    <n v="954600002780020"/>
    <n v="58709"/>
    <s v="Unidade Sao Jose"/>
    <n v="1711428940"/>
    <m/>
  </r>
  <r>
    <x v="0"/>
    <x v="40"/>
    <s v="Renato de Araújo Santos"/>
    <s v="Masculino"/>
    <x v="7"/>
    <x v="11"/>
    <s v="Sao José - 2 - Fisioterapia Ortopédica - Pacote (R$ 20,00)"/>
    <s v="Fisioterapia"/>
    <n v="170405"/>
    <s v="Finalizado (8/10)"/>
    <n v="15"/>
    <n v="5"/>
    <n v="20"/>
    <s v="Pago"/>
    <n v="59520"/>
    <n v="59520"/>
    <s v="Unidade Sao Jose"/>
    <n v="170405"/>
    <m/>
  </r>
  <r>
    <x v="0"/>
    <x v="45"/>
    <s v="Manoel de Freitas Mendonça Neto"/>
    <s v="Masculino"/>
    <x v="9"/>
    <x v="11"/>
    <s v="31602185 - Estimulação Elétrica Transcutânea (Tens) - Removido 13/04/2026 (R$ 40,00)"/>
    <s v="Fisioterapia"/>
    <n v="1711347208"/>
    <s v="Finalizado (2/5)"/>
    <n v="33.6"/>
    <n v="6.4"/>
    <n v="40"/>
    <s v="Sessão Faturada"/>
    <n v="954600000256020"/>
    <n v="47993"/>
    <s v="Unidade Sao Jose"/>
    <n v="1711347208"/>
    <m/>
  </r>
  <r>
    <x v="0"/>
    <x v="35"/>
    <s v="Jose Francinaldo dos Santos"/>
    <s v="Masculino"/>
    <x v="7"/>
    <x v="11"/>
    <s v="Sao José - 4 - Fisioterapia Neurológica/Respiratória - Pacote (R$ 50,00)"/>
    <s v="Fisioterapia"/>
    <n v="170818"/>
    <s v="Finalizado (5/10)"/>
    <n v="37.5"/>
    <n v="12.5"/>
    <n v="50"/>
    <s v="No Prazo"/>
    <n v="59333"/>
    <n v="59333"/>
    <s v="Unidade Sao Jose"/>
    <n v="170818"/>
    <m/>
  </r>
  <r>
    <x v="0"/>
    <x v="35"/>
    <s v="Andriely Oliveira Braga"/>
    <s v="Feminino"/>
    <x v="27"/>
    <x v="11"/>
    <s v="20103662 - Pos Operatorio Em Um Membro (R$ 14,99)"/>
    <s v="Fisioterapia"/>
    <n v="1711366375"/>
    <s v="Finalizado (2/5)"/>
    <n v="12.5916"/>
    <n v="2.3984000000000001"/>
    <n v="14.99"/>
    <s v="Sessão Faturada"/>
    <n v="813227000396000"/>
    <n v="52145"/>
    <s v="Unidade Sao Jose"/>
    <n v="1711366375"/>
    <m/>
  </r>
  <r>
    <x v="0"/>
    <x v="38"/>
    <s v="Sheila Ferreira do Nascimento"/>
    <s v="Feminino"/>
    <x v="27"/>
    <x v="11"/>
    <s v="20103514 - Patol. Em Diferentes Segmentos da Coluna (R$ 14,83)"/>
    <s v="Fisioterapia"/>
    <n v="1712649778"/>
    <s v="Finalizado (1/5)"/>
    <n v="12.4572"/>
    <n v="2.3727999999999998"/>
    <n v="14.83"/>
    <s v="Sessão Faturada"/>
    <n v="774239001511020"/>
    <n v="27492"/>
    <s v="Unidade Sao Jose"/>
    <n v="1712649778"/>
    <m/>
  </r>
  <r>
    <x v="0"/>
    <x v="38"/>
    <s v="Sara Gonçalves Vieira"/>
    <s v="Feminino"/>
    <x v="7"/>
    <x v="11"/>
    <s v="Sao José - 2 - Fisioterapia Ortopédica - Pacote (R$ 20,00)"/>
    <s v="Fisioterapia"/>
    <n v="170117"/>
    <s v="Finalizado (5/10)"/>
    <n v="15"/>
    <n v="5"/>
    <n v="20"/>
    <s v="Pago"/>
    <n v="56256"/>
    <n v="56256"/>
    <s v="Unidade Sao Jose"/>
    <n v="170117"/>
    <m/>
  </r>
  <r>
    <x v="0"/>
    <x v="62"/>
    <s v="Sheila Ferreira do Nascimento"/>
    <s v="Feminino"/>
    <x v="27"/>
    <x v="11"/>
    <s v="20103522 - Fisioterapia - Pac Com Dependencia de Vida Diária (R$ 23,59)"/>
    <s v="Fisioterapia"/>
    <n v="1712648148"/>
    <s v="Finalizado (1/5)"/>
    <n v="19.8156"/>
    <n v="3.7744"/>
    <n v="23.59"/>
    <s v="Sessão Faturada"/>
    <n v="774239001511020"/>
    <n v="27492"/>
    <s v="Unidade Sao Jose"/>
    <n v="1712648148"/>
    <m/>
  </r>
  <r>
    <x v="0"/>
    <x v="37"/>
    <s v="Cildomar dos Santos Lira"/>
    <s v="Masculino"/>
    <x v="7"/>
    <x v="11"/>
    <s v="Sao José - 2 - Fisioterapia Ortopédica - Pacote (R$ 20,00)"/>
    <s v="Fisioterapia"/>
    <n v="170978"/>
    <s v="Finalizado (4/10)"/>
    <n v="15"/>
    <n v="5"/>
    <n v="20"/>
    <s v="Pago"/>
    <n v="331883"/>
    <n v="33183"/>
    <s v="Unidade Sao Jose"/>
    <n v="170978"/>
    <m/>
  </r>
  <r>
    <x v="0"/>
    <x v="39"/>
    <s v="Francisca da Silva Rebouças"/>
    <s v="Feminino"/>
    <x v="7"/>
    <x v="11"/>
    <s v="Sao José - 4 - Fisioterapia Neurológica/Respiratória - Pacote (R$ 50,00)"/>
    <s v="Fisioterapia"/>
    <n v="171760"/>
    <s v="Finalizado (1/10)"/>
    <n v="37.5"/>
    <n v="12.5"/>
    <n v="50"/>
    <s v="Pago"/>
    <n v="59581"/>
    <n v="59581"/>
    <s v="Unidade Sao Jose"/>
    <n v="171760"/>
    <m/>
  </r>
  <r>
    <x v="0"/>
    <x v="22"/>
    <s v="Rosalvo Jerônimo Corrêa Júnior"/>
    <s v="Masculino"/>
    <x v="5"/>
    <x v="11"/>
    <s v="98860020 - Fisioterapia Complexidade 2 (R$ 73,81)"/>
    <s v="Fisioterapia"/>
    <n v="78534330"/>
    <s v="Finalizado (2/10)"/>
    <n v="62.000399999999999"/>
    <n v="11.8096"/>
    <n v="73.81"/>
    <s v="Sessão a Faturar"/>
    <s v="010119271100"/>
    <n v="21327"/>
    <s v="Unidade Sao Jose"/>
    <n v="78534330"/>
    <m/>
  </r>
  <r>
    <x v="0"/>
    <x v="23"/>
    <s v="Rosalvo Jerônimo Corrêa Júnior"/>
    <s v="Masculino"/>
    <x v="5"/>
    <x v="11"/>
    <s v="31602185 - Estimulação Elétrica Transcutânea (Tens) (R$ 125,40)"/>
    <s v="Fisioterapia"/>
    <n v="78534690"/>
    <s v="Finalizado (2/10)"/>
    <n v="105.336"/>
    <n v="20.064"/>
    <n v="125.4"/>
    <s v="Sessão a Faturar"/>
    <s v="010119271100"/>
    <n v="21327"/>
    <s v="Unidade Sao Jose"/>
    <n v="78534690"/>
    <m/>
  </r>
  <r>
    <x v="0"/>
    <x v="0"/>
    <s v="Lucelia Rodrigues Lopes Hermelindo"/>
    <s v="Feminino"/>
    <x v="27"/>
    <x v="11"/>
    <s v="20103492 - Patol. Em Dois Ou Mais Membros (R$ 14,83)"/>
    <s v="Fisioterapia"/>
    <n v="1709116722"/>
    <s v="Finalizado (2/5)"/>
    <n v="12.4572"/>
    <n v="2.3727999999999998"/>
    <n v="14.83"/>
    <s v="Sessão Faturada"/>
    <n v="771015043141020"/>
    <n v="43044"/>
    <s v="Unidade Sao Jose"/>
    <n v="1709116722"/>
    <m/>
  </r>
  <r>
    <x v="0"/>
    <x v="4"/>
    <s v="Francisco de Assis da Silva Junior"/>
    <s v="Masculino"/>
    <x v="7"/>
    <x v="11"/>
    <s v="Sao José - 14 - Fisioterapia Pós Operatória - Pacote (R$ 50,00)"/>
    <s v="Fisioterapia"/>
    <n v="170673"/>
    <s v="Finalizado (5/10)"/>
    <n v="37.5"/>
    <n v="12.5"/>
    <n v="50"/>
    <s v="Pago"/>
    <n v="39841"/>
    <n v="39841"/>
    <s v="Unidade Sao Jose"/>
    <n v="170673"/>
    <m/>
  </r>
  <r>
    <x v="0"/>
    <x v="13"/>
    <s v="Ana Cleide da Silva Lima"/>
    <s v="Feminino"/>
    <x v="7"/>
    <x v="11"/>
    <s v="Sao José - 2 - Fisioterapia Ortopédica - Pacote (R$ 20,00)"/>
    <s v="Fisioterapia"/>
    <n v="169727"/>
    <s v="Finalizado (9/10)"/>
    <n v="15"/>
    <n v="5"/>
    <n v="20"/>
    <s v="Pago"/>
    <n v="98278639000"/>
    <n v="54132"/>
    <s v="Unidade Sao Jose"/>
    <n v="169727"/>
    <m/>
  </r>
  <r>
    <x v="0"/>
    <x v="13"/>
    <s v="Suelen de Souza Moraes"/>
    <s v="Feminino"/>
    <x v="7"/>
    <x v="11"/>
    <s v="Sao José - 2 - Fisioterapia Ortopédica - Pacote (R$ 20,00)"/>
    <s v="Fisioterapia"/>
    <s v="/168940"/>
    <s v="Finalizado (15/30)"/>
    <n v="15"/>
    <n v="5"/>
    <n v="20"/>
    <s v="No Prazo"/>
    <n v="59411"/>
    <n v="59411"/>
    <s v="Unidade Sao Jose"/>
    <s v="/168940"/>
    <m/>
  </r>
  <r>
    <x v="0"/>
    <x v="13"/>
    <s v="Beatriz de Souza Figueiredo"/>
    <s v="Feminino"/>
    <x v="8"/>
    <x v="11"/>
    <s v="20103662 - Pos Operatorio Em Um Membro (R$ 14,99)"/>
    <s v="Fisioterapia"/>
    <n v="1709771057"/>
    <s v="Finalizado (2/5)"/>
    <n v="12.5916"/>
    <n v="2.3984000000000001"/>
    <n v="14.99"/>
    <s v="Sessão a Faturar"/>
    <n v="954440004065020"/>
    <n v="57037"/>
    <s v="Unidade Sao Jose"/>
    <n v="1709771057"/>
    <m/>
  </r>
  <r>
    <x v="0"/>
    <x v="6"/>
    <s v="Alessandra da Silva Cabral"/>
    <s v="Feminino"/>
    <x v="2"/>
    <x v="11"/>
    <s v="50000144 - Avaliação de Fisioterapia (R$ 51,42)"/>
    <s v="Fisioterapia"/>
    <n v="1712953211"/>
    <s v="Finalizado (1/1)"/>
    <n v="46.277999999999999"/>
    <n v="5.1420000000000003"/>
    <n v="51.42"/>
    <s v="Sessão Faturada"/>
    <n v="775426000850030"/>
    <n v="59638"/>
    <s v="Unidade Sao Jose"/>
    <n v="1712953211"/>
    <m/>
  </r>
  <r>
    <x v="0"/>
    <x v="15"/>
    <s v="Ana de Jesus Figueira"/>
    <s v="Feminino"/>
    <x v="16"/>
    <x v="11"/>
    <s v="50000160 - Fisioterapia Ortopedica (R$ 25,00)"/>
    <s v="Fisioterapia"/>
    <n v="169067"/>
    <s v="Finalizado (8/10)"/>
    <n v="21"/>
    <n v="4"/>
    <n v="25"/>
    <s v="Sessão a Faturar"/>
    <n v="51923"/>
    <n v="51923"/>
    <s v="Unidade Sao Jose"/>
    <n v="169067"/>
    <m/>
  </r>
  <r>
    <x v="0"/>
    <x v="17"/>
    <s v="Michele Freire de Souza"/>
    <s v="Feminino"/>
    <x v="7"/>
    <x v="11"/>
    <s v="Sao José - 2 - Fisioterapia Ortopédica - Pacote (R$ 20,00)"/>
    <s v="Fisioterapia"/>
    <n v="170528"/>
    <s v="Finalizado (8/10)"/>
    <n v="15"/>
    <n v="5"/>
    <n v="20"/>
    <s v="Pago"/>
    <n v="59532"/>
    <n v="59532"/>
    <s v="Unidade Sao Jose"/>
    <n v="170528"/>
    <m/>
  </r>
  <r>
    <x v="0"/>
    <x v="17"/>
    <s v="Manuele da Palma Monteiro"/>
    <s v="Feminino"/>
    <x v="7"/>
    <x v="11"/>
    <s v="Sao José - 2 - Fisioterapia Ortopédica - Pacote (R$ 20,00)"/>
    <s v="Fisioterapia"/>
    <n v="171038"/>
    <s v="Finalizado (2/10)"/>
    <n v="15"/>
    <n v="5"/>
    <n v="20"/>
    <s v="Pago"/>
    <n v="59589"/>
    <n v="59589"/>
    <s v="Unidade Sao Jose"/>
    <n v="171038"/>
    <m/>
  </r>
  <r>
    <x v="0"/>
    <x v="17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2989537"/>
    <s v="Finalizado (1/5)"/>
    <n v="24.914400000000001"/>
    <n v="4.7455999999999996"/>
    <n v="29.66"/>
    <s v="Sessão Faturada"/>
    <n v="775426000850030"/>
    <n v="59638"/>
    <s v="Unidade Sao Jose"/>
    <n v="1712989537"/>
    <m/>
  </r>
  <r>
    <x v="0"/>
    <x v="17"/>
    <s v="Luan Raphael Fernandes da Silva"/>
    <s v="Masculino"/>
    <x v="27"/>
    <x v="11"/>
    <s v="20103662 - Pos Operatorio Em Um Membro (R$ 14,99)"/>
    <s v="Fisioterapia"/>
    <n v="1711947902"/>
    <s v="Finalizado (2/5)"/>
    <n v="12.5916"/>
    <n v="2.3984000000000001"/>
    <n v="14.99"/>
    <s v="Sessão a Faturar"/>
    <n v="775216014346010"/>
    <n v="59334"/>
    <s v="Unidade Sao Jose"/>
    <n v="1711947902"/>
    <m/>
  </r>
  <r>
    <x v="0"/>
    <x v="18"/>
    <s v="Luan Raphael Fernandes da Silva"/>
    <s v="Masculino"/>
    <x v="4"/>
    <x v="11"/>
    <s v="31602185 - Estimulação Elétrica Transcutânea - Removido 13/04/2026 (R$ 40,00)"/>
    <s v="Fisioterapia"/>
    <n v="1711947149"/>
    <s v="Finalizado (2/5)"/>
    <n v="33.6"/>
    <n v="6.4"/>
    <n v="40"/>
    <s v="Sessão Faturada"/>
    <n v="775216014346010"/>
    <n v="59334"/>
    <s v="Unidade Sao Jose"/>
    <n v="1711947149"/>
    <m/>
  </r>
  <r>
    <x v="0"/>
    <x v="10"/>
    <s v="Thiago Lima da Rocha"/>
    <s v="Feminino"/>
    <x v="7"/>
    <x v="11"/>
    <s v="Sao José - 2 - Fisioterapia Ortopédica - Pacote (R$ 20,00)"/>
    <s v="Fisioterapia"/>
    <n v="170853"/>
    <s v="Finalizado (4/10)"/>
    <n v="15"/>
    <n v="5"/>
    <n v="20"/>
    <s v="Pago"/>
    <n v="59571"/>
    <n v="59571"/>
    <s v="Unidade Sao Jose"/>
    <n v="170853"/>
    <m/>
  </r>
  <r>
    <x v="1"/>
    <x v="44"/>
    <s v="Francisca Neta de Lira Araujo"/>
    <s v="Feminino"/>
    <x v="7"/>
    <x v="11"/>
    <s v="Sao José - 4 - Fisioterapia Neurológica/Respiratória - Pacote (R$ 50,00)"/>
    <s v="Fisioterapia"/>
    <n v="171525"/>
    <s v="Finalizado (2/10)"/>
    <n v="37.5"/>
    <n v="12.5"/>
    <n v="50"/>
    <s v="Pago"/>
    <n v="59631"/>
    <n v="59631"/>
    <s v="Unidade Sao Jose"/>
    <n v="171525"/>
    <m/>
  </r>
  <r>
    <x v="1"/>
    <x v="44"/>
    <s v="Tereza da Rocha Vieira"/>
    <s v="Feminino"/>
    <x v="10"/>
    <x v="11"/>
    <s v="50000160 - Fisioterapia Ortopédica (R$ 15,00)"/>
    <s v="Fisioterapia"/>
    <n v="15114021"/>
    <s v="Finalizado (4/10)"/>
    <n v="12.6"/>
    <n v="2.4"/>
    <n v="15"/>
    <s v="Sessão Faturada"/>
    <s v="00010001253014045"/>
    <n v="52943"/>
    <s v="Unidade Sao Jose"/>
    <n v="15114021"/>
    <m/>
  </r>
  <r>
    <x v="1"/>
    <x v="41"/>
    <s v="Renato de Araújo Santos"/>
    <s v="Masculino"/>
    <x v="7"/>
    <x v="11"/>
    <s v="Sao José - 2 - Fisioterapia Ortopédica - Pacote (R$ 20,00)"/>
    <s v="Fisioterapia"/>
    <n v="170405"/>
    <s v="Finalizado (9/10)"/>
    <n v="15"/>
    <n v="5"/>
    <n v="20"/>
    <s v="Pago"/>
    <n v="59520"/>
    <n v="59520"/>
    <s v="Unidade Sao Jose"/>
    <n v="170405"/>
    <m/>
  </r>
  <r>
    <x v="1"/>
    <x v="41"/>
    <s v="Vanderlei Moraes da Silva"/>
    <s v="Masculino"/>
    <x v="16"/>
    <x v="11"/>
    <s v="50000160 - Fisioterapia Ortopedica (R$ 25,00)"/>
    <s v="Fisioterapia"/>
    <n v="171180"/>
    <s v="Finalizado (6/10)"/>
    <n v="21"/>
    <n v="4"/>
    <n v="25"/>
    <s v="Sessão a Faturar"/>
    <n v="58809"/>
    <n v="58809"/>
    <s v="Unidade Sao Jose"/>
    <n v="171180"/>
    <m/>
  </r>
  <r>
    <x v="1"/>
    <x v="41"/>
    <s v="Evanilson Cavalcante Batista"/>
    <s v="Masculino"/>
    <x v="7"/>
    <x v="11"/>
    <s v="Sao José - 4 - Fisioterapia Neurológica/Respiratória - Pacote (R$ 50,00)"/>
    <s v="Fisioterapia"/>
    <n v="171698"/>
    <s v="Finalizado (4/5)"/>
    <n v="37.5"/>
    <n v="12.5"/>
    <n v="50"/>
    <s v="Pago"/>
    <n v="59647"/>
    <n v="59647"/>
    <s v="Unidade Sao Jose"/>
    <n v="171698"/>
    <m/>
  </r>
  <r>
    <x v="1"/>
    <x v="36"/>
    <s v="Manoel de Freitas Mendonça Neto"/>
    <s v="Masculino"/>
    <x v="9"/>
    <x v="11"/>
    <s v="31602185 - Estimulação Elétrica Transcutânea (Tens) - Removido 13/04/2026 (R$ 40,00)"/>
    <s v="Fisioterapia"/>
    <n v="1711347208"/>
    <s v="Finalizado (3/5)"/>
    <n v="33.6"/>
    <n v="6.4"/>
    <n v="40"/>
    <s v="Sessão Faturada"/>
    <n v="954600000256020"/>
    <n v="47993"/>
    <s v="Unidade Sao Jose"/>
    <n v="1711347208"/>
    <m/>
  </r>
  <r>
    <x v="1"/>
    <x v="61"/>
    <s v="Manoel de Freitas Mendonça Neto"/>
    <s v="Masculino"/>
    <x v="8"/>
    <x v="11"/>
    <s v="20103492 - Patologia Em Dois Ou Mais Membros (R$ 14,83)"/>
    <s v="Fisioterapia"/>
    <n v="1711345071"/>
    <s v="Finalizado (3/5)"/>
    <n v="12.4572"/>
    <n v="2.3727999999999998"/>
    <n v="14.83"/>
    <s v="Sessão Faturada"/>
    <n v="954600000256020"/>
    <n v="47993"/>
    <s v="Unidade Sao Jose"/>
    <n v="1711345071"/>
    <m/>
  </r>
  <r>
    <x v="1"/>
    <x v="40"/>
    <s v="Francilene Sousa Campos da Silva"/>
    <s v="Feminino"/>
    <x v="4"/>
    <x v="11"/>
    <s v="31602185 - Estimulação Elétrica Transcutânea - Removido 13/04/2026 (R$ 40,00)"/>
    <s v="Fisioterapia"/>
    <n v="1710732173"/>
    <s v="Finalizado (4/5)"/>
    <n v="33.6"/>
    <n v="6.4"/>
    <n v="40"/>
    <s v="Sessão Faturada"/>
    <n v="813227000779000"/>
    <n v="58889"/>
    <s v="Unidade Sao Jose"/>
    <n v="1710732173"/>
    <m/>
  </r>
  <r>
    <x v="1"/>
    <x v="40"/>
    <s v="Alessandro Ramos Veiga"/>
    <s v="Masculino"/>
    <x v="4"/>
    <x v="11"/>
    <s v="31602185 - Estimulação Elétrica Transcutânea - Removido 13/04/2026 (R$ 40,00)"/>
    <s v="Fisioterapia"/>
    <n v="1709495061"/>
    <s v="Finalizado (5/5)"/>
    <n v="33.6"/>
    <n v="6.4"/>
    <n v="40"/>
    <s v="Sessão Faturada"/>
    <n v="771015061093000"/>
    <n v="59531"/>
    <s v="Unidade Sao Jose"/>
    <n v="1709495061"/>
    <m/>
  </r>
  <r>
    <x v="1"/>
    <x v="40"/>
    <s v="Ronaldo Campos Alfaia"/>
    <s v="Masculino"/>
    <x v="7"/>
    <x v="11"/>
    <s v="Sao José - 2 - Fisioterapia Ortopédica - Pacote (R$ 20,00)"/>
    <s v="Fisioterapia"/>
    <n v="145081"/>
    <s v="Finalizado (9/10)"/>
    <n v="15"/>
    <n v="5"/>
    <n v="20"/>
    <s v="Pago"/>
    <n v="46847"/>
    <n v="46847"/>
    <s v="Unidade Sao Jose"/>
    <n v="145081"/>
    <m/>
  </r>
  <r>
    <x v="1"/>
    <x v="49"/>
    <s v="Alessandro Ramos Veiga"/>
    <s v="Masculino"/>
    <x v="2"/>
    <x v="11"/>
    <s v="20103522 - Fisioterapia - Pac Com Dependencia de Vida Diária (R$ 23,59)"/>
    <s v="Fisioterapia"/>
    <n v="1713311712"/>
    <s v="Finalizado (1/5)"/>
    <n v="19.8156"/>
    <n v="3.7744"/>
    <n v="23.59"/>
    <s v="Sessão a Faturar"/>
    <n v="771015061093000"/>
    <n v="59531"/>
    <s v="Unidade Sao Jose"/>
    <n v="1713311712"/>
    <m/>
  </r>
  <r>
    <x v="1"/>
    <x v="45"/>
    <s v="Francilene Sousa Campos da Silva"/>
    <s v="Feminino"/>
    <x v="27"/>
    <x v="11"/>
    <s v="20103492 - Patol. Em Dois Ou Mais Membros (R$ 14,83)"/>
    <s v="Fisioterapia"/>
    <n v="1710119702"/>
    <s v="Finalizado (5/5)"/>
    <n v="12.4572"/>
    <n v="2.3727999999999998"/>
    <n v="14.83"/>
    <s v="Sessão Faturada"/>
    <n v="813227000779000"/>
    <n v="58889"/>
    <s v="Unidade Sao Jose"/>
    <n v="1710119702"/>
    <m/>
  </r>
  <r>
    <x v="1"/>
    <x v="55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13309017"/>
    <s v="Finalizado (1/5)"/>
    <n v="24.914400000000001"/>
    <n v="4.7455999999999996"/>
    <n v="29.66"/>
    <s v="Sessão a Faturar"/>
    <n v="771015061093000"/>
    <n v="59531"/>
    <s v="Unidade Sao Jose"/>
    <n v="1713309017"/>
    <m/>
  </r>
  <r>
    <x v="1"/>
    <x v="38"/>
    <s v="Osmar Barbosa dos Santos Junior"/>
    <s v="Masculino"/>
    <x v="8"/>
    <x v="11"/>
    <s v="20103662 - Pos Operatorio Em Um Membro (R$ 14,99)"/>
    <s v="Fisioterapia"/>
    <n v="1711547864"/>
    <s v="Finalizado (2/5)"/>
    <n v="12.5916"/>
    <n v="2.3984000000000001"/>
    <n v="14.99"/>
    <s v="Sessão Faturada"/>
    <n v="954600036315000"/>
    <n v="58555"/>
    <s v="Unidade Sao Jose"/>
    <n v="1711547864"/>
    <m/>
  </r>
  <r>
    <x v="1"/>
    <x v="38"/>
    <s v="Maria Edilaine do Nascimento Biá"/>
    <s v="Feminino"/>
    <x v="7"/>
    <x v="11"/>
    <s v="Sao José - 2 - Fisioterapia Ortopédica - Pacote (R$ 20,00)"/>
    <s v="Fisioterapia"/>
    <n v="171510"/>
    <s v="Finalizado (1/10)"/>
    <n v="15"/>
    <n v="5"/>
    <n v="20"/>
    <s v="Pago"/>
    <n v="59629"/>
    <n v="59629"/>
    <s v="Unidade Sao Jose"/>
    <n v="171510"/>
    <m/>
  </r>
  <r>
    <x v="1"/>
    <x v="62"/>
    <s v="Osmar Barbosa dos Santos Junior"/>
    <s v="Masculino"/>
    <x v="9"/>
    <x v="11"/>
    <s v="31602185 - Estimulação Elétrica Transcutânea (Tens) - Removido 13/04/2026 (R$ 40,00)"/>
    <s v="Fisioterapia"/>
    <n v="1711550784"/>
    <s v="Finalizado (2/5)"/>
    <n v="33.6"/>
    <n v="6.4"/>
    <n v="40"/>
    <s v="Sessão Faturada"/>
    <n v="954600036315000"/>
    <n v="58555"/>
    <s v="Unidade Sao Jose"/>
    <n v="1711550784"/>
    <m/>
  </r>
  <r>
    <x v="1"/>
    <x v="37"/>
    <s v="Cildomar dos Santos Lira"/>
    <s v="Masculino"/>
    <x v="7"/>
    <x v="11"/>
    <s v="Sao José - 2 - Fisioterapia Ortopédica - Pacote (R$ 20,00)"/>
    <s v="Fisioterapia"/>
    <n v="170978"/>
    <s v="Finalizado (5/10)"/>
    <n v="15"/>
    <n v="5"/>
    <n v="20"/>
    <s v="Pago"/>
    <n v="331883"/>
    <n v="33183"/>
    <s v="Unidade Sao Jose"/>
    <n v="170978"/>
    <m/>
  </r>
  <r>
    <x v="1"/>
    <x v="39"/>
    <s v="Renilson Santos de Assis"/>
    <s v="Masculino"/>
    <x v="27"/>
    <x v="11"/>
    <s v="20103662 - Pos Operatorio Em Um Membro (R$ 14,99)"/>
    <s v="Fisioterapia"/>
    <n v="1708985795"/>
    <s v="Finalizado (4/5)"/>
    <n v="12.5916"/>
    <n v="2.3984000000000001"/>
    <n v="14.99"/>
    <s v="Sessão Faturada"/>
    <n v="772682001643000"/>
    <n v="57157"/>
    <s v="Unidade Sao Jose"/>
    <n v="1708985795"/>
    <m/>
  </r>
  <r>
    <x v="1"/>
    <x v="39"/>
    <s v="Renilson Santos de Assis"/>
    <s v="Masculino"/>
    <x v="27"/>
    <x v="11"/>
    <s v="20103484 - Patologia Em Um Membro (R$ 12,22), 20103514 - Patol. Em Diferentes Segmentos da Coluna (R$ 14,83)"/>
    <s v="Fisioterapia"/>
    <n v="1708986196"/>
    <s v="Finalizado (4/5)"/>
    <n v="22.722000000000001"/>
    <n v="4.3280000000000003"/>
    <n v="27.05"/>
    <s v="Sessão Faturada"/>
    <n v="772682001643000"/>
    <n v="57157"/>
    <s v="Unidade Sao Jose"/>
    <n v="1708986196"/>
    <m/>
  </r>
  <r>
    <x v="1"/>
    <x v="39"/>
    <s v="Renilson Santos de Assis"/>
    <s v="Masculino"/>
    <x v="4"/>
    <x v="11"/>
    <s v="31602185 - Estimulação Elétrica Transcutânea - Removido 13/04/2026 (R$ 40,00)"/>
    <s v="Fisioterapia"/>
    <n v="1709622137"/>
    <s v="Finalizado (3/5)"/>
    <n v="33.6"/>
    <n v="6.4"/>
    <n v="40"/>
    <s v="Sessão a Faturar"/>
    <n v="772682001643000"/>
    <n v="57157"/>
    <s v="Unidade Sao Jose"/>
    <n v="1709622137"/>
    <m/>
  </r>
  <r>
    <x v="1"/>
    <x v="0"/>
    <s v="Grêta Tâmi Araújo da Silva"/>
    <s v="Feminino"/>
    <x v="7"/>
    <x v="11"/>
    <s v="Sao José - 2 - Fisioterapia Ortopédica - Pacote (R$ 20,00)"/>
    <s v="Fisioterapia"/>
    <n v="171029"/>
    <s v="Finalizado (3/10)"/>
    <n v="15"/>
    <n v="5"/>
    <n v="20"/>
    <s v="Pago"/>
    <n v="59586"/>
    <n v="59586"/>
    <s v="Unidade Sao Jose"/>
    <n v="171029"/>
    <m/>
  </r>
  <r>
    <x v="1"/>
    <x v="2"/>
    <s v="Lauriethe Silva Nascimento Garrido"/>
    <s v="Feminino"/>
    <x v="7"/>
    <x v="11"/>
    <s v="Sao José - 2 - Fisioterapia Ortopédica - Pacote (R$ 20,00)"/>
    <s v="Fisioterapia"/>
    <n v="170690"/>
    <s v="Finalizado (6/10)"/>
    <n v="15"/>
    <n v="5"/>
    <n v="20"/>
    <s v="Pago"/>
    <n v="59555"/>
    <n v="59555"/>
    <s v="Unidade Sao Jose"/>
    <n v="170690"/>
    <m/>
  </r>
  <r>
    <x v="1"/>
    <x v="2"/>
    <s v="Lucelia Rodrigues Lopes Hermelindo"/>
    <s v="Feminino"/>
    <x v="27"/>
    <x v="11"/>
    <s v="20103492 - Patol. Em Dois Ou Mais Membros (R$ 14,83)"/>
    <s v="Fisioterapia"/>
    <n v="1709116722"/>
    <s v="Finalizado (3/5)"/>
    <n v="12.4572"/>
    <n v="2.3727999999999998"/>
    <n v="14.83"/>
    <s v="Sessão Faturada"/>
    <n v="771015043141020"/>
    <n v="43044"/>
    <s v="Unidade Sao Jose"/>
    <n v="1709116722"/>
    <m/>
  </r>
  <r>
    <x v="1"/>
    <x v="4"/>
    <s v="Francisco de Assis da Silva Junior"/>
    <s v="Masculino"/>
    <x v="7"/>
    <x v="11"/>
    <s v="Sao José - 14 - Fisioterapia Pós Operatória - Pacote (R$ 50,00)"/>
    <s v="Fisioterapia"/>
    <n v="170673"/>
    <s v="Finalizado (6/10)"/>
    <n v="37.5"/>
    <n v="12.5"/>
    <n v="50"/>
    <s v="Pago"/>
    <n v="39841"/>
    <n v="39841"/>
    <s v="Unidade Sao Jose"/>
    <n v="170673"/>
    <m/>
  </r>
  <r>
    <x v="1"/>
    <x v="6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2989537"/>
    <s v="Finalizado (2/5)"/>
    <n v="24.914400000000001"/>
    <n v="4.7455999999999996"/>
    <n v="29.66"/>
    <s v="Sessão Faturada"/>
    <n v="775426000850030"/>
    <n v="59638"/>
    <s v="Unidade Sao Jose"/>
    <n v="1712989537"/>
    <m/>
  </r>
  <r>
    <x v="1"/>
    <x v="6"/>
    <s v="Alessandra da Silva Cabral"/>
    <s v="Feminino"/>
    <x v="4"/>
    <x v="11"/>
    <s v="31602185 - Estimulação Elétrica Transcutânea - Removido 13/04/2026 (R$ 40,00)"/>
    <s v="Fisioterapia"/>
    <n v="1713590701"/>
    <s v="Finalizado (1/5)"/>
    <n v="33.6"/>
    <n v="6.4"/>
    <n v="40"/>
    <s v="Sessão Faturada"/>
    <n v="775426000850030"/>
    <n v="59638"/>
    <s v="Unidade Sao Jose"/>
    <n v="1713590701"/>
    <m/>
  </r>
  <r>
    <x v="1"/>
    <x v="6"/>
    <s v="Silvaneide Pinto Rodrigues Pontes"/>
    <s v="Feminino"/>
    <x v="5"/>
    <x v="11"/>
    <s v="31602185 - Estimulação Elétrica Transcutânea (Tens) - 04/03/2026 (R$ 120,28)"/>
    <s v="Fisioterapia"/>
    <n v="68198610"/>
    <s v="Finalizado (9/10)"/>
    <n v="101.0352"/>
    <n v="19.244800000000001"/>
    <n v="120.28"/>
    <s v="Sessão Faturada"/>
    <s v="0100788548001225"/>
    <n v="57040"/>
    <s v="Unidade Sao Jose"/>
    <n v="68198610"/>
    <m/>
  </r>
  <r>
    <x v="1"/>
    <x v="15"/>
    <s v="Paulo Eduardo Silva de Souza"/>
    <s v="Masculino"/>
    <x v="7"/>
    <x v="11"/>
    <s v="Sao José - 2 - Fisioterapia Ortopédica - Pacote (R$ 20,00)"/>
    <s v="Fisioterapia"/>
    <n v="170450"/>
    <s v="Finalizado (9/10)"/>
    <n v="15"/>
    <n v="5"/>
    <n v="20"/>
    <s v="Pago"/>
    <n v="59524"/>
    <n v="59524"/>
    <s v="Unidade Sao Jose"/>
    <n v="170450"/>
    <m/>
  </r>
  <r>
    <x v="1"/>
    <x v="17"/>
    <s v="Silvaneide Pinto Rodrigues Pontes"/>
    <s v="Feminino"/>
    <x v="5"/>
    <x v="11"/>
    <s v="98860020 - Fisioterapia Complexidade 2 (R$ 73,81)"/>
    <s v="Fisioterapia"/>
    <n v="78916070"/>
    <s v="Finalizado (1/10)"/>
    <n v="62.000399999999999"/>
    <n v="11.8096"/>
    <n v="73.81"/>
    <s v="Sessão a Faturar"/>
    <s v="0100788548001225"/>
    <n v="57040"/>
    <s v="Unidade Sao Jose"/>
    <n v="78916070"/>
    <m/>
  </r>
  <r>
    <x v="1"/>
    <x v="17"/>
    <s v="Luan Raphael Fernandes da Silva"/>
    <s v="Masculino"/>
    <x v="27"/>
    <x v="11"/>
    <s v="20103662 - Pos Operatorio Em Um Membro (R$ 14,99)"/>
    <s v="Fisioterapia"/>
    <n v="1711947902"/>
    <s v="Finalizado (3/5)"/>
    <n v="12.5916"/>
    <n v="2.3984000000000001"/>
    <n v="14.99"/>
    <s v="Sessão a Faturar"/>
    <n v="775216014346010"/>
    <n v="59334"/>
    <s v="Unidade Sao Jose"/>
    <n v="1711947902"/>
    <m/>
  </r>
  <r>
    <x v="1"/>
    <x v="18"/>
    <s v="Luan Raphael Fernandes da Silva"/>
    <s v="Masculino"/>
    <x v="4"/>
    <x v="11"/>
    <s v="31602185 - Estimulação Elétrica Transcutânea - Removido 13/04/2026 (R$ 40,00)"/>
    <s v="Fisioterapia"/>
    <n v="1711947149"/>
    <s v="Finalizado (3/5)"/>
    <n v="33.6"/>
    <n v="6.4"/>
    <n v="40"/>
    <s v="Sessão Faturada"/>
    <n v="775216014346010"/>
    <n v="59334"/>
    <s v="Unidade Sao Jose"/>
    <n v="1711947149"/>
    <m/>
  </r>
  <r>
    <x v="1"/>
    <x v="8"/>
    <s v="Michele Freire de Souza"/>
    <s v="Feminino"/>
    <x v="7"/>
    <x v="11"/>
    <s v="Sao José - 2 - Fisioterapia Ortopédica - Pacote (R$ 20,00)"/>
    <s v="Fisioterapia"/>
    <n v="170528"/>
    <s v="Finalizado (9/10)"/>
    <n v="15"/>
    <n v="5"/>
    <n v="20"/>
    <s v="Pago"/>
    <n v="59532"/>
    <n v="59532"/>
    <s v="Unidade Sao Jose"/>
    <n v="170528"/>
    <m/>
  </r>
  <r>
    <x v="2"/>
    <x v="44"/>
    <s v="Vanderlei Moraes da Silva"/>
    <s v="Masculino"/>
    <x v="16"/>
    <x v="11"/>
    <s v="50000160 - Fisioterapia Ortopedica (R$ 25,00)"/>
    <s v="Fisioterapia"/>
    <n v="171180"/>
    <s v="Finalizado (7/10)"/>
    <n v="21"/>
    <n v="4"/>
    <n v="25"/>
    <s v="Sessão a Faturar"/>
    <n v="58809"/>
    <n v="58809"/>
    <s v="Unidade Sao Jose"/>
    <n v="171180"/>
    <m/>
  </r>
  <r>
    <x v="2"/>
    <x v="41"/>
    <s v="Devanete Gonçalves de Oliveira"/>
    <s v="Feminino"/>
    <x v="7"/>
    <x v="11"/>
    <s v="Sao José - 2 - Fisioterapia Ortopédica - Pacote (R$ 20,00)"/>
    <s v="Fisioterapia"/>
    <n v="171787"/>
    <s v="Finalizado (2/10)"/>
    <n v="15"/>
    <n v="5"/>
    <n v="20"/>
    <s v="Pago"/>
    <n v="59652"/>
    <n v="59652"/>
    <s v="Unidade Sao Jose"/>
    <n v="171787"/>
    <m/>
  </r>
  <r>
    <x v="2"/>
    <x v="41"/>
    <s v="Evanilson Cavalcante Batista"/>
    <s v="Masculino"/>
    <x v="7"/>
    <x v="11"/>
    <s v="Sao José - 4 - Fisioterapia Neurológica/Respiratória - Pacote (R$ 50,00)"/>
    <s v="Fisioterapia"/>
    <n v="171698"/>
    <s v="Finalizado (5/5)"/>
    <n v="37.5"/>
    <n v="12.5"/>
    <n v="50"/>
    <s v="Pago"/>
    <n v="59647"/>
    <n v="59647"/>
    <s v="Unidade Sao Jose"/>
    <n v="171698"/>
    <m/>
  </r>
  <r>
    <x v="2"/>
    <x v="36"/>
    <s v="Rocivaldo Alfredo da Silva"/>
    <s v="Masculino"/>
    <x v="16"/>
    <x v="11"/>
    <s v="50000160 - Fisioterapia Ortopedica (R$ 25,00)"/>
    <s v="Fisioterapia"/>
    <n v="171611"/>
    <s v="Finalizado (1/10)"/>
    <n v="21"/>
    <n v="4"/>
    <n v="25"/>
    <s v="Sessão a Faturar"/>
    <n v="59425"/>
    <n v="59425"/>
    <s v="Unidade Sao Jose"/>
    <n v="171611"/>
    <m/>
  </r>
  <r>
    <x v="2"/>
    <x v="36"/>
    <s v="Sonia Maria Morais Maia"/>
    <s v="Feminino"/>
    <x v="0"/>
    <x v="11"/>
    <s v="50000160 - Fisioterapia Ortopedica (R$ 49,72)"/>
    <s v="Fisioterapia"/>
    <s v="42263120260310440094"/>
    <s v="Finalizado (4/10)"/>
    <n v="41.764800000000001"/>
    <n v="7.9551999999999996"/>
    <n v="49.72"/>
    <s v="Sessão a Faturar"/>
    <s v="010650548005"/>
    <n v="55667"/>
    <s v="Unidade Sao Jose"/>
    <s v="42263120260310440094"/>
    <m/>
  </r>
  <r>
    <x v="2"/>
    <x v="36"/>
    <s v="Jose Francinaldo dos Santos"/>
    <s v="Masculino"/>
    <x v="7"/>
    <x v="11"/>
    <s v="Sao José - 4 - Fisioterapia Neurológica/Respiratória - Pacote (R$ 50,00)"/>
    <s v="Fisioterapia"/>
    <n v="170818"/>
    <s v="Finalizado (6/10)"/>
    <n v="37.5"/>
    <n v="12.5"/>
    <n v="50"/>
    <s v="No Prazo"/>
    <n v="59333"/>
    <n v="59333"/>
    <s v="Unidade Sao Jose"/>
    <n v="170818"/>
    <m/>
  </r>
  <r>
    <x v="2"/>
    <x v="36"/>
    <s v="Manoel de Freitas Mendonça Neto"/>
    <s v="Masculino"/>
    <x v="8"/>
    <x v="11"/>
    <s v="20103492 - Patologia Em Dois Ou Mais Membros (R$ 14,83)"/>
    <s v="Fisioterapia"/>
    <n v="1711345071"/>
    <s v="Finalizado (4/5)"/>
    <n v="12.4572"/>
    <n v="2.3727999999999998"/>
    <n v="14.83"/>
    <s v="Sessão Faturada"/>
    <n v="954600000256020"/>
    <n v="47993"/>
    <s v="Unidade Sao Jose"/>
    <n v="1711345071"/>
    <m/>
  </r>
  <r>
    <x v="2"/>
    <x v="61"/>
    <s v="Manoel de Freitas Mendonça Neto"/>
    <s v="Masculino"/>
    <x v="9"/>
    <x v="11"/>
    <s v="31602185 - Estimulação Elétrica Transcutânea (Tens) - Removido 13/04/2026 (R$ 40,00)"/>
    <s v="Fisioterapia"/>
    <n v="1711347208"/>
    <s v="Finalizado (4/5)"/>
    <n v="33.6"/>
    <n v="6.4"/>
    <n v="40"/>
    <s v="Sessão Faturada"/>
    <n v="954600000256020"/>
    <n v="47993"/>
    <s v="Unidade Sao Jose"/>
    <n v="1711347208"/>
    <m/>
  </r>
  <r>
    <x v="2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4/10)"/>
    <n v="45.469200000000001"/>
    <n v="8.6608000000000001"/>
    <n v="54.13"/>
    <s v="Sessão a Faturar"/>
    <s v="010650548005"/>
    <n v="55667"/>
    <s v="Unidade Sao Jose"/>
    <s v="52263120260310440139"/>
    <m/>
  </r>
  <r>
    <x v="2"/>
    <x v="40"/>
    <s v="Alessandro Ramos Veiga"/>
    <s v="Masculino"/>
    <x v="2"/>
    <x v="11"/>
    <s v="20103492 - Fisioterapia - Patologia Em Dois Ou Mais Membros (R$ 14,83), 20103514 - Fisioterapia - Patologia Em Diferentes Segmentos da Coluna (R$ 14,83)"/>
    <s v="Fisioterapia"/>
    <n v="1713309017"/>
    <s v="Finalizado (2/5)"/>
    <n v="24.914400000000001"/>
    <n v="4.7455999999999996"/>
    <n v="29.66"/>
    <s v="Sessão a Faturar"/>
    <n v="771015061093000"/>
    <n v="59531"/>
    <s v="Unidade Sao Jose"/>
    <n v="1713309017"/>
    <m/>
  </r>
  <r>
    <x v="2"/>
    <x v="40"/>
    <s v="Alessandro Ramos Veiga"/>
    <s v="Masculino"/>
    <x v="4"/>
    <x v="11"/>
    <s v="31602185 - Estimulação Elétrica Transcutânea - Removido 13/04/2026 (R$ 40,00)"/>
    <s v="Fisioterapia"/>
    <n v="1713925737"/>
    <s v="Finalizado (1/5)"/>
    <n v="33.6"/>
    <n v="6.4"/>
    <n v="40"/>
    <s v="Sessão a Faturar"/>
    <n v="771015061093000"/>
    <n v="59531"/>
    <s v="Unidade Sao Jose"/>
    <n v="1713925737"/>
    <m/>
  </r>
  <r>
    <x v="2"/>
    <x v="40"/>
    <s v="Sheila Ferreira do Nascimento"/>
    <s v="Feminino"/>
    <x v="27"/>
    <x v="11"/>
    <s v="20103514 - Patol. Em Diferentes Segmentos da Coluna (R$ 14,83)"/>
    <s v="Fisioterapia"/>
    <n v="1712649778"/>
    <s v="Finalizado (2/5)"/>
    <n v="12.4572"/>
    <n v="2.3727999999999998"/>
    <n v="14.83"/>
    <s v="Sessão Faturada"/>
    <n v="774239001511020"/>
    <n v="27492"/>
    <s v="Unidade Sao Jose"/>
    <n v="1712649778"/>
    <m/>
  </r>
  <r>
    <x v="2"/>
    <x v="40"/>
    <s v="Renato de Araújo Santos"/>
    <s v="Masculino"/>
    <x v="7"/>
    <x v="11"/>
    <s v="Sao José - 2 - Fisioterapia Ortopédica - Pacote (R$ 20,00)"/>
    <s v="Fisioterapia"/>
    <n v="170405"/>
    <s v="Finalizado (10/10)"/>
    <n v="15"/>
    <n v="5"/>
    <n v="20"/>
    <s v="Pago"/>
    <n v="59520"/>
    <n v="59520"/>
    <s v="Unidade Sao Jose"/>
    <n v="170405"/>
    <m/>
  </r>
  <r>
    <x v="2"/>
    <x v="40"/>
    <s v="Francinete Ferreira de Souza"/>
    <s v="Feminino"/>
    <x v="8"/>
    <x v="11"/>
    <s v="20103492 - Patologia Em Dois Ou Mais Membros (R$ 14,83), 20103514 - Patologia Em Diferentes Segmentos da Coluna (R$ 14,83)"/>
    <s v="Fisioterapia"/>
    <n v="1710740777"/>
    <s v="Finalizado (3/5)"/>
    <n v="24.914400000000001"/>
    <n v="4.7455999999999996"/>
    <n v="29.66"/>
    <s v="Sessão Faturada"/>
    <n v="954390037672020"/>
    <n v="41225"/>
    <s v="Unidade Sao Jose"/>
    <n v="1710740777"/>
    <m/>
  </r>
  <r>
    <x v="2"/>
    <x v="45"/>
    <s v="Sheila Ferreira do Nascimento"/>
    <s v="Feminino"/>
    <x v="27"/>
    <x v="11"/>
    <s v="20103522 - Fisioterapia - Pac Com Dependencia de Vida Diária (R$ 23,59)"/>
    <s v="Fisioterapia"/>
    <n v="1712648148"/>
    <s v="Finalizado (2/5)"/>
    <n v="19.8156"/>
    <n v="3.7744"/>
    <n v="23.59"/>
    <s v="Sessão Faturada"/>
    <n v="774239001511020"/>
    <n v="27492"/>
    <s v="Unidade Sao Jose"/>
    <n v="1712648148"/>
    <m/>
  </r>
  <r>
    <x v="2"/>
    <x v="45"/>
    <s v="Alessandro Ramos Veiga"/>
    <s v="Masculino"/>
    <x v="27"/>
    <x v="11"/>
    <s v="20103522 - Fisioterapia - Pac Com Dependencia de Vida Diária (R$ 23,59)"/>
    <s v="Fisioterapia"/>
    <m/>
    <s v="Finalizado (1/5)"/>
    <n v="19.8156"/>
    <n v="3.7744"/>
    <n v="23.59"/>
    <s v="Sessão a Faturar"/>
    <n v="771015061093000"/>
    <n v="59531"/>
    <s v="Unidade Sao Jose"/>
    <m/>
    <m/>
  </r>
  <r>
    <x v="2"/>
    <x v="45"/>
    <s v="Francinete Ferreira de Souza"/>
    <s v="Feminino"/>
    <x v="9"/>
    <x v="11"/>
    <s v="31602185 - Estimulação Elétrica Transcutânea (Tens) - Removido 13/04/2026 (R$ 40,00)"/>
    <s v="Fisioterapia"/>
    <n v="1711357320"/>
    <s v="Finalizado (2/5)"/>
    <n v="33.6"/>
    <n v="6.4"/>
    <n v="40"/>
    <s v="Sessão Faturada"/>
    <n v="954390037672020"/>
    <n v="41225"/>
    <s v="Unidade Sao Jose"/>
    <n v="1711357320"/>
    <m/>
  </r>
  <r>
    <x v="2"/>
    <x v="35"/>
    <s v="Sheila Ferreira do Nascimento"/>
    <s v="Feminino"/>
    <x v="4"/>
    <x v="11"/>
    <s v="31602185 - Estimulação Elétrica Transcutânea - Removido 13/04/2026 (R$ 40,00)"/>
    <s v="Fisioterapia"/>
    <n v="1713931051"/>
    <s v="Finalizado (1/5)"/>
    <n v="33.6"/>
    <n v="6.4"/>
    <n v="40"/>
    <s v="Sessão Faturada"/>
    <n v="774239001511020"/>
    <n v="27492"/>
    <s v="Unidade Sao Jose"/>
    <n v="1713931051"/>
    <m/>
  </r>
  <r>
    <x v="2"/>
    <x v="35"/>
    <s v="Renilson Santos de Assis"/>
    <s v="Masculino"/>
    <x v="27"/>
    <x v="11"/>
    <s v="20103662 - Pos Operatorio Em Um Membro (R$ 14,99)"/>
    <s v="Fisioterapia"/>
    <n v="1708985795"/>
    <s v="Finalizado (5/5)"/>
    <n v="12.5916"/>
    <n v="2.3984000000000001"/>
    <n v="14.99"/>
    <s v="Sessão Faturada"/>
    <n v="772682001643000"/>
    <n v="57157"/>
    <s v="Unidade Sao Jose"/>
    <n v="1708985795"/>
    <m/>
  </r>
  <r>
    <x v="2"/>
    <x v="35"/>
    <s v="Ronaldo Campos Alfaia"/>
    <s v="Masculino"/>
    <x v="7"/>
    <x v="11"/>
    <s v="Sao José - 2 - Fisioterapia Ortopédica - Pacote (R$ 20,00)"/>
    <s v="Fisioterapia"/>
    <n v="145081"/>
    <s v="Finalizado (10/10)"/>
    <n v="15"/>
    <n v="5"/>
    <n v="20"/>
    <s v="Pago"/>
    <n v="46847"/>
    <n v="46847"/>
    <s v="Unidade Sao Jose"/>
    <n v="145081"/>
    <m/>
  </r>
  <r>
    <x v="2"/>
    <x v="35"/>
    <s v="Amaziles Andrade de Morais"/>
    <s v="Feminino"/>
    <x v="27"/>
    <x v="11"/>
    <s v="20103468 - Parkinson (R$ 12,22)"/>
    <s v="Fisioterapia"/>
    <n v="1710166174"/>
    <s v="Finalizado (3/4)"/>
    <n v="10.264799999999999"/>
    <n v="1.9552"/>
    <n v="12.22"/>
    <s v="Sessão Faturada"/>
    <n v="771015039373010"/>
    <n v="48191"/>
    <s v="Unidade Sao Jose"/>
    <n v="1710166174"/>
    <m/>
  </r>
  <r>
    <x v="2"/>
    <x v="42"/>
    <s v="Amaziles Andrade de Morais"/>
    <s v="Feminino"/>
    <x v="27"/>
    <x v="11"/>
    <s v="20103522 - Fisioterapia - Pac Com Dependencia de Vida Diária (R$ 23,59)"/>
    <s v="Fisioterapia"/>
    <n v="1710165412"/>
    <s v="Finalizado (3/4)"/>
    <n v="19.8156"/>
    <n v="3.7744"/>
    <n v="23.59"/>
    <s v="Sessão Faturada"/>
    <n v="771015039373010"/>
    <n v="48191"/>
    <s v="Unidade Sao Jose"/>
    <n v="1710165412"/>
    <m/>
  </r>
  <r>
    <x v="2"/>
    <x v="42"/>
    <s v="Renilson Santos de Assis"/>
    <s v="Masculino"/>
    <x v="27"/>
    <x v="11"/>
    <s v="20103484 - Patologia Em Um Membro (R$ 12,22), 20103514 - Patol. Em Diferentes Segmentos da Coluna (R$ 14,83)"/>
    <s v="Fisioterapia"/>
    <n v="1708986196"/>
    <s v="Finalizado (5/5)"/>
    <n v="22.722000000000001"/>
    <n v="4.3280000000000003"/>
    <n v="27.05"/>
    <s v="Sessão Faturada"/>
    <n v="772682001643000"/>
    <n v="57157"/>
    <s v="Unidade Sao Jose"/>
    <n v="1708986196"/>
    <m/>
  </r>
  <r>
    <x v="2"/>
    <x v="38"/>
    <s v="Raimundo Antonio de Oliveira"/>
    <s v="Masculino"/>
    <x v="27"/>
    <x v="11"/>
    <s v="20103514 - Patol. Em Diferentes Segmentos da Coluna (R$ 14,83)"/>
    <s v="Fisioterapia"/>
    <n v="1713965199"/>
    <s v="Finalizado (1/5)"/>
    <n v="12.4572"/>
    <n v="2.3727999999999998"/>
    <n v="14.83"/>
    <s v="Sessão Faturada"/>
    <n v="772530028185000"/>
    <n v="27968"/>
    <s v="Unidade Sao Jose"/>
    <n v="1713965199"/>
    <m/>
  </r>
  <r>
    <x v="2"/>
    <x v="38"/>
    <s v="Jorge Frank dos Santos Lira"/>
    <s v="Masculino"/>
    <x v="8"/>
    <x v="11"/>
    <s v="20103492 - Patologia Em Dois Ou Mais Membros (R$ 14,83), 20103514 - Patologia Em Diferentes Segmentos da Coluna (R$ 14,83)"/>
    <s v="Fisioterapia"/>
    <n v="1711428940"/>
    <s v="Finalizado (3/5)"/>
    <n v="24.914400000000001"/>
    <n v="4.7455999999999996"/>
    <n v="29.66"/>
    <s v="Sessão Faturada"/>
    <n v="954600002780020"/>
    <n v="58709"/>
    <s v="Unidade Sao Jose"/>
    <n v="1711428940"/>
    <m/>
  </r>
  <r>
    <x v="2"/>
    <x v="62"/>
    <s v="Jorge Frank dos Santos Lira"/>
    <s v="Masculino"/>
    <x v="9"/>
    <x v="11"/>
    <s v="31602185 - Estimulação Elétrica Transcutânea (Tens) - Removido 13/04/2026 (R$ 40,00)"/>
    <s v="Fisioterapia"/>
    <n v="1712639512"/>
    <s v="Finalizado (2/5)"/>
    <n v="33.6"/>
    <n v="6.4"/>
    <n v="40"/>
    <s v="Sessão Faturada"/>
    <n v="954600002780020"/>
    <n v="58709"/>
    <s v="Unidade Sao Jose"/>
    <n v="1712639512"/>
    <m/>
  </r>
  <r>
    <x v="2"/>
    <x v="37"/>
    <s v="Andriely Oliveira Braga"/>
    <s v="Feminino"/>
    <x v="27"/>
    <x v="11"/>
    <s v="20103662 - Pos Operatorio Em Um Membro (R$ 14,99)"/>
    <s v="Fisioterapia"/>
    <n v="1711366375"/>
    <s v="Finalizado (3/5)"/>
    <n v="12.5916"/>
    <n v="2.3984000000000001"/>
    <n v="14.99"/>
    <s v="Sessão Faturada"/>
    <n v="813227000396000"/>
    <n v="52145"/>
    <s v="Unidade Sao Jose"/>
    <n v="1711366375"/>
    <m/>
  </r>
  <r>
    <x v="2"/>
    <x v="37"/>
    <s v="Cildomar dos Santos Lira"/>
    <s v="Masculino"/>
    <x v="7"/>
    <x v="11"/>
    <s v="Sao José - 2 - Fisioterapia Ortopédica - Pacote (R$ 20,00)"/>
    <s v="Fisioterapia"/>
    <n v="170978"/>
    <s v="Finalizado (6/10)"/>
    <n v="15"/>
    <n v="5"/>
    <n v="20"/>
    <s v="Pago"/>
    <n v="331883"/>
    <n v="33183"/>
    <s v="Unidade Sao Jose"/>
    <n v="170978"/>
    <m/>
  </r>
  <r>
    <x v="2"/>
    <x v="39"/>
    <s v="Francisca da Silva Rebouças"/>
    <s v="Feminino"/>
    <x v="7"/>
    <x v="11"/>
    <s v="Sao José - 4 - Fisioterapia Neurológica/Respiratória - Pacote (R$ 50,00)"/>
    <s v="Fisioterapia"/>
    <n v="171760"/>
    <s v="Finalizado (2/10)"/>
    <n v="37.5"/>
    <n v="12.5"/>
    <n v="50"/>
    <s v="Pago"/>
    <n v="59581"/>
    <n v="59581"/>
    <s v="Unidade Sao Jose"/>
    <n v="171760"/>
    <m/>
  </r>
  <r>
    <x v="2"/>
    <x v="39"/>
    <s v="Jhonatan Xavier Vieira"/>
    <s v="Masculino"/>
    <x v="7"/>
    <x v="11"/>
    <s v="Sao José - 14 - Fisioterapia Pós Operatória - Pacote (R$ 50,00)"/>
    <s v="Fisioterapia"/>
    <n v="171009"/>
    <s v="Finalizado (4/5)"/>
    <n v="37.5"/>
    <n v="12.5"/>
    <n v="50"/>
    <s v="Pago"/>
    <n v="59583"/>
    <n v="59583"/>
    <s v="Unidade Sao Jose"/>
    <n v="171009"/>
    <m/>
  </r>
  <r>
    <x v="2"/>
    <x v="39"/>
    <s v="Vanessa Soares de Almeida"/>
    <s v="Feminino"/>
    <x v="7"/>
    <x v="11"/>
    <s v="Sao José - 2 - Fisioterapia Ortopédica - Pacote (R$ 20,00)"/>
    <s v="Fisioterapia"/>
    <n v="170464"/>
    <s v="Finalizado (5/10)"/>
    <n v="15"/>
    <n v="5"/>
    <n v="20"/>
    <s v="Pago"/>
    <s v="."/>
    <n v="52536"/>
    <s v="Unidade Sao Jose"/>
    <n v="170464"/>
    <m/>
  </r>
  <r>
    <x v="2"/>
    <x v="22"/>
    <s v="Meire Rosana Uchoa de Oliveira"/>
    <s v="Feminino"/>
    <x v="27"/>
    <x v="11"/>
    <s v="20103492 - Patol. Em Dois Ou Mais Membros (R$ 14,83), 20103514 - Patol. Em Diferentes Segmentos da Coluna (R$ 14,83)"/>
    <s v="Fisioterapia"/>
    <n v="1709145003"/>
    <s v="Finalizado (4/4)"/>
    <n v="24.914400000000001"/>
    <n v="4.7455999999999996"/>
    <n v="29.66"/>
    <s v="Sessão Faturada"/>
    <n v="774634026093020"/>
    <n v="39208"/>
    <s v="Unidade Sao Jose"/>
    <n v="1709145003"/>
    <m/>
  </r>
  <r>
    <x v="2"/>
    <x v="22"/>
    <s v="Grêta Tâmi Araújo da Silva"/>
    <s v="Feminino"/>
    <x v="7"/>
    <x v="11"/>
    <s v="Sao José - 2 - Fisioterapia Ortopédica - Pacote (R$ 20,00)"/>
    <s v="Fisioterapia"/>
    <n v="171029"/>
    <s v="Finalizado (4/10)"/>
    <n v="15"/>
    <n v="5"/>
    <n v="20"/>
    <s v="Pago"/>
    <n v="59586"/>
    <n v="59586"/>
    <s v="Unidade Sao Jose"/>
    <n v="171029"/>
    <m/>
  </r>
  <r>
    <x v="2"/>
    <x v="23"/>
    <s v="Meire Rosana Uchoa de Oliveira"/>
    <s v="Feminino"/>
    <x v="4"/>
    <x v="11"/>
    <s v="31602185 - Estimulação Elétrica Transcutânea - Removido 13/04/2026 (R$ 40,00)"/>
    <s v="Fisioterapia"/>
    <n v="1710340723"/>
    <s v="Finalizado (2/2)"/>
    <n v="33.6"/>
    <n v="6.4"/>
    <n v="40"/>
    <s v="Sessão Faturada"/>
    <n v="774634026093020"/>
    <n v="39208"/>
    <s v="Unidade Sao Jose"/>
    <n v="1710340723"/>
    <m/>
  </r>
  <r>
    <x v="2"/>
    <x v="4"/>
    <s v="Keila Maria Ferreira de Brito"/>
    <s v="Feminino"/>
    <x v="27"/>
    <x v="11"/>
    <s v="20103492 - Patol. Em Dois Ou Mais Membros (R$ 14,83), 20103514 - Patol. Em Diferentes Segmentos da Coluna (R$ 14,83)"/>
    <s v="Fisioterapia"/>
    <n v="1701889729"/>
    <s v="Finalizado (3/3)"/>
    <n v="24.914400000000001"/>
    <n v="4.7455999999999996"/>
    <n v="29.66"/>
    <s v="Sessão Faturada"/>
    <n v="773458004820010"/>
    <n v="11496"/>
    <s v="Unidade Sao Jose"/>
    <n v="1701889729"/>
    <m/>
  </r>
  <r>
    <x v="2"/>
    <x v="13"/>
    <s v="Suelen de Souza Moraes"/>
    <s v="Feminino"/>
    <x v="7"/>
    <x v="11"/>
    <s v="Sao José - 2 - Fisioterapia Ortopédica - Pacote (R$ 20,00)"/>
    <s v="Fisioterapia"/>
    <s v="/168940"/>
    <s v="Finalizado (16/30)"/>
    <n v="15"/>
    <n v="5"/>
    <n v="20"/>
    <s v="No Prazo"/>
    <n v="59411"/>
    <n v="59411"/>
    <s v="Unidade Sao Jose"/>
    <s v="/168940"/>
    <m/>
  </r>
  <r>
    <x v="2"/>
    <x v="6"/>
    <s v="Lauriethe Silva Nascimento Garrido"/>
    <s v="Feminino"/>
    <x v="7"/>
    <x v="11"/>
    <s v="Sao José - 2 - Fisioterapia Ortopédica - Pacote (R$ 20,00)"/>
    <s v="Fisioterapia"/>
    <n v="170690"/>
    <s v="Finalizado (7/10)"/>
    <n v="15"/>
    <n v="5"/>
    <n v="20"/>
    <s v="Pago"/>
    <n v="59555"/>
    <n v="59555"/>
    <s v="Unidade Sao Jose"/>
    <n v="170690"/>
    <m/>
  </r>
  <r>
    <x v="2"/>
    <x v="6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2989537"/>
    <s v="Finalizado (3/5)"/>
    <n v="24.914400000000001"/>
    <n v="4.7455999999999996"/>
    <n v="29.66"/>
    <s v="Sessão Faturada"/>
    <n v="775426000850030"/>
    <n v="59638"/>
    <s v="Unidade Sao Jose"/>
    <n v="1712989537"/>
    <m/>
  </r>
  <r>
    <x v="2"/>
    <x v="7"/>
    <s v="Alessandra da Silva Cabral"/>
    <s v="Feminino"/>
    <x v="4"/>
    <x v="11"/>
    <s v="31602185 - Estimulação Elétrica Transcutânea - Removido 13/04/2026 (R$ 40,00)"/>
    <s v="Fisioterapia"/>
    <n v="1713590701"/>
    <s v="Finalizado (2/5)"/>
    <n v="33.6"/>
    <n v="6.4"/>
    <n v="40"/>
    <s v="Sessão Faturada"/>
    <n v="775426000850030"/>
    <n v="59638"/>
    <s v="Unidade Sao Jose"/>
    <n v="1713590701"/>
    <m/>
  </r>
  <r>
    <x v="2"/>
    <x v="15"/>
    <s v="Michele Freire de Souza"/>
    <s v="Feminino"/>
    <x v="7"/>
    <x v="11"/>
    <s v="Sao José - 2 - Fisioterapia Ortopédica - Pacote (R$ 20,00)"/>
    <s v="Fisioterapia"/>
    <n v="170528"/>
    <s v="Finalizado (10/10)"/>
    <n v="15"/>
    <n v="5"/>
    <n v="20"/>
    <s v="Pago"/>
    <n v="59532"/>
    <n v="59532"/>
    <s v="Unidade Sao Jose"/>
    <n v="170528"/>
    <m/>
  </r>
  <r>
    <x v="2"/>
    <x v="15"/>
    <s v="Ana de Jesus Figueira"/>
    <s v="Feminino"/>
    <x v="16"/>
    <x v="11"/>
    <s v="50000160 - Fisioterapia Ortopedica (R$ 25,00)"/>
    <s v="Fisioterapia"/>
    <n v="169067"/>
    <s v="Finalizado (9/10)"/>
    <n v="21"/>
    <n v="4"/>
    <n v="25"/>
    <s v="Sessão a Faturar"/>
    <n v="51923"/>
    <n v="51923"/>
    <s v="Unidade Sao Jose"/>
    <n v="169067"/>
    <m/>
  </r>
  <r>
    <x v="3"/>
    <x v="44"/>
    <s v="Vanderlei Moraes da Silva"/>
    <s v="Masculino"/>
    <x v="16"/>
    <x v="11"/>
    <s v="50000160 - Fisioterapia Ortopedica (R$ 25,00)"/>
    <s v="Fisioterapia"/>
    <n v="171180"/>
    <s v="Finalizado (8/10)"/>
    <n v="21"/>
    <n v="4"/>
    <n v="25"/>
    <s v="Sessão a Faturar"/>
    <n v="58809"/>
    <n v="58809"/>
    <s v="Unidade Sao Jose"/>
    <n v="171180"/>
    <m/>
  </r>
  <r>
    <x v="3"/>
    <x v="44"/>
    <s v="Marcelo Ferreira de Aquino"/>
    <s v="Masculino"/>
    <x v="27"/>
    <x v="11"/>
    <s v="20103492 - Patol. Em Dois Ou Mais Membros (R$ 14,83)"/>
    <s v="Fisioterapia"/>
    <n v="1714393096"/>
    <s v="Finalizado (1/10)"/>
    <n v="12.4572"/>
    <n v="2.3727999999999998"/>
    <n v="14.83"/>
    <s v="Sessão a Faturar"/>
    <n v="774642017078000"/>
    <n v="47052"/>
    <s v="Unidade Sao Jose"/>
    <n v="1714393096"/>
    <m/>
  </r>
  <r>
    <x v="3"/>
    <x v="44"/>
    <s v="Francisca Neta de Lira Araujo"/>
    <s v="Feminino"/>
    <x v="7"/>
    <x v="11"/>
    <s v="Sao José - 4 - Fisioterapia Neurológica/Respiratória - Pacote (R$ 50,00)"/>
    <s v="Fisioterapia"/>
    <n v="171525"/>
    <s v="Finalizado (3/10)"/>
    <n v="37.5"/>
    <n v="12.5"/>
    <n v="50"/>
    <s v="Pago"/>
    <n v="59631"/>
    <n v="59631"/>
    <s v="Unidade Sao Jose"/>
    <n v="171525"/>
    <m/>
  </r>
  <r>
    <x v="3"/>
    <x v="44"/>
    <s v="Marcelo Ferreira de Aquino"/>
    <s v="Masculino"/>
    <x v="27"/>
    <x v="11"/>
    <s v="50000144 - Avaliação de Fisioterapia (R$ 51,42)"/>
    <s v="Fisioterapia"/>
    <n v="1714391785"/>
    <s v="Finalizado (1/1)"/>
    <n v="46.277999999999999"/>
    <n v="5.1420000000000003"/>
    <n v="51.42"/>
    <s v="Sessão Faturada"/>
    <n v="774642017078000"/>
    <n v="47052"/>
    <s v="Unidade Sao Jose"/>
    <n v="1714391785"/>
    <m/>
  </r>
  <r>
    <x v="3"/>
    <x v="44"/>
    <s v="Tereza da Rocha Vieira"/>
    <s v="Feminino"/>
    <x v="10"/>
    <x v="11"/>
    <s v="50000160 - Fisioterapia Ortopédica (R$ 15,00)"/>
    <s v="Fisioterapia"/>
    <n v="15114021"/>
    <s v="Finalizado (5/10)"/>
    <n v="12.6"/>
    <n v="2.4"/>
    <n v="15"/>
    <s v="Sessão Faturada"/>
    <s v="00010001253014045"/>
    <n v="52943"/>
    <s v="Unidade Sao Jose"/>
    <n v="15114021"/>
    <m/>
  </r>
  <r>
    <x v="3"/>
    <x v="44"/>
    <s v="Rocivaldo Alfredo da Silva"/>
    <s v="Masculino"/>
    <x v="16"/>
    <x v="11"/>
    <s v="50000160 - Fisioterapia Ortopedica (R$ 25,00)"/>
    <s v="Fisioterapia"/>
    <n v="171611"/>
    <s v="Finalizado (2/10)"/>
    <n v="21"/>
    <n v="4"/>
    <n v="25"/>
    <s v="Sessão a Faturar"/>
    <n v="59425"/>
    <n v="59425"/>
    <s v="Unidade Sao Jose"/>
    <n v="171611"/>
    <m/>
  </r>
  <r>
    <x v="3"/>
    <x v="41"/>
    <s v="Devanete Gonçalves de Oliveira"/>
    <s v="Feminino"/>
    <x v="7"/>
    <x v="11"/>
    <s v="Sao José - 2 - Fisioterapia Ortopédica - Pacote (R$ 20,00)"/>
    <s v="Fisioterapia"/>
    <n v="171787"/>
    <s v="Finalizado (3/10)"/>
    <n v="15"/>
    <n v="5"/>
    <n v="20"/>
    <s v="Pago"/>
    <n v="59652"/>
    <n v="59652"/>
    <s v="Unidade Sao Jose"/>
    <n v="171787"/>
    <m/>
  </r>
  <r>
    <x v="3"/>
    <x v="36"/>
    <s v="Manoel de Freitas Mendonça Neto"/>
    <s v="Masculino"/>
    <x v="8"/>
    <x v="11"/>
    <s v="20103492 - Patologia Em Dois Ou Mais Membros (R$ 14,83)"/>
    <s v="Fisioterapia"/>
    <n v="1711345071"/>
    <s v="Finalizado (5/5)"/>
    <n v="12.4572"/>
    <n v="2.3727999999999998"/>
    <n v="14.83"/>
    <s v="Sessão Faturada"/>
    <n v="954600000256020"/>
    <n v="47993"/>
    <s v="Unidade Sao Jose"/>
    <n v="1711345071"/>
    <m/>
  </r>
  <r>
    <x v="3"/>
    <x v="36"/>
    <s v="Francinete Ferreira de Souza"/>
    <s v="Feminino"/>
    <x v="8"/>
    <x v="11"/>
    <s v="20103492 - Patologia Em Dois Ou Mais Membros (R$ 14,83), 20103514 - Patologia Em Diferentes Segmentos da Coluna (R$ 14,83)"/>
    <s v="Fisioterapia"/>
    <n v="1710740777"/>
    <s v="Finalizado (4/5)"/>
    <n v="24.914400000000001"/>
    <n v="4.7455999999999996"/>
    <n v="29.66"/>
    <s v="Sessão Faturada"/>
    <n v="954390037672020"/>
    <n v="41225"/>
    <s v="Unidade Sao Jose"/>
    <n v="1710740777"/>
    <m/>
  </r>
  <r>
    <x v="3"/>
    <x v="36"/>
    <s v="Osmar Barbosa dos Santos Junior"/>
    <s v="Masculino"/>
    <x v="8"/>
    <x v="11"/>
    <s v="20103662 - Pos Operatorio Em Um Membro (R$ 14,99)"/>
    <s v="Fisioterapia"/>
    <n v="1711547864"/>
    <s v="Finalizado (3/5)"/>
    <n v="12.5916"/>
    <n v="2.3984000000000001"/>
    <n v="14.99"/>
    <s v="Sessão Faturada"/>
    <n v="954600036315000"/>
    <n v="58555"/>
    <s v="Unidade Sao Jose"/>
    <n v="1711547864"/>
    <m/>
  </r>
  <r>
    <x v="3"/>
    <x v="61"/>
    <s v="Francinete Ferreira de Souza"/>
    <s v="Feminino"/>
    <x v="9"/>
    <x v="11"/>
    <s v="31602185 - Estimulação Elétrica Transcutânea (Tens) - Removido 13/04/2026 (R$ 40,00)"/>
    <s v="Fisioterapia"/>
    <n v="1711357320"/>
    <s v="Finalizado (3/5)"/>
    <n v="33.6"/>
    <n v="6.4"/>
    <n v="40"/>
    <s v="Sessão Faturada"/>
    <n v="954390037672020"/>
    <n v="41225"/>
    <s v="Unidade Sao Jose"/>
    <n v="1711357320"/>
    <m/>
  </r>
  <r>
    <x v="3"/>
    <x v="61"/>
    <s v="Osmar Barbosa dos Santos Junior"/>
    <s v="Masculino"/>
    <x v="9"/>
    <x v="11"/>
    <s v="31602185 - Estimulação Elétrica Transcutânea (Tens) - Removido 13/04/2026 (R$ 40,00)"/>
    <s v="Fisioterapia"/>
    <n v="1711550784"/>
    <s v="Finalizado (3/5)"/>
    <n v="33.6"/>
    <n v="6.4"/>
    <n v="40"/>
    <s v="Sessão Faturada"/>
    <n v="954600036315000"/>
    <n v="58555"/>
    <s v="Unidade Sao Jose"/>
    <n v="1711550784"/>
    <m/>
  </r>
  <r>
    <x v="3"/>
    <x v="35"/>
    <s v="Manoel de Freitas Mendonça Neto"/>
    <s v="Masculino"/>
    <x v="9"/>
    <x v="11"/>
    <s v="31602185 - Estimulação Elétrica Transcutânea (Tens) - Removido 13/04/2026 (R$ 40,00)"/>
    <s v="Fisioterapia"/>
    <n v="1711347208"/>
    <s v="Finalizado (5/5)"/>
    <n v="33.6"/>
    <n v="6.4"/>
    <n v="40"/>
    <s v="Sessão Faturada"/>
    <n v="954600000256020"/>
    <n v="47993"/>
    <s v="Unidade Sao Jose"/>
    <n v="1711347208"/>
    <m/>
  </r>
  <r>
    <x v="3"/>
    <x v="2"/>
    <s v="Jose Railton Neris da Silva"/>
    <s v="Masculino"/>
    <x v="7"/>
    <x v="11"/>
    <s v="Sao José - 2 - Fisioterapia Ortopédica - Pacote (R$ 20,00)"/>
    <s v="Fisioterapia"/>
    <n v="168229"/>
    <s v="Finalizado (10/10)"/>
    <n v="15"/>
    <n v="5"/>
    <n v="20"/>
    <s v="Pago"/>
    <n v="1"/>
    <n v="43346"/>
    <s v="Unidade Sao Jose"/>
    <n v="168229"/>
    <m/>
  </r>
  <r>
    <x v="3"/>
    <x v="4"/>
    <s v="Francisco de Assis da Silva Junior"/>
    <s v="Masculino"/>
    <x v="7"/>
    <x v="11"/>
    <s v="Sao José - 14 - Fisioterapia Pós Operatória - Pacote (R$ 50,00)"/>
    <s v="Fisioterapia"/>
    <n v="170673"/>
    <s v="Finalizado (7/10)"/>
    <n v="37.5"/>
    <n v="12.5"/>
    <n v="50"/>
    <s v="Pago"/>
    <n v="39841"/>
    <n v="39841"/>
    <s v="Unidade Sao Jose"/>
    <n v="170673"/>
    <m/>
  </r>
  <r>
    <x v="3"/>
    <x v="4"/>
    <s v="Raimundo Antonio de Oliveira"/>
    <s v="Masculino"/>
    <x v="27"/>
    <x v="11"/>
    <s v="20103514 - Patol. Em Diferentes Segmentos da Coluna (R$ 14,83)"/>
    <s v="Fisioterapia"/>
    <n v="1713965199"/>
    <s v="Finalizado (2/5)"/>
    <n v="12.4572"/>
    <n v="2.3727999999999998"/>
    <n v="14.83"/>
    <s v="Sessão Faturada"/>
    <n v="772530028185000"/>
    <n v="27968"/>
    <s v="Unidade Sao Jose"/>
    <n v="1713965199"/>
    <m/>
  </r>
  <r>
    <x v="3"/>
    <x v="6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2989537"/>
    <s v="Finalizado (4/5)"/>
    <n v="24.914400000000001"/>
    <n v="4.7455999999999996"/>
    <n v="29.66"/>
    <s v="Sessão Faturada"/>
    <n v="775426000850030"/>
    <n v="59638"/>
    <s v="Unidade Sao Jose"/>
    <n v="1712989537"/>
    <m/>
  </r>
  <r>
    <x v="3"/>
    <x v="7"/>
    <s v="Alessandra da Silva Cabral"/>
    <s v="Feminino"/>
    <x v="4"/>
    <x v="11"/>
    <s v="31602185 - Estimulação Elétrica Transcutânea - Removido 13/04/2026 (R$ 40,00)"/>
    <s v="Fisioterapia"/>
    <n v="1713590701"/>
    <s v="Finalizado (3/5)"/>
    <n v="33.6"/>
    <n v="6.4"/>
    <n v="40"/>
    <s v="Sessão Faturada"/>
    <n v="775426000850030"/>
    <n v="59638"/>
    <s v="Unidade Sao Jose"/>
    <n v="1713590701"/>
    <m/>
  </r>
  <r>
    <x v="3"/>
    <x v="15"/>
    <s v="Paulo Eduardo Silva de Souza"/>
    <s v="Masculino"/>
    <x v="7"/>
    <x v="11"/>
    <s v="Sao José - 2 - Fisioterapia Ortopédica - Pacote (R$ 20,00)"/>
    <s v="Fisioterapia"/>
    <n v="170450"/>
    <s v="Finalizado (10/10)"/>
    <n v="15"/>
    <n v="5"/>
    <n v="20"/>
    <s v="Pago"/>
    <n v="59524"/>
    <n v="59524"/>
    <s v="Unidade Sao Jose"/>
    <n v="170450"/>
    <m/>
  </r>
  <r>
    <x v="3"/>
    <x v="8"/>
    <s v="Everaldo Jose Moitinho Nunes Sinimbu"/>
    <s v="Masculino"/>
    <x v="7"/>
    <x v="11"/>
    <s v="Sao José - 2 - Fisioterapia Ortopédica - Pacote (R$ 20,00)"/>
    <s v="Fisioterapia"/>
    <n v="162173"/>
    <s v="Finalizado (7/10)"/>
    <n v="15"/>
    <n v="5"/>
    <n v="20"/>
    <s v="Pago"/>
    <n v="54730"/>
    <n v="54730"/>
    <s v="Unidade Sao Jose"/>
    <n v="162173"/>
    <m/>
  </r>
  <r>
    <x v="4"/>
    <x v="44"/>
    <s v="Vanderlei Moraes da Silva"/>
    <s v="Masculino"/>
    <x v="16"/>
    <x v="11"/>
    <s v="50000160 - Fisioterapia Ortopedica (R$ 25,00)"/>
    <s v="Fisioterapia"/>
    <n v="171180"/>
    <s v="Finalizado (9/10)"/>
    <n v="21"/>
    <n v="4"/>
    <n v="25"/>
    <s v="Sessão a Faturar"/>
    <n v="58809"/>
    <n v="58809"/>
    <s v="Unidade Sao Jose"/>
    <n v="171180"/>
    <m/>
  </r>
  <r>
    <x v="4"/>
    <x v="44"/>
    <s v="Rocivaldo Alfredo da Silva"/>
    <s v="Masculino"/>
    <x v="16"/>
    <x v="11"/>
    <s v="50000160 - Fisioterapia Ortopedica (R$ 25,00)"/>
    <s v="Fisioterapia"/>
    <n v="171611"/>
    <s v="Finalizado (3/10)"/>
    <n v="21"/>
    <n v="4"/>
    <n v="25"/>
    <s v="Sessão a Faturar"/>
    <n v="59425"/>
    <n v="59425"/>
    <s v="Unidade Sao Jose"/>
    <n v="171611"/>
    <m/>
  </r>
  <r>
    <x v="4"/>
    <x v="41"/>
    <s v="Devanete Gonçalves de Oliveira"/>
    <s v="Feminino"/>
    <x v="7"/>
    <x v="11"/>
    <s v="Sao José - 2 - Fisioterapia Ortopédica - Pacote (R$ 20,00)"/>
    <s v="Fisioterapia"/>
    <n v="171787"/>
    <s v="Finalizado (4/10)"/>
    <n v="15"/>
    <n v="5"/>
    <n v="20"/>
    <s v="Pago"/>
    <n v="59652"/>
    <n v="59652"/>
    <s v="Unidade Sao Jose"/>
    <n v="171787"/>
    <m/>
  </r>
  <r>
    <x v="4"/>
    <x v="36"/>
    <s v="Jose Francinaldo dos Santos"/>
    <s v="Masculino"/>
    <x v="7"/>
    <x v="11"/>
    <s v="Sao José - 4 - Fisioterapia Neurológica/Respiratória - Pacote (R$ 50,00)"/>
    <s v="Fisioterapia"/>
    <n v="170818"/>
    <s v="Finalizado (7/10)"/>
    <n v="37.5"/>
    <n v="12.5"/>
    <n v="50"/>
    <s v="No Prazo"/>
    <n v="59333"/>
    <n v="59333"/>
    <s v="Unidade Sao Jose"/>
    <n v="170818"/>
    <m/>
  </r>
  <r>
    <x v="4"/>
    <x v="36"/>
    <s v="Sonia Maria Morais Maia"/>
    <s v="Feminino"/>
    <x v="0"/>
    <x v="11"/>
    <s v="50000160 - Fisioterapia Ortopedica (R$ 49,72)"/>
    <s v="Fisioterapia"/>
    <s v="42263120260310440094"/>
    <s v="Finalizado (5/10)"/>
    <n v="41.764800000000001"/>
    <n v="7.9551999999999996"/>
    <n v="49.72"/>
    <s v="Sessão a Faturar"/>
    <s v="010650548005"/>
    <n v="55667"/>
    <s v="Unidade Sao Jose"/>
    <s v="42263120260310440094"/>
    <m/>
  </r>
  <r>
    <x v="4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5/10)"/>
    <n v="45.469200000000001"/>
    <n v="8.6608000000000001"/>
    <n v="54.13"/>
    <s v="Sessão a Faturar"/>
    <s v="010650548005"/>
    <n v="55667"/>
    <s v="Unidade Sao Jose"/>
    <s v="52263120260310440139"/>
    <m/>
  </r>
  <r>
    <x v="4"/>
    <x v="40"/>
    <s v="Francinete Ferreira de Souza"/>
    <s v="Feminino"/>
    <x v="8"/>
    <x v="11"/>
    <s v="20103492 - Patologia Em Dois Ou Mais Membros (R$ 14,83), 20103514 - Patologia Em Diferentes Segmentos da Coluna (R$ 14,83)"/>
    <s v="Fisioterapia"/>
    <n v="1710740777"/>
    <s v="Finalizado (5/5)"/>
    <n v="24.914400000000001"/>
    <n v="4.7455999999999996"/>
    <n v="29.66"/>
    <s v="Sessão Faturada"/>
    <n v="954390037672020"/>
    <n v="41225"/>
    <s v="Unidade Sao Jose"/>
    <n v="1710740777"/>
    <m/>
  </r>
  <r>
    <x v="4"/>
    <x v="40"/>
    <s v="Jhonatan Xavier Vieira"/>
    <s v="Masculino"/>
    <x v="7"/>
    <x v="11"/>
    <s v="Sao José - 14 - Fisioterapia Pós Operatória - Pacote (R$ 50,00)"/>
    <s v="Fisioterapia"/>
    <n v="171009"/>
    <s v="Finalizado (5/5)"/>
    <n v="37.5"/>
    <n v="12.5"/>
    <n v="50"/>
    <s v="Pago"/>
    <n v="59583"/>
    <n v="59583"/>
    <s v="Unidade Sao Jose"/>
    <n v="171009"/>
    <m/>
  </r>
  <r>
    <x v="4"/>
    <x v="40"/>
    <s v="Renilson Santos de Assis"/>
    <s v="Masculino"/>
    <x v="4"/>
    <x v="11"/>
    <s v="31602185 - Estimulação Elétrica Transcutânea - Removido 13/04/2026 (R$ 40,00)"/>
    <s v="Fisioterapia"/>
    <n v="1709622137"/>
    <s v="Finalizado (4/5)"/>
    <n v="33.6"/>
    <n v="6.4"/>
    <n v="40"/>
    <s v="Sessão a Faturar"/>
    <n v="772682001643000"/>
    <n v="57157"/>
    <s v="Unidade Sao Jose"/>
    <n v="1709622137"/>
    <m/>
  </r>
  <r>
    <x v="4"/>
    <x v="40"/>
    <s v="Renilson Santos de Assis"/>
    <s v="Masculino"/>
    <x v="27"/>
    <x v="11"/>
    <s v="20103662 - Pos Operatorio Em Um Membro (R$ 14,99)"/>
    <s v="Fisioterapia"/>
    <n v="1714999382"/>
    <s v="Finalizado (1/5)"/>
    <n v="12.5916"/>
    <n v="2.3984000000000001"/>
    <n v="14.99"/>
    <s v="Sessão a Faturar"/>
    <n v="772682001643000"/>
    <n v="57157"/>
    <s v="Unidade Sao Jose"/>
    <n v="1714999382"/>
    <m/>
  </r>
  <r>
    <x v="4"/>
    <x v="40"/>
    <s v="Renilson Santos de Assis"/>
    <s v="Masculino"/>
    <x v="27"/>
    <x v="11"/>
    <s v="20103484 - Patologia Em Um Membro (R$ 12,22), 20103514 - Patol. Em Diferentes Segmentos da Coluna (R$ 14,83)"/>
    <s v="Fisioterapia"/>
    <n v="1714999089"/>
    <s v="Finalizado (1/5)"/>
    <n v="22.722000000000001"/>
    <n v="4.3280000000000003"/>
    <n v="27.05"/>
    <s v="Sessão a Faturar"/>
    <n v="772682001643000"/>
    <n v="57157"/>
    <s v="Unidade Sao Jose"/>
    <n v="1714999089"/>
    <m/>
  </r>
  <r>
    <x v="4"/>
    <x v="45"/>
    <s v="Francinete Ferreira de Souza"/>
    <s v="Feminino"/>
    <x v="9"/>
    <x v="11"/>
    <s v="31602185 - Estimulação Elétrica Transcutânea (Tens) - Removido 13/04/2026 (R$ 40,00)"/>
    <s v="Fisioterapia"/>
    <n v="1711357320"/>
    <s v="Finalizado (4/5)"/>
    <n v="33.6"/>
    <n v="6.4"/>
    <n v="40"/>
    <s v="Sessão Faturada"/>
    <n v="954390037672020"/>
    <n v="41225"/>
    <s v="Unidade Sao Jose"/>
    <n v="1711357320"/>
    <m/>
  </r>
  <r>
    <x v="4"/>
    <x v="35"/>
    <s v="Raimundo Antonio de Oliveira"/>
    <s v="Masculino"/>
    <x v="4"/>
    <x v="11"/>
    <s v="31602185 - Estimulação Elétrica Transcutânea - Removido 13/04/2026 (R$ 40,00)"/>
    <s v="Fisioterapia"/>
    <n v="1715027814"/>
    <s v="Finalizado (1/5)"/>
    <n v="33.6"/>
    <n v="6.4"/>
    <n v="40"/>
    <s v="Sessão Faturada"/>
    <n v="772530028185000"/>
    <n v="27968"/>
    <s v="Unidade Sao Jose"/>
    <n v="1715027814"/>
    <m/>
  </r>
  <r>
    <x v="4"/>
    <x v="35"/>
    <s v="Sheila Ferreira do Nascimento"/>
    <s v="Feminino"/>
    <x v="4"/>
    <x v="11"/>
    <s v="31602185 - Estimulação Elétrica Transcutânea - Removido 13/04/2026 (R$ 40,00)"/>
    <s v="Fisioterapia"/>
    <n v="1713931051"/>
    <s v="Finalizado (2/5)"/>
    <n v="33.6"/>
    <n v="6.4"/>
    <n v="40"/>
    <s v="Sessão Faturada"/>
    <n v="774239001511020"/>
    <n v="27492"/>
    <s v="Unidade Sao Jose"/>
    <n v="1713931051"/>
    <m/>
  </r>
  <r>
    <x v="4"/>
    <x v="35"/>
    <s v="Raimundo Antonio de Oliveira"/>
    <s v="Masculino"/>
    <x v="27"/>
    <x v="11"/>
    <s v="20103514 - Patol. Em Diferentes Segmentos da Coluna (R$ 14,83)"/>
    <s v="Fisioterapia"/>
    <n v="1713965199"/>
    <s v="Finalizado (3/5)"/>
    <n v="12.4572"/>
    <n v="2.3727999999999998"/>
    <n v="14.83"/>
    <s v="Sessão Faturada"/>
    <n v="772530028185000"/>
    <n v="27968"/>
    <s v="Unidade Sao Jose"/>
    <n v="1713965199"/>
    <m/>
  </r>
  <r>
    <x v="4"/>
    <x v="35"/>
    <s v="Sheila Ferreira do Nascimento"/>
    <s v="Feminino"/>
    <x v="27"/>
    <x v="11"/>
    <s v="20103522 - Fisioterapia - Pac Com Dependencia de Vida Diária (R$ 23,59)"/>
    <s v="Fisioterapia"/>
    <n v="1712648148"/>
    <s v="Finalizado (3/5)"/>
    <n v="19.8156"/>
    <n v="3.7744"/>
    <n v="23.59"/>
    <s v="Sessão Faturada"/>
    <n v="774239001511020"/>
    <n v="27492"/>
    <s v="Unidade Sao Jose"/>
    <n v="1712648148"/>
    <m/>
  </r>
  <r>
    <x v="4"/>
    <x v="35"/>
    <s v="Railson Castro de Souza"/>
    <s v="Masculino"/>
    <x v="7"/>
    <x v="11"/>
    <s v="Sao José - 2 - Fisioterapia Ortopédica - Pacote (R$ 20,00)"/>
    <s v="Fisioterapia"/>
    <n v="172143"/>
    <s v="Finalizado (1/10)"/>
    <n v="15"/>
    <n v="5"/>
    <n v="20"/>
    <s v="Pago"/>
    <n v="59697"/>
    <n v="59697"/>
    <s v="Unidade Sao Jose"/>
    <n v="172143"/>
    <m/>
  </r>
  <r>
    <x v="4"/>
    <x v="42"/>
    <s v="Sheila Ferreira do Nascimento"/>
    <s v="Feminino"/>
    <x v="27"/>
    <x v="11"/>
    <s v="20103514 - Patol. Em Diferentes Segmentos da Coluna (R$ 14,83)"/>
    <s v="Fisioterapia"/>
    <n v="1712649778"/>
    <s v="Finalizado (3/5)"/>
    <n v="12.4572"/>
    <n v="2.3727999999999998"/>
    <n v="14.83"/>
    <s v="Sessão Faturada"/>
    <n v="774239001511020"/>
    <n v="27492"/>
    <s v="Unidade Sao Jose"/>
    <n v="1712649778"/>
    <m/>
  </r>
  <r>
    <x v="4"/>
    <x v="38"/>
    <s v="Jarbas Arirama da Costa"/>
    <s v="Masculino"/>
    <x v="7"/>
    <x v="11"/>
    <s v="Sao José - 2 - Fisioterapia Ortopédica - Pacote (R$ 20,00)"/>
    <s v="Fisioterapia"/>
    <n v="172379"/>
    <s v="Finalizado (1/10)"/>
    <n v="15"/>
    <n v="5"/>
    <n v="20"/>
    <s v="Pago"/>
    <n v="58656"/>
    <n v="58656"/>
    <s v="Unidade Sao Jose"/>
    <n v="172379"/>
    <m/>
  </r>
  <r>
    <x v="4"/>
    <x v="39"/>
    <s v="Vanessa Soares de Almeida"/>
    <s v="Feminino"/>
    <x v="7"/>
    <x v="11"/>
    <s v="Sao José - 2 - Fisioterapia Ortopédica - Pacote (R$ 20,00)"/>
    <s v="Fisioterapia"/>
    <n v="170464"/>
    <s v="Finalizado (6/10)"/>
    <n v="15"/>
    <n v="5"/>
    <n v="20"/>
    <s v="Pago"/>
    <s v="."/>
    <n v="52536"/>
    <s v="Unidade Sao Jose"/>
    <n v="170464"/>
    <m/>
  </r>
  <r>
    <x v="4"/>
    <x v="39"/>
    <s v="Francisca da Silva Rebouças"/>
    <s v="Feminino"/>
    <x v="7"/>
    <x v="11"/>
    <s v="Sao José - 4 - Fisioterapia Neurológica/Respiratória - Pacote (R$ 50,00)"/>
    <s v="Fisioterapia"/>
    <n v="171760"/>
    <s v="Finalizado (3/10)"/>
    <n v="37.5"/>
    <n v="12.5"/>
    <n v="50"/>
    <s v="Pago"/>
    <n v="59581"/>
    <n v="59581"/>
    <s v="Unidade Sao Jose"/>
    <n v="171760"/>
    <m/>
  </r>
  <r>
    <x v="4"/>
    <x v="0"/>
    <s v="Maria do Socorro Pereira da Silva"/>
    <s v="Feminino"/>
    <x v="7"/>
    <x v="11"/>
    <s v="Sao José - 2 - Fisioterapia Ortopédica - Pacote (R$ 20,00)"/>
    <s v="Fisioterapia"/>
    <n v="172412"/>
    <s v="Finalizado (1/10)"/>
    <n v="15"/>
    <n v="5"/>
    <n v="20"/>
    <s v="Pago"/>
    <n v="59726"/>
    <n v="59726"/>
    <s v="Unidade Sao Jose"/>
    <n v="172412"/>
    <m/>
  </r>
  <r>
    <x v="4"/>
    <x v="0"/>
    <s v="Everaldo Jose Moitinho Nunes Sinimbu"/>
    <s v="Masculino"/>
    <x v="7"/>
    <x v="11"/>
    <s v="Sao José - 2 - Fisioterapia Ortopédica - Pacote (R$ 20,00)"/>
    <s v="Fisioterapia"/>
    <n v="162173"/>
    <s v="Finalizado (8/10)"/>
    <n v="15"/>
    <n v="5"/>
    <n v="20"/>
    <s v="Pago"/>
    <n v="54730"/>
    <n v="54730"/>
    <s v="Unidade Sao Jose"/>
    <n v="162173"/>
    <m/>
  </r>
  <r>
    <x v="4"/>
    <x v="4"/>
    <s v="Francisco de Assis da Silva Junior"/>
    <s v="Masculino"/>
    <x v="7"/>
    <x v="11"/>
    <s v="Sao José - 14 - Fisioterapia Pós Operatória - Pacote (R$ 50,00)"/>
    <s v="Fisioterapia"/>
    <n v="170673"/>
    <s v="Finalizado (8/10)"/>
    <n v="37.5"/>
    <n v="12.5"/>
    <n v="50"/>
    <s v="Pago"/>
    <n v="39841"/>
    <n v="39841"/>
    <s v="Unidade Sao Jose"/>
    <n v="170673"/>
    <m/>
  </r>
  <r>
    <x v="4"/>
    <x v="4"/>
    <s v="Suelen de Souza Moraes"/>
    <s v="Feminino"/>
    <x v="7"/>
    <x v="11"/>
    <s v="Sao José - 2 - Fisioterapia Ortopédica - Pacote (R$ 20,00)"/>
    <s v="Fisioterapia"/>
    <s v="/168940"/>
    <s v="Finalizado (17/30)"/>
    <n v="15"/>
    <n v="5"/>
    <n v="20"/>
    <s v="No Prazo"/>
    <n v="59411"/>
    <n v="59411"/>
    <s v="Unidade Sao Jose"/>
    <s v="/168940"/>
    <m/>
  </r>
  <r>
    <x v="4"/>
    <x v="13"/>
    <s v="Silvaneide Pinto Rodrigues Pontes"/>
    <s v="Feminino"/>
    <x v="5"/>
    <x v="11"/>
    <s v="98860020 - Fisioterapia Complexidade 2 (R$ 73,81)"/>
    <s v="Fisioterapia"/>
    <n v="78916070"/>
    <s v="Finalizado (2/10)"/>
    <n v="62.000399999999999"/>
    <n v="11.8096"/>
    <n v="73.81"/>
    <s v="Sessão a Faturar"/>
    <s v="0100788548001225"/>
    <n v="57040"/>
    <s v="Unidade Sao Jose"/>
    <n v="78916070"/>
    <m/>
  </r>
  <r>
    <x v="4"/>
    <x v="14"/>
    <s v="Silvaneide Pinto Rodrigues Pontes"/>
    <s v="Feminino"/>
    <x v="5"/>
    <x v="11"/>
    <s v="31602185 - Estimulação Elétrica Transcutânea (Tens) - 04/03/2026 (R$ 120,28)"/>
    <s v="Fisioterapia"/>
    <n v="68198610"/>
    <s v="Finalizado (10/10)"/>
    <n v="101.0352"/>
    <n v="19.244800000000001"/>
    <n v="120.28"/>
    <s v="Sessão Faturada"/>
    <s v="0100788548001225"/>
    <n v="57040"/>
    <s v="Unidade Sao Jose"/>
    <n v="68198610"/>
    <m/>
  </r>
  <r>
    <x v="4"/>
    <x v="6"/>
    <s v="Natalia Anacleto Carvalho da Silva"/>
    <s v="Feminino"/>
    <x v="6"/>
    <x v="11"/>
    <s v="20103662 - Pos Operatorio Em Um Membro (R$ 22,53)"/>
    <s v="Fisioterapia"/>
    <n v="172438"/>
    <s v="Finalizado (1/10)"/>
    <n v="18.9252"/>
    <n v="3.6048"/>
    <n v="22.53"/>
    <s v="Sessão a Faturar"/>
    <s v="51588888477546590011"/>
    <n v="59693"/>
    <s v="Unidade Sao Jose"/>
    <n v="172438"/>
    <m/>
  </r>
  <r>
    <x v="4"/>
    <x v="6"/>
    <s v="Lauriethe Silva Nascimento Garrido"/>
    <s v="Feminino"/>
    <x v="7"/>
    <x v="11"/>
    <s v="Sao José - 2 - Fisioterapia Ortopédica - Pacote (R$ 20,00)"/>
    <s v="Fisioterapia"/>
    <n v="170690"/>
    <s v="Finalizado (8/10)"/>
    <n v="15"/>
    <n v="5"/>
    <n v="20"/>
    <s v="Pago"/>
    <n v="59555"/>
    <n v="59555"/>
    <s v="Unidade Sao Jose"/>
    <n v="170690"/>
    <m/>
  </r>
  <r>
    <x v="4"/>
    <x v="6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2989537"/>
    <s v="Finalizado (5/5)"/>
    <n v="24.914400000000001"/>
    <n v="4.7455999999999996"/>
    <n v="29.66"/>
    <s v="Sessão Faturada"/>
    <n v="775426000850030"/>
    <n v="59638"/>
    <s v="Unidade Sao Jose"/>
    <n v="1712989537"/>
    <m/>
  </r>
  <r>
    <x v="4"/>
    <x v="6"/>
    <s v="Evanilson Cavalcante Batista"/>
    <s v="Masculino"/>
    <x v="7"/>
    <x v="11"/>
    <s v="Sao José - 4 - Fisioterapia Neurológica/Respiratória - Pacote (R$ 50,00)"/>
    <s v="Fisioterapia"/>
    <n v="172082"/>
    <s v="Finalizado (1/5)"/>
    <n v="37.5"/>
    <n v="12.5"/>
    <n v="50"/>
    <s v="Pago"/>
    <n v="59647"/>
    <n v="59647"/>
    <s v="Unidade Sao Jose"/>
    <n v="172082"/>
    <m/>
  </r>
  <r>
    <x v="4"/>
    <x v="6"/>
    <s v="Natalia Anacleto Carvalho da Silva"/>
    <s v="Feminino"/>
    <x v="6"/>
    <x v="11"/>
    <s v="50000144 - Avaliação de Fisioterapia (R$ 56,52)"/>
    <s v="Fisioterapia"/>
    <n v="7700047319"/>
    <s v="Finalizado (1/1)"/>
    <n v="50.868000000000002"/>
    <n v="5.6520000000000001"/>
    <n v="56.52"/>
    <s v="Sessão Faturada"/>
    <s v="51588888477546590011"/>
    <n v="59693"/>
    <s v="Unidade Sao Jose"/>
    <n v="7700047319"/>
    <m/>
  </r>
  <r>
    <x v="4"/>
    <x v="6"/>
    <s v="Maria Edilaine do Nascimento Biá"/>
    <s v="Feminino"/>
    <x v="7"/>
    <x v="11"/>
    <s v="Sao José - 2 - Fisioterapia Ortopédica - Pacote (R$ 20,00)"/>
    <s v="Fisioterapia"/>
    <n v="171510"/>
    <s v="Finalizado (2/10)"/>
    <n v="15"/>
    <n v="5"/>
    <n v="20"/>
    <s v="Pago"/>
    <n v="59629"/>
    <n v="59629"/>
    <s v="Unidade Sao Jose"/>
    <n v="171510"/>
    <m/>
  </r>
  <r>
    <x v="4"/>
    <x v="7"/>
    <s v="Natalia Anacleto Carvalho da Silva"/>
    <s v="Feminino"/>
    <x v="6"/>
    <x v="11"/>
    <s v="31602185 - Estimulação Elétrica Transcutanea (Tens) (R$ 40,00)"/>
    <s v="Fisioterapia"/>
    <n v="172439"/>
    <s v="Finalizado (1/5)"/>
    <n v="33.6"/>
    <n v="6.4"/>
    <n v="40"/>
    <s v="Sessão Faturada"/>
    <s v="51588888477546590011"/>
    <n v="59693"/>
    <s v="Unidade Sao Jose"/>
    <n v="172439"/>
    <m/>
  </r>
  <r>
    <x v="4"/>
    <x v="7"/>
    <s v="Alessandra da Silva Cabral"/>
    <s v="Feminino"/>
    <x v="4"/>
    <x v="11"/>
    <s v="31602185 - Estimulação Elétrica Transcutânea - Removido 13/04/2026 (R$ 40,00)"/>
    <s v="Fisioterapia"/>
    <n v="1713590701"/>
    <s v="Finalizado (4/5)"/>
    <n v="33.6"/>
    <n v="6.4"/>
    <n v="40"/>
    <s v="Sessão Faturada"/>
    <n v="775426000850030"/>
    <n v="59638"/>
    <s v="Unidade Sao Jose"/>
    <n v="1713590701"/>
    <m/>
  </r>
  <r>
    <x v="4"/>
    <x v="15"/>
    <s v="Luan Raphael Fernandes da Silva"/>
    <s v="Masculino"/>
    <x v="27"/>
    <x v="11"/>
    <s v="20103662 - Pos Operatorio Em Um Membro (R$ 14,99)"/>
    <s v="Fisioterapia"/>
    <n v="1711947902"/>
    <s v="Finalizado (4/5)"/>
    <n v="12.5916"/>
    <n v="2.3984000000000001"/>
    <n v="14.99"/>
    <s v="Sessão a Faturar"/>
    <n v="775216014346010"/>
    <n v="59334"/>
    <s v="Unidade Sao Jose"/>
    <n v="1711947902"/>
    <m/>
  </r>
  <r>
    <x v="4"/>
    <x v="15"/>
    <s v="Ana de Jesus Figueira"/>
    <s v="Feminino"/>
    <x v="16"/>
    <x v="11"/>
    <s v="50000160 - Fisioterapia Ortopedica (R$ 25,00)"/>
    <s v="Fisioterapia"/>
    <n v="169067"/>
    <s v="Finalizado (10/10)"/>
    <n v="21"/>
    <n v="4"/>
    <n v="25"/>
    <s v="Sessão a Faturar"/>
    <n v="51923"/>
    <n v="51923"/>
    <s v="Unidade Sao Jose"/>
    <n v="169067"/>
    <m/>
  </r>
  <r>
    <x v="4"/>
    <x v="16"/>
    <s v="Luan Raphael Fernandes da Silva"/>
    <s v="Masculino"/>
    <x v="4"/>
    <x v="11"/>
    <s v="31602185 - Estimulação Elétrica Transcutânea - Removido 13/04/2026 (R$ 40,00)"/>
    <s v="Fisioterapia"/>
    <n v="1711947149"/>
    <s v="Finalizado (4/5)"/>
    <n v="33.6"/>
    <n v="6.4"/>
    <n v="40"/>
    <s v="Sessão Faturada"/>
    <n v="775216014346010"/>
    <n v="59334"/>
    <s v="Unidade Sao Jose"/>
    <n v="1711947149"/>
    <m/>
  </r>
  <r>
    <x v="4"/>
    <x v="17"/>
    <s v="Lucca Gabriel Rodrigues"/>
    <s v="Masculino"/>
    <x v="7"/>
    <x v="11"/>
    <s v="Sao José - 4 - Fisioterapia Neurológica/Respiratória - Pacote (R$ 50,00)"/>
    <s v="Fisioterapia"/>
    <n v="170023"/>
    <s v="Finalizado (4/5)"/>
    <n v="37.5"/>
    <n v="12.5"/>
    <n v="50"/>
    <s v="Pago"/>
    <n v="59489"/>
    <n v="59489"/>
    <s v="Unidade Sao Jose"/>
    <n v="170023"/>
    <m/>
  </r>
  <r>
    <x v="4"/>
    <x v="17"/>
    <s v="Manuele da Palma Monteiro"/>
    <s v="Feminino"/>
    <x v="7"/>
    <x v="11"/>
    <s v="Sao José - 2 - Fisioterapia Ortopédica - Pacote (R$ 20,00)"/>
    <s v="Fisioterapia"/>
    <n v="171038"/>
    <s v="Finalizado (3/10)"/>
    <n v="15"/>
    <n v="5"/>
    <n v="20"/>
    <s v="Pago"/>
    <n v="59589"/>
    <n v="59589"/>
    <s v="Unidade Sao Jose"/>
    <n v="171038"/>
    <m/>
  </r>
  <r>
    <x v="24"/>
    <x v="44"/>
    <s v="Rocivaldo Alfredo da Silva"/>
    <s v="Masculino"/>
    <x v="16"/>
    <x v="11"/>
    <s v="50000160 - Fisioterapia Ortopedica (R$ 25,00)"/>
    <s v="Fisioterapia"/>
    <n v="171611"/>
    <s v="Finalizado (4/10)"/>
    <n v="21"/>
    <n v="4"/>
    <n v="25"/>
    <s v="Sessão a Faturar"/>
    <n v="59425"/>
    <n v="59425"/>
    <s v="Unidade Sao Jose"/>
    <n v="171611"/>
    <m/>
  </r>
  <r>
    <x v="24"/>
    <x v="44"/>
    <s v="Silvia Serrão de Figueiredo"/>
    <s v="Feminino"/>
    <x v="27"/>
    <x v="11"/>
    <s v="20103492 - Patol. Em Dois Ou Mais Membros (R$ 14,83), 20103514 - Patol. Em Diferentes Segmentos da Coluna (R$ 14,83)"/>
    <s v="Fisioterapia"/>
    <n v="1706695150"/>
    <s v="Finalizado (5/5)"/>
    <n v="24.914400000000001"/>
    <n v="4.7455999999999996"/>
    <n v="29.66"/>
    <s v="Sessão Faturada"/>
    <n v="772133000485020"/>
    <n v="25348"/>
    <s v="Unidade Sao Jose"/>
    <n v="1706695150"/>
    <m/>
  </r>
  <r>
    <x v="24"/>
    <x v="44"/>
    <s v="Silvia Serrão de Figueiredo"/>
    <s v="Feminino"/>
    <x v="27"/>
    <x v="11"/>
    <s v="20103522 - Fisioterapia - Pac Com Dependencia de Vida Diária (R$ 23,59)"/>
    <s v="Fisioterapia"/>
    <n v="1715388796"/>
    <s v="Finalizado (1/5)"/>
    <n v="19.8156"/>
    <n v="3.7744"/>
    <n v="23.59"/>
    <s v="Sessão Faturada"/>
    <n v="772133000485020"/>
    <n v="25348"/>
    <s v="Unidade Sao Jose"/>
    <n v="1715388796"/>
    <m/>
  </r>
  <r>
    <x v="24"/>
    <x v="44"/>
    <s v="Osmar Barbosa dos Santos Junior"/>
    <s v="Masculino"/>
    <x v="8"/>
    <x v="11"/>
    <s v="20103662 - Pos Operatorio Em Um Membro (R$ 14,99)"/>
    <s v="Fisioterapia"/>
    <n v="1711547864"/>
    <s v="Finalizado (4/5)"/>
    <n v="12.5916"/>
    <n v="2.3984000000000001"/>
    <n v="14.99"/>
    <s v="Sessão Faturada"/>
    <n v="954600036315000"/>
    <n v="58555"/>
    <s v="Unidade Sao Jose"/>
    <n v="1711547864"/>
    <m/>
  </r>
  <r>
    <x v="24"/>
    <x v="60"/>
    <s v="Osmar Barbosa dos Santos Junior"/>
    <s v="Masculino"/>
    <x v="9"/>
    <x v="11"/>
    <s v="31602185 - Estimulação Elétrica Transcutânea (Tens) - Removido 13/04/2026 (R$ 40,00)"/>
    <s v="Fisioterapia"/>
    <n v="1711550784"/>
    <s v="Finalizado (4/5)"/>
    <n v="33.6"/>
    <n v="6.4"/>
    <n v="40"/>
    <s v="Sessão Faturada"/>
    <n v="954600036315000"/>
    <n v="58555"/>
    <s v="Unidade Sao Jose"/>
    <n v="1711550784"/>
    <m/>
  </r>
  <r>
    <x v="24"/>
    <x v="41"/>
    <s v="Tereza da Rocha Vieira"/>
    <s v="Feminino"/>
    <x v="10"/>
    <x v="11"/>
    <s v="50000160 - Fisioterapia Ortopédica (R$ 15,00)"/>
    <s v="Fisioterapia"/>
    <n v="15114021"/>
    <s v="Finalizado (6/10)"/>
    <n v="12.6"/>
    <n v="2.4"/>
    <n v="15"/>
    <s v="Sessão Faturada"/>
    <s v="00010001253014045"/>
    <n v="52943"/>
    <s v="Unidade Sao Jose"/>
    <n v="15114021"/>
    <m/>
  </r>
  <r>
    <x v="24"/>
    <x v="41"/>
    <s v="Devanete Gonçalves de Oliveira"/>
    <s v="Feminino"/>
    <x v="7"/>
    <x v="11"/>
    <s v="Sao José - 2 - Fisioterapia Ortopédica - Pacote (R$ 20,00)"/>
    <s v="Fisioterapia"/>
    <n v="171787"/>
    <s v="Finalizado (5/10)"/>
    <n v="15"/>
    <n v="5"/>
    <n v="20"/>
    <s v="Pago"/>
    <n v="59652"/>
    <n v="59652"/>
    <s v="Unidade Sao Jose"/>
    <n v="171787"/>
    <m/>
  </r>
  <r>
    <x v="24"/>
    <x v="41"/>
    <s v="Kyssia Roberta Sena Batista de Souza"/>
    <s v="Feminino"/>
    <x v="9"/>
    <x v="11"/>
    <s v="31602185 - Estimulação Elétrica Transcutânea (Tens) - Removido 13/04/2026 (R$ 40,00)"/>
    <s v="Fisioterapia"/>
    <n v="1713218640"/>
    <s v="Finalizado (4/5)"/>
    <n v="33.6"/>
    <n v="6.4"/>
    <n v="40"/>
    <s v="Sessão Faturada"/>
    <n v="954600002461000"/>
    <n v="58661"/>
    <s v="Unidade Sao Jose"/>
    <n v="1713218640"/>
    <m/>
  </r>
  <r>
    <x v="24"/>
    <x v="41"/>
    <s v="Vanderlei Moraes da Silva"/>
    <s v="Masculino"/>
    <x v="16"/>
    <x v="11"/>
    <s v="50000160 - Fisioterapia Ortopedica (R$ 25,00)"/>
    <s v="Fisioterapia"/>
    <n v="171180"/>
    <s v="Finalizado (10/10)"/>
    <n v="21"/>
    <n v="4"/>
    <n v="25"/>
    <s v="Sessão a Faturar"/>
    <n v="58809"/>
    <n v="58809"/>
    <s v="Unidade Sao Jose"/>
    <n v="171180"/>
    <m/>
  </r>
  <r>
    <x v="24"/>
    <x v="41"/>
    <s v="Maria Neide Oliveira Marques"/>
    <s v="Feminino"/>
    <x v="8"/>
    <x v="11"/>
    <s v="20103514 - Patologia Em Diferentes Segmentos da Coluna (R$ 14,83)"/>
    <s v="Fisioterapia"/>
    <n v="1709225829"/>
    <s v="Finalizado (5/5)"/>
    <n v="12.4572"/>
    <n v="2.3727999999999998"/>
    <n v="14.83"/>
    <s v="Sessão Faturada"/>
    <n v="954600008419020"/>
    <n v="52794"/>
    <s v="Unidade Sao Jose"/>
    <n v="1709225829"/>
    <m/>
  </r>
  <r>
    <x v="24"/>
    <x v="41"/>
    <s v="Francisca Neta de Lira Araujo"/>
    <s v="Feminino"/>
    <x v="7"/>
    <x v="11"/>
    <s v="Sao José - 4 - Fisioterapia Neurológica/Respiratória - Pacote (R$ 50,00)"/>
    <s v="Fisioterapia"/>
    <n v="171525"/>
    <s v="Finalizado (4/10)"/>
    <n v="37.5"/>
    <n v="12.5"/>
    <n v="50"/>
    <s v="Pago"/>
    <n v="59631"/>
    <n v="59631"/>
    <s v="Unidade Sao Jose"/>
    <n v="171525"/>
    <m/>
  </r>
  <r>
    <x v="24"/>
    <x v="76"/>
    <s v="Maria Neide Oliveira Marques"/>
    <s v="Feminino"/>
    <x v="8"/>
    <x v="11"/>
    <s v="20103522 - Fisioterapia - Pac Com Dependencia de Vida Diária (R$ 23,59)"/>
    <s v="Fisioterapia"/>
    <n v="1709226202"/>
    <s v="Finalizado (5/5)"/>
    <n v="19.8156"/>
    <n v="3.7744"/>
    <n v="23.59"/>
    <s v="Sessão Faturada"/>
    <n v="954600008419020"/>
    <n v="52794"/>
    <s v="Unidade Sao Jose"/>
    <n v="1709226202"/>
    <m/>
  </r>
  <r>
    <x v="24"/>
    <x v="65"/>
    <s v="Kyssia Roberta Sena Batista de Souza"/>
    <s v="Feminino"/>
    <x v="8"/>
    <x v="11"/>
    <s v="20103662 - Pos Operatorio Em Um Membro (R$ 14,99)"/>
    <s v="Fisioterapia"/>
    <n v="1711863303"/>
    <s v="Finalizado (5/5)"/>
    <n v="12.5916"/>
    <n v="2.3984000000000001"/>
    <n v="14.99"/>
    <s v="Sessão Faturada"/>
    <n v="954600002461000"/>
    <n v="58661"/>
    <s v="Unidade Sao Jose"/>
    <n v="1711863303"/>
    <m/>
  </r>
  <r>
    <x v="24"/>
    <x v="48"/>
    <s v="Maria Neide Oliveira Marques"/>
    <s v="Feminino"/>
    <x v="9"/>
    <x v="11"/>
    <s v="31602185 - Estimulação Elétrica Transcutânea (Tens) - Removido 13/04/2026 (R$ 40,00)"/>
    <s v="Fisioterapia"/>
    <n v="1710472621"/>
    <s v="Finalizado (4/5)"/>
    <n v="33.6"/>
    <n v="6.4"/>
    <n v="40"/>
    <s v="Sessão Faturada"/>
    <n v="954600008419020"/>
    <n v="52794"/>
    <s v="Unidade Sao Jose"/>
    <n v="1710472621"/>
    <m/>
  </r>
  <r>
    <x v="24"/>
    <x v="36"/>
    <s v="Maria do Socorro Pereira da Silva"/>
    <s v="Feminino"/>
    <x v="7"/>
    <x v="11"/>
    <s v="Sao José - 2 - Fisioterapia Ortopédica - Pacote (R$ 20,00)"/>
    <s v="Fisioterapia"/>
    <n v="172412"/>
    <s v="Finalizado (2/10)"/>
    <n v="15"/>
    <n v="5"/>
    <n v="20"/>
    <s v="Pago"/>
    <n v="59726"/>
    <n v="59726"/>
    <s v="Unidade Sao Jose"/>
    <n v="172412"/>
    <m/>
  </r>
  <r>
    <x v="24"/>
    <x v="36"/>
    <s v="Evanilson Cavalcante Batista"/>
    <s v="Masculino"/>
    <x v="7"/>
    <x v="11"/>
    <s v="Sao José - 4 - Fisioterapia Neurológica/Respiratória - Pacote (R$ 50,00)"/>
    <s v="Fisioterapia"/>
    <n v="172082"/>
    <s v="Finalizado (2/5)"/>
    <n v="37.5"/>
    <n v="12.5"/>
    <n v="50"/>
    <s v="Pago"/>
    <n v="59647"/>
    <n v="59647"/>
    <s v="Unidade Sao Jose"/>
    <n v="172082"/>
    <m/>
  </r>
  <r>
    <x v="24"/>
    <x v="36"/>
    <s v="Cosme Pereira Borges"/>
    <s v="Masculino"/>
    <x v="7"/>
    <x v="11"/>
    <s v="Sao José - 2 - Fisioterapia Ortopédica - Pacote (R$ 20,00)"/>
    <s v="Fisioterapia"/>
    <n v="171796"/>
    <s v="Finalizado (4/10)"/>
    <n v="15"/>
    <n v="5"/>
    <n v="20"/>
    <s v="Pago"/>
    <n v="59654"/>
    <n v="59654"/>
    <s v="Unidade Sao Jose"/>
    <n v="171796"/>
    <m/>
  </r>
  <r>
    <x v="24"/>
    <x v="36"/>
    <s v="Jorge Frank dos Santos Lira"/>
    <s v="Masculino"/>
    <x v="8"/>
    <x v="11"/>
    <s v="20103492 - Patologia Em Dois Ou Mais Membros (R$ 14,83), 20103514 - Patologia Em Diferentes Segmentos da Coluna (R$ 14,83)"/>
    <s v="Fisioterapia"/>
    <n v="1711428940"/>
    <s v="Finalizado (4/5)"/>
    <n v="24.914400000000001"/>
    <n v="4.7455999999999996"/>
    <n v="29.66"/>
    <s v="Sessão Faturada"/>
    <n v="954600002780020"/>
    <n v="58709"/>
    <s v="Unidade Sao Jose"/>
    <n v="1711428940"/>
    <m/>
  </r>
  <r>
    <x v="24"/>
    <x v="36"/>
    <s v="Francisco Sampaio Lima"/>
    <s v="Masculino"/>
    <x v="7"/>
    <x v="11"/>
    <s v="Sao José - 2 - Fisioterapia Ortopédica - Pacote (R$ 20,00)"/>
    <s v="Fisioterapia"/>
    <n v="168204"/>
    <s v="Finalizado (6/10)"/>
    <n v="15"/>
    <n v="5"/>
    <n v="20"/>
    <s v="Pago"/>
    <n v="59270"/>
    <n v="59270"/>
    <s v="Unidade Sao Jose"/>
    <n v="168204"/>
    <m/>
  </r>
  <r>
    <x v="24"/>
    <x v="36"/>
    <s v="Manuele da Palma Monteiro"/>
    <s v="Feminino"/>
    <x v="7"/>
    <x v="11"/>
    <s v="Sao José - 2 - Fisioterapia Ortopédica - Pacote (R$ 20,00)"/>
    <s v="Fisioterapia"/>
    <n v="171038"/>
    <s v="Finalizado (4/10)"/>
    <n v="15"/>
    <n v="5"/>
    <n v="20"/>
    <s v="Pago"/>
    <n v="59589"/>
    <n v="59589"/>
    <s v="Unidade Sao Jose"/>
    <n v="171038"/>
    <m/>
  </r>
  <r>
    <x v="24"/>
    <x v="36"/>
    <s v="Soniele Maria Santos da Silva"/>
    <s v="Feminino"/>
    <x v="8"/>
    <x v="11"/>
    <s v="20103492 - Patologia Em Dois Ou Mais Membros (R$ 14,83)"/>
    <s v="Fisioterapia"/>
    <n v="1715421827"/>
    <s v="Finalizado (1/5)"/>
    <n v="12.4572"/>
    <n v="2.3727999999999998"/>
    <n v="14.83"/>
    <s v="Sessão a Faturar"/>
    <n v="954600000507010"/>
    <n v="50297"/>
    <s v="Unidade Sao Jose"/>
    <n v="1715421827"/>
    <m/>
  </r>
  <r>
    <x v="24"/>
    <x v="61"/>
    <s v="Jorge Frank dos Santos Lira"/>
    <s v="Masculino"/>
    <x v="9"/>
    <x v="11"/>
    <s v="31602185 - Estimulação Elétrica Transcutânea (Tens) - Removido 13/04/2026 (R$ 40,00)"/>
    <s v="Fisioterapia"/>
    <n v="1712639512"/>
    <s v="Finalizado (3/5)"/>
    <n v="33.6"/>
    <n v="6.4"/>
    <n v="40"/>
    <s v="Sessão Faturada"/>
    <n v="954600002780020"/>
    <n v="58709"/>
    <s v="Unidade Sao Jose"/>
    <n v="1712639512"/>
    <m/>
  </r>
  <r>
    <x v="24"/>
    <x v="40"/>
    <s v="Francilene Sousa Campos da Silva"/>
    <s v="Feminino"/>
    <x v="27"/>
    <x v="11"/>
    <s v="20103492 - Patol. Em Dois Ou Mais Membros (R$ 14,83)"/>
    <s v="Fisioterapia"/>
    <n v="1715439816"/>
    <s v="Finalizado (1/5)"/>
    <n v="12.4572"/>
    <n v="2.3727999999999998"/>
    <n v="14.83"/>
    <s v="Sessão a Faturar"/>
    <n v="813227000779000"/>
    <n v="58889"/>
    <s v="Unidade Sao Jose"/>
    <n v="1715439816"/>
    <m/>
  </r>
  <r>
    <x v="24"/>
    <x v="40"/>
    <s v="Andriely Oliveira Braga"/>
    <s v="Feminino"/>
    <x v="27"/>
    <x v="11"/>
    <s v="20103662 - Pos Operatorio Em Um Membro (R$ 14,99)"/>
    <s v="Fisioterapia"/>
    <n v="1711366375"/>
    <s v="Finalizado (4/5)"/>
    <n v="12.5916"/>
    <n v="2.3984000000000001"/>
    <n v="14.99"/>
    <s v="Sessão Faturada"/>
    <n v="813227000396000"/>
    <n v="52145"/>
    <s v="Unidade Sao Jose"/>
    <n v="1711366375"/>
    <m/>
  </r>
  <r>
    <x v="24"/>
    <x v="40"/>
    <s v="Railson Castro de Souza"/>
    <s v="Masculino"/>
    <x v="7"/>
    <x v="11"/>
    <s v="Sao José - 2 - Fisioterapia Ortopédica - Pacote (R$ 20,00)"/>
    <s v="Fisioterapia"/>
    <n v="172143"/>
    <s v="Finalizado (2/10)"/>
    <n v="15"/>
    <n v="5"/>
    <n v="20"/>
    <s v="Pago"/>
    <n v="59697"/>
    <n v="59697"/>
    <s v="Unidade Sao Jose"/>
    <n v="172143"/>
    <m/>
  </r>
  <r>
    <x v="24"/>
    <x v="40"/>
    <s v="Inoru Uchigasaki"/>
    <s v="Masculino"/>
    <x v="7"/>
    <x v="11"/>
    <s v="Sao José - 4 - Fisioterapia Neurológica/Respiratória - Pacote (R$ 50,00)"/>
    <s v="Fisioterapia"/>
    <n v="169780"/>
    <s v="Finalizado (7/10)"/>
    <n v="37.5"/>
    <n v="12.5"/>
    <n v="50"/>
    <s v="Pago"/>
    <n v="59468"/>
    <n v="59468"/>
    <s v="Unidade Sao Jose"/>
    <n v="169780"/>
    <m/>
  </r>
  <r>
    <x v="24"/>
    <x v="40"/>
    <s v="Francisca Zuleide de Oliveira Araujo"/>
    <s v="Feminino"/>
    <x v="7"/>
    <x v="11"/>
    <s v="Sao José - 2 - Fisioterapia Ortopédica - Pacote (R$ 20,00)"/>
    <s v="Fisioterapia"/>
    <n v="171952"/>
    <s v="Finalizado (4/10)"/>
    <n v="15"/>
    <n v="5"/>
    <n v="20"/>
    <s v="Pago"/>
    <n v="59540"/>
    <n v="59540"/>
    <s v="Unidade Sao Jose"/>
    <n v="171952"/>
    <m/>
  </r>
  <r>
    <x v="24"/>
    <x v="45"/>
    <s v="Francilene Sousa Campos da Silva"/>
    <s v="Feminino"/>
    <x v="4"/>
    <x v="11"/>
    <s v="31602185 - Estimulação Elétrica Transcutânea - Removido 13/04/2026 (R$ 40,00)"/>
    <s v="Fisioterapia"/>
    <n v="1710732173"/>
    <s v="Finalizado (5/5)"/>
    <n v="33.6"/>
    <n v="6.4"/>
    <n v="40"/>
    <s v="Sessão Faturada"/>
    <n v="813227000779000"/>
    <n v="58889"/>
    <s v="Unidade Sao Jose"/>
    <n v="1710732173"/>
    <m/>
  </r>
  <r>
    <x v="24"/>
    <x v="35"/>
    <s v="Jhonatan Xavier Vieira"/>
    <s v="Masculino"/>
    <x v="7"/>
    <x v="11"/>
    <s v="Sao José - 14 - Fisioterapia Pós Operatória - Pacote (R$ 50,00)"/>
    <s v="Fisioterapia"/>
    <n v="172487"/>
    <s v="Finalizado (1/5)"/>
    <n v="37.5"/>
    <n v="12.5"/>
    <n v="50"/>
    <s v="Pago"/>
    <n v="59583"/>
    <n v="59583"/>
    <s v="Unidade Sao Jose"/>
    <n v="172487"/>
    <m/>
  </r>
  <r>
    <x v="24"/>
    <x v="35"/>
    <s v="Ana Cristina de Frota Palheta"/>
    <s v="Feminino"/>
    <x v="6"/>
    <x v="11"/>
    <s v="20103476 - Patologia Neurologica (R$ 35,40)"/>
    <s v="Fisioterapia"/>
    <n v="172502"/>
    <s v="Finalizado (1/7)"/>
    <n v="29.736000000000001"/>
    <n v="5.6639999999999997"/>
    <n v="35.4"/>
    <s v="Sessão Faturada"/>
    <s v="54588888012065310011"/>
    <n v="20193"/>
    <s v="Unidade Sao Jose"/>
    <n v="172502"/>
    <m/>
  </r>
  <r>
    <x v="24"/>
    <x v="35"/>
    <s v="Jordan Campos Barbosa"/>
    <s v="Masculino"/>
    <x v="27"/>
    <x v="11"/>
    <s v="50000144 - Avaliação de Fisioterapia (R$ 51,42)"/>
    <s v="Fisioterapia"/>
    <n v="1715442778"/>
    <s v="Finalizado (1/1)"/>
    <n v="46.277999999999999"/>
    <n v="5.1420000000000003"/>
    <n v="51.42"/>
    <s v="Sessão Faturada"/>
    <n v="775252005010010"/>
    <n v="59718"/>
    <s v="Unidade Sao Jose"/>
    <n v="1715442778"/>
    <m/>
  </r>
  <r>
    <x v="24"/>
    <x v="42"/>
    <s v="Ana Cristina de Frota Palheta"/>
    <s v="Feminino"/>
    <x v="6"/>
    <x v="11"/>
    <s v="31602185 - Estimulação Elétrica Transcutanea (Tens) (R$ 40,00)"/>
    <s v="Fisioterapia"/>
    <n v="172385"/>
    <s v="Finalizado (2/6)"/>
    <n v="33.6"/>
    <n v="6.4"/>
    <n v="40"/>
    <s v="Sessão Faturada"/>
    <s v="54588888012065310011"/>
    <n v="20193"/>
    <s v="Unidade Sao Jose"/>
    <n v="172385"/>
    <m/>
  </r>
  <r>
    <x v="24"/>
    <x v="38"/>
    <s v="Jean da Silva Melo"/>
    <s v="Masculino"/>
    <x v="9"/>
    <x v="11"/>
    <s v="31602185 - Estimulação Elétrica Transcutânea (Tens) - Removido 13/04/2026 (R$ 40,00)"/>
    <s v="Fisioterapia"/>
    <n v="1713585717"/>
    <s v="Finalizado (5/5)"/>
    <n v="33.6"/>
    <n v="6.4"/>
    <n v="40"/>
    <s v="Sessão Faturada"/>
    <n v="954600003042000"/>
    <n v="29915"/>
    <s v="Unidade Sao Jose"/>
    <n v="1713585717"/>
    <m/>
  </r>
  <r>
    <x v="24"/>
    <x v="68"/>
    <s v="Jean da Silva Melo"/>
    <s v="Masculino"/>
    <x v="14"/>
    <x v="11"/>
    <s v="20103492 - Fisioterapia - Patologia Em Dois Ou Mais Membros (R$ 14,83), 20103514 - Fisioterapia - Patologia Em Diferentes Segmentos da Coluna (R$ 14,83)"/>
    <s v="Fisioterapia"/>
    <n v="1715477511"/>
    <s v="Finalizado (1/5)"/>
    <n v="24.914400000000001"/>
    <n v="4.7455999999999996"/>
    <n v="29.66"/>
    <s v="Sessão a Faturar"/>
    <n v="954600003042000"/>
    <n v="29915"/>
    <s v="Unidade Sao Jose"/>
    <n v="1715477511"/>
    <m/>
  </r>
  <r>
    <x v="24"/>
    <x v="69"/>
    <s v="Jean da Silva Melo"/>
    <s v="Masculino"/>
    <x v="14"/>
    <x v="11"/>
    <s v="20103662 - Fisioterapia - Pos Operatorio Em Um Membro (R$ 14,99)"/>
    <s v="Fisioterapia"/>
    <n v="1715477961"/>
    <s v="Finalizado (1/5)"/>
    <n v="12.5916"/>
    <n v="2.3984000000000001"/>
    <n v="14.99"/>
    <s v="Sessão Faturada"/>
    <n v="954600003042000"/>
    <n v="29915"/>
    <s v="Unidade Sao Jose"/>
    <n v="1715477961"/>
    <m/>
  </r>
  <r>
    <x v="24"/>
    <x v="37"/>
    <s v="Marciana Bastos Araújo de Lima"/>
    <s v="Feminino"/>
    <x v="27"/>
    <x v="11"/>
    <s v="20103514 - Patol. Em Diferentes Segmentos da Coluna (R$ 14,83)"/>
    <s v="Fisioterapia"/>
    <n v="1702833711"/>
    <s v="Finalizado (3/3)"/>
    <n v="12.4572"/>
    <n v="2.3727999999999998"/>
    <n v="14.83"/>
    <s v="Sessão a Faturar"/>
    <n v="771015044180010"/>
    <n v="50306"/>
    <s v="Unidade Sao Jose"/>
    <n v="1702833711"/>
    <m/>
  </r>
  <r>
    <x v="24"/>
    <x v="37"/>
    <s v="Jordan Campos Barbosa"/>
    <s v="Masculino"/>
    <x v="27"/>
    <x v="11"/>
    <s v="20103484 - Patologia Em Um Membro (R$ 12,22), 20103506 - Patol. Em Um Segmento Na Coluna (R$ 12,22)"/>
    <s v="Fisioterapia"/>
    <n v="1715478823"/>
    <s v="Finalizado (1/5)"/>
    <n v="20.529599999999999"/>
    <n v="3.9104000000000001"/>
    <n v="24.44"/>
    <s v="Sessão a Faturar"/>
    <n v="775252005010010"/>
    <n v="59718"/>
    <s v="Unidade Sao Jose"/>
    <n v="1715478823"/>
    <m/>
  </r>
  <r>
    <x v="24"/>
    <x v="37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5488807"/>
    <s v="Finalizado (1/5)"/>
    <n v="24.914400000000001"/>
    <n v="4.7455999999999996"/>
    <n v="29.66"/>
    <s v="Sessão a Faturar"/>
    <n v="775426000850030"/>
    <n v="59638"/>
    <s v="Unidade Sao Jose"/>
    <n v="1715488807"/>
    <m/>
  </r>
  <r>
    <x v="24"/>
    <x v="63"/>
    <s v="Alessandra da Silva Cabral"/>
    <s v="Feminino"/>
    <x v="4"/>
    <x v="11"/>
    <s v="31602185 - Estimulação Elétrica Transcutânea - Removido 13/04/2026 (R$ 40,00)"/>
    <s v="Fisioterapia"/>
    <n v="1713590701"/>
    <s v="Finalizado (5/5)"/>
    <n v="33.6"/>
    <n v="6.4"/>
    <n v="40"/>
    <s v="Sessão Faturada"/>
    <n v="775426000850030"/>
    <n v="59638"/>
    <s v="Unidade Sao Jose"/>
    <n v="1713590701"/>
    <m/>
  </r>
  <r>
    <x v="24"/>
    <x v="39"/>
    <s v="Helem Sintia Souza da Silva"/>
    <s v="Feminino"/>
    <x v="6"/>
    <x v="11"/>
    <s v="20103514 - Patologia Em Dois Ou Mais Segmentos da Coluna - 01/09/2025 (R$ 31,56)"/>
    <s v="Fisioterapia"/>
    <n v="150274"/>
    <s v="Finalizado (7/10)"/>
    <n v="26.510400000000001"/>
    <n v="5.0495999999999999"/>
    <n v="31.56"/>
    <s v="Sessão Faturada"/>
    <s v="54588888461717910027"/>
    <n v="23857"/>
    <s v="Unidade Sao Jose"/>
    <n v="150274"/>
    <m/>
  </r>
  <r>
    <x v="24"/>
    <x v="39"/>
    <s v="Vanessa Soares de Almeida"/>
    <s v="Feminino"/>
    <x v="7"/>
    <x v="11"/>
    <s v="Sao José - 2 - Fisioterapia Ortopédica - Pacote (R$ 20,00)"/>
    <s v="Fisioterapia"/>
    <n v="170464"/>
    <s v="Finalizado (7/10)"/>
    <n v="15"/>
    <n v="5"/>
    <n v="20"/>
    <s v="Pago"/>
    <s v="."/>
    <n v="52536"/>
    <s v="Unidade Sao Jose"/>
    <n v="170464"/>
    <m/>
  </r>
  <r>
    <x v="24"/>
    <x v="39"/>
    <s v="Francisca da Silva Rebouças"/>
    <s v="Feminino"/>
    <x v="7"/>
    <x v="11"/>
    <s v="Sao José - 4 - Fisioterapia Neurológica/Respiratória - Pacote (R$ 50,00)"/>
    <s v="Fisioterapia"/>
    <n v="171760"/>
    <s v="Finalizado (4/10)"/>
    <n v="37.5"/>
    <n v="12.5"/>
    <n v="50"/>
    <s v="Pago"/>
    <n v="59581"/>
    <n v="59581"/>
    <s v="Unidade Sao Jose"/>
    <n v="171760"/>
    <m/>
  </r>
  <r>
    <x v="24"/>
    <x v="64"/>
    <s v="Helem Sintia Souza da Silva"/>
    <s v="Feminino"/>
    <x v="6"/>
    <x v="11"/>
    <s v="31602185 - Estimulação Elétrica Transcutanea (Tens) - 01/09/2025 (R$ 96,68)"/>
    <s v="Fisioterapia"/>
    <n v="150547"/>
    <s v="Finalizado (7/10)"/>
    <n v="81.211200000000005"/>
    <n v="15.4688"/>
    <n v="96.68"/>
    <s v="Sessão Faturada"/>
    <s v="54588888461717910027"/>
    <n v="23857"/>
    <s v="Unidade Sao Jose"/>
    <n v="150547"/>
    <m/>
  </r>
  <r>
    <x v="5"/>
    <x v="44"/>
    <s v="Joao Arthur Alcantara de Lima"/>
    <s v="Masculino"/>
    <x v="2"/>
    <x v="11"/>
    <s v="20103662 - Fisioterapia - Pos Operatorio Em Um Membro (R$ 14,99)"/>
    <s v="Fisioterapia"/>
    <n v="1715842695"/>
    <s v="Finalizado (1/5)"/>
    <n v="12.5916"/>
    <n v="2.3984000000000001"/>
    <n v="14.99"/>
    <s v="Sessão Faturada"/>
    <n v="774642026670000"/>
    <n v="59569"/>
    <s v="Unidade Sao Jose"/>
    <n v="1715842695"/>
    <m/>
  </r>
  <r>
    <x v="5"/>
    <x v="44"/>
    <s v="Devanete Gonçalves de Oliveira"/>
    <s v="Feminino"/>
    <x v="7"/>
    <x v="11"/>
    <s v="Sao José - 2 - Fisioterapia Ortopédica - Pacote (R$ 20,00)"/>
    <s v="Fisioterapia"/>
    <n v="171787"/>
    <s v="Finalizado (6/10)"/>
    <n v="15"/>
    <n v="5"/>
    <n v="20"/>
    <s v="Pago"/>
    <n v="59652"/>
    <n v="59652"/>
    <s v="Unidade Sao Jose"/>
    <n v="171787"/>
    <m/>
  </r>
  <r>
    <x v="5"/>
    <x v="36"/>
    <s v="Jarbas Arirama da Costa"/>
    <s v="Masculino"/>
    <x v="7"/>
    <x v="11"/>
    <s v="Sao José - 2 - Fisioterapia Ortopédica - Pacote (R$ 20,00)"/>
    <s v="Fisioterapia"/>
    <n v="172379"/>
    <s v="Finalizado (2/10)"/>
    <n v="15"/>
    <n v="5"/>
    <n v="20"/>
    <s v="Pago"/>
    <n v="58656"/>
    <n v="58656"/>
    <s v="Unidade Sao Jose"/>
    <n v="172379"/>
    <m/>
  </r>
  <r>
    <x v="5"/>
    <x v="36"/>
    <s v="Jorge Frank dos Santos Lira"/>
    <s v="Masculino"/>
    <x v="8"/>
    <x v="11"/>
    <s v="20103492 - Patologia Em Dois Ou Mais Membros (R$ 14,83), 20103514 - Patologia Em Diferentes Segmentos da Coluna (R$ 14,83)"/>
    <s v="Fisioterapia"/>
    <n v="1711428940"/>
    <s v="Finalizado (5/5)"/>
    <n v="24.914400000000001"/>
    <n v="4.7455999999999996"/>
    <n v="29.66"/>
    <s v="Sessão Faturada"/>
    <n v="954600002780020"/>
    <n v="58709"/>
    <s v="Unidade Sao Jose"/>
    <n v="1711428940"/>
    <m/>
  </r>
  <r>
    <x v="5"/>
    <x v="36"/>
    <s v="Jose Francinaldo dos Santos"/>
    <s v="Masculino"/>
    <x v="7"/>
    <x v="11"/>
    <s v="Sao José - 4 - Fisioterapia Neurológica/Respiratória - Pacote (R$ 50,00)"/>
    <s v="Fisioterapia"/>
    <n v="170818"/>
    <s v="Finalizado (8/10)"/>
    <n v="37.5"/>
    <n v="12.5"/>
    <n v="50"/>
    <s v="No Prazo"/>
    <n v="59333"/>
    <n v="59333"/>
    <s v="Unidade Sao Jose"/>
    <n v="170818"/>
    <m/>
  </r>
  <r>
    <x v="5"/>
    <x v="36"/>
    <s v="Manoel Bentes Colares"/>
    <s v="Masculino"/>
    <x v="7"/>
    <x v="11"/>
    <s v="Sao José - 2 - Fisioterapia Ortopédica - Pacote (R$ 20,00)"/>
    <s v="Fisioterapia"/>
    <n v="172528"/>
    <s v="Finalizado (1/10)"/>
    <n v="15"/>
    <n v="5"/>
    <n v="20"/>
    <s v="Pago"/>
    <n v="59736"/>
    <n v="59736"/>
    <s v="Unidade Sao Jose"/>
    <n v="172528"/>
    <m/>
  </r>
  <r>
    <x v="5"/>
    <x v="61"/>
    <s v="Jorge Frank dos Santos Lira"/>
    <s v="Masculino"/>
    <x v="9"/>
    <x v="11"/>
    <s v="31602185 - Estimulação Elétrica Transcutânea (Tens) - Removido 13/04/2026 (R$ 40,00)"/>
    <s v="Fisioterapia"/>
    <n v="1712639512"/>
    <s v="Finalizado (4/5)"/>
    <n v="33.6"/>
    <n v="6.4"/>
    <n v="40"/>
    <s v="Sessão Faturada"/>
    <n v="954600002780020"/>
    <n v="58709"/>
    <s v="Unidade Sao Jose"/>
    <n v="1712639512"/>
    <m/>
  </r>
  <r>
    <x v="5"/>
    <x v="35"/>
    <s v="Tharlison  Monteiro Franco"/>
    <s v="Masculino"/>
    <x v="8"/>
    <x v="11"/>
    <s v="50000144 - Consulta de Fisioterapia (R$ 51,42)"/>
    <s v="Fisioterapia"/>
    <n v="1715975318"/>
    <s v="Finalizado (1/1)"/>
    <n v="46.277999999999999"/>
    <n v="5.1420000000000003"/>
    <n v="51.42"/>
    <s v="Sessão Faturada"/>
    <n v="954600003751010"/>
    <n v="50910"/>
    <s v="Unidade Sao Jose"/>
    <n v="1715975318"/>
    <m/>
  </r>
  <r>
    <x v="5"/>
    <x v="35"/>
    <s v="Sheila Ferreira do Nascimento"/>
    <s v="Feminino"/>
    <x v="27"/>
    <x v="11"/>
    <s v="20103514 - Patol. Em Diferentes Segmentos da Coluna (R$ 14,83)"/>
    <s v="Fisioterapia"/>
    <n v="1712649778"/>
    <s v="Finalizado (4/5)"/>
    <n v="12.4572"/>
    <n v="2.3727999999999998"/>
    <n v="14.83"/>
    <s v="Sessão Faturada"/>
    <n v="774239001511020"/>
    <n v="27492"/>
    <s v="Unidade Sao Jose"/>
    <n v="1712649778"/>
    <m/>
  </r>
  <r>
    <x v="5"/>
    <x v="70"/>
    <s v="Sheila Ferreira do Nascimento"/>
    <s v="Feminino"/>
    <x v="27"/>
    <x v="11"/>
    <s v="20103522 - Fisioterapia - Pac Com Dependencia de Vida Diária (R$ 23,59)"/>
    <s v="Fisioterapia"/>
    <n v="1712648148"/>
    <s v="Finalizado (4/5)"/>
    <n v="19.8156"/>
    <n v="3.7744"/>
    <n v="23.59"/>
    <s v="Sessão Faturada"/>
    <n v="774239001511020"/>
    <n v="27492"/>
    <s v="Unidade Sao Jose"/>
    <n v="1712648148"/>
    <m/>
  </r>
  <r>
    <x v="5"/>
    <x v="71"/>
    <s v="Sheila Ferreira do Nascimento"/>
    <s v="Feminino"/>
    <x v="4"/>
    <x v="11"/>
    <s v="31602185 - Estimulação Elétrica Transcutânea - Removido 13/04/2026 (R$ 40,00)"/>
    <s v="Fisioterapia"/>
    <n v="1713931051"/>
    <s v="Finalizado (3/5)"/>
    <n v="33.6"/>
    <n v="6.4"/>
    <n v="40"/>
    <s v="Sessão Faturada"/>
    <n v="774239001511020"/>
    <n v="27492"/>
    <s v="Unidade Sao Jose"/>
    <n v="1713931051"/>
    <m/>
  </r>
  <r>
    <x v="5"/>
    <x v="38"/>
    <s v="Raimundo Antonio de Oliveira"/>
    <s v="Masculino"/>
    <x v="27"/>
    <x v="11"/>
    <s v="20103514 - Patol. Em Diferentes Segmentos da Coluna (R$ 14,83)"/>
    <s v="Fisioterapia"/>
    <n v="1713965199"/>
    <s v="Finalizado (4/5)"/>
    <n v="12.4572"/>
    <n v="2.3727999999999998"/>
    <n v="14.83"/>
    <s v="Sessão Faturada"/>
    <n v="772530028185000"/>
    <n v="27968"/>
    <s v="Unidade Sao Jose"/>
    <n v="1713965199"/>
    <m/>
  </r>
  <r>
    <x v="5"/>
    <x v="38"/>
    <s v="Railson Castro de Souza"/>
    <s v="Masculino"/>
    <x v="7"/>
    <x v="11"/>
    <s v="Sao José - 2 - Fisioterapia Ortopédica - Pacote (R$ 20,00)"/>
    <s v="Fisioterapia"/>
    <n v="172143"/>
    <s v="Finalizado (3/10)"/>
    <n v="15"/>
    <n v="5"/>
    <n v="20"/>
    <s v="Pago"/>
    <n v="59697"/>
    <n v="59697"/>
    <s v="Unidade Sao Jose"/>
    <n v="172143"/>
    <m/>
  </r>
  <r>
    <x v="5"/>
    <x v="38"/>
    <s v="Elvis Miranda dos Santos"/>
    <s v="Masculino"/>
    <x v="7"/>
    <x v="11"/>
    <s v="Sao José - 14 - Fisioterapia Pós Operatória - Pacote (R$ 50,00)"/>
    <s v="Fisioterapia"/>
    <n v="170740"/>
    <s v="Finalizado (2/5)"/>
    <n v="37.5"/>
    <n v="12.5"/>
    <n v="50"/>
    <s v="Pago"/>
    <n v="59561"/>
    <n v="59561"/>
    <s v="Unidade Sao Jose"/>
    <n v="170740"/>
    <m/>
  </r>
  <r>
    <x v="5"/>
    <x v="62"/>
    <s v="Raimundo Antonio de Oliveira"/>
    <s v="Masculino"/>
    <x v="4"/>
    <x v="11"/>
    <s v="31602185 - Estimulação Elétrica Transcutânea - Removido 13/04/2026 (R$ 40,00)"/>
    <s v="Fisioterapia"/>
    <n v="1715027814"/>
    <s v="Finalizado (2/5)"/>
    <n v="33.6"/>
    <n v="6.4"/>
    <n v="40"/>
    <s v="Sessão Faturada"/>
    <n v="772530028185000"/>
    <n v="27968"/>
    <s v="Unidade Sao Jose"/>
    <n v="1715027814"/>
    <m/>
  </r>
  <r>
    <x v="5"/>
    <x v="37"/>
    <s v="Tharlison  Monteiro Franco"/>
    <s v="Masculino"/>
    <x v="8"/>
    <x v="11"/>
    <s v="20103514 - Patologia Em Diferentes Segmentos da Coluna (R$ 14,83)"/>
    <s v="Fisioterapia"/>
    <n v="1716011756"/>
    <s v="Finalizado (1/5)"/>
    <n v="12.4572"/>
    <n v="2.3727999999999998"/>
    <n v="14.83"/>
    <s v="Sessão a Faturar"/>
    <n v="954600003751010"/>
    <n v="50910"/>
    <s v="Unidade Sao Jose"/>
    <n v="1716011756"/>
    <m/>
  </r>
  <r>
    <x v="5"/>
    <x v="37"/>
    <s v="Tharlison  Monteiro Franco"/>
    <s v="Masculino"/>
    <x v="8"/>
    <x v="11"/>
    <s v="20103522 - Fisioterapia - Pac Com Dependencia de Vida Diária (R$ 23,59)"/>
    <s v="Fisioterapia"/>
    <n v="1716012549"/>
    <s v="Finalizado (1/5)"/>
    <n v="19.8156"/>
    <n v="3.7744"/>
    <n v="23.59"/>
    <s v="Sessão a Faturar"/>
    <n v="954600003751010"/>
    <n v="50910"/>
    <s v="Unidade Sao Jose"/>
    <n v="1716012549"/>
    <m/>
  </r>
  <r>
    <x v="5"/>
    <x v="39"/>
    <s v="Francisca da Silva Rebouças"/>
    <s v="Feminino"/>
    <x v="7"/>
    <x v="11"/>
    <s v="Sao José - 4 - Fisioterapia Neurológica/Respiratória - Pacote (R$ 50,00)"/>
    <s v="Fisioterapia"/>
    <n v="171760"/>
    <s v="Finalizado (5/10)"/>
    <n v="37.5"/>
    <n v="12.5"/>
    <n v="50"/>
    <s v="Pago"/>
    <n v="59581"/>
    <n v="59581"/>
    <s v="Unidade Sao Jose"/>
    <n v="171760"/>
    <m/>
  </r>
  <r>
    <x v="5"/>
    <x v="0"/>
    <s v="Maria do Socorro Pereira da Silva"/>
    <s v="Feminino"/>
    <x v="7"/>
    <x v="11"/>
    <s v="Sao José - 2 - Fisioterapia Ortopédica - Pacote (R$ 20,00)"/>
    <s v="Fisioterapia"/>
    <n v="172412"/>
    <s v="Finalizado (3/10)"/>
    <n v="15"/>
    <n v="5"/>
    <n v="20"/>
    <s v="Pago"/>
    <n v="59726"/>
    <n v="59726"/>
    <s v="Unidade Sao Jose"/>
    <n v="172412"/>
    <m/>
  </r>
  <r>
    <x v="5"/>
    <x v="4"/>
    <s v="Francisco de Assis da Silva Junior"/>
    <s v="Masculino"/>
    <x v="7"/>
    <x v="11"/>
    <s v="Sao José - 14 - Fisioterapia Pós Operatória - Pacote (R$ 50,00)"/>
    <s v="Fisioterapia"/>
    <n v="170673"/>
    <s v="Finalizado (9/10)"/>
    <n v="37.5"/>
    <n v="12.5"/>
    <n v="50"/>
    <s v="Pago"/>
    <n v="39841"/>
    <n v="39841"/>
    <s v="Unidade Sao Jose"/>
    <n v="170673"/>
    <m/>
  </r>
  <r>
    <x v="5"/>
    <x v="13"/>
    <s v="Kize Coelho Mar"/>
    <s v="Feminino"/>
    <x v="8"/>
    <x v="11"/>
    <s v="20103492 - Patologia Em Dois Ou Mais Membros (R$ 14,83)"/>
    <s v="Fisioterapia"/>
    <n v="1710867446"/>
    <s v="Finalizado (4/5)"/>
    <n v="12.4572"/>
    <n v="2.3727999999999998"/>
    <n v="14.83"/>
    <s v="Sessão Faturada"/>
    <n v="954600030813000"/>
    <n v="59602"/>
    <s v="Unidade Sao Jose"/>
    <n v="1710867446"/>
    <m/>
  </r>
  <r>
    <x v="5"/>
    <x v="13"/>
    <s v="Kize Coelho Mar"/>
    <s v="Feminino"/>
    <x v="9"/>
    <x v="11"/>
    <s v="31602185 - Estimulação Elétrica Transcutânea (Tens) - Removido 13/04/2026 (R$ 40,00)"/>
    <s v="Fisioterapia"/>
    <n v="1711961933"/>
    <s v="Finalizado (2/5)"/>
    <n v="33.6"/>
    <n v="6.4"/>
    <n v="40"/>
    <s v="Sessão a Faturar"/>
    <n v="954600030813000"/>
    <n v="59602"/>
    <s v="Unidade Sao Jose"/>
    <n v="1711961933"/>
    <m/>
  </r>
  <r>
    <x v="5"/>
    <x v="6"/>
    <s v="Lídia Andrade Vieira"/>
    <s v="Feminino"/>
    <x v="7"/>
    <x v="11"/>
    <s v="Sao José - 3 - Fisioterapia Neurológica/Respiratória - Sessão (R$ 60,00), Sao José - 4 - Fisioterapia Neurológica/Respiratória - Pacote (R$ 50,00)"/>
    <s v="Fisioterapia"/>
    <n v="172548"/>
    <s v="Finalizado (1/5)"/>
    <n v="82.5"/>
    <n v="27.5"/>
    <n v="110"/>
    <s v="Pago"/>
    <n v="59737"/>
    <n v="59737"/>
    <s v="Unidade Sao Jose"/>
    <n v="172548"/>
    <m/>
  </r>
  <r>
    <x v="5"/>
    <x v="6"/>
    <s v="Lauriethe Silva Nascimento Garrido"/>
    <s v="Feminino"/>
    <x v="7"/>
    <x v="11"/>
    <s v="Sao José - 2 - Fisioterapia Ortopédica - Pacote (R$ 20,00)"/>
    <s v="Fisioterapia"/>
    <n v="170690"/>
    <s v="Finalizado (9/10)"/>
    <n v="15"/>
    <n v="5"/>
    <n v="20"/>
    <s v="Pago"/>
    <n v="59555"/>
    <n v="59555"/>
    <s v="Unidade Sao Jose"/>
    <n v="170690"/>
    <m/>
  </r>
  <r>
    <x v="5"/>
    <x v="6"/>
    <s v="Natalia Anacleto Carvalho da Silva"/>
    <s v="Feminino"/>
    <x v="6"/>
    <x v="11"/>
    <s v="20103662 - Pos Operatorio Em Um Membro (R$ 22,53)"/>
    <s v="Fisioterapia"/>
    <n v="172438"/>
    <s v="Finalizado (2/10)"/>
    <n v="18.9252"/>
    <n v="3.6048"/>
    <n v="22.53"/>
    <s v="Sessão a Faturar"/>
    <s v="51588888477546590011"/>
    <n v="59693"/>
    <s v="Unidade Sao Jose"/>
    <n v="172438"/>
    <m/>
  </r>
  <r>
    <x v="5"/>
    <x v="7"/>
    <s v="Natalia Anacleto Carvalho da Silva"/>
    <s v="Feminino"/>
    <x v="6"/>
    <x v="11"/>
    <s v="31602185 - Estimulação Elétrica Transcutanea (Tens) (R$ 40,00)"/>
    <s v="Fisioterapia"/>
    <n v="172439"/>
    <s v="Finalizado (2/5)"/>
    <n v="33.6"/>
    <n v="6.4"/>
    <n v="40"/>
    <s v="Sessão Faturada"/>
    <s v="51588888477546590011"/>
    <n v="59693"/>
    <s v="Unidade Sao Jose"/>
    <n v="172439"/>
    <m/>
  </r>
  <r>
    <x v="5"/>
    <x v="15"/>
    <s v="Rosalvo Jerônimo Corrêa Júnior"/>
    <s v="Masculino"/>
    <x v="5"/>
    <x v="11"/>
    <s v="98860020 - Fisioterapia Complexidade 2 (R$ 73,81)"/>
    <s v="Fisioterapia"/>
    <n v="78534330"/>
    <s v="Finalizado (3/10)"/>
    <n v="62.000399999999999"/>
    <n v="11.8096"/>
    <n v="73.81"/>
    <s v="Sessão a Faturar"/>
    <s v="010119271100"/>
    <n v="21327"/>
    <s v="Unidade Sao Jose"/>
    <n v="78534330"/>
    <m/>
  </r>
  <r>
    <x v="5"/>
    <x v="16"/>
    <s v="Rosalvo Jerônimo Corrêa Júnior"/>
    <s v="Masculino"/>
    <x v="5"/>
    <x v="11"/>
    <s v="31602185 - Estimulação Elétrica Transcutânea (Tens) (R$ 125,40)"/>
    <s v="Fisioterapia"/>
    <n v="78534690"/>
    <s v="Finalizado (3/10)"/>
    <n v="105.336"/>
    <n v="20.064"/>
    <n v="125.4"/>
    <s v="Sessão a Faturar"/>
    <s v="010119271100"/>
    <n v="21327"/>
    <s v="Unidade Sao Jose"/>
    <n v="78534690"/>
    <m/>
  </r>
  <r>
    <x v="5"/>
    <x v="17"/>
    <s v="Thiago Lima Trindade"/>
    <s v="Masculino"/>
    <x v="7"/>
    <x v="11"/>
    <s v="Sao José - 14 - Fisioterapia Pós Operatória - Pacote (R$ 50,00)"/>
    <s v="Fisioterapia"/>
    <n v="170313"/>
    <s v="Finalizado (6/10)"/>
    <n v="37.5"/>
    <n v="12.5"/>
    <n v="50"/>
    <s v="Pago"/>
    <n v="59510"/>
    <n v="59510"/>
    <s v="Unidade Sao Jose"/>
    <n v="170313"/>
    <m/>
  </r>
  <r>
    <x v="5"/>
    <x v="17"/>
    <s v="Luan Raphael Fernandes da Silva"/>
    <s v="Masculino"/>
    <x v="27"/>
    <x v="11"/>
    <s v="20103662 - Pos Operatorio Em Um Membro (R$ 14,99)"/>
    <s v="Fisioterapia"/>
    <n v="1711947902"/>
    <s v="Finalizado (5/5)"/>
    <n v="12.5916"/>
    <n v="2.3984000000000001"/>
    <n v="14.99"/>
    <s v="Sessão a Faturar"/>
    <n v="775216014346010"/>
    <n v="59334"/>
    <s v="Unidade Sao Jose"/>
    <n v="1711947902"/>
    <m/>
  </r>
  <r>
    <x v="5"/>
    <x v="17"/>
    <s v="Luan Raphael Fernandes da Silva"/>
    <s v="Masculino"/>
    <x v="4"/>
    <x v="11"/>
    <s v="31602185 - Estimulação Elétrica Transcutânea - Removido 13/04/2026 (R$ 40,00)"/>
    <s v="Fisioterapia"/>
    <n v="1711947149"/>
    <s v="Finalizado (5/5)"/>
    <n v="33.6"/>
    <n v="6.4"/>
    <n v="40"/>
    <s v="Sessão Faturada"/>
    <n v="775216014346010"/>
    <n v="59334"/>
    <s v="Unidade Sao Jose"/>
    <n v="1711947149"/>
    <m/>
  </r>
  <r>
    <x v="5"/>
    <x v="8"/>
    <s v="Elinaldo Lima da Silva"/>
    <s v="Masculino"/>
    <x v="7"/>
    <x v="11"/>
    <s v="Sao José - 4 - Fisioterapia Neurológica/Respiratória - Pacote (R$ 50,00)"/>
    <s v="Fisioterapia"/>
    <n v="172473"/>
    <s v="Finalizado (1/5)"/>
    <n v="37.5"/>
    <n v="12.5"/>
    <n v="50"/>
    <s v="Pago"/>
    <n v="59730"/>
    <n v="59730"/>
    <s v="Unidade Sao Jose"/>
    <n v="172473"/>
    <m/>
  </r>
  <r>
    <x v="5"/>
    <x v="8"/>
    <s v="Gabriel Parente de Castro"/>
    <s v="Masculino"/>
    <x v="12"/>
    <x v="11"/>
    <s v="31602185 - Estimulação Elétrica Transcutânea (Tens) (R$ 49,00)"/>
    <s v="Fisioterapia"/>
    <n v="10319479"/>
    <s v="Finalizado (7/10)"/>
    <n v="41.16"/>
    <n v="7.84"/>
    <n v="49"/>
    <s v="Sessão Faturada"/>
    <n v="9.5078029485153997E+17"/>
    <n v="59364"/>
    <s v="Unidade Sao Jose"/>
    <n v="10319479"/>
    <m/>
  </r>
  <r>
    <x v="5"/>
    <x v="9"/>
    <s v="Gabriel Parente de Castro"/>
    <s v="Masculino"/>
    <x v="12"/>
    <x v="11"/>
    <s v="20103662 - Pos Operatorio Em Um Membro (R$ 14,99)"/>
    <s v="Fisioterapia"/>
    <n v="170538"/>
    <s v="Finalizado (7/10)"/>
    <n v="12.5916"/>
    <n v="2.3984000000000001"/>
    <n v="14.99"/>
    <s v="Sessão Faturada"/>
    <n v="9.5078029485153997E+17"/>
    <n v="59364"/>
    <s v="Unidade Sao Jose"/>
    <n v="170538"/>
    <m/>
  </r>
  <r>
    <x v="5"/>
    <x v="10"/>
    <s v="Evanilson Cavalcante Batista"/>
    <s v="Masculino"/>
    <x v="7"/>
    <x v="11"/>
    <s v="Sao José - 4 - Fisioterapia Neurológica/Respiratória - Pacote (R$ 50,00)"/>
    <s v="Fisioterapia"/>
    <n v="172082"/>
    <s v="Finalizado (3/5)"/>
    <n v="37.5"/>
    <n v="12.5"/>
    <n v="50"/>
    <s v="Pago"/>
    <n v="59647"/>
    <n v="59647"/>
    <s v="Unidade Sao Jose"/>
    <n v="172082"/>
    <m/>
  </r>
  <r>
    <x v="6"/>
    <x v="44"/>
    <s v="Francisca Neta de Lira Araujo"/>
    <s v="Feminino"/>
    <x v="7"/>
    <x v="11"/>
    <s v="Sao José - 4 - Fisioterapia Neurológica/Respiratória - Pacote (R$ 50,00)"/>
    <s v="Fisioterapia"/>
    <n v="171525"/>
    <s v="Finalizado (5/10)"/>
    <n v="37.5"/>
    <n v="12.5"/>
    <n v="50"/>
    <s v="Pago"/>
    <n v="59631"/>
    <n v="59631"/>
    <s v="Unidade Sao Jose"/>
    <n v="171525"/>
    <m/>
  </r>
  <r>
    <x v="6"/>
    <x v="44"/>
    <s v="Rocivaldo Alfredo da Silva"/>
    <s v="Masculino"/>
    <x v="16"/>
    <x v="11"/>
    <s v="50000160 - Fisioterapia Ortopedica (R$ 25,00)"/>
    <s v="Fisioterapia"/>
    <n v="171611"/>
    <s v="Finalizado (5/10)"/>
    <n v="21"/>
    <n v="4"/>
    <n v="25"/>
    <s v="Sessão a Faturar"/>
    <n v="59425"/>
    <n v="59425"/>
    <s v="Unidade Sao Jose"/>
    <n v="171611"/>
    <m/>
  </r>
  <r>
    <x v="6"/>
    <x v="44"/>
    <s v="Cleide Luiza da Silva Cabral"/>
    <s v="Feminino"/>
    <x v="27"/>
    <x v="11"/>
    <s v="20103492 - Patol. Em Dois Ou Mais Membros (R$ 14,83), 20103514 - Patol. Em Diferentes Segmentos da Coluna (R$ 14,83)"/>
    <s v="Fisioterapia"/>
    <n v="1706660488"/>
    <s v="Finalizado (4/5)"/>
    <n v="24.914400000000001"/>
    <n v="4.7455999999999996"/>
    <n v="29.66"/>
    <s v="Sessão Faturada"/>
    <n v="897137800051020"/>
    <n v="54445"/>
    <s v="Unidade Sao Jose"/>
    <n v="1706660488"/>
    <m/>
  </r>
  <r>
    <x v="6"/>
    <x v="44"/>
    <s v="Tereza da Rocha Vieira"/>
    <s v="Feminino"/>
    <x v="10"/>
    <x v="11"/>
    <s v="50000160 - Fisioterapia Ortopédica (R$ 15,00)"/>
    <s v="Fisioterapia"/>
    <n v="15114021"/>
    <s v="Finalizado (7/10)"/>
    <n v="12.6"/>
    <n v="2.4"/>
    <n v="15"/>
    <s v="Sessão Faturada"/>
    <s v="00010001253014045"/>
    <n v="52943"/>
    <s v="Unidade Sao Jose"/>
    <n v="15114021"/>
    <m/>
  </r>
  <r>
    <x v="6"/>
    <x v="44"/>
    <s v="Joao Arthur Alcantara de Lima"/>
    <s v="Masculino"/>
    <x v="2"/>
    <x v="11"/>
    <s v="20103662 - Fisioterapia - Pos Operatorio Em Um Membro (R$ 14,99)"/>
    <s v="Fisioterapia"/>
    <n v="1715842695"/>
    <s v="Finalizado (2/5)"/>
    <n v="12.5916"/>
    <n v="2.3984000000000001"/>
    <n v="14.99"/>
    <s v="Sessão Faturada"/>
    <n v="774642026670000"/>
    <n v="59569"/>
    <s v="Unidade Sao Jose"/>
    <n v="1715842695"/>
    <m/>
  </r>
  <r>
    <x v="6"/>
    <x v="60"/>
    <s v="Joao Arthur Alcantara de Lima"/>
    <s v="Masculino"/>
    <x v="4"/>
    <x v="11"/>
    <s v="31602185 - Estimulação Elétrica Transcutânea - Removido 13/04/2026 (R$ 40,00)"/>
    <s v="Fisioterapia"/>
    <n v="1716403162"/>
    <s v="Finalizado (1/5)"/>
    <n v="33.6"/>
    <n v="6.4"/>
    <n v="40"/>
    <s v="Sessão Faturada"/>
    <n v="774642026670000"/>
    <n v="59569"/>
    <s v="Unidade Sao Jose"/>
    <n v="1716403162"/>
    <m/>
  </r>
  <r>
    <x v="6"/>
    <x v="41"/>
    <s v="Osmar Barbosa dos Santos Junior"/>
    <s v="Masculino"/>
    <x v="8"/>
    <x v="11"/>
    <s v="20103662 - Pos Operatorio Em Um Membro (R$ 14,99)"/>
    <s v="Fisioterapia"/>
    <n v="1711547864"/>
    <s v="Finalizado (5/5)"/>
    <n v="12.5916"/>
    <n v="2.3984000000000001"/>
    <n v="14.99"/>
    <s v="Sessão Faturada"/>
    <n v="954600036315000"/>
    <n v="58555"/>
    <s v="Unidade Sao Jose"/>
    <n v="1711547864"/>
    <m/>
  </r>
  <r>
    <x v="6"/>
    <x v="41"/>
    <s v="Marcelo Ferreira de Aquino"/>
    <s v="Masculino"/>
    <x v="27"/>
    <x v="11"/>
    <s v="20103492 - Patol. Em Dois Ou Mais Membros (R$ 14,83)"/>
    <s v="Fisioterapia"/>
    <n v="1714393096"/>
    <s v="Finalizado (2/10)"/>
    <n v="12.4572"/>
    <n v="2.3727999999999998"/>
    <n v="14.83"/>
    <s v="Sessão a Faturar"/>
    <n v="774642017078000"/>
    <n v="47052"/>
    <s v="Unidade Sao Jose"/>
    <n v="1714393096"/>
    <m/>
  </r>
  <r>
    <x v="6"/>
    <x v="41"/>
    <s v="Jhonatan Xavier Vieira"/>
    <s v="Masculino"/>
    <x v="7"/>
    <x v="11"/>
    <s v="Sao José - 14 - Fisioterapia Pós Operatória - Pacote (R$ 50,00)"/>
    <s v="Fisioterapia"/>
    <n v="172487"/>
    <s v="Finalizado (2/5)"/>
    <n v="37.5"/>
    <n v="12.5"/>
    <n v="50"/>
    <s v="Pago"/>
    <n v="59583"/>
    <n v="59583"/>
    <s v="Unidade Sao Jose"/>
    <n v="172487"/>
    <m/>
  </r>
  <r>
    <x v="6"/>
    <x v="41"/>
    <s v="Elvis Miranda dos Santos"/>
    <s v="Masculino"/>
    <x v="7"/>
    <x v="11"/>
    <s v="Sao José - 14 - Fisioterapia Pós Operatória - Pacote (R$ 50,00)"/>
    <s v="Fisioterapia"/>
    <n v="170740"/>
    <s v="Finalizado (3/5)"/>
    <n v="37.5"/>
    <n v="12.5"/>
    <n v="50"/>
    <s v="Pago"/>
    <n v="59561"/>
    <n v="59561"/>
    <s v="Unidade Sao Jose"/>
    <n v="170740"/>
    <m/>
  </r>
  <r>
    <x v="6"/>
    <x v="65"/>
    <s v="Osmar Barbosa dos Santos Junior"/>
    <s v="Masculino"/>
    <x v="9"/>
    <x v="11"/>
    <s v="31602185 - Estimulação Elétrica Transcutânea (Tens) - Removido 13/04/2026 (R$ 40,00)"/>
    <s v="Fisioterapia"/>
    <n v="1711550784"/>
    <s v="Finalizado (5/5)"/>
    <n v="33.6"/>
    <n v="6.4"/>
    <n v="40"/>
    <s v="Sessão Faturada"/>
    <n v="954600036315000"/>
    <n v="58555"/>
    <s v="Unidade Sao Jose"/>
    <n v="1711550784"/>
    <m/>
  </r>
  <r>
    <x v="6"/>
    <x v="65"/>
    <s v="Marcelo Ferreira de Aquino"/>
    <s v="Masculino"/>
    <x v="4"/>
    <x v="11"/>
    <s v="31602185 - Estimulação Elétrica Transcutânea - Removido 13/04/2026 (R$ 40,00)"/>
    <s v="Fisioterapia"/>
    <n v="1716454651"/>
    <s v="Finalizado (1/5)"/>
    <n v="33.6"/>
    <n v="6.4"/>
    <n v="40"/>
    <s v="Sessão Faturada"/>
    <n v="774642017078000"/>
    <n v="47052"/>
    <s v="Unidade Sao Jose"/>
    <n v="1716454651"/>
    <m/>
  </r>
  <r>
    <x v="6"/>
    <x v="36"/>
    <s v="Manoel Bentes Colares"/>
    <s v="Masculino"/>
    <x v="7"/>
    <x v="11"/>
    <s v="Sao José - 2 - Fisioterapia Ortopédica - Pacote (R$ 20,00)"/>
    <s v="Fisioterapia"/>
    <n v="172528"/>
    <s v="Finalizado (2/10)"/>
    <n v="15"/>
    <n v="5"/>
    <n v="20"/>
    <s v="Pago"/>
    <n v="59736"/>
    <n v="59736"/>
    <s v="Unidade Sao Jose"/>
    <n v="172528"/>
    <m/>
  </r>
  <r>
    <x v="6"/>
    <x v="36"/>
    <s v="Jarbas Arirama da Costa"/>
    <s v="Masculino"/>
    <x v="7"/>
    <x v="11"/>
    <s v="Sao José - 2 - Fisioterapia Ortopédica - Pacote (R$ 20,00)"/>
    <s v="Fisioterapia"/>
    <n v="172379"/>
    <s v="Finalizado (3/10)"/>
    <n v="15"/>
    <n v="5"/>
    <n v="20"/>
    <s v="Pago"/>
    <n v="58656"/>
    <n v="58656"/>
    <s v="Unidade Sao Jose"/>
    <n v="172379"/>
    <m/>
  </r>
  <r>
    <x v="6"/>
    <x v="40"/>
    <s v="Maria Edilaine do Nascimento Biá"/>
    <s v="Feminino"/>
    <x v="7"/>
    <x v="11"/>
    <s v="Sao José - 2 - Fisioterapia Ortopédica - Pacote (R$ 20,00)"/>
    <s v="Fisioterapia"/>
    <n v="171510"/>
    <s v="Finalizado (3/10)"/>
    <n v="15"/>
    <n v="5"/>
    <n v="20"/>
    <s v="Pago"/>
    <n v="59629"/>
    <n v="59629"/>
    <s v="Unidade Sao Jose"/>
    <n v="171510"/>
    <m/>
  </r>
  <r>
    <x v="6"/>
    <x v="40"/>
    <s v="Andriely Oliveira Braga"/>
    <s v="Feminino"/>
    <x v="27"/>
    <x v="11"/>
    <s v="20103662 - Pos Operatorio Em Um Membro (R$ 14,99)"/>
    <s v="Fisioterapia"/>
    <n v="1711366375"/>
    <s v="Finalizado (5/5)"/>
    <n v="12.5916"/>
    <n v="2.3984000000000001"/>
    <n v="14.99"/>
    <s v="Sessão Faturada"/>
    <n v="813227000396000"/>
    <n v="52145"/>
    <s v="Unidade Sao Jose"/>
    <n v="1711366375"/>
    <m/>
  </r>
  <r>
    <x v="6"/>
    <x v="38"/>
    <s v="Lucia Seixas de Alencar"/>
    <s v="Feminino"/>
    <x v="8"/>
    <x v="11"/>
    <s v="50000144 - Consulta de Fisioterapia (R$ 51,42)"/>
    <s v="Fisioterapia"/>
    <n v="1716558404"/>
    <s v="Finalizado (1/1)"/>
    <n v="46.277999999999999"/>
    <n v="5.1420000000000003"/>
    <n v="51.42"/>
    <s v="Sessão Faturada"/>
    <n v="954600005908000"/>
    <n v="59735"/>
    <s v="Unidade Sao Jose"/>
    <n v="1716558404"/>
    <m/>
  </r>
  <r>
    <x v="6"/>
    <x v="38"/>
    <s v="Francisco de Assis da Silva Junior"/>
    <s v="Masculino"/>
    <x v="7"/>
    <x v="11"/>
    <s v="Sao José - 14 - Fisioterapia Pós Operatória - Pacote (R$ 50,00)"/>
    <s v="Fisioterapia"/>
    <n v="170673"/>
    <s v="Finalizado (10/10)"/>
    <n v="37.5"/>
    <n v="12.5"/>
    <n v="50"/>
    <s v="Pago"/>
    <n v="39841"/>
    <n v="39841"/>
    <s v="Unidade Sao Jose"/>
    <n v="170673"/>
    <m/>
  </r>
  <r>
    <x v="6"/>
    <x v="38"/>
    <s v="Railson Castro de Souza"/>
    <s v="Masculino"/>
    <x v="7"/>
    <x v="11"/>
    <s v="Sao José - 2 - Fisioterapia Ortopédica - Pacote (R$ 20,00)"/>
    <s v="Fisioterapia"/>
    <n v="172143"/>
    <s v="Finalizado (4/10)"/>
    <n v="15"/>
    <n v="5"/>
    <n v="20"/>
    <s v="Pago"/>
    <n v="59697"/>
    <n v="59697"/>
    <s v="Unidade Sao Jose"/>
    <n v="172143"/>
    <m/>
  </r>
  <r>
    <x v="6"/>
    <x v="37"/>
    <s v="Cildomar dos Santos Lira"/>
    <s v="Masculino"/>
    <x v="7"/>
    <x v="11"/>
    <s v="Sao José - 2 - Fisioterapia Ortopédica - Pacote (R$ 20,00)"/>
    <s v="Fisioterapia"/>
    <n v="170978"/>
    <s v="Finalizado (7/10)"/>
    <n v="15"/>
    <n v="5"/>
    <n v="20"/>
    <s v="Pago"/>
    <n v="331883"/>
    <n v="33183"/>
    <s v="Unidade Sao Jose"/>
    <n v="170978"/>
    <m/>
  </r>
  <r>
    <x v="6"/>
    <x v="39"/>
    <s v="Lucia Seixas de Alencar"/>
    <s v="Feminino"/>
    <x v="8"/>
    <x v="11"/>
    <s v="20103662 - Pos Operatorio Em Um Membro (R$ 14,99)"/>
    <s v="Fisioterapia"/>
    <n v="1716594022"/>
    <s v="Finalizado (1/5)"/>
    <n v="12.5916"/>
    <n v="2.3984000000000001"/>
    <n v="14.99"/>
    <s v="Sessão Faturada"/>
    <n v="954600005908000"/>
    <n v="59735"/>
    <s v="Unidade Sao Jose"/>
    <n v="1716594022"/>
    <m/>
  </r>
  <r>
    <x v="6"/>
    <x v="39"/>
    <s v="Lucia Seixas de Alencar"/>
    <s v="Feminino"/>
    <x v="8"/>
    <x v="11"/>
    <s v="20103484 - Patologia Em Um Membro (R$ 12,22), 20103506 - Patologia Em Um Segmento Na Coluna (R$ 12,22)"/>
    <s v="Fisioterapia"/>
    <n v="1716593501"/>
    <s v="Finalizado (1/5)"/>
    <n v="20.529599999999999"/>
    <n v="3.9104000000000001"/>
    <n v="24.44"/>
    <s v="Sessão Faturada"/>
    <n v="954600005908000"/>
    <n v="59735"/>
    <s v="Unidade Sao Jose"/>
    <n v="1716593501"/>
    <m/>
  </r>
  <r>
    <x v="6"/>
    <x v="43"/>
    <s v="Elizangela Souza Araujo"/>
    <s v="Feminino"/>
    <x v="27"/>
    <x v="11"/>
    <s v="20103492 - Patol. Em Dois Ou Mais Membros (R$ 14,83), 20103514 - Patol. Em Diferentes Segmentos da Coluna (R$ 14,83)"/>
    <s v="Fisioterapia"/>
    <n v="1716611811"/>
    <s v="Finalizado (1/5)"/>
    <n v="24.914400000000001"/>
    <n v="4.7455999999999996"/>
    <n v="29.66"/>
    <s v="Sessão a Faturar"/>
    <n v="771015061379010"/>
    <n v="57309"/>
    <s v="Unidade Sao Jose"/>
    <n v="1716611811"/>
    <m/>
  </r>
  <r>
    <x v="6"/>
    <x v="43"/>
    <s v="Elizangela Souza Araujo"/>
    <s v="Feminino"/>
    <x v="27"/>
    <x v="11"/>
    <s v="50000144 - Avaliação de Fisioterapia (R$ 51,42)"/>
    <s v="Fisioterapia"/>
    <n v="1716601848"/>
    <s v="Finalizado (1/1)"/>
    <n v="46.277999999999999"/>
    <n v="5.1420000000000003"/>
    <n v="51.42"/>
    <s v="Sessão Faturada"/>
    <n v="771015061379010"/>
    <n v="57309"/>
    <s v="Unidade Sao Jose"/>
    <n v="1716601848"/>
    <m/>
  </r>
  <r>
    <x v="6"/>
    <x v="43"/>
    <s v="Grêta Tâmi Araújo da Silva"/>
    <s v="Feminino"/>
    <x v="7"/>
    <x v="11"/>
    <s v="Sao José - 2 - Fisioterapia Ortopédica - Pacote (R$ 20,00)"/>
    <s v="Fisioterapia"/>
    <n v="171029"/>
    <s v="Finalizado (5/10)"/>
    <n v="15"/>
    <n v="5"/>
    <n v="20"/>
    <s v="Pago"/>
    <n v="59586"/>
    <n v="59586"/>
    <s v="Unidade Sao Jose"/>
    <n v="171029"/>
    <m/>
  </r>
  <r>
    <x v="6"/>
    <x v="22"/>
    <s v="Jusara Rodrigues de Oliveira"/>
    <s v="Feminino"/>
    <x v="27"/>
    <x v="11"/>
    <s v="50000144 - Avaliação de Fisioterapia (R$ 51,42)"/>
    <s v="Fisioterapia"/>
    <n v="1716671912"/>
    <s v="Finalizado (1/1)"/>
    <n v="46.277999999999999"/>
    <n v="5.1420000000000003"/>
    <n v="51.42"/>
    <s v="Sessão a Faturar"/>
    <n v="774634016195000"/>
    <n v="59700"/>
    <s v="Unidade Sao Jose"/>
    <n v="1716671912"/>
    <m/>
  </r>
  <r>
    <x v="6"/>
    <x v="22"/>
    <s v="Maria do Socorro Pereira da Silva"/>
    <s v="Feminino"/>
    <x v="7"/>
    <x v="11"/>
    <s v="Sao José - 2 - Fisioterapia Ortopédica - Pacote (R$ 20,00)"/>
    <s v="Fisioterapia"/>
    <n v="172412"/>
    <s v="Finalizado (4/10)"/>
    <n v="15"/>
    <n v="5"/>
    <n v="20"/>
    <s v="Pago"/>
    <n v="59726"/>
    <n v="59726"/>
    <s v="Unidade Sao Jose"/>
    <n v="172412"/>
    <m/>
  </r>
  <r>
    <x v="6"/>
    <x v="0"/>
    <s v="Lucelia Rodrigues Lopes Hermelindo"/>
    <s v="Feminino"/>
    <x v="27"/>
    <x v="11"/>
    <s v="20103492 - Patol. Em Dois Ou Mais Membros (R$ 14,83)"/>
    <s v="Fisioterapia"/>
    <n v="1709116722"/>
    <s v="Finalizado (4/5)"/>
    <n v="12.4572"/>
    <n v="2.3727999999999998"/>
    <n v="14.83"/>
    <s v="Sessão Faturada"/>
    <n v="771015043141020"/>
    <n v="43044"/>
    <s v="Unidade Sao Jose"/>
    <n v="1709116722"/>
    <m/>
  </r>
  <r>
    <x v="6"/>
    <x v="2"/>
    <s v="Análio da Silva Ferreira"/>
    <s v="Masculino"/>
    <x v="7"/>
    <x v="11"/>
    <s v="Sao José - 2 - Fisioterapia Ortopédica - Pacote (R$ 20,00)"/>
    <s v="Fisioterapia"/>
    <n v="167002"/>
    <s v="Finalizado (7/10)"/>
    <n v="15"/>
    <n v="5"/>
    <n v="20"/>
    <s v="Pago"/>
    <n v="52875"/>
    <n v="52875"/>
    <s v="Unidade Sao Jose"/>
    <n v="167002"/>
    <m/>
  </r>
  <r>
    <x v="6"/>
    <x v="2"/>
    <s v="Lídia Andrade Vieira"/>
    <s v="Feminino"/>
    <x v="7"/>
    <x v="11"/>
    <s v="Sao José - 4 - Fisioterapia Neurológica/Respiratória - Pacote (R$ 50,00)"/>
    <s v="Fisioterapia"/>
    <n v="172548"/>
    <s v="Finalizado (2/5)"/>
    <n v="37.5"/>
    <n v="12.5"/>
    <n v="50"/>
    <s v="Pago"/>
    <n v="59737"/>
    <n v="59737"/>
    <s v="Unidade Sao Jose"/>
    <n v="172548"/>
    <m/>
  </r>
  <r>
    <x v="6"/>
    <x v="4"/>
    <s v="Jusara Rodrigues de Oliveira"/>
    <s v="Feminino"/>
    <x v="27"/>
    <x v="11"/>
    <s v="20103492 - Patol. Em Dois Ou Mais Membros (R$ 14,83)"/>
    <s v="Fisioterapia"/>
    <n v="1716717236"/>
    <s v="Finalizado (1/5)"/>
    <n v="12.4572"/>
    <n v="2.3727999999999998"/>
    <n v="14.83"/>
    <s v="Sessão a Faturar"/>
    <n v="774634016195000"/>
    <n v="59700"/>
    <s v="Unidade Sao Jose"/>
    <n v="1716717236"/>
    <m/>
  </r>
  <r>
    <x v="6"/>
    <x v="4"/>
    <s v="Jusara Rodrigues de Oliveira"/>
    <s v="Feminino"/>
    <x v="27"/>
    <x v="11"/>
    <s v="20103522 - Fisioterapia - Pac Com Dependencia de Vida Diária (R$ 23,59)"/>
    <s v="Fisioterapia"/>
    <n v="1716717866"/>
    <s v="Finalizado (1/5)"/>
    <n v="19.8156"/>
    <n v="3.7744"/>
    <n v="23.59"/>
    <s v="Sessão a Faturar"/>
    <n v="774634016195000"/>
    <n v="59700"/>
    <s v="Unidade Sao Jose"/>
    <n v="1716717866"/>
    <m/>
  </r>
  <r>
    <x v="6"/>
    <x v="4"/>
    <s v="Lauriethe Silva Nascimento Garrido"/>
    <s v="Feminino"/>
    <x v="7"/>
    <x v="11"/>
    <s v="Sao José - 2 - Fisioterapia Ortopédica - Pacote (R$ 20,00)"/>
    <s v="Fisioterapia"/>
    <n v="170690"/>
    <s v="Finalizado (10/10)"/>
    <n v="15"/>
    <n v="5"/>
    <n v="20"/>
    <s v="Pago"/>
    <n v="59555"/>
    <n v="59555"/>
    <s v="Unidade Sao Jose"/>
    <n v="170690"/>
    <m/>
  </r>
  <r>
    <x v="6"/>
    <x v="13"/>
    <s v="Suelen de Souza Moraes"/>
    <s v="Feminino"/>
    <x v="7"/>
    <x v="11"/>
    <s v="Sao José - 2 - Fisioterapia Ortopédica - Pacote (R$ 20,00)"/>
    <s v="Fisioterapia"/>
    <s v="/168940"/>
    <s v="Finalizado (18/30)"/>
    <n v="15"/>
    <n v="5"/>
    <n v="20"/>
    <s v="No Prazo"/>
    <n v="59411"/>
    <n v="59411"/>
    <s v="Unidade Sao Jose"/>
    <s v="/168940"/>
    <m/>
  </r>
  <r>
    <x v="6"/>
    <x v="13"/>
    <s v="Pietro Mar Carvalho"/>
    <s v="Masculino"/>
    <x v="8"/>
    <x v="11"/>
    <s v="50000144 - Consulta de Fisioterapia (R$ 51,42)"/>
    <s v="Fisioterapia"/>
    <n v="1716750327"/>
    <s v="Finalizado (1/1)"/>
    <n v="46.277999999999999"/>
    <n v="5.1420000000000003"/>
    <n v="51.42"/>
    <s v="Sessão Faturada"/>
    <n v="954600030813010"/>
    <n v="55858"/>
    <s v="Unidade Sao Jose"/>
    <n v="1716750327"/>
    <m/>
  </r>
  <r>
    <x v="6"/>
    <x v="13"/>
    <s v="Kize Coelho Mar"/>
    <s v="Feminino"/>
    <x v="8"/>
    <x v="11"/>
    <s v="20103492 - Patologia Em Dois Ou Mais Membros (R$ 14,83)"/>
    <s v="Fisioterapia"/>
    <n v="1710867446"/>
    <s v="Finalizado (5/5)"/>
    <n v="12.4572"/>
    <n v="2.3727999999999998"/>
    <n v="14.83"/>
    <s v="Sessão Faturada"/>
    <n v="954600030813000"/>
    <n v="59602"/>
    <s v="Unidade Sao Jose"/>
    <n v="1710867446"/>
    <m/>
  </r>
  <r>
    <x v="6"/>
    <x v="14"/>
    <s v="Kize Coelho Mar"/>
    <s v="Feminino"/>
    <x v="9"/>
    <x v="11"/>
    <s v="31602185 - Estimulação Elétrica Transcutânea (Tens) - Removido 13/04/2026 (R$ 40,00)"/>
    <s v="Fisioterapia"/>
    <n v="1711961933"/>
    <s v="Finalizado (3/5)"/>
    <n v="33.6"/>
    <n v="6.4"/>
    <n v="40"/>
    <s v="Sessão a Faturar"/>
    <n v="954600030813000"/>
    <n v="59602"/>
    <s v="Unidade Sao Jose"/>
    <n v="1711961933"/>
    <m/>
  </r>
  <r>
    <x v="6"/>
    <x v="6"/>
    <s v="Tharlison  Monteiro Franco"/>
    <s v="Masculino"/>
    <x v="8"/>
    <x v="11"/>
    <s v="20103514 - Patologia Em Diferentes Segmentos da Coluna (R$ 14,83)"/>
    <s v="Fisioterapia"/>
    <n v="1716011756"/>
    <s v="Finalizado (2/5)"/>
    <n v="12.4572"/>
    <n v="2.3727999999999998"/>
    <n v="14.83"/>
    <s v="Sessão a Faturar"/>
    <n v="954600003751010"/>
    <n v="50910"/>
    <s v="Unidade Sao Jose"/>
    <n v="1716011756"/>
    <m/>
  </r>
  <r>
    <x v="6"/>
    <x v="6"/>
    <s v="Tharlison  Monteiro Franco"/>
    <s v="Masculino"/>
    <x v="9"/>
    <x v="11"/>
    <s v="31602185 - Estimulação Elétrica Transcutânea (Tens) - Removido 13/04/2026 (R$ 40,00)"/>
    <s v="Fisioterapia"/>
    <n v="1716761543"/>
    <s v="Finalizado (1/5)"/>
    <n v="33.6"/>
    <n v="6.4"/>
    <n v="40"/>
    <s v="Sessão a Faturar"/>
    <n v="954600003751010"/>
    <n v="50910"/>
    <s v="Unidade Sao Jose"/>
    <n v="1716761543"/>
    <m/>
  </r>
  <r>
    <x v="6"/>
    <x v="7"/>
    <s v="Tharlison  Monteiro Franco"/>
    <s v="Masculino"/>
    <x v="8"/>
    <x v="11"/>
    <s v="20103522 - Fisioterapia - Pac Com Dependencia de Vida Diária (R$ 23,59)"/>
    <s v="Fisioterapia"/>
    <n v="1716012549"/>
    <s v="Finalizado (2/5)"/>
    <n v="19.8156"/>
    <n v="3.7744"/>
    <n v="23.59"/>
    <s v="Sessão a Faturar"/>
    <n v="954600003751010"/>
    <n v="50910"/>
    <s v="Unidade Sao Jose"/>
    <n v="1716012549"/>
    <m/>
  </r>
  <r>
    <x v="6"/>
    <x v="15"/>
    <s v="Luan Raphael Fernandes da Silva"/>
    <s v="Masculino"/>
    <x v="27"/>
    <x v="11"/>
    <s v="20103484 - Patologia Em Um Membro (R$ 12,22)"/>
    <s v="Fisioterapia"/>
    <n v="1716776041"/>
    <s v="Finalizado (1/5)"/>
    <n v="10.264799999999999"/>
    <n v="1.9552"/>
    <n v="12.22"/>
    <s v="Sessão Faturada"/>
    <n v="775216014346010"/>
    <n v="59334"/>
    <s v="Unidade Sao Jose"/>
    <n v="1716776041"/>
    <m/>
  </r>
  <r>
    <x v="6"/>
    <x v="17"/>
    <s v="Evanilson Cavalcante Batista"/>
    <s v="Masculino"/>
    <x v="7"/>
    <x v="11"/>
    <s v="Sao José - 4 - Fisioterapia Neurológica/Respiratória - Pacote (R$ 50,00)"/>
    <s v="Fisioterapia"/>
    <n v="172082"/>
    <s v="Finalizado (4/5)"/>
    <n v="37.5"/>
    <n v="12.5"/>
    <n v="50"/>
    <s v="Pago"/>
    <n v="59647"/>
    <n v="59647"/>
    <s v="Unidade Sao Jose"/>
    <n v="172082"/>
    <m/>
  </r>
  <r>
    <x v="6"/>
    <x v="17"/>
    <s v="Natalia Anacleto Carvalho da Silva"/>
    <s v="Feminino"/>
    <x v="6"/>
    <x v="11"/>
    <s v="20103662 - Pos Operatorio Em Um Membro (R$ 22,53)"/>
    <s v="Fisioterapia"/>
    <n v="172438"/>
    <s v="Finalizado (3/10)"/>
    <n v="18.9252"/>
    <n v="3.6048"/>
    <n v="22.53"/>
    <s v="Sessão a Faturar"/>
    <s v="51588888477546590011"/>
    <n v="59693"/>
    <s v="Unidade Sao Jose"/>
    <n v="172438"/>
    <m/>
  </r>
  <r>
    <x v="6"/>
    <x v="8"/>
    <s v="Gabriel Parente de Castro"/>
    <s v="Masculino"/>
    <x v="12"/>
    <x v="11"/>
    <s v="31602185 - Estimulação Elétrica Transcutânea (Tens) (R$ 49,00)"/>
    <s v="Fisioterapia"/>
    <n v="10319479"/>
    <s v="Finalizado (8/10)"/>
    <n v="41.16"/>
    <n v="7.84"/>
    <n v="49"/>
    <s v="Sessão Faturada"/>
    <n v="9.5078029485153997E+17"/>
    <n v="59364"/>
    <s v="Unidade Sao Jose"/>
    <n v="10319479"/>
    <m/>
  </r>
  <r>
    <x v="6"/>
    <x v="8"/>
    <s v="Pietro Mar Carvalho"/>
    <s v="Masculino"/>
    <x v="8"/>
    <x v="11"/>
    <s v="20103492 - Patologia Em Dois Ou Mais Membros (R$ 14,83), 20103514 - Patologia Em Diferentes Segmentos da Coluna (R$ 14,83)"/>
    <s v="Fisioterapia"/>
    <n v="1716796632"/>
    <s v="Finalizado (1/5)"/>
    <n v="24.914400000000001"/>
    <n v="4.7455999999999996"/>
    <n v="29.66"/>
    <s v="Sessão a Faturar"/>
    <n v="954600030813010"/>
    <n v="55858"/>
    <s v="Unidade Sao Jose"/>
    <n v="1716796632"/>
    <m/>
  </r>
  <r>
    <x v="6"/>
    <x v="9"/>
    <s v="Gabriel Parente de Castro"/>
    <s v="Masculino"/>
    <x v="12"/>
    <x v="11"/>
    <s v="20103662 - Pos Operatorio Em Um Membro (R$ 14,99)"/>
    <s v="Fisioterapia"/>
    <n v="170538"/>
    <s v="Finalizado (8/10)"/>
    <n v="12.5916"/>
    <n v="2.3984000000000001"/>
    <n v="14.99"/>
    <s v="Sessão Faturada"/>
    <n v="9.5078029485153997E+17"/>
    <n v="59364"/>
    <s v="Unidade Sao Jose"/>
    <n v="170538"/>
    <m/>
  </r>
  <r>
    <x v="6"/>
    <x v="10"/>
    <s v="Sarah Gabriela  da Silva Debastiani Amorim"/>
    <s v="Feminino"/>
    <x v="8"/>
    <x v="11"/>
    <s v="20103492 - Patologia Em Dois Ou Mais Membros (R$ 14,83), 20103514 - Patologia Em Diferentes Segmentos da Coluna (R$ 14,83)"/>
    <s v="Fisioterapia"/>
    <n v="1716802047"/>
    <s v="Finalizado (1/5)"/>
    <n v="24.914400000000001"/>
    <n v="4.7455999999999996"/>
    <n v="29.66"/>
    <s v="Sessão a Faturar"/>
    <n v="954600015270010"/>
    <n v="44887"/>
    <s v="Unidade Sao Jose"/>
    <n v="1716802047"/>
    <m/>
  </r>
  <r>
    <x v="6"/>
    <x v="10"/>
    <s v="Herminio Cardoso Pereira Junior"/>
    <s v="Masculino"/>
    <x v="2"/>
    <x v="11"/>
    <s v="20103484 - Fisioterapia - Patologia Em Um Membro (R$ 12,22), 20103514 - Fisioterapia - Patologia Em Diferentes Segmentos da Coluna (R$ 14,83)"/>
    <s v="Fisioterapia"/>
    <n v="1716811450"/>
    <s v="Finalizado (1/5)"/>
    <n v="22.722000000000001"/>
    <n v="4.3280000000000003"/>
    <n v="27.05"/>
    <s v="Sessão Faturada"/>
    <n v="774239002356010"/>
    <n v="59751"/>
    <s v="Unidade Sao Jose"/>
    <n v="1716811450"/>
    <m/>
  </r>
  <r>
    <x v="6"/>
    <x v="10"/>
    <s v="Herminio Cardoso Pereira Junior"/>
    <s v="Masculino"/>
    <x v="2"/>
    <x v="11"/>
    <s v="50000144 - Avaliação de Fisioterapia (R$ 51,42)"/>
    <s v="Fisioterapia"/>
    <n v="1716803207"/>
    <s v="Finalizado (1/1)"/>
    <n v="46.277999999999999"/>
    <n v="5.1420000000000003"/>
    <n v="51.42"/>
    <s v="Sessão Faturada"/>
    <n v="774239002356010"/>
    <n v="59751"/>
    <s v="Unidade Sao Jose"/>
    <n v="1716803207"/>
    <m/>
  </r>
  <r>
    <x v="7"/>
    <x v="44"/>
    <s v="Devanete Gonçalves de Oliveira"/>
    <s v="Feminino"/>
    <x v="7"/>
    <x v="11"/>
    <s v="Sao José - 2 - Fisioterapia Ortopédica - Pacote (R$ 20,00)"/>
    <s v="Fisioterapia"/>
    <n v="171787"/>
    <s v="Finalizado (7/10)"/>
    <n v="15"/>
    <n v="5"/>
    <n v="20"/>
    <s v="Pago"/>
    <n v="59652"/>
    <n v="59652"/>
    <s v="Unidade Sao Jose"/>
    <n v="171787"/>
    <m/>
  </r>
  <r>
    <x v="7"/>
    <x v="44"/>
    <s v="Rocivaldo Alfredo da Silva"/>
    <s v="Masculino"/>
    <x v="16"/>
    <x v="11"/>
    <s v="50000160 - Fisioterapia Ortopedica (R$ 25,00)"/>
    <s v="Fisioterapia"/>
    <n v="171611"/>
    <s v="Finalizado (6/10)"/>
    <n v="21"/>
    <n v="4"/>
    <n v="25"/>
    <s v="Sessão a Faturar"/>
    <n v="59425"/>
    <n v="59425"/>
    <s v="Unidade Sao Jose"/>
    <n v="171611"/>
    <m/>
  </r>
  <r>
    <x v="7"/>
    <x v="41"/>
    <s v="Cleide Luiza da Silva Cabral"/>
    <s v="Feminino"/>
    <x v="27"/>
    <x v="11"/>
    <s v="20103492 - Patol. Em Dois Ou Mais Membros (R$ 14,83), 20103514 - Patol. Em Diferentes Segmentos da Coluna (R$ 14,83)"/>
    <s v="Fisioterapia"/>
    <n v="1706660488"/>
    <s v="Finalizado (5/5)"/>
    <n v="24.914400000000001"/>
    <n v="4.7455999999999996"/>
    <n v="29.66"/>
    <s v="Sessão Faturada"/>
    <n v="897137800051020"/>
    <n v="54445"/>
    <s v="Unidade Sao Jose"/>
    <n v="1706660488"/>
    <m/>
  </r>
  <r>
    <x v="7"/>
    <x v="41"/>
    <s v="Marcelo Ferreira de Aquino"/>
    <s v="Masculino"/>
    <x v="27"/>
    <x v="11"/>
    <s v="20103492 - Patol. Em Dois Ou Mais Membros (R$ 14,83)"/>
    <s v="Fisioterapia"/>
    <n v="1714393096"/>
    <s v="Finalizado (3/10)"/>
    <n v="12.4572"/>
    <n v="2.3727999999999998"/>
    <n v="14.83"/>
    <s v="Sessão a Faturar"/>
    <n v="774642017078000"/>
    <n v="47052"/>
    <s v="Unidade Sao Jose"/>
    <n v="1714393096"/>
    <m/>
  </r>
  <r>
    <x v="7"/>
    <x v="65"/>
    <s v="Marcelo Ferreira de Aquino"/>
    <s v="Masculino"/>
    <x v="4"/>
    <x v="11"/>
    <s v="31602185 - Estimulação Elétrica Transcutânea - Removido 13/04/2026 (R$ 40,00)"/>
    <s v="Fisioterapia"/>
    <n v="1716454651"/>
    <s v="Finalizado (2/5)"/>
    <n v="33.6"/>
    <n v="6.4"/>
    <n v="40"/>
    <s v="Sessão Faturada"/>
    <n v="774642017078000"/>
    <n v="47052"/>
    <s v="Unidade Sao Jose"/>
    <n v="1716454651"/>
    <m/>
  </r>
  <r>
    <x v="7"/>
    <x v="36"/>
    <s v="Jose Francinaldo dos Santos"/>
    <s v="Masculino"/>
    <x v="7"/>
    <x v="11"/>
    <s v="Sao José - 4 - Fisioterapia Neurológica/Respiratória - Pacote (R$ 50,00)"/>
    <s v="Fisioterapia"/>
    <n v="170818"/>
    <s v="Finalizado (9/10)"/>
    <n v="37.5"/>
    <n v="12.5"/>
    <n v="50"/>
    <s v="No Prazo"/>
    <n v="59333"/>
    <n v="59333"/>
    <s v="Unidade Sao Jose"/>
    <n v="170818"/>
    <m/>
  </r>
  <r>
    <x v="7"/>
    <x v="36"/>
    <s v="Sonia Maria Morais Maia"/>
    <s v="Feminino"/>
    <x v="0"/>
    <x v="11"/>
    <s v="50000160 - Fisioterapia Ortopedica (R$ 49,72)"/>
    <s v="Fisioterapia"/>
    <s v="42263120260310440094"/>
    <s v="Finalizado (6/10)"/>
    <n v="41.764800000000001"/>
    <n v="7.9551999999999996"/>
    <n v="49.72"/>
    <s v="Sessão a Faturar"/>
    <s v="010650548005"/>
    <n v="55667"/>
    <s v="Unidade Sao Jose"/>
    <s v="42263120260310440094"/>
    <m/>
  </r>
  <r>
    <x v="7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6/10)"/>
    <n v="45.469200000000001"/>
    <n v="8.6608000000000001"/>
    <n v="54.13"/>
    <s v="Sessão a Faturar"/>
    <s v="010650548005"/>
    <n v="55667"/>
    <s v="Unidade Sao Jose"/>
    <s v="52263120260310440139"/>
    <m/>
  </r>
  <r>
    <x v="7"/>
    <x v="40"/>
    <s v="Amaziles Andrade de Morais"/>
    <s v="Feminino"/>
    <x v="27"/>
    <x v="11"/>
    <s v="20103468 - Parkinson (R$ 12,22)"/>
    <s v="Fisioterapia"/>
    <n v="1710166174"/>
    <s v="Finalizado (4/4)"/>
    <n v="10.264799999999999"/>
    <n v="1.9552"/>
    <n v="12.22"/>
    <s v="Sessão Faturada"/>
    <n v="771015039373010"/>
    <n v="48191"/>
    <s v="Unidade Sao Jose"/>
    <n v="1710166174"/>
    <m/>
  </r>
  <r>
    <x v="7"/>
    <x v="40"/>
    <s v="Andriely Oliveira Braga"/>
    <s v="Feminino"/>
    <x v="27"/>
    <x v="11"/>
    <s v="20103662 - Pos Operatorio Em Um Membro (R$ 14,99)"/>
    <s v="Fisioterapia"/>
    <n v="1717015559"/>
    <s v="Finalizado (1/5)"/>
    <n v="12.5916"/>
    <n v="2.3984000000000001"/>
    <n v="14.99"/>
    <s v="Sessão a Faturar"/>
    <n v="813227000396000"/>
    <n v="52145"/>
    <s v="Unidade Sao Jose"/>
    <n v="1717015559"/>
    <m/>
  </r>
  <r>
    <x v="7"/>
    <x v="45"/>
    <s v="Amaziles Andrade de Morais"/>
    <s v="Feminino"/>
    <x v="27"/>
    <x v="11"/>
    <s v="20103522 - Fisioterapia - Pac Com Dependencia de Vida Diária (R$ 23,59)"/>
    <s v="Fisioterapia"/>
    <n v="1710165412"/>
    <s v="Finalizado (4/4)"/>
    <n v="19.8156"/>
    <n v="3.7744"/>
    <n v="23.59"/>
    <s v="Sessão Faturada"/>
    <n v="771015039373010"/>
    <n v="48191"/>
    <s v="Unidade Sao Jose"/>
    <n v="1710165412"/>
    <m/>
  </r>
  <r>
    <x v="7"/>
    <x v="38"/>
    <s v="Lucia Seixas de Alencar"/>
    <s v="Feminino"/>
    <x v="9"/>
    <x v="11"/>
    <s v="31602185 - Estimulação Elétrica Transcutânea (Tens) - Removido 13/04/2026 (R$ 40,00)"/>
    <s v="Fisioterapia"/>
    <n v="1717066782"/>
    <s v="Finalizado (1/5)"/>
    <n v="33.6"/>
    <n v="6.4"/>
    <n v="40"/>
    <s v="Sessão Faturada"/>
    <n v="954600005908000"/>
    <n v="59735"/>
    <s v="Unidade Sao Jose"/>
    <n v="1717066782"/>
    <m/>
  </r>
  <r>
    <x v="7"/>
    <x v="38"/>
    <s v="Railson Castro de Souza"/>
    <s v="Masculino"/>
    <x v="7"/>
    <x v="11"/>
    <s v="Sao José - 2 - Fisioterapia Ortopédica - Pacote (R$ 20,00)"/>
    <s v="Fisioterapia"/>
    <n v="172143"/>
    <s v="Finalizado (5/10)"/>
    <n v="15"/>
    <n v="5"/>
    <n v="20"/>
    <s v="Pago"/>
    <n v="59697"/>
    <n v="59697"/>
    <s v="Unidade Sao Jose"/>
    <n v="172143"/>
    <m/>
  </r>
  <r>
    <x v="7"/>
    <x v="38"/>
    <s v="Raimundo Antonio de Oliveira"/>
    <s v="Masculino"/>
    <x v="27"/>
    <x v="11"/>
    <s v="20103514 - Patol. Em Diferentes Segmentos da Coluna (R$ 14,83)"/>
    <s v="Fisioterapia"/>
    <n v="1713965199"/>
    <s v="Finalizado (5/5)"/>
    <n v="12.4572"/>
    <n v="2.3727999999999998"/>
    <n v="14.83"/>
    <s v="Sessão Faturada"/>
    <n v="772530028185000"/>
    <n v="27968"/>
    <s v="Unidade Sao Jose"/>
    <n v="1713965199"/>
    <m/>
  </r>
  <r>
    <x v="7"/>
    <x v="68"/>
    <s v="Lucia Seixas de Alencar"/>
    <s v="Feminino"/>
    <x v="8"/>
    <x v="11"/>
    <s v="20103662 - Pos Operatorio Em Um Membro (R$ 14,99)"/>
    <s v="Fisioterapia"/>
    <n v="1716594022"/>
    <s v="Finalizado (2/5)"/>
    <n v="12.5916"/>
    <n v="2.3984000000000001"/>
    <n v="14.99"/>
    <s v="Sessão Faturada"/>
    <n v="954600005908000"/>
    <n v="59735"/>
    <s v="Unidade Sao Jose"/>
    <n v="1716594022"/>
    <m/>
  </r>
  <r>
    <x v="7"/>
    <x v="62"/>
    <s v="Raimundo Antonio de Oliveira"/>
    <s v="Masculino"/>
    <x v="4"/>
    <x v="11"/>
    <s v="31602185 - Estimulação Elétrica Transcutânea - Removido 13/04/2026 (R$ 40,00)"/>
    <s v="Fisioterapia"/>
    <n v="1715027814"/>
    <s v="Finalizado (3/5)"/>
    <n v="33.6"/>
    <n v="6.4"/>
    <n v="40"/>
    <s v="Sessão Faturada"/>
    <n v="772530028185000"/>
    <n v="27968"/>
    <s v="Unidade Sao Jose"/>
    <n v="1715027814"/>
    <m/>
  </r>
  <r>
    <x v="7"/>
    <x v="69"/>
    <s v="Lucia Seixas de Alencar"/>
    <s v="Feminino"/>
    <x v="8"/>
    <x v="11"/>
    <s v="20103484 - Patologia Em Um Membro (R$ 12,22), 20103506 - Patologia Em Um Segmento Na Coluna (R$ 12,22)"/>
    <s v="Fisioterapia"/>
    <n v="1716593501"/>
    <s v="Finalizado (2/5)"/>
    <n v="20.529599999999999"/>
    <n v="3.9104000000000001"/>
    <n v="24.44"/>
    <s v="Sessão Faturada"/>
    <n v="954600005908000"/>
    <n v="59735"/>
    <s v="Unidade Sao Jose"/>
    <n v="1716593501"/>
    <m/>
  </r>
  <r>
    <x v="7"/>
    <x v="37"/>
    <s v="Francinete Ferreira de Souza"/>
    <s v="Feminino"/>
    <x v="8"/>
    <x v="11"/>
    <s v="20103492 - Patologia Em Dois Ou Mais Membros (R$ 14,83), 20103514 - Patologia Em Diferentes Segmentos da Coluna (R$ 14,83)"/>
    <s v="Fisioterapia"/>
    <n v="1717081644"/>
    <s v="Finalizado (1/5)"/>
    <n v="24.914400000000001"/>
    <n v="4.7455999999999996"/>
    <n v="29.66"/>
    <s v="Sessão a Faturar"/>
    <n v="954390037672020"/>
    <n v="41225"/>
    <s v="Unidade Sao Jose"/>
    <n v="1717081644"/>
    <m/>
  </r>
  <r>
    <x v="7"/>
    <x v="37"/>
    <s v="Cildomar dos Santos Lira"/>
    <s v="Masculino"/>
    <x v="7"/>
    <x v="11"/>
    <s v="Sao José - 2 - Fisioterapia Ortopédica - Pacote (R$ 20,00)"/>
    <s v="Fisioterapia"/>
    <n v="170978"/>
    <s v="Finalizado (8/10)"/>
    <n v="15"/>
    <n v="5"/>
    <n v="20"/>
    <s v="Pago"/>
    <n v="331883"/>
    <n v="33183"/>
    <s v="Unidade Sao Jose"/>
    <n v="170978"/>
    <m/>
  </r>
  <r>
    <x v="7"/>
    <x v="37"/>
    <s v="Francisca da Silva Rebouças"/>
    <s v="Feminino"/>
    <x v="7"/>
    <x v="11"/>
    <s v="Sao José - 4 - Fisioterapia Neurológica/Respiratória - Pacote (R$ 50,00)"/>
    <s v="Fisioterapia"/>
    <n v="171760"/>
    <s v="Finalizado (6/10)"/>
    <n v="37.5"/>
    <n v="12.5"/>
    <n v="50"/>
    <s v="Pago"/>
    <n v="59581"/>
    <n v="59581"/>
    <s v="Unidade Sao Jose"/>
    <n v="171760"/>
    <m/>
  </r>
  <r>
    <x v="7"/>
    <x v="63"/>
    <s v="Francinete Ferreira de Souza"/>
    <s v="Feminino"/>
    <x v="9"/>
    <x v="11"/>
    <s v="31602185 - Estimulação Elétrica Transcutânea (Tens) - Removido 13/04/2026 (R$ 40,00)"/>
    <s v="Fisioterapia"/>
    <n v="1711357320"/>
    <s v="Finalizado (5/5)"/>
    <n v="33.6"/>
    <n v="6.4"/>
    <n v="40"/>
    <s v="Sessão Faturada"/>
    <n v="954390037672020"/>
    <n v="41225"/>
    <s v="Unidade Sao Jose"/>
    <n v="1711357320"/>
    <m/>
  </r>
  <r>
    <x v="7"/>
    <x v="39"/>
    <s v="Natalino Santos Dantas"/>
    <s v="Masculino"/>
    <x v="27"/>
    <x v="11"/>
    <s v="50000144 - Avaliação de Fisioterapia (R$ 51,42)"/>
    <s v="Fisioterapia"/>
    <n v="1717096921"/>
    <s v="Finalizado (1/1)"/>
    <n v="46.277999999999999"/>
    <n v="5.1420000000000003"/>
    <n v="51.42"/>
    <s v="Sessão Faturada"/>
    <n v="770651026042040"/>
    <n v="59765"/>
    <s v="Unidade Sao Jose"/>
    <n v="1717096921"/>
    <m/>
  </r>
  <r>
    <x v="7"/>
    <x v="43"/>
    <s v="Natalino Santos Dantas"/>
    <s v="Masculino"/>
    <x v="27"/>
    <x v="11"/>
    <s v="20103514 - Patol. Em Diferentes Segmentos da Coluna (R$ 14,83)"/>
    <s v="Fisioterapia"/>
    <n v="1717120146"/>
    <s v="Finalizado (1/5)"/>
    <n v="12.4572"/>
    <n v="2.3727999999999998"/>
    <n v="14.83"/>
    <s v="Sessão a Faturar"/>
    <n v="770651026042040"/>
    <n v="59765"/>
    <s v="Unidade Sao Jose"/>
    <n v="1717120146"/>
    <m/>
  </r>
  <r>
    <x v="7"/>
    <x v="43"/>
    <s v="Natalino Santos Dantas"/>
    <s v="Masculino"/>
    <x v="27"/>
    <x v="11"/>
    <s v="20103522 - Fisioterapia - Pac Com Dependencia de Vida Diária (R$ 23,59)"/>
    <s v="Fisioterapia"/>
    <n v="1717120426"/>
    <s v="Finalizado (1/5)"/>
    <n v="19.8156"/>
    <n v="3.7744"/>
    <n v="23.59"/>
    <s v="Sessão a Faturar"/>
    <n v="770651026042040"/>
    <n v="59765"/>
    <s v="Unidade Sao Jose"/>
    <n v="1717120426"/>
    <m/>
  </r>
  <r>
    <x v="7"/>
    <x v="22"/>
    <s v="Maria do Socorro Pereira da Silva"/>
    <s v="Feminino"/>
    <x v="7"/>
    <x v="11"/>
    <s v="Sao José - 2 - Fisioterapia Ortopédica - Pacote (R$ 20,00)"/>
    <s v="Fisioterapia"/>
    <n v="172412"/>
    <s v="Finalizado (5/10)"/>
    <n v="15"/>
    <n v="5"/>
    <n v="20"/>
    <s v="Pago"/>
    <n v="59726"/>
    <n v="59726"/>
    <s v="Unidade Sao Jose"/>
    <n v="172412"/>
    <m/>
  </r>
  <r>
    <x v="7"/>
    <x v="0"/>
    <s v="Lídia Andrade Vieira"/>
    <s v="Feminino"/>
    <x v="7"/>
    <x v="11"/>
    <s v="Sao José - 4 - Fisioterapia Neurológica/Respiratória - Pacote (R$ 50,00)"/>
    <s v="Fisioterapia"/>
    <n v="172548"/>
    <s v="Finalizado (3/5)"/>
    <n v="37.5"/>
    <n v="12.5"/>
    <n v="50"/>
    <s v="Pago"/>
    <n v="59737"/>
    <n v="59737"/>
    <s v="Unidade Sao Jose"/>
    <n v="172548"/>
    <m/>
  </r>
  <r>
    <x v="7"/>
    <x v="2"/>
    <s v="Cacio Kenedy da Rocha Anunciaçao"/>
    <s v="Masculino"/>
    <x v="27"/>
    <x v="11"/>
    <s v="50000144 - Avaliação de Fisioterapia (R$ 51,42)"/>
    <s v="Fisioterapia"/>
    <n v="1717226375"/>
    <s v="Finalizado (1/1)"/>
    <n v="46.277999999999999"/>
    <n v="5.1420000000000003"/>
    <n v="51.42"/>
    <s v="Sessão Faturada"/>
    <n v="895113400019000"/>
    <n v="59785"/>
    <s v="Unidade Sao Jose"/>
    <n v="1717226375"/>
    <m/>
  </r>
  <r>
    <x v="7"/>
    <x v="13"/>
    <s v="Cacio Kenedy da Rocha Anunciaçao"/>
    <s v="Masculino"/>
    <x v="27"/>
    <x v="11"/>
    <s v="20103522 - Fisioterapia - Pac Com Dependencia de Vida Diária (R$ 23,59)"/>
    <s v="Fisioterapia"/>
    <n v="1717248256"/>
    <s v="Finalizado (1/10)"/>
    <n v="19.8156"/>
    <n v="3.7744"/>
    <n v="23.59"/>
    <s v="Sessão a Faturar"/>
    <n v="895113400019000"/>
    <n v="59785"/>
    <s v="Unidade Sao Jose"/>
    <n v="1717248256"/>
    <m/>
  </r>
  <r>
    <x v="7"/>
    <x v="14"/>
    <s v="Cacio Kenedy da Rocha Anunciaçao"/>
    <s v="Masculino"/>
    <x v="27"/>
    <x v="11"/>
    <s v="20103492 - Patol. Em Dois Ou Mais Membros (R$ 14,83), 20103514 - Patol. Em Diferentes Segmentos da Coluna (R$ 14,83)"/>
    <s v="Fisioterapia"/>
    <n v="1717247893"/>
    <s v="Finalizado (1/10)"/>
    <n v="24.914400000000001"/>
    <n v="4.7455999999999996"/>
    <n v="29.66"/>
    <s v="Sessão a Faturar"/>
    <n v="895113400019000"/>
    <n v="59785"/>
    <s v="Unidade Sao Jose"/>
    <n v="1717247893"/>
    <m/>
  </r>
  <r>
    <x v="7"/>
    <x v="15"/>
    <s v="Everaldo Jose Moitinho Nunes Sinimbu"/>
    <s v="Masculino"/>
    <x v="7"/>
    <x v="11"/>
    <s v="Sao José - 2 - Fisioterapia Ortopédica - Pacote (R$ 20,00)"/>
    <s v="Fisioterapia"/>
    <n v="162173"/>
    <s v="Finalizado (9/10)"/>
    <n v="15"/>
    <n v="5"/>
    <n v="20"/>
    <s v="Pago"/>
    <n v="54730"/>
    <n v="54730"/>
    <s v="Unidade Sao Jose"/>
    <n v="162173"/>
    <m/>
  </r>
  <r>
    <x v="7"/>
    <x v="10"/>
    <s v="Evanilson Cavalcante Batista"/>
    <s v="Masculino"/>
    <x v="7"/>
    <x v="11"/>
    <s v="Sao José - 4 - Fisioterapia Neurológica/Respiratória - Pacote (R$ 50,00)"/>
    <s v="Fisioterapia"/>
    <n v="172082"/>
    <s v="Finalizado (5/5)"/>
    <n v="37.5"/>
    <n v="12.5"/>
    <n v="50"/>
    <s v="Pago"/>
    <n v="59647"/>
    <n v="59647"/>
    <s v="Unidade Sao Jose"/>
    <n v="172082"/>
    <m/>
  </r>
  <r>
    <x v="8"/>
    <x v="44"/>
    <s v="Devanete Gonçalves de Oliveira"/>
    <s v="Feminino"/>
    <x v="7"/>
    <x v="11"/>
    <s v="Sao José - 2 - Fisioterapia Ortopédica - Pacote (R$ 20,00)"/>
    <s v="Fisioterapia"/>
    <n v="171787"/>
    <s v="Finalizado (8/10)"/>
    <n v="15"/>
    <n v="5"/>
    <n v="20"/>
    <s v="Pago"/>
    <n v="59652"/>
    <n v="59652"/>
    <s v="Unidade Sao Jose"/>
    <n v="171787"/>
    <m/>
  </r>
  <r>
    <x v="8"/>
    <x v="44"/>
    <s v="Rocivaldo Alfredo da Silva"/>
    <s v="Masculino"/>
    <x v="16"/>
    <x v="11"/>
    <s v="50000160 - Fisioterapia Ortopedica (R$ 25,00)"/>
    <s v="Fisioterapia"/>
    <n v="171611"/>
    <s v="Finalizado (7/10)"/>
    <n v="21"/>
    <n v="4"/>
    <n v="25"/>
    <s v="Sessão a Faturar"/>
    <n v="59425"/>
    <n v="59425"/>
    <s v="Unidade Sao Jose"/>
    <n v="171611"/>
    <m/>
  </r>
  <r>
    <x v="8"/>
    <x v="44"/>
    <s v="Francisca Neta de Lira Araujo"/>
    <s v="Feminino"/>
    <x v="7"/>
    <x v="11"/>
    <s v="Sao José - 4 - Fisioterapia Neurológica/Respiratória - Pacote (R$ 50,00)"/>
    <s v="Fisioterapia"/>
    <n v="171525"/>
    <s v="Finalizado (6/10)"/>
    <n v="37.5"/>
    <n v="12.5"/>
    <n v="50"/>
    <s v="Pago"/>
    <n v="59631"/>
    <n v="59631"/>
    <s v="Unidade Sao Jose"/>
    <n v="171525"/>
    <m/>
  </r>
  <r>
    <x v="8"/>
    <x v="44"/>
    <s v="Tereza da Rocha Vieira"/>
    <s v="Feminino"/>
    <x v="10"/>
    <x v="11"/>
    <s v="50000160 - Fisioterapia Ortopédica (R$ 15,00)"/>
    <s v="Fisioterapia"/>
    <n v="15114021"/>
    <s v="Finalizado (8/10)"/>
    <n v="12.6"/>
    <n v="2.4"/>
    <n v="15"/>
    <s v="Sessão Faturada"/>
    <s v="00010001253014045"/>
    <n v="52943"/>
    <s v="Unidade Sao Jose"/>
    <n v="15114021"/>
    <m/>
  </r>
  <r>
    <x v="8"/>
    <x v="44"/>
    <s v="Joao Arthur Alcantara de Lima"/>
    <s v="Masculino"/>
    <x v="2"/>
    <x v="11"/>
    <s v="20103662 - Fisioterapia - Pos Operatorio Em Um Membro (R$ 14,99)"/>
    <s v="Fisioterapia"/>
    <n v="1715842695"/>
    <s v="Finalizado (3/5)"/>
    <n v="12.5916"/>
    <n v="2.3984000000000001"/>
    <n v="14.99"/>
    <s v="Sessão Faturada"/>
    <n v="774642026670000"/>
    <n v="59569"/>
    <s v="Unidade Sao Jose"/>
    <n v="1715842695"/>
    <m/>
  </r>
  <r>
    <x v="8"/>
    <x v="60"/>
    <s v="Joao Arthur Alcantara de Lima"/>
    <s v="Masculino"/>
    <x v="4"/>
    <x v="11"/>
    <s v="31602185 - Estimulação Elétrica Transcutânea - Removido 13/04/2026 (R$ 40,00)"/>
    <s v="Fisioterapia"/>
    <n v="1716403162"/>
    <s v="Finalizado (2/5)"/>
    <n v="33.6"/>
    <n v="6.4"/>
    <n v="40"/>
    <s v="Sessão Faturada"/>
    <n v="774642026670000"/>
    <n v="59569"/>
    <s v="Unidade Sao Jose"/>
    <n v="1716403162"/>
    <m/>
  </r>
  <r>
    <x v="8"/>
    <x v="41"/>
    <s v="Francinete Ferreira de Souza"/>
    <s v="Feminino"/>
    <x v="8"/>
    <x v="11"/>
    <s v="20103492 - Patologia Em Dois Ou Mais Membros (R$ 14,83), 20103514 - Patologia Em Diferentes Segmentos da Coluna (R$ 14,83)"/>
    <s v="Fisioterapia"/>
    <n v="1717081644"/>
    <s v="Finalizado (2/5)"/>
    <n v="24.914400000000001"/>
    <n v="4.7455999999999996"/>
    <n v="29.66"/>
    <s v="Sessão a Faturar"/>
    <n v="954390037672020"/>
    <n v="41225"/>
    <s v="Unidade Sao Jose"/>
    <n v="1717081644"/>
    <m/>
  </r>
  <r>
    <x v="8"/>
    <x v="41"/>
    <s v="Cleide Luiza da Silva Cabral"/>
    <s v="Feminino"/>
    <x v="27"/>
    <x v="11"/>
    <s v="20103492 - Patol. Em Dois Ou Mais Membros (R$ 14,83), 20103514 - Patol. Em Diferentes Segmentos da Coluna (R$ 14,83)"/>
    <s v="Fisioterapia"/>
    <n v="1717450118"/>
    <s v="Finalizado (1/5)"/>
    <n v="24.914400000000001"/>
    <n v="4.7455999999999996"/>
    <n v="29.66"/>
    <s v="Sessão a Faturar"/>
    <n v="897137800051020"/>
    <n v="54445"/>
    <s v="Unidade Sao Jose"/>
    <n v="1717450118"/>
    <m/>
  </r>
  <r>
    <x v="8"/>
    <x v="41"/>
    <s v="Marcelo Ferreira de Aquino"/>
    <s v="Masculino"/>
    <x v="27"/>
    <x v="11"/>
    <s v="20103492 - Patol. Em Dois Ou Mais Membros (R$ 14,83)"/>
    <s v="Fisioterapia"/>
    <n v="1714393096"/>
    <s v="Finalizado (4/10)"/>
    <n v="12.4572"/>
    <n v="2.3727999999999998"/>
    <n v="14.83"/>
    <s v="Sessão a Faturar"/>
    <n v="774642017078000"/>
    <n v="47052"/>
    <s v="Unidade Sao Jose"/>
    <n v="1714393096"/>
    <m/>
  </r>
  <r>
    <x v="8"/>
    <x v="65"/>
    <s v="Marcelo Ferreira de Aquino"/>
    <s v="Masculino"/>
    <x v="4"/>
    <x v="11"/>
    <s v="31602185 - Estimulação Elétrica Transcutânea - Removido 13/04/2026 (R$ 40,00)"/>
    <s v="Fisioterapia"/>
    <n v="1716454651"/>
    <s v="Finalizado (3/5)"/>
    <n v="33.6"/>
    <n v="6.4"/>
    <n v="40"/>
    <s v="Sessão Faturada"/>
    <n v="774642017078000"/>
    <n v="47052"/>
    <s v="Unidade Sao Jose"/>
    <n v="1716454651"/>
    <m/>
  </r>
  <r>
    <x v="8"/>
    <x v="65"/>
    <s v="Cleide Luiza da Silva Cabral"/>
    <s v="Feminino"/>
    <x v="4"/>
    <x v="11"/>
    <s v="31602185 - Estimulação Elétrica Transcutânea - Removido 13/04/2026 (R$ 40,00)"/>
    <s v="Fisioterapia"/>
    <n v="1717449089"/>
    <s v="Finalizado (1/5)"/>
    <n v="33.6"/>
    <n v="6.4"/>
    <n v="40"/>
    <s v="Sessão a Faturar"/>
    <n v="897137800051020"/>
    <n v="54445"/>
    <s v="Unidade Sao Jose"/>
    <n v="1717449089"/>
    <m/>
  </r>
  <r>
    <x v="8"/>
    <x v="36"/>
    <s v="Jarbas Arirama da Costa"/>
    <s v="Masculino"/>
    <x v="7"/>
    <x v="11"/>
    <s v="Sao José - 2 - Fisioterapia Ortopédica - Pacote (R$ 20,00)"/>
    <s v="Fisioterapia"/>
    <n v="172379"/>
    <s v="Finalizado (4/10)"/>
    <n v="15"/>
    <n v="5"/>
    <n v="20"/>
    <s v="Pago"/>
    <n v="58656"/>
    <n v="58656"/>
    <s v="Unidade Sao Jose"/>
    <n v="172379"/>
    <m/>
  </r>
  <r>
    <x v="8"/>
    <x v="36"/>
    <s v="Monica Nunes dos Santos Silva"/>
    <s v="Feminino"/>
    <x v="0"/>
    <x v="11"/>
    <s v="50000160 - Fisioterapia Ortopedica (R$ 49,72)"/>
    <s v="Fisioterapia"/>
    <s v="42263120260323538793"/>
    <s v="Finalizado (1/10)"/>
    <n v="41.764800000000001"/>
    <n v="7.9551999999999996"/>
    <n v="49.72"/>
    <s v="Sessão a Faturar"/>
    <s v="010976061904"/>
    <n v="18279"/>
    <s v="Unidade Sao Jose"/>
    <s v="42263120260323538793"/>
    <m/>
  </r>
  <r>
    <x v="8"/>
    <x v="61"/>
    <s v="Monica Nunes dos Santos Silva"/>
    <s v="Feminino"/>
    <x v="0"/>
    <x v="11"/>
    <s v="31602185 - Estimulação Elétrica Transcutânea Fisioterapia (Novo - 01/12) (R$ 54,13)"/>
    <s v="Fisioterapia"/>
    <s v="42263120260323538839"/>
    <s v="Finalizado (1/10)"/>
    <n v="45.469200000000001"/>
    <n v="8.6608000000000001"/>
    <n v="54.13"/>
    <s v="Sessão a Faturar"/>
    <s v="010976061904"/>
    <n v="18279"/>
    <s v="Unidade Sao Jose"/>
    <s v="42263120260323538839"/>
    <m/>
  </r>
  <r>
    <x v="8"/>
    <x v="40"/>
    <s v="Osmar Barbosa dos Santos Junior"/>
    <s v="Masculino"/>
    <x v="8"/>
    <x v="11"/>
    <s v="20103662 - Pos Operatorio Em Um Membro (R$ 14,99)"/>
    <s v="Fisioterapia"/>
    <n v="1717536622"/>
    <s v="Finalizado (1/5)"/>
    <n v="12.5916"/>
    <n v="2.3984000000000001"/>
    <n v="14.99"/>
    <s v="Sessão Faturada"/>
    <n v="954600036315000"/>
    <n v="58555"/>
    <s v="Unidade Sao Jose"/>
    <n v="1717536622"/>
    <m/>
  </r>
  <r>
    <x v="8"/>
    <x v="40"/>
    <s v="Jorge Frank dos Santos Lira"/>
    <s v="Masculino"/>
    <x v="9"/>
    <x v="11"/>
    <s v="31602185 - Estimulação Elétrica Transcutânea (Tens) - Removido 13/04/2026 (R$ 40,00)"/>
    <s v="Fisioterapia"/>
    <n v="1712639512"/>
    <s v="Finalizado (5/5)"/>
    <n v="33.6"/>
    <n v="6.4"/>
    <n v="40"/>
    <s v="Sessão Faturada"/>
    <n v="954600002780020"/>
    <n v="58709"/>
    <s v="Unidade Sao Jose"/>
    <n v="1712639512"/>
    <m/>
  </r>
  <r>
    <x v="8"/>
    <x v="40"/>
    <s v="Francilene Sousa Campos da Silva"/>
    <s v="Feminino"/>
    <x v="27"/>
    <x v="11"/>
    <s v="20103492 - Patol. Em Dois Ou Mais Membros (R$ 14,83)"/>
    <s v="Fisioterapia"/>
    <n v="1715439816"/>
    <s v="Finalizado (2/5)"/>
    <n v="12.4572"/>
    <n v="2.3727999999999998"/>
    <n v="14.83"/>
    <s v="Sessão a Faturar"/>
    <n v="813227000779000"/>
    <n v="58889"/>
    <s v="Unidade Sao Jose"/>
    <n v="1715439816"/>
    <m/>
  </r>
  <r>
    <x v="8"/>
    <x v="45"/>
    <s v="Jorge Frank dos Santos Lira"/>
    <s v="Masculino"/>
    <x v="8"/>
    <x v="11"/>
    <s v="20103492 - Patologia Em Dois Ou Mais Membros (R$ 14,83), 20103514 - Patologia Em Diferentes Segmentos da Coluna (R$ 14,83)"/>
    <s v="Fisioterapia"/>
    <n v="1717554133"/>
    <s v="Finalizado (1/5)"/>
    <n v="24.914400000000001"/>
    <n v="4.7455999999999996"/>
    <n v="29.66"/>
    <s v="Sessão a Faturar"/>
    <n v="954600002780020"/>
    <n v="58709"/>
    <s v="Unidade Sao Jose"/>
    <n v="1717554133"/>
    <m/>
  </r>
  <r>
    <x v="8"/>
    <x v="38"/>
    <s v="Lucia Seixas de Alencar"/>
    <s v="Feminino"/>
    <x v="8"/>
    <x v="11"/>
    <s v="20103662 - Pos Operatorio Em Um Membro (R$ 14,99)"/>
    <s v="Fisioterapia"/>
    <n v="1716594022"/>
    <s v="Finalizado (3/5)"/>
    <n v="12.5916"/>
    <n v="2.3984000000000001"/>
    <n v="14.99"/>
    <s v="Sessão Faturada"/>
    <n v="954600005908000"/>
    <n v="59735"/>
    <s v="Unidade Sao Jose"/>
    <n v="1716594022"/>
    <m/>
  </r>
  <r>
    <x v="8"/>
    <x v="38"/>
    <s v="Railson Castro de Souza"/>
    <s v="Masculino"/>
    <x v="7"/>
    <x v="11"/>
    <s v="Sao José - 2 - Fisioterapia Ortopédica - Pacote (R$ 20,00)"/>
    <s v="Fisioterapia"/>
    <n v="172143"/>
    <s v="Finalizado (6/10)"/>
    <n v="15"/>
    <n v="5"/>
    <n v="20"/>
    <s v="Pago"/>
    <n v="59697"/>
    <n v="59697"/>
    <s v="Unidade Sao Jose"/>
    <n v="172143"/>
    <m/>
  </r>
  <r>
    <x v="8"/>
    <x v="68"/>
    <s v="Lucia Seixas de Alencar"/>
    <s v="Feminino"/>
    <x v="9"/>
    <x v="11"/>
    <s v="31602185 - Estimulação Elétrica Transcutânea (Tens) - Removido 13/04/2026 (R$ 40,00)"/>
    <s v="Fisioterapia"/>
    <n v="1717066782"/>
    <s v="Finalizado (2/5)"/>
    <n v="33.6"/>
    <n v="6.4"/>
    <n v="40"/>
    <s v="Sessão Faturada"/>
    <n v="954600005908000"/>
    <n v="59735"/>
    <s v="Unidade Sao Jose"/>
    <n v="1717066782"/>
    <m/>
  </r>
  <r>
    <x v="8"/>
    <x v="69"/>
    <s v="Lucia Seixas de Alencar"/>
    <s v="Feminino"/>
    <x v="8"/>
    <x v="11"/>
    <s v="20103484 - Patologia Em Um Membro (R$ 12,22), 20103506 - Patologia Em Um Segmento Na Coluna (R$ 12,22)"/>
    <s v="Fisioterapia"/>
    <n v="1716593501"/>
    <s v="Finalizado (3/5)"/>
    <n v="20.529599999999999"/>
    <n v="3.9104000000000001"/>
    <n v="24.44"/>
    <s v="Sessão Faturada"/>
    <n v="954600005908000"/>
    <n v="59735"/>
    <s v="Unidade Sao Jose"/>
    <n v="1716593501"/>
    <m/>
  </r>
  <r>
    <x v="8"/>
    <x v="37"/>
    <s v="Cildomar dos Santos Lira"/>
    <s v="Masculino"/>
    <x v="7"/>
    <x v="11"/>
    <s v="Sao José - 2 - Fisioterapia Ortopédica - Pacote (R$ 20,00)"/>
    <s v="Fisioterapia"/>
    <n v="170978"/>
    <s v="Finalizado (9/10)"/>
    <n v="15"/>
    <n v="5"/>
    <n v="20"/>
    <s v="Pago"/>
    <n v="331883"/>
    <n v="33183"/>
    <s v="Unidade Sao Jose"/>
    <n v="170978"/>
    <m/>
  </r>
  <r>
    <x v="8"/>
    <x v="37"/>
    <s v="Elizangela Souza Araujo"/>
    <s v="Feminino"/>
    <x v="27"/>
    <x v="11"/>
    <s v="20103492 - Patol. Em Dois Ou Mais Membros (R$ 14,83), 20103514 - Patol. Em Diferentes Segmentos da Coluna (R$ 14,83)"/>
    <s v="Fisioterapia"/>
    <n v="1716611811"/>
    <s v="Finalizado (2/5)"/>
    <n v="24.914400000000001"/>
    <n v="4.7455999999999996"/>
    <n v="29.66"/>
    <s v="Sessão a Faturar"/>
    <n v="771015061379010"/>
    <n v="57309"/>
    <s v="Unidade Sao Jose"/>
    <n v="1716611811"/>
    <m/>
  </r>
  <r>
    <x v="8"/>
    <x v="39"/>
    <s v="Maria Edilaine do Nascimento Biá"/>
    <s v="Feminino"/>
    <x v="7"/>
    <x v="11"/>
    <s v="Sao José - 2 - Fisioterapia Ortopédica - Pacote (R$ 20,00)"/>
    <s v="Fisioterapia"/>
    <n v="171510"/>
    <s v="Finalizado (4/10)"/>
    <n v="15"/>
    <n v="5"/>
    <n v="20"/>
    <s v="Pago"/>
    <n v="59629"/>
    <n v="59629"/>
    <s v="Unidade Sao Jose"/>
    <n v="171510"/>
    <m/>
  </r>
  <r>
    <x v="8"/>
    <x v="39"/>
    <s v="Natalino Santos Dantas"/>
    <s v="Masculino"/>
    <x v="27"/>
    <x v="11"/>
    <s v="20103514 - Patol. Em Diferentes Segmentos da Coluna (R$ 14,83)"/>
    <s v="Fisioterapia"/>
    <n v="1717120146"/>
    <s v="Finalizado (2/5)"/>
    <n v="12.4572"/>
    <n v="2.3727999999999998"/>
    <n v="14.83"/>
    <s v="Sessão a Faturar"/>
    <n v="770651026042040"/>
    <n v="59765"/>
    <s v="Unidade Sao Jose"/>
    <n v="1717120146"/>
    <m/>
  </r>
  <r>
    <x v="8"/>
    <x v="39"/>
    <s v="Natalino Santos Dantas"/>
    <s v="Masculino"/>
    <x v="4"/>
    <x v="11"/>
    <s v="31602185 - Estimulação Elétrica Transcutânea - Removido 13/04/2026 (R$ 40,00)"/>
    <s v="Fisioterapia"/>
    <n v="1717619770"/>
    <s v="Finalizado (1/5)"/>
    <n v="33.6"/>
    <n v="6.4"/>
    <n v="40"/>
    <s v="Sessão a Faturar"/>
    <n v="770651026042040"/>
    <n v="59765"/>
    <s v="Unidade Sao Jose"/>
    <n v="1717619770"/>
    <m/>
  </r>
  <r>
    <x v="8"/>
    <x v="39"/>
    <s v="Francisca da Silva Rebouças"/>
    <s v="Feminino"/>
    <x v="7"/>
    <x v="11"/>
    <s v="Sao José - 4 - Fisioterapia Neurológica/Respiratória - Pacote (R$ 50,00)"/>
    <s v="Fisioterapia"/>
    <n v="171760"/>
    <s v="Finalizado (7/10)"/>
    <n v="37.5"/>
    <n v="12.5"/>
    <n v="50"/>
    <s v="Pago"/>
    <n v="59581"/>
    <n v="59581"/>
    <s v="Unidade Sao Jose"/>
    <n v="171760"/>
    <m/>
  </r>
  <r>
    <x v="8"/>
    <x v="64"/>
    <s v="Natalino Santos Dantas"/>
    <s v="Masculino"/>
    <x v="27"/>
    <x v="11"/>
    <s v="20103522 - Fisioterapia - Pac Com Dependencia de Vida Diária (R$ 23,59)"/>
    <s v="Fisioterapia"/>
    <n v="1717120426"/>
    <s v="Finalizado (2/5)"/>
    <n v="19.8156"/>
    <n v="3.7744"/>
    <n v="23.59"/>
    <s v="Sessão a Faturar"/>
    <n v="770651026042040"/>
    <n v="59765"/>
    <s v="Unidade Sao Jose"/>
    <n v="1717120426"/>
    <m/>
  </r>
  <r>
    <x v="8"/>
    <x v="43"/>
    <s v="Cacio Kenedy da Rocha Anunciaçao"/>
    <s v="Masculino"/>
    <x v="27"/>
    <x v="11"/>
    <s v="20103492 - Patol. Em Dois Ou Mais Membros (R$ 14,83), 20103514 - Patol. Em Diferentes Segmentos da Coluna (R$ 14,83)"/>
    <s v="Fisioterapia"/>
    <n v="1717247893"/>
    <s v="Finalizado (2/10)"/>
    <n v="24.914400000000001"/>
    <n v="4.7455999999999996"/>
    <n v="29.66"/>
    <s v="Sessão a Faturar"/>
    <n v="895113400019000"/>
    <n v="59785"/>
    <s v="Unidade Sao Jose"/>
    <n v="1717247893"/>
    <m/>
  </r>
  <r>
    <x v="8"/>
    <x v="51"/>
    <s v="Cacio Kenedy da Rocha Anunciaçao"/>
    <s v="Masculino"/>
    <x v="27"/>
    <x v="11"/>
    <s v="20103522 - Fisioterapia - Pac Com Dependencia de Vida Diária (R$ 23,59)"/>
    <s v="Fisioterapia"/>
    <n v="1717248256"/>
    <s v="Finalizado (2/10)"/>
    <n v="19.8156"/>
    <n v="3.7744"/>
    <n v="23.59"/>
    <s v="Sessão a Faturar"/>
    <n v="895113400019000"/>
    <n v="59785"/>
    <s v="Unidade Sao Jose"/>
    <n v="1717248256"/>
    <m/>
  </r>
  <r>
    <x v="8"/>
    <x v="77"/>
    <s v="Cacio Kenedy da Rocha Anunciaçao"/>
    <s v="Masculino"/>
    <x v="4"/>
    <x v="11"/>
    <s v="31602185 - Estimulação Elétrica Transcutânea - Removido 13/04/2026 (R$ 40,00)"/>
    <s v="Fisioterapia"/>
    <n v="1717632810"/>
    <s v="Finalizado (1/5)"/>
    <n v="33.6"/>
    <n v="6.4"/>
    <n v="40"/>
    <s v="Sessão Faturada"/>
    <n v="895113400019000"/>
    <n v="59785"/>
    <s v="Unidade Sao Jose"/>
    <n v="1717632810"/>
    <m/>
  </r>
  <r>
    <x v="8"/>
    <x v="22"/>
    <s v="Maria do Socorro Pereira da Silva"/>
    <s v="Feminino"/>
    <x v="7"/>
    <x v="11"/>
    <s v="Sao José - 2 - Fisioterapia Ortopédica - Pacote (R$ 20,00)"/>
    <s v="Fisioterapia"/>
    <n v="172412"/>
    <s v="Finalizado (6/10)"/>
    <n v="15"/>
    <n v="5"/>
    <n v="20"/>
    <s v="Pago"/>
    <n v="59726"/>
    <n v="59726"/>
    <s v="Unidade Sao Jose"/>
    <n v="172412"/>
    <m/>
  </r>
  <r>
    <x v="8"/>
    <x v="0"/>
    <s v="Lucelia Rodrigues Lopes Hermelindo"/>
    <s v="Feminino"/>
    <x v="27"/>
    <x v="11"/>
    <s v="20103492 - Patol. Em Dois Ou Mais Membros (R$ 14,83)"/>
    <s v="Fisioterapia"/>
    <n v="1709116722"/>
    <s v="Finalizado (5/5)"/>
    <n v="12.4572"/>
    <n v="2.3727999999999998"/>
    <n v="14.83"/>
    <s v="Sessão Faturada"/>
    <n v="771015043141020"/>
    <n v="43044"/>
    <s v="Unidade Sao Jose"/>
    <n v="1709116722"/>
    <m/>
  </r>
  <r>
    <x v="8"/>
    <x v="2"/>
    <s v="Vanessa Soares de Almeida"/>
    <s v="Feminino"/>
    <x v="7"/>
    <x v="11"/>
    <s v="Sao José - 2 - Fisioterapia Ortopédica - Pacote (R$ 20,00)"/>
    <s v="Fisioterapia"/>
    <n v="170464"/>
    <s v="Finalizado (8/10)"/>
    <n v="15"/>
    <n v="5"/>
    <n v="20"/>
    <s v="Pago"/>
    <s v="."/>
    <n v="52536"/>
    <s v="Unidade Sao Jose"/>
    <n v="170464"/>
    <m/>
  </r>
  <r>
    <x v="8"/>
    <x v="4"/>
    <s v="Mônica Batista Jakinon"/>
    <s v="Feminino"/>
    <x v="8"/>
    <x v="11"/>
    <s v="20103492 - Patologia Em Dois Ou Mais Membros (R$ 14,83)"/>
    <s v="Fisioterapia"/>
    <n v="1706914771"/>
    <s v="Finalizado (4/5)"/>
    <n v="12.4572"/>
    <n v="2.3727999999999998"/>
    <n v="14.83"/>
    <s v="Sessão Faturada"/>
    <n v="954600030899000"/>
    <n v="57642"/>
    <s v="Unidade Sao Jose"/>
    <n v="1706914771"/>
    <m/>
  </r>
  <r>
    <x v="8"/>
    <x v="4"/>
    <s v="Joao Paulo Pinheiro dos Santos"/>
    <s v="Masculino"/>
    <x v="8"/>
    <x v="11"/>
    <s v="20103662 - Pos Operatorio Em Um Membro (R$ 14,99)"/>
    <s v="Fisioterapia"/>
    <n v="1709783209"/>
    <s v="Finalizado (5/5)"/>
    <n v="12.5916"/>
    <n v="2.3984000000000001"/>
    <n v="14.99"/>
    <s v="Sessão Faturada"/>
    <n v="954600009601010"/>
    <n v="24910"/>
    <s v="Unidade Sao Jose"/>
    <n v="1709783209"/>
    <m/>
  </r>
  <r>
    <x v="8"/>
    <x v="4"/>
    <s v="Kethely Adelaide Acipar Rocha"/>
    <s v="Feminino"/>
    <x v="8"/>
    <x v="11"/>
    <s v="50000144 - Consulta de Fisioterapia (R$ 51,42)"/>
    <s v="Fisioterapia"/>
    <n v="1717768800"/>
    <s v="Finalizado (1/1)"/>
    <n v="46.277999999999999"/>
    <n v="5.1420000000000003"/>
    <n v="51.42"/>
    <s v="Sessão Faturada"/>
    <n v="954600011517000"/>
    <n v="46669"/>
    <s v="Unidade Sao Jose"/>
    <n v="1717768800"/>
    <m/>
  </r>
  <r>
    <x v="8"/>
    <x v="5"/>
    <s v="Joao Paulo Pinheiro dos Santos"/>
    <s v="Masculino"/>
    <x v="9"/>
    <x v="11"/>
    <s v="31602185 - Estimulação Elétrica Transcutânea (Tens) - Removido 13/04/2026 (R$ 40,00)"/>
    <s v="Fisioterapia"/>
    <n v="1710440770"/>
    <s v="Finalizado (4/5)"/>
    <n v="33.6"/>
    <n v="6.4"/>
    <n v="40"/>
    <s v="Sessão Faturada"/>
    <n v="954600009601010"/>
    <n v="24910"/>
    <s v="Unidade Sao Jose"/>
    <n v="1710440770"/>
    <m/>
  </r>
  <r>
    <x v="8"/>
    <x v="13"/>
    <s v="Suelen de Souza Moraes"/>
    <s v="Feminino"/>
    <x v="7"/>
    <x v="11"/>
    <s v="Sao José - 2 - Fisioterapia Ortopédica - Pacote (R$ 20,00)"/>
    <s v="Fisioterapia"/>
    <s v="/168940"/>
    <s v="Finalizado (19/30)"/>
    <n v="15"/>
    <n v="5"/>
    <n v="20"/>
    <s v="No Prazo"/>
    <n v="59411"/>
    <n v="59411"/>
    <s v="Unidade Sao Jose"/>
    <s v="/168940"/>
    <m/>
  </r>
  <r>
    <x v="8"/>
    <x v="13"/>
    <s v="Raymara Mendes Costa"/>
    <s v="Feminino"/>
    <x v="27"/>
    <x v="11"/>
    <s v="50000144 - Avaliação de Fisioterapia (R$ 51,42)"/>
    <s v="Fisioterapia"/>
    <n v="1717776312"/>
    <s v="Finalizado (1/1)"/>
    <n v="46.277999999999999"/>
    <n v="5.1420000000000003"/>
    <n v="51.42"/>
    <s v="Sessão Faturada"/>
    <n v="774642028720000"/>
    <n v="59768"/>
    <s v="Unidade Sao Jose"/>
    <n v="1717776312"/>
    <m/>
  </r>
  <r>
    <x v="8"/>
    <x v="6"/>
    <s v="Kethely Adelaide Acipar Rocha"/>
    <s v="Feminino"/>
    <x v="8"/>
    <x v="11"/>
    <s v="20103492 - Patologia Em Dois Ou Mais Membros (R$ 14,83)"/>
    <s v="Fisioterapia"/>
    <n v="1717792977"/>
    <s v="Finalizado (1/5)"/>
    <n v="12.4572"/>
    <n v="2.3727999999999998"/>
    <n v="14.83"/>
    <s v="Sessão a Faturar"/>
    <n v="954600011517000"/>
    <n v="46669"/>
    <s v="Unidade Sao Jose"/>
    <n v="1717792977"/>
    <m/>
  </r>
  <r>
    <x v="8"/>
    <x v="6"/>
    <s v="Alessandra da Silva Cabral"/>
    <s v="Feminino"/>
    <x v="2"/>
    <x v="11"/>
    <s v="20103492 - Fisioterapia - Patologia Em Dois Ou Mais Membros (R$ 14,83), 20103514 - Fisioterapia - Patologia Em Diferentes Segmentos da Coluna (R$ 14,83)"/>
    <s v="Fisioterapia"/>
    <n v="1715488807"/>
    <s v="Finalizado (2/5)"/>
    <n v="24.914400000000001"/>
    <n v="4.7455999999999996"/>
    <n v="29.66"/>
    <s v="Sessão a Faturar"/>
    <n v="775426000850030"/>
    <n v="59638"/>
    <s v="Unidade Sao Jose"/>
    <n v="1715488807"/>
    <m/>
  </r>
  <r>
    <x v="8"/>
    <x v="6"/>
    <s v="Natalia Anacleto Carvalho da Silva"/>
    <s v="Feminino"/>
    <x v="6"/>
    <x v="11"/>
    <s v="20103662 - Pos Operatorio Em Um Membro (R$ 22,53)"/>
    <s v="Fisioterapia"/>
    <n v="172438"/>
    <s v="Finalizado (4/10)"/>
    <n v="18.9252"/>
    <n v="3.6048"/>
    <n v="22.53"/>
    <s v="Sessão a Faturar"/>
    <s v="51588888477546590011"/>
    <n v="59693"/>
    <s v="Unidade Sao Jose"/>
    <n v="172438"/>
    <m/>
  </r>
  <r>
    <x v="8"/>
    <x v="7"/>
    <s v="Alessandra da Silva Cabral"/>
    <s v="Feminino"/>
    <x v="4"/>
    <x v="11"/>
    <s v="31602185 - Estimulação Elétrica Transcutânea - Removido 13/04/2026 (R$ 40,00)"/>
    <s v="Fisioterapia"/>
    <n v="1717792128"/>
    <s v="Finalizado (1/5)"/>
    <n v="33.6"/>
    <n v="6.4"/>
    <n v="40"/>
    <s v="Sessão a Faturar"/>
    <n v="775426000850030"/>
    <n v="59638"/>
    <s v="Unidade Sao Jose"/>
    <n v="1717792128"/>
    <m/>
  </r>
  <r>
    <x v="8"/>
    <x v="7"/>
    <s v="Natalia Anacleto Carvalho da Silva"/>
    <s v="Feminino"/>
    <x v="6"/>
    <x v="11"/>
    <s v="31602185 - Estimulação Elétrica Transcutanea (Tens) (R$ 40,00)"/>
    <s v="Fisioterapia"/>
    <n v="172439"/>
    <s v="Finalizado (3/5)"/>
    <n v="33.6"/>
    <n v="6.4"/>
    <n v="40"/>
    <s v="Sessão Faturada"/>
    <s v="51588888477546590011"/>
    <n v="59693"/>
    <s v="Unidade Sao Jose"/>
    <n v="172439"/>
    <m/>
  </r>
  <r>
    <x v="8"/>
    <x v="7"/>
    <s v="Kethely Adelaide Acipar Rocha"/>
    <s v="Feminino"/>
    <x v="8"/>
    <x v="11"/>
    <s v="20103522 - Fisioterapia - Pac Com Dependencia de Vida Diária (R$ 23,59)"/>
    <s v="Fisioterapia"/>
    <n v="1717792759"/>
    <s v="Finalizado (1/5)"/>
    <n v="19.8156"/>
    <n v="3.7744"/>
    <n v="23.59"/>
    <s v="Sessão a Faturar"/>
    <n v="954600011517000"/>
    <n v="46669"/>
    <s v="Unidade Sao Jose"/>
    <n v="1717792759"/>
    <m/>
  </r>
  <r>
    <x v="8"/>
    <x v="15"/>
    <s v="Silvia Regina Rebelo Ferreira"/>
    <s v="Feminino"/>
    <x v="27"/>
    <x v="11"/>
    <s v="50000144 - Avaliação de Fisioterapia (R$ 51,42)"/>
    <s v="Fisioterapia"/>
    <n v="1717799918"/>
    <s v="Finalizado (1/1)"/>
    <n v="46.277999999999999"/>
    <n v="5.1420000000000003"/>
    <n v="51.42"/>
    <s v="Sessão Faturada"/>
    <n v="774063012629010"/>
    <n v="59796"/>
    <s v="Unidade Sao Jose"/>
    <n v="1717799918"/>
    <m/>
  </r>
  <r>
    <x v="8"/>
    <x v="15"/>
    <s v="Silvaneide Pinto Rodrigues Pontes"/>
    <s v="Feminino"/>
    <x v="5"/>
    <x v="11"/>
    <s v="98860020 - Fisioterapia Complexidade 2 (R$ 73,81)"/>
    <s v="Fisioterapia"/>
    <n v="78916070"/>
    <s v="Finalizado (3/10)"/>
    <n v="62.000399999999999"/>
    <n v="11.8096"/>
    <n v="73.81"/>
    <s v="Sessão a Faturar"/>
    <s v="0100788548001225"/>
    <n v="57040"/>
    <s v="Unidade Sao Jose"/>
    <n v="78916070"/>
    <m/>
  </r>
  <r>
    <x v="8"/>
    <x v="15"/>
    <s v="Raymara Mendes Costa"/>
    <s v="Feminino"/>
    <x v="27"/>
    <x v="11"/>
    <s v="20103492 - Patol. Em Dois Ou Mais Membros (R$ 14,83), 20103514 - Patol. Em Diferentes Segmentos da Coluna (R$ 14,83)"/>
    <s v="Fisioterapia"/>
    <n v="1717801599"/>
    <s v="Finalizado (1/5)"/>
    <n v="24.914400000000001"/>
    <n v="4.7455999999999996"/>
    <n v="29.66"/>
    <s v="Sessão a Faturar"/>
    <n v="774642028720000"/>
    <n v="59768"/>
    <s v="Unidade Sao Jose"/>
    <n v="1717801599"/>
    <m/>
  </r>
  <r>
    <x v="8"/>
    <x v="17"/>
    <s v="Silvia Regina Rebelo Ferreira"/>
    <s v="Feminino"/>
    <x v="27"/>
    <x v="11"/>
    <s v="20103492 - Patol. Em Dois Ou Mais Membros (R$ 14,83)"/>
    <s v="Fisioterapia"/>
    <n v="1717819709"/>
    <s v="Finalizado (1/5)"/>
    <n v="12.4572"/>
    <n v="2.3727999999999998"/>
    <n v="14.83"/>
    <s v="Sessão a Faturar"/>
    <n v="774063012629010"/>
    <n v="59796"/>
    <s v="Unidade Sao Jose"/>
    <n v="1717819709"/>
    <m/>
  </r>
  <r>
    <x v="8"/>
    <x v="17"/>
    <s v="Elvis Miranda dos Santos"/>
    <s v="Masculino"/>
    <x v="7"/>
    <x v="11"/>
    <s v="Sao José - 14 - Fisioterapia Pós Operatória - Pacote (R$ 50,00)"/>
    <s v="Fisioterapia"/>
    <n v="170740"/>
    <s v="Finalizado (4/5)"/>
    <n v="37.5"/>
    <n v="12.5"/>
    <n v="50"/>
    <s v="Pago"/>
    <n v="59561"/>
    <n v="59561"/>
    <s v="Unidade Sao Jose"/>
    <n v="170740"/>
    <m/>
  </r>
  <r>
    <x v="8"/>
    <x v="17"/>
    <s v="Luan Raphael Fernandes da Silva"/>
    <s v="Masculino"/>
    <x v="27"/>
    <x v="11"/>
    <s v="20103484 - Patologia Em Um Membro (R$ 12,22)"/>
    <s v="Fisioterapia"/>
    <n v="1716776041"/>
    <s v="Finalizado (2/5)"/>
    <n v="10.264799999999999"/>
    <n v="1.9552"/>
    <n v="12.22"/>
    <s v="Sessão Faturada"/>
    <n v="775216014346010"/>
    <n v="59334"/>
    <s v="Unidade Sao Jose"/>
    <n v="1716776041"/>
    <m/>
  </r>
  <r>
    <x v="8"/>
    <x v="18"/>
    <s v="Luan Raphael Fernandes da Silva"/>
    <s v="Masculino"/>
    <x v="4"/>
    <x v="11"/>
    <s v="31602185 - Estimulação Elétrica Transcutânea - Removido 13/04/2026 (R$ 40,00)"/>
    <s v="Fisioterapia"/>
    <n v="1717811897"/>
    <s v="Finalizado (1/5)"/>
    <n v="33.6"/>
    <n v="6.4"/>
    <n v="40"/>
    <s v="Sessão Faturada"/>
    <n v="775216014346010"/>
    <n v="59334"/>
    <s v="Unidade Sao Jose"/>
    <n v="1717811897"/>
    <m/>
  </r>
  <r>
    <x v="8"/>
    <x v="8"/>
    <s v="Elinaldo Lima da Silva"/>
    <s v="Masculino"/>
    <x v="7"/>
    <x v="11"/>
    <s v="Sao José - 4 - Fisioterapia Neurológica/Respiratória - Pacote (R$ 50,00)"/>
    <s v="Fisioterapia"/>
    <n v="172473"/>
    <s v="Finalizado (2/5)"/>
    <n v="37.5"/>
    <n v="12.5"/>
    <n v="50"/>
    <s v="Pago"/>
    <n v="59730"/>
    <n v="59730"/>
    <s v="Unidade Sao Jose"/>
    <n v="172473"/>
    <m/>
  </r>
  <r>
    <x v="8"/>
    <x v="8"/>
    <s v="Helem Sintia Souza da Silva"/>
    <s v="Feminino"/>
    <x v="6"/>
    <x v="11"/>
    <s v="20103514 - Patologia Em Dois Ou Mais Segmentos da Coluna - 01/09/2025 (R$ 31,56)"/>
    <s v="Fisioterapia"/>
    <n v="150274"/>
    <s v="Finalizado (8/10)"/>
    <n v="26.510400000000001"/>
    <n v="5.0495999999999999"/>
    <n v="31.56"/>
    <s v="Sessão Faturada"/>
    <s v="54588888461717910027"/>
    <n v="23857"/>
    <s v="Unidade Sao Jose"/>
    <n v="150274"/>
    <m/>
  </r>
  <r>
    <x v="8"/>
    <x v="9"/>
    <s v="Helem Sintia Souza da Silva"/>
    <s v="Feminino"/>
    <x v="6"/>
    <x v="11"/>
    <s v="31602185 - Estimulação Elétrica Transcutanea (Tens) - 01/09/2025 (R$ 96,68)"/>
    <s v="Fisioterapia"/>
    <n v="150547"/>
    <s v="Finalizado (8/10)"/>
    <n v="81.211200000000005"/>
    <n v="15.4688"/>
    <n v="96.68"/>
    <s v="Sessão Faturada"/>
    <s v="54588888461717910027"/>
    <n v="23857"/>
    <s v="Unidade Sao Jose"/>
    <n v="150547"/>
    <m/>
  </r>
  <r>
    <x v="8"/>
    <x v="10"/>
    <s v="Thiago Lima da Rocha"/>
    <s v="Feminino"/>
    <x v="7"/>
    <x v="11"/>
    <s v="Sao José - 2 - Fisioterapia Ortopédica - Pacote (R$ 20,00)"/>
    <s v="Fisioterapia"/>
    <n v="170853"/>
    <s v="Finalizado (5/10)"/>
    <n v="15"/>
    <n v="5"/>
    <n v="20"/>
    <s v="Pago"/>
    <n v="59571"/>
    <n v="59571"/>
    <s v="Unidade Sao Jose"/>
    <n v="170853"/>
    <m/>
  </r>
  <r>
    <x v="8"/>
    <x v="10"/>
    <s v="Herminio Cardoso Pereira Junior"/>
    <s v="Masculino"/>
    <x v="4"/>
    <x v="11"/>
    <s v="31602185 - Estimulação Elétrica Transcutânea - Removido 13/04/2026 (R$ 40,00)"/>
    <s v="Fisioterapia"/>
    <n v="1717833464"/>
    <s v="Finalizado (1/5)"/>
    <n v="33.6"/>
    <n v="6.4"/>
    <n v="40"/>
    <s v="Sessão Faturada"/>
    <n v="774239002356010"/>
    <n v="59751"/>
    <s v="Unidade Sao Jose"/>
    <n v="1717833464"/>
    <s v="SENHA TENS: KBW5WU1"/>
  </r>
  <r>
    <x v="8"/>
    <x v="10"/>
    <s v="Herminio Cardoso Pereira Junior"/>
    <s v="Masculino"/>
    <x v="2"/>
    <x v="11"/>
    <s v="20103484 - Fisioterapia - Patologia Em Um Membro (R$ 12,22), 20103514 - Fisioterapia - Patologia Em Diferentes Segmentos da Coluna (R$ 14,83)"/>
    <s v="Fisioterapia"/>
    <n v="1716811450"/>
    <s v="Finalizado (2/5)"/>
    <n v="22.722000000000001"/>
    <n v="4.3280000000000003"/>
    <n v="27.05"/>
    <s v="Sessão Faturada"/>
    <n v="774239002356010"/>
    <n v="59751"/>
    <s v="Unidade Sao Jose"/>
    <n v="1716811450"/>
    <m/>
  </r>
  <r>
    <x v="9"/>
    <x v="44"/>
    <s v="Devanete Gonçalves de Oliveira"/>
    <s v="Feminino"/>
    <x v="7"/>
    <x v="11"/>
    <s v="Sao José - 2 - Fisioterapia Ortopédica - Pacote (R$ 20,00)"/>
    <s v="Fisioterapia"/>
    <n v="171787"/>
    <s v="Finalizado (9/10)"/>
    <n v="15"/>
    <n v="5"/>
    <n v="20"/>
    <s v="Pago"/>
    <n v="59652"/>
    <n v="59652"/>
    <s v="Unidade Sao Jose"/>
    <n v="171787"/>
    <m/>
  </r>
  <r>
    <x v="9"/>
    <x v="41"/>
    <s v="Francinete Ferreira de Souza"/>
    <s v="Feminino"/>
    <x v="8"/>
    <x v="11"/>
    <s v="20103492 - Patologia Em Dois Ou Mais Membros (R$ 14,83), 20103514 - Patologia Em Diferentes Segmentos da Coluna (R$ 14,83)"/>
    <s v="Fisioterapia"/>
    <n v="1717081644"/>
    <s v="Finalizado (3/5)"/>
    <n v="24.914400000000001"/>
    <n v="4.7455999999999996"/>
    <n v="29.66"/>
    <s v="Sessão a Faturar"/>
    <n v="954390037672020"/>
    <n v="41225"/>
    <s v="Unidade Sao Jose"/>
    <n v="1717081644"/>
    <m/>
  </r>
  <r>
    <x v="9"/>
    <x v="41"/>
    <s v="Francinete Ferreira de Souza"/>
    <s v="Feminino"/>
    <x v="9"/>
    <x v="11"/>
    <s v="31602185 - Estimulação Elétrica Transcutânea (Tens) - Removido 13/04/2026 (R$ 40,00)"/>
    <s v="Fisioterapia"/>
    <n v="1717968964"/>
    <s v="Finalizado (1/5)"/>
    <n v="33.6"/>
    <n v="6.4"/>
    <n v="40"/>
    <s v="Sessão a Faturar"/>
    <n v="954390037672020"/>
    <n v="41225"/>
    <s v="Unidade Sao Jose"/>
    <n v="1717968964"/>
    <m/>
  </r>
  <r>
    <x v="9"/>
    <x v="36"/>
    <s v="Jose Francinaldo dos Santos"/>
    <s v="Masculino"/>
    <x v="7"/>
    <x v="11"/>
    <s v="Sao José - 4 - Fisioterapia Neurológica/Respiratória - Pacote (R$ 50,00)"/>
    <s v="Fisioterapia"/>
    <n v="170818"/>
    <s v="Finalizado (10/10)"/>
    <n v="37.5"/>
    <n v="12.5"/>
    <n v="50"/>
    <s v="No Prazo"/>
    <n v="59333"/>
    <n v="59333"/>
    <s v="Unidade Sao Jose"/>
    <n v="170818"/>
    <m/>
  </r>
  <r>
    <x v="9"/>
    <x v="36"/>
    <s v="Francilene Sousa Campos da Silva"/>
    <s v="Feminino"/>
    <x v="27"/>
    <x v="11"/>
    <s v="20103492 - Patol. Em Dois Ou Mais Membros (R$ 14,83)"/>
    <s v="Fisioterapia"/>
    <n v="1715439816"/>
    <s v="Finalizado (3/5)"/>
    <n v="12.4572"/>
    <n v="2.3727999999999998"/>
    <n v="14.83"/>
    <s v="Sessão a Faturar"/>
    <n v="813227000779000"/>
    <n v="58889"/>
    <s v="Unidade Sao Jose"/>
    <n v="1715439816"/>
    <m/>
  </r>
  <r>
    <x v="9"/>
    <x v="36"/>
    <s v="Sonia Maria Morais Maia"/>
    <s v="Feminino"/>
    <x v="0"/>
    <x v="11"/>
    <s v="50000160 - Fisioterapia Ortopedica (R$ 49,72)"/>
    <s v="Fisioterapia"/>
    <s v="42263120260310440094"/>
    <s v="Finalizado (7/10)"/>
    <n v="41.764800000000001"/>
    <n v="7.9551999999999996"/>
    <n v="49.72"/>
    <s v="Sessão a Faturar"/>
    <s v="010650548005"/>
    <n v="55667"/>
    <s v="Unidade Sao Jose"/>
    <s v="42263120260310440094"/>
    <m/>
  </r>
  <r>
    <x v="9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7/10)"/>
    <n v="45.469200000000001"/>
    <n v="8.6608000000000001"/>
    <n v="54.13"/>
    <s v="Sessão a Faturar"/>
    <s v="010650548005"/>
    <n v="55667"/>
    <s v="Unidade Sao Jose"/>
    <s v="52263120260310440139"/>
    <m/>
  </r>
  <r>
    <x v="9"/>
    <x v="40"/>
    <s v="Sheila Ferreira do Nascimento"/>
    <s v="Feminino"/>
    <x v="27"/>
    <x v="11"/>
    <s v="20103514 - Patol. Em Diferentes Segmentos da Coluna (R$ 14,83)"/>
    <s v="Fisioterapia"/>
    <n v="1712649778"/>
    <s v="Finalizado (5/5)"/>
    <n v="12.4572"/>
    <n v="2.3727999999999998"/>
    <n v="14.83"/>
    <s v="Sessão Faturada"/>
    <n v="774239001511020"/>
    <n v="27492"/>
    <s v="Unidade Sao Jose"/>
    <n v="1712649778"/>
    <m/>
  </r>
  <r>
    <x v="9"/>
    <x v="49"/>
    <s v="Sheila Ferreira do Nascimento"/>
    <s v="Feminino"/>
    <x v="27"/>
    <x v="11"/>
    <s v="20103522 - Fisioterapia - Pac Com Dependencia de Vida Diária (R$ 23,59)"/>
    <s v="Fisioterapia"/>
    <n v="1712648148"/>
    <s v="Finalizado (5/5)"/>
    <n v="19.8156"/>
    <n v="3.7744"/>
    <n v="23.59"/>
    <s v="Sessão Faturada"/>
    <n v="774239001511020"/>
    <n v="27492"/>
    <s v="Unidade Sao Jose"/>
    <n v="1712648148"/>
    <m/>
  </r>
  <r>
    <x v="9"/>
    <x v="55"/>
    <s v="Sheila Ferreira do Nascimento"/>
    <s v="Feminino"/>
    <x v="4"/>
    <x v="11"/>
    <s v="31602185 - Estimulação Elétrica Transcutânea - Removido 13/04/2026 (R$ 40,00)"/>
    <s v="Fisioterapia"/>
    <n v="1713931051"/>
    <s v="Finalizado (4/5)"/>
    <n v="33.6"/>
    <n v="6.4"/>
    <n v="40"/>
    <s v="Sessão Faturada"/>
    <n v="774239001511020"/>
    <n v="27492"/>
    <s v="Unidade Sao Jose"/>
    <n v="1713931051"/>
    <m/>
  </r>
  <r>
    <x v="9"/>
    <x v="38"/>
    <s v="Raimundo Antonio de Oliveira"/>
    <s v="Masculino"/>
    <x v="27"/>
    <x v="11"/>
    <s v="20103514 - Patol. Em Diferentes Segmentos da Coluna (R$ 14,83)"/>
    <s v="Fisioterapia"/>
    <n v="1718075851"/>
    <s v="Finalizado (1/5)"/>
    <n v="12.4572"/>
    <n v="2.3727999999999998"/>
    <n v="14.83"/>
    <s v="Sessão a Faturar"/>
    <n v="772530028185000"/>
    <n v="27968"/>
    <s v="Unidade Sao Jose"/>
    <n v="1718075851"/>
    <m/>
  </r>
  <r>
    <x v="9"/>
    <x v="38"/>
    <s v="Manoel Bentes Colares"/>
    <s v="Masculino"/>
    <x v="7"/>
    <x v="11"/>
    <s v="Sao José - 2 - Fisioterapia Ortopédica - Pacote (R$ 20,00)"/>
    <s v="Fisioterapia"/>
    <n v="172528"/>
    <s v="Finalizado (3/10)"/>
    <n v="15"/>
    <n v="5"/>
    <n v="20"/>
    <s v="Pago"/>
    <n v="59736"/>
    <n v="59736"/>
    <s v="Unidade Sao Jose"/>
    <n v="172528"/>
    <m/>
  </r>
  <r>
    <x v="9"/>
    <x v="38"/>
    <s v="Raimundo Antonio de Oliveira"/>
    <s v="Masculino"/>
    <x v="4"/>
    <x v="11"/>
    <s v="31602185 - Estimulação Elétrica Transcutânea - Removido 13/04/2026 (R$ 40,00)"/>
    <s v="Fisioterapia"/>
    <n v="1715027814"/>
    <s v="Finalizado (4/5)"/>
    <n v="33.6"/>
    <n v="6.4"/>
    <n v="40"/>
    <s v="Sessão Faturada"/>
    <n v="772530028185000"/>
    <n v="27968"/>
    <s v="Unidade Sao Jose"/>
    <n v="1715027814"/>
    <m/>
  </r>
  <r>
    <x v="9"/>
    <x v="38"/>
    <s v="Lucia Seixas de Alencar"/>
    <s v="Feminino"/>
    <x v="8"/>
    <x v="11"/>
    <s v="20103662 - Pos Operatorio Em Um Membro (R$ 14,99)"/>
    <s v="Fisioterapia"/>
    <n v="1716594022"/>
    <s v="Finalizado (4/5)"/>
    <n v="12.5916"/>
    <n v="2.3984000000000001"/>
    <n v="14.99"/>
    <s v="Sessão Faturada"/>
    <n v="954600005908000"/>
    <n v="59735"/>
    <s v="Unidade Sao Jose"/>
    <n v="1716594022"/>
    <m/>
  </r>
  <r>
    <x v="9"/>
    <x v="68"/>
    <s v="Lucia Seixas de Alencar"/>
    <s v="Feminino"/>
    <x v="9"/>
    <x v="11"/>
    <s v="31602185 - Estimulação Elétrica Transcutânea (Tens) - Removido 13/04/2026 (R$ 40,00)"/>
    <s v="Fisioterapia"/>
    <n v="1717066782"/>
    <s v="Finalizado (3/5)"/>
    <n v="33.6"/>
    <n v="6.4"/>
    <n v="40"/>
    <s v="Sessão Faturada"/>
    <n v="954600005908000"/>
    <n v="59735"/>
    <s v="Unidade Sao Jose"/>
    <n v="1717066782"/>
    <m/>
  </r>
  <r>
    <x v="9"/>
    <x v="69"/>
    <s v="Lucia Seixas de Alencar"/>
    <s v="Feminino"/>
    <x v="8"/>
    <x v="11"/>
    <s v="20103484 - Patologia Em Um Membro (R$ 12,22), 20103506 - Patologia Em Um Segmento Na Coluna (R$ 12,22)"/>
    <s v="Fisioterapia"/>
    <n v="1716593501"/>
    <s v="Finalizado (4/5)"/>
    <n v="20.529599999999999"/>
    <n v="3.9104000000000001"/>
    <n v="24.44"/>
    <s v="Sessão Faturada"/>
    <n v="954600005908000"/>
    <n v="59735"/>
    <s v="Unidade Sao Jose"/>
    <n v="1716593501"/>
    <m/>
  </r>
  <r>
    <x v="9"/>
    <x v="37"/>
    <s v="Elizangela Souza Araujo"/>
    <s v="Feminino"/>
    <x v="27"/>
    <x v="11"/>
    <s v="20103492 - Patol. Em Dois Ou Mais Membros (R$ 14,83), 20103514 - Patol. Em Diferentes Segmentos da Coluna (R$ 14,83)"/>
    <s v="Fisioterapia"/>
    <n v="1716611811"/>
    <s v="Finalizado (3/5)"/>
    <n v="24.914400000000001"/>
    <n v="4.7455999999999996"/>
    <n v="29.66"/>
    <s v="Sessão a Faturar"/>
    <n v="771015061379010"/>
    <n v="57309"/>
    <s v="Unidade Sao Jose"/>
    <n v="1716611811"/>
    <m/>
  </r>
  <r>
    <x v="9"/>
    <x v="37"/>
    <s v="Natalino Santos Dantas"/>
    <s v="Masculino"/>
    <x v="27"/>
    <x v="11"/>
    <s v="20103514 - Patol. Em Diferentes Segmentos da Coluna (R$ 14,83)"/>
    <s v="Fisioterapia"/>
    <n v="1717120146"/>
    <s v="Finalizado (3/5)"/>
    <n v="12.4572"/>
    <n v="2.3727999999999998"/>
    <n v="14.83"/>
    <s v="Sessão a Faturar"/>
    <n v="770651026042040"/>
    <n v="59765"/>
    <s v="Unidade Sao Jose"/>
    <n v="1717120146"/>
    <m/>
  </r>
  <r>
    <x v="9"/>
    <x v="37"/>
    <s v="Railson Castro de Souza"/>
    <s v="Masculino"/>
    <x v="7"/>
    <x v="11"/>
    <s v="Sao José - 2 - Fisioterapia Ortopédica - Pacote (R$ 20,00)"/>
    <s v="Fisioterapia"/>
    <n v="172143"/>
    <s v="Finalizado (7/10)"/>
    <n v="15"/>
    <n v="5"/>
    <n v="20"/>
    <s v="Pago"/>
    <n v="59697"/>
    <n v="59697"/>
    <s v="Unidade Sao Jose"/>
    <n v="172143"/>
    <m/>
  </r>
  <r>
    <x v="9"/>
    <x v="58"/>
    <s v="Natalino Santos Dantas"/>
    <s v="Masculino"/>
    <x v="27"/>
    <x v="11"/>
    <s v="20103522 - Fisioterapia - Pac Com Dependencia de Vida Diária (R$ 23,59)"/>
    <s v="Fisioterapia"/>
    <n v="1717120426"/>
    <s v="Finalizado (3/5)"/>
    <n v="19.8156"/>
    <n v="3.7744"/>
    <n v="23.59"/>
    <s v="Sessão a Faturar"/>
    <n v="770651026042040"/>
    <n v="59765"/>
    <s v="Unidade Sao Jose"/>
    <n v="1717120426"/>
    <m/>
  </r>
  <r>
    <x v="9"/>
    <x v="50"/>
    <s v="Natalino Santos Dantas"/>
    <s v="Masculino"/>
    <x v="4"/>
    <x v="11"/>
    <s v="31602185 - Estimulação Elétrica Transcutânea - Removido 13/04/2026 (R$ 40,00)"/>
    <s v="Fisioterapia"/>
    <n v="1717619770"/>
    <s v="Finalizado (2/5)"/>
    <n v="33.6"/>
    <n v="6.4"/>
    <n v="40"/>
    <s v="Sessão a Faturar"/>
    <n v="770651026042040"/>
    <n v="59765"/>
    <s v="Unidade Sao Jose"/>
    <n v="1717619770"/>
    <m/>
  </r>
  <r>
    <x v="9"/>
    <x v="39"/>
    <s v="Cildomar dos Santos Lira"/>
    <s v="Masculino"/>
    <x v="7"/>
    <x v="11"/>
    <s v="Sao José - 2 - Fisioterapia Ortopédica - Pacote (R$ 20,00)"/>
    <s v="Fisioterapia"/>
    <n v="170978"/>
    <s v="Finalizado (10/10)"/>
    <n v="15"/>
    <n v="5"/>
    <n v="20"/>
    <s v="Pago"/>
    <n v="331883"/>
    <n v="33183"/>
    <s v="Unidade Sao Jose"/>
    <n v="170978"/>
    <m/>
  </r>
  <r>
    <x v="9"/>
    <x v="39"/>
    <s v="Francisca da Silva Rebouças"/>
    <s v="Feminino"/>
    <x v="7"/>
    <x v="11"/>
    <s v="Sao José - 4 - Fisioterapia Neurológica/Respiratória - Pacote (R$ 50,00)"/>
    <s v="Fisioterapia"/>
    <n v="171760"/>
    <s v="Finalizado (8/10)"/>
    <n v="37.5"/>
    <n v="12.5"/>
    <n v="50"/>
    <s v="Pago"/>
    <n v="59581"/>
    <n v="59581"/>
    <s v="Unidade Sao Jose"/>
    <n v="171760"/>
    <m/>
  </r>
  <r>
    <x v="9"/>
    <x v="22"/>
    <s v="Maria do Socorro Pereira da Silva"/>
    <s v="Feminino"/>
    <x v="7"/>
    <x v="11"/>
    <s v="Sao José - 2 - Fisioterapia Ortopédica - Pacote (R$ 20,00)"/>
    <s v="Fisioterapia"/>
    <n v="172412"/>
    <s v="Finalizado (7/10)"/>
    <n v="15"/>
    <n v="5"/>
    <n v="20"/>
    <s v="Pago"/>
    <n v="59726"/>
    <n v="59726"/>
    <s v="Unidade Sao Jose"/>
    <n v="172412"/>
    <m/>
  </r>
  <r>
    <x v="9"/>
    <x v="22"/>
    <s v="Juliana Garcia Viana"/>
    <s v="Feminino"/>
    <x v="8"/>
    <x v="11"/>
    <s v="20103484 - Patologia Em Um Membro (R$ 12,22)"/>
    <s v="Fisioterapia"/>
    <n v="1710919651"/>
    <s v="Finalizado (2/5)"/>
    <n v="10.264799999999999"/>
    <n v="1.9552"/>
    <n v="12.22"/>
    <s v="Sessão a Faturar"/>
    <n v="954600033006000"/>
    <n v="56608"/>
    <s v="Unidade Sao Jose"/>
    <n v="1710919651"/>
    <m/>
  </r>
  <r>
    <x v="9"/>
    <x v="0"/>
    <s v="Rodrigo Serrao da Silva"/>
    <s v="Masculino"/>
    <x v="8"/>
    <x v="11"/>
    <s v="50000144 - Consulta de Fisioterapia (R$ 51,42)"/>
    <s v="Fisioterapia"/>
    <n v="1718195922"/>
    <s v="Finalizado (1/1)"/>
    <n v="46.277999999999999"/>
    <n v="5.1420000000000003"/>
    <n v="51.42"/>
    <s v="Sessão Faturada"/>
    <n v="954600021490020"/>
    <n v="50970"/>
    <s v="Unidade Sao Jose"/>
    <n v="1718195922"/>
    <m/>
  </r>
  <r>
    <x v="9"/>
    <x v="4"/>
    <s v="David Nascimento Lopes"/>
    <s v="Masculino"/>
    <x v="7"/>
    <x v="11"/>
    <s v="Sao José - 2 - Fisioterapia Ortopédica - Pacote (R$ 20,00)"/>
    <s v="Fisioterapia"/>
    <n v="173205"/>
    <s v="Finalizado (1/10)"/>
    <n v="15"/>
    <n v="5"/>
    <n v="20"/>
    <s v="Pago"/>
    <n v="31359"/>
    <n v="31359"/>
    <s v="Unidade Sao Jose"/>
    <n v="173205"/>
    <m/>
  </r>
  <r>
    <x v="9"/>
    <x v="4"/>
    <s v="Ana Cleide da Silva Lima"/>
    <s v="Feminino"/>
    <x v="7"/>
    <x v="11"/>
    <s v="Sao José - 2 - Fisioterapia Ortopédica - Pacote (R$ 20,00)"/>
    <s v="Fisioterapia"/>
    <n v="169727"/>
    <s v="Finalizado (10/10)"/>
    <n v="15"/>
    <n v="5"/>
    <n v="20"/>
    <s v="Pago"/>
    <n v="98278639000"/>
    <n v="54132"/>
    <s v="Unidade Sao Jose"/>
    <n v="169727"/>
    <m/>
  </r>
  <r>
    <x v="9"/>
    <x v="13"/>
    <s v="Rodrigo Serrao da Silva"/>
    <s v="Masculino"/>
    <x v="8"/>
    <x v="11"/>
    <s v="20103492 - Patologia Em Dois Ou Mais Membros (R$ 14,83)"/>
    <s v="Fisioterapia"/>
    <n v="1718244101"/>
    <s v="Finalizado (1/5)"/>
    <n v="12.4572"/>
    <n v="2.3727999999999998"/>
    <n v="14.83"/>
    <s v="Sessão a Faturar"/>
    <n v="954600021490020"/>
    <n v="50970"/>
    <s v="Unidade Sao Jose"/>
    <n v="1718244101"/>
    <m/>
  </r>
  <r>
    <x v="9"/>
    <x v="13"/>
    <s v="Suelen de Souza Moraes"/>
    <s v="Feminino"/>
    <x v="7"/>
    <x v="11"/>
    <s v="Sao José - 2 - Fisioterapia Ortopédica - Pacote (R$ 20,00)"/>
    <s v="Fisioterapia"/>
    <s v="/168940"/>
    <s v="Finalizado (20/30)"/>
    <n v="15"/>
    <n v="5"/>
    <n v="20"/>
    <s v="No Prazo"/>
    <n v="59411"/>
    <n v="59411"/>
    <s v="Unidade Sao Jose"/>
    <s v="/168940"/>
    <m/>
  </r>
  <r>
    <x v="9"/>
    <x v="6"/>
    <s v="Cacio Kenedy da Rocha Anunciaçao"/>
    <s v="Masculino"/>
    <x v="4"/>
    <x v="11"/>
    <s v="31602185 - Estimulação Elétrica Transcutânea - Removido 13/04/2026 (R$ 40,00)"/>
    <s v="Fisioterapia"/>
    <n v="1717632810"/>
    <s v="Finalizado (2/5)"/>
    <n v="33.6"/>
    <n v="6.4"/>
    <n v="40"/>
    <s v="Sessão Faturada"/>
    <n v="895113400019000"/>
    <n v="59785"/>
    <s v="Unidade Sao Jose"/>
    <n v="1717632810"/>
    <m/>
  </r>
  <r>
    <x v="9"/>
    <x v="6"/>
    <s v="Natalia Anacleto Carvalho da Silva"/>
    <s v="Feminino"/>
    <x v="6"/>
    <x v="11"/>
    <s v="20103662 - Pos Operatorio Em Um Membro (R$ 22,53)"/>
    <s v="Fisioterapia"/>
    <n v="172438"/>
    <s v="Finalizado (5/10)"/>
    <n v="18.9252"/>
    <n v="3.6048"/>
    <n v="22.53"/>
    <s v="Sessão a Faturar"/>
    <s v="51588888477546590011"/>
    <n v="59693"/>
    <s v="Unidade Sao Jose"/>
    <n v="172438"/>
    <m/>
  </r>
  <r>
    <x v="9"/>
    <x v="26"/>
    <s v="Cacio Kenedy da Rocha Anunciaçao"/>
    <s v="Masculino"/>
    <x v="27"/>
    <x v="11"/>
    <s v="20103492 - Patol. Em Dois Ou Mais Membros (R$ 14,83), 20103514 - Patol. Em Diferentes Segmentos da Coluna (R$ 14,83)"/>
    <s v="Fisioterapia"/>
    <n v="1717247893"/>
    <s v="Finalizado (3/10)"/>
    <n v="24.914400000000001"/>
    <n v="4.7455999999999996"/>
    <n v="29.66"/>
    <s v="Sessão a Faturar"/>
    <n v="895113400019000"/>
    <n v="59785"/>
    <s v="Unidade Sao Jose"/>
    <n v="1717247893"/>
    <m/>
  </r>
  <r>
    <x v="9"/>
    <x v="27"/>
    <s v="Cacio Kenedy da Rocha Anunciaçao"/>
    <s v="Masculino"/>
    <x v="27"/>
    <x v="11"/>
    <s v="20103522 - Fisioterapia - Pac Com Dependencia de Vida Diária (R$ 23,59)"/>
    <s v="Fisioterapia"/>
    <n v="1717248256"/>
    <s v="Finalizado (3/10)"/>
    <n v="19.8156"/>
    <n v="3.7744"/>
    <n v="23.59"/>
    <s v="Sessão a Faturar"/>
    <n v="895113400019000"/>
    <n v="59785"/>
    <s v="Unidade Sao Jose"/>
    <n v="1717248256"/>
    <m/>
  </r>
  <r>
    <x v="9"/>
    <x v="15"/>
    <s v="Vanessa Soares de Almeida"/>
    <s v="Feminino"/>
    <x v="7"/>
    <x v="11"/>
    <s v="Sao José - 2 - Fisioterapia Ortopédica - Pacote (R$ 20,00)"/>
    <s v="Fisioterapia"/>
    <n v="170464"/>
    <s v="Finalizado (9/10)"/>
    <n v="15"/>
    <n v="5"/>
    <n v="20"/>
    <s v="Pago"/>
    <s v="."/>
    <n v="52536"/>
    <s v="Unidade Sao Jose"/>
    <n v="170464"/>
    <m/>
  </r>
  <r>
    <x v="9"/>
    <x v="15"/>
    <s v="Joao Paulo Pinheiro dos Santos"/>
    <s v="Masculino"/>
    <x v="9"/>
    <x v="11"/>
    <s v="31602185 - Estimulação Elétrica Transcutânea (Tens) - Removido 13/04/2026 (R$ 40,00)"/>
    <s v="Fisioterapia"/>
    <n v="1710440770"/>
    <s v="Finalizado (5/5)"/>
    <n v="33.6"/>
    <n v="6.4"/>
    <n v="40"/>
    <s v="Sessão Faturada"/>
    <n v="954600009601010"/>
    <n v="24910"/>
    <s v="Unidade Sao Jose"/>
    <n v="1710440770"/>
    <m/>
  </r>
  <r>
    <x v="9"/>
    <x v="15"/>
    <s v="Kethely Adelaide Acipar Rocha"/>
    <s v="Feminino"/>
    <x v="8"/>
    <x v="11"/>
    <s v="20103492 - Patologia Em Dois Ou Mais Membros (R$ 14,83)"/>
    <s v="Fisioterapia"/>
    <n v="1717792977"/>
    <s v="Finalizado (2/5)"/>
    <n v="12.4572"/>
    <n v="2.3727999999999998"/>
    <n v="14.83"/>
    <s v="Sessão a Faturar"/>
    <n v="954600011517000"/>
    <n v="46669"/>
    <s v="Unidade Sao Jose"/>
    <n v="1717792977"/>
    <m/>
  </r>
  <r>
    <x v="9"/>
    <x v="15"/>
    <s v="Luan Raphael Fernandes da Silva"/>
    <s v="Masculino"/>
    <x v="27"/>
    <x v="11"/>
    <s v="20103484 - Patologia Em Um Membro (R$ 12,22)"/>
    <s v="Fisioterapia"/>
    <n v="1716776041"/>
    <s v="Finalizado (3/5)"/>
    <n v="10.264799999999999"/>
    <n v="1.9552"/>
    <n v="12.22"/>
    <s v="Sessão Faturada"/>
    <n v="775216014346010"/>
    <n v="59334"/>
    <s v="Unidade Sao Jose"/>
    <n v="1716776041"/>
    <m/>
  </r>
  <r>
    <x v="9"/>
    <x v="16"/>
    <s v="Luan Raphael Fernandes da Silva"/>
    <s v="Masculino"/>
    <x v="4"/>
    <x v="11"/>
    <s v="31602185 - Estimulação Elétrica Transcutânea - Removido 13/04/2026 (R$ 40,00)"/>
    <s v="Fisioterapia"/>
    <n v="1717811897"/>
    <s v="Finalizado (2/5)"/>
    <n v="33.6"/>
    <n v="6.4"/>
    <n v="40"/>
    <s v="Sessão Faturada"/>
    <n v="775216014346010"/>
    <n v="59334"/>
    <s v="Unidade Sao Jose"/>
    <n v="1717811897"/>
    <m/>
  </r>
  <r>
    <x v="9"/>
    <x v="16"/>
    <s v="Joao Paulo Pinheiro dos Santos"/>
    <s v="Masculino"/>
    <x v="8"/>
    <x v="11"/>
    <s v="20103662 - Pos Operatorio Em Um Membro (R$ 14,99)"/>
    <s v="Fisioterapia"/>
    <n v="1718276043"/>
    <s v="Finalizado (1/5)"/>
    <n v="12.5916"/>
    <n v="2.3984000000000001"/>
    <n v="14.99"/>
    <s v="Sessão a Faturar"/>
    <n v="954600009601010"/>
    <n v="24910"/>
    <s v="Unidade Sao Jose"/>
    <n v="1718276043"/>
    <m/>
  </r>
  <r>
    <x v="9"/>
    <x v="16"/>
    <s v="Kethely Adelaide Acipar Rocha"/>
    <s v="Feminino"/>
    <x v="8"/>
    <x v="11"/>
    <s v="20103522 - Fisioterapia - Pac Com Dependencia de Vida Diária (R$ 23,59)"/>
    <s v="Fisioterapia"/>
    <n v="1717792759"/>
    <s v="Finalizado (2/5)"/>
    <n v="19.8156"/>
    <n v="3.7744"/>
    <n v="23.59"/>
    <s v="Sessão a Faturar"/>
    <n v="954600011517000"/>
    <n v="46669"/>
    <s v="Unidade Sao Jose"/>
    <n v="1717792759"/>
    <m/>
  </r>
  <r>
    <x v="9"/>
    <x v="17"/>
    <s v="Jessica da Costa Barbosa"/>
    <s v="Feminino"/>
    <x v="7"/>
    <x v="11"/>
    <s v="Sao José - 2 - Fisioterapia Ortopédica - Pacote (R$ 20,00)"/>
    <s v="Fisioterapia"/>
    <n v="170835"/>
    <s v="Finalizado (1/10)"/>
    <n v="15"/>
    <n v="5"/>
    <n v="20"/>
    <s v="No Prazo"/>
    <n v="57549"/>
    <n v="57549"/>
    <s v="Unidade Sao Jose"/>
    <n v="170835"/>
    <m/>
  </r>
  <r>
    <x v="9"/>
    <x v="17"/>
    <s v="Manuele da Palma Monteiro"/>
    <s v="Feminino"/>
    <x v="7"/>
    <x v="11"/>
    <s v="Sao José - 2 - Fisioterapia Ortopédica - Pacote (R$ 20,00)"/>
    <s v="Fisioterapia"/>
    <n v="171038"/>
    <s v="Finalizado (5/10)"/>
    <n v="15"/>
    <n v="5"/>
    <n v="20"/>
    <s v="Pago"/>
    <n v="59589"/>
    <n v="59589"/>
    <s v="Unidade Sao Jose"/>
    <n v="171038"/>
    <m/>
  </r>
  <r>
    <x v="9"/>
    <x v="8"/>
    <s v="Silvia Regina Rebelo Ferreira"/>
    <s v="Feminino"/>
    <x v="27"/>
    <x v="11"/>
    <s v="20103492 - Patol. Em Dois Ou Mais Membros (R$ 14,83)"/>
    <s v="Fisioterapia"/>
    <n v="1717819709"/>
    <s v="Finalizado (2/5)"/>
    <n v="12.4572"/>
    <n v="2.3727999999999998"/>
    <n v="14.83"/>
    <s v="Sessão a Faturar"/>
    <n v="774063012629010"/>
    <n v="59796"/>
    <s v="Unidade Sao Jose"/>
    <n v="1717819709"/>
    <m/>
  </r>
  <r>
    <x v="9"/>
    <x v="8"/>
    <s v="Lídia Andrade Vieira"/>
    <s v="Feminino"/>
    <x v="7"/>
    <x v="11"/>
    <s v="Sao José - 4 - Fisioterapia Neurológica/Respiratória - Pacote (R$ 50,00)"/>
    <s v="Fisioterapia"/>
    <n v="172548"/>
    <s v="Finalizado (4/5)"/>
    <n v="37.5"/>
    <n v="12.5"/>
    <n v="50"/>
    <s v="Pago"/>
    <n v="59737"/>
    <n v="59737"/>
    <s v="Unidade Sao Jose"/>
    <n v="172548"/>
    <m/>
  </r>
  <r>
    <x v="9"/>
    <x v="8"/>
    <s v="Gabriela Laureano Maria"/>
    <s v="Feminino"/>
    <x v="8"/>
    <x v="11"/>
    <s v="50000144 - Avaliação de Fisioterapia (R$ 51,42)"/>
    <s v="Fisioterapia"/>
    <n v="1718291031"/>
    <s v="Finalizado (1/1)"/>
    <n v="46.277999999999999"/>
    <n v="5.1420000000000003"/>
    <n v="51.42"/>
    <s v="Sessão Faturada"/>
    <n v="954600032280000"/>
    <n v="59805"/>
    <s v="Unidade Sao Jose"/>
    <n v="1718291031"/>
    <m/>
  </r>
  <r>
    <x v="9"/>
    <x v="8"/>
    <s v="Silvia Regina Rebelo Ferreira"/>
    <s v="Feminino"/>
    <x v="4"/>
    <x v="11"/>
    <s v="31602185 - Estimulação Elétrica Transcutânea - Removido 13/04/2026 (R$ 40,00)"/>
    <s v="Fisioterapia"/>
    <n v="1718287736"/>
    <s v="Finalizado (1/5)"/>
    <n v="33.6"/>
    <n v="6.4"/>
    <n v="40"/>
    <s v="Sessão Faturada"/>
    <n v="774063012629010"/>
    <n v="59796"/>
    <s v="Unidade Sao Jose"/>
    <n v="1718287736"/>
    <m/>
  </r>
  <r>
    <x v="9"/>
    <x v="10"/>
    <s v="Kethely Adelaide Acipar Rocha"/>
    <s v="Feminino"/>
    <x v="9"/>
    <x v="11"/>
    <s v="31602185 - Estimulação Elétrica Transcutânea (Tens) - Removido 13/04/2026 (R$ 40,00)"/>
    <s v="Fisioterapia"/>
    <n v="1718298771"/>
    <s v="Finalizado (1/5)"/>
    <n v="33.6"/>
    <n v="6.4"/>
    <n v="40"/>
    <s v="Sessão a Faturar"/>
    <n v="954600011517000"/>
    <n v="46669"/>
    <s v="Unidade Sao Jose"/>
    <n v="1718298771"/>
    <m/>
  </r>
  <r>
    <x v="9"/>
    <x v="10"/>
    <s v="Herminio Cardoso Pereira Junior"/>
    <s v="Masculino"/>
    <x v="4"/>
    <x v="11"/>
    <s v="31602185 - Estimulação Elétrica Transcutânea - Removido 13/04/2026 (R$ 40,00)"/>
    <s v="Fisioterapia"/>
    <n v="1717833464"/>
    <s v="Finalizado (2/5)"/>
    <n v="33.6"/>
    <n v="6.4"/>
    <n v="40"/>
    <s v="Sessão Faturada"/>
    <n v="774239002356010"/>
    <n v="59751"/>
    <s v="Unidade Sao Jose"/>
    <n v="1717833464"/>
    <s v="SENHA TENS: KBW5WU1"/>
  </r>
  <r>
    <x v="9"/>
    <x v="10"/>
    <s v="Gabriela Laureano Maria"/>
    <s v="Feminino"/>
    <x v="8"/>
    <x v="11"/>
    <s v="20103492 - Patologia Em Dois Ou Mais Membros (R$ 14,83)"/>
    <s v="Fisioterapia"/>
    <n v="1718301826"/>
    <s v="Finalizado (1/5)"/>
    <n v="12.4572"/>
    <n v="2.3727999999999998"/>
    <n v="14.83"/>
    <s v="Sessão Faturada"/>
    <n v="954600032280000"/>
    <n v="59805"/>
    <s v="Unidade Sao Jose"/>
    <n v="1718301826"/>
    <m/>
  </r>
  <r>
    <x v="9"/>
    <x v="10"/>
    <s v="Herminio Cardoso Pereira Junior"/>
    <s v="Masculino"/>
    <x v="2"/>
    <x v="11"/>
    <s v="20103484 - Fisioterapia - Patologia Em Um Membro (R$ 12,22), 20103514 - Fisioterapia - Patologia Em Diferentes Segmentos da Coluna (R$ 14,83)"/>
    <s v="Fisioterapia"/>
    <n v="1716811450"/>
    <s v="Finalizado (3/5)"/>
    <n v="22.722000000000001"/>
    <n v="4.3280000000000003"/>
    <n v="27.05"/>
    <s v="Sessão Faturada"/>
    <n v="774239002356010"/>
    <n v="59751"/>
    <s v="Unidade Sao Jose"/>
    <n v="1716811450"/>
    <m/>
  </r>
  <r>
    <x v="25"/>
    <x v="44"/>
    <s v="Manuele da Palma Monteiro"/>
    <s v="Feminino"/>
    <x v="7"/>
    <x v="11"/>
    <s v="Sao José - 2 - Fisioterapia Ortopédica - Pacote (R$ 20,00)"/>
    <s v="Fisioterapia"/>
    <n v="171038"/>
    <s v="Finalizado (6/10)"/>
    <n v="15"/>
    <n v="5"/>
    <n v="20"/>
    <s v="Pago"/>
    <n v="59589"/>
    <n v="59589"/>
    <s v="Unidade Sao Jose"/>
    <n v="171038"/>
    <m/>
  </r>
  <r>
    <x v="25"/>
    <x v="44"/>
    <s v="Tereza da Rocha Vieira"/>
    <s v="Feminino"/>
    <x v="10"/>
    <x v="11"/>
    <s v="50000160 - Fisioterapia Ortopédica (R$ 15,00)"/>
    <s v="Fisioterapia"/>
    <n v="15114021"/>
    <s v="Finalizado (9/10)"/>
    <n v="12.6"/>
    <n v="2.4"/>
    <n v="15"/>
    <s v="Sessão Faturada"/>
    <s v="00010001253014045"/>
    <n v="52943"/>
    <s v="Unidade Sao Jose"/>
    <n v="15114021"/>
    <m/>
  </r>
  <r>
    <x v="25"/>
    <x v="44"/>
    <s v="Rocivaldo Alfredo da Silva"/>
    <s v="Masculino"/>
    <x v="16"/>
    <x v="11"/>
    <s v="50000160 - Fisioterapia Ortopedica (R$ 25,00)"/>
    <s v="Fisioterapia"/>
    <n v="171611"/>
    <s v="Finalizado (8/10)"/>
    <n v="21"/>
    <n v="4"/>
    <n v="25"/>
    <s v="Sessão a Faturar"/>
    <n v="59425"/>
    <n v="59425"/>
    <s v="Unidade Sao Jose"/>
    <n v="171611"/>
    <m/>
  </r>
  <r>
    <x v="25"/>
    <x v="44"/>
    <s v="Francisca Neta de Lira Araujo"/>
    <s v="Feminino"/>
    <x v="7"/>
    <x v="11"/>
    <s v="Sao José - 4 - Fisioterapia Neurológica/Respiratória - Pacote (R$ 50,00)"/>
    <s v="Fisioterapia"/>
    <n v="171525"/>
    <s v="Finalizado (7/10)"/>
    <n v="37.5"/>
    <n v="12.5"/>
    <n v="50"/>
    <s v="Pago"/>
    <n v="59631"/>
    <n v="59631"/>
    <s v="Unidade Sao Jose"/>
    <n v="171525"/>
    <m/>
  </r>
  <r>
    <x v="25"/>
    <x v="41"/>
    <s v="Devanete Gonçalves de Oliveira"/>
    <s v="Feminino"/>
    <x v="7"/>
    <x v="11"/>
    <s v="Sao José - 2 - Fisioterapia Ortopédica - Pacote (R$ 20,00)"/>
    <s v="Fisioterapia"/>
    <n v="171787"/>
    <s v="Finalizado (10/10)"/>
    <n v="15"/>
    <n v="5"/>
    <n v="20"/>
    <s v="Pago"/>
    <n v="59652"/>
    <n v="59652"/>
    <s v="Unidade Sao Jose"/>
    <n v="171787"/>
    <m/>
  </r>
  <r>
    <x v="25"/>
    <x v="36"/>
    <s v="Maria Celia Viana de Oliveira"/>
    <s v="Feminino"/>
    <x v="6"/>
    <x v="11"/>
    <s v="50000144 - Avaliação de Fisioterapia (R$ 56,52)"/>
    <s v="Fisioterapia"/>
    <n v="7700047380"/>
    <s v="Finalizado (1/1)"/>
    <n v="50.868000000000002"/>
    <n v="5.6520000000000001"/>
    <n v="56.52"/>
    <s v="Sessão Faturada"/>
    <s v="56788888493902800028"/>
    <n v="33"/>
    <s v="Unidade Sao Jose"/>
    <n v="7700047380"/>
    <m/>
  </r>
  <r>
    <x v="25"/>
    <x v="36"/>
    <s v="Andriely Oliveira Braga"/>
    <s v="Feminino"/>
    <x v="27"/>
    <x v="11"/>
    <s v="20103662 - Pos Operatorio Em Um Membro (R$ 14,99)"/>
    <s v="Fisioterapia"/>
    <n v="1717015559"/>
    <s v="Finalizado (2/5)"/>
    <n v="12.5916"/>
    <n v="2.3984000000000001"/>
    <n v="14.99"/>
    <s v="Sessão a Faturar"/>
    <n v="813227000396000"/>
    <n v="52145"/>
    <s v="Unidade Sao Jose"/>
    <n v="1717015559"/>
    <m/>
  </r>
  <r>
    <x v="25"/>
    <x v="36"/>
    <s v="Maria Celia Viana de Oliveira"/>
    <s v="Feminino"/>
    <x v="6"/>
    <x v="11"/>
    <s v="20103484 - Patologia Em Um Membro (R$ 14,16)"/>
    <s v="Fisioterapia"/>
    <n v="173317"/>
    <s v="Finalizado (1/10)"/>
    <n v="11.894399999999999"/>
    <n v="2.2656000000000001"/>
    <n v="14.16"/>
    <s v="Sessão a Faturar"/>
    <s v="56788888493902800028"/>
    <n v="33"/>
    <s v="Unidade Sao Jose"/>
    <n v="173317"/>
    <m/>
  </r>
  <r>
    <x v="25"/>
    <x v="40"/>
    <s v="Osmar Barbosa dos Santos Junior"/>
    <s v="Masculino"/>
    <x v="8"/>
    <x v="11"/>
    <s v="20103662 - Pos Operatorio Em Um Membro (R$ 14,99)"/>
    <s v="Fisioterapia"/>
    <n v="1717536622"/>
    <s v="Finalizado (2/5)"/>
    <n v="12.5916"/>
    <n v="2.3984000000000001"/>
    <n v="14.99"/>
    <s v="Sessão Faturada"/>
    <n v="954600036315000"/>
    <n v="58555"/>
    <s v="Unidade Sao Jose"/>
    <n v="1717536622"/>
    <m/>
  </r>
  <r>
    <x v="25"/>
    <x v="38"/>
    <s v="David Nascimento Lopes"/>
    <s v="Masculino"/>
    <x v="7"/>
    <x v="11"/>
    <s v="Sao José - 2 - Fisioterapia Ortopédica - Pacote (R$ 20,00)"/>
    <s v="Fisioterapia"/>
    <n v="173205"/>
    <s v="Finalizado (2/10)"/>
    <n v="15"/>
    <n v="5"/>
    <n v="20"/>
    <s v="Pago"/>
    <n v="31359"/>
    <n v="31359"/>
    <s v="Unidade Sao Jose"/>
    <n v="173205"/>
    <m/>
  </r>
  <r>
    <x v="25"/>
    <x v="38"/>
    <s v="Gabriela Laureano Maria"/>
    <s v="Feminino"/>
    <x v="8"/>
    <x v="11"/>
    <s v="20103492 - Patologia Em Dois Ou Mais Membros (R$ 14,83)"/>
    <s v="Fisioterapia"/>
    <n v="1718301826"/>
    <s v="Finalizado (2/5)"/>
    <n v="12.4572"/>
    <n v="2.3727999999999998"/>
    <n v="14.83"/>
    <s v="Sessão Faturada"/>
    <n v="954600032280000"/>
    <n v="59805"/>
    <s v="Unidade Sao Jose"/>
    <n v="1718301826"/>
    <m/>
  </r>
  <r>
    <x v="25"/>
    <x v="38"/>
    <s v="Gabriela Laureano Maria"/>
    <s v="Feminino"/>
    <x v="9"/>
    <x v="11"/>
    <s v="31602185 - Estimulação Elétrica Transcutânea (Tens) - Removido 13/04/2026 (R$ 40,00)"/>
    <s v="Fisioterapia"/>
    <n v="1718477105"/>
    <s v="Finalizado (1/5)"/>
    <n v="33.6"/>
    <n v="6.4"/>
    <n v="40"/>
    <s v="Sessão Faturada"/>
    <n v="954600032280000"/>
    <n v="59805"/>
    <s v="Unidade Sao Jose"/>
    <n v="1718477105"/>
    <m/>
  </r>
  <r>
    <x v="25"/>
    <x v="38"/>
    <s v="Lucca Gabriel Rodrigues"/>
    <s v="Masculino"/>
    <x v="7"/>
    <x v="11"/>
    <s v="Sao José - 4 - Fisioterapia Neurológica/Respiratória - Pacote (R$ 50,00)"/>
    <s v="Fisioterapia"/>
    <n v="170023"/>
    <s v="Finalizado (5/5)"/>
    <n v="37.5"/>
    <n v="12.5"/>
    <n v="50"/>
    <s v="Pago"/>
    <n v="59489"/>
    <n v="59489"/>
    <s v="Unidade Sao Jose"/>
    <n v="170023"/>
    <m/>
  </r>
  <r>
    <x v="25"/>
    <x v="37"/>
    <s v="Natalino Santos Dantas"/>
    <s v="Masculino"/>
    <x v="27"/>
    <x v="11"/>
    <s v="20103514 - Patol. Em Diferentes Segmentos da Coluna (R$ 14,83)"/>
    <s v="Fisioterapia"/>
    <n v="1717120146"/>
    <s v="Finalizado (4/5)"/>
    <n v="12.4572"/>
    <n v="2.3727999999999998"/>
    <n v="14.83"/>
    <s v="Sessão a Faturar"/>
    <n v="770651026042040"/>
    <n v="59765"/>
    <s v="Unidade Sao Jose"/>
    <n v="1717120146"/>
    <m/>
  </r>
  <r>
    <x v="25"/>
    <x v="37"/>
    <s v="Natalino Santos Dantas"/>
    <s v="Masculino"/>
    <x v="27"/>
    <x v="11"/>
    <s v="20103522 - Fisioterapia - Pac Com Dependencia de Vida Diária (R$ 23,59)"/>
    <s v="Fisioterapia"/>
    <n v="1717120426"/>
    <s v="Finalizado (4/5)"/>
    <n v="19.8156"/>
    <n v="3.7744"/>
    <n v="23.59"/>
    <s v="Sessão a Faturar"/>
    <n v="770651026042040"/>
    <n v="59765"/>
    <s v="Unidade Sao Jose"/>
    <n v="1717120426"/>
    <m/>
  </r>
  <r>
    <x v="25"/>
    <x v="37"/>
    <s v="Natalino Santos Dantas"/>
    <s v="Masculino"/>
    <x v="4"/>
    <x v="11"/>
    <s v="31602185 - Estimulação Elétrica Transcutânea - Removido 13/04/2026 (R$ 40,00)"/>
    <s v="Fisioterapia"/>
    <n v="1717619770"/>
    <s v="Finalizado (3/5)"/>
    <n v="33.6"/>
    <n v="6.4"/>
    <n v="40"/>
    <s v="Sessão a Faturar"/>
    <n v="770651026042040"/>
    <n v="59765"/>
    <s v="Unidade Sao Jose"/>
    <n v="1717619770"/>
    <m/>
  </r>
  <r>
    <x v="25"/>
    <x v="37"/>
    <s v="Vanessa Soares de Almeida"/>
    <s v="Feminino"/>
    <x v="7"/>
    <x v="11"/>
    <s v="Sao José - 2 - Fisioterapia Ortopédica - Pacote (R$ 20,00)"/>
    <s v="Fisioterapia"/>
    <n v="170464"/>
    <s v="Finalizado (10/10)"/>
    <n v="15"/>
    <n v="5"/>
    <n v="20"/>
    <s v="Pago"/>
    <s v="."/>
    <n v="52536"/>
    <s v="Unidade Sao Jose"/>
    <n v="170464"/>
    <m/>
  </r>
  <r>
    <x v="25"/>
    <x v="37"/>
    <s v="Railson Castro de Souza"/>
    <s v="Masculino"/>
    <x v="7"/>
    <x v="11"/>
    <s v="Sao José - 2 - Fisioterapia Ortopédica - Pacote (R$ 20,00)"/>
    <s v="Fisioterapia"/>
    <n v="172143"/>
    <s v="Finalizado (8/10)"/>
    <n v="15"/>
    <n v="5"/>
    <n v="20"/>
    <s v="Pago"/>
    <n v="59697"/>
    <n v="59697"/>
    <s v="Unidade Sao Jose"/>
    <n v="172143"/>
    <m/>
  </r>
  <r>
    <x v="25"/>
    <x v="39"/>
    <s v="Maria Eliete dos Santos"/>
    <s v="Feminino"/>
    <x v="7"/>
    <x v="11"/>
    <s v="Sao José - 2 - Fisioterapia Ortopédica - Pacote (R$ 20,00)"/>
    <s v="Fisioterapia"/>
    <n v="173185"/>
    <s v="Finalizado (1/10)"/>
    <n v="15"/>
    <n v="5"/>
    <n v="20"/>
    <s v="Pago"/>
    <n v="59811"/>
    <n v="59811"/>
    <s v="Unidade Sao Jose"/>
    <n v="173185"/>
    <m/>
  </r>
  <r>
    <x v="25"/>
    <x v="39"/>
    <s v="Jordan Campos Barbosa"/>
    <s v="Masculino"/>
    <x v="27"/>
    <x v="11"/>
    <s v="20103484 - Patologia Em Um Membro (R$ 12,22), 20103506 - Patol. Em Um Segmento Na Coluna (R$ 12,22)"/>
    <s v="Fisioterapia"/>
    <n v="1715478823"/>
    <s v="Finalizado (2/5)"/>
    <n v="20.529599999999999"/>
    <n v="3.9104000000000001"/>
    <n v="24.44"/>
    <s v="Sessão a Faturar"/>
    <n v="775252005010010"/>
    <n v="59718"/>
    <s v="Unidade Sao Jose"/>
    <n v="1715478823"/>
    <m/>
  </r>
  <r>
    <x v="10"/>
    <x v="44"/>
    <s v="Joao Arthur Alcantara de Lima"/>
    <s v="Masculino"/>
    <x v="2"/>
    <x v="11"/>
    <s v="20103662 - Fisioterapia - Pos Operatorio Em Um Membro (R$ 14,99)"/>
    <s v="Fisioterapia"/>
    <n v="1715842695"/>
    <s v="Finalizado (4/5)"/>
    <n v="12.5916"/>
    <n v="2.3984000000000001"/>
    <n v="14.99"/>
    <s v="Sessão Faturada"/>
    <n v="774642026670000"/>
    <n v="59569"/>
    <s v="Unidade Sao Jose"/>
    <n v="1715842695"/>
    <m/>
  </r>
  <r>
    <x v="10"/>
    <x v="60"/>
    <s v="Joao Arthur Alcantara de Lima"/>
    <s v="Masculino"/>
    <x v="4"/>
    <x v="11"/>
    <s v="31602185 - Estimulação Elétrica Transcutânea - Removido 13/04/2026 (R$ 40,00)"/>
    <s v="Fisioterapia"/>
    <n v="1716403162"/>
    <s v="Finalizado (3/5)"/>
    <n v="33.6"/>
    <n v="6.4"/>
    <n v="40"/>
    <s v="Sessão Faturada"/>
    <n v="774642026670000"/>
    <n v="59569"/>
    <s v="Unidade Sao Jose"/>
    <n v="1716403162"/>
    <m/>
  </r>
  <r>
    <x v="10"/>
    <x v="41"/>
    <s v="Monica Nunes dos Santos Silva"/>
    <s v="Feminino"/>
    <x v="0"/>
    <x v="11"/>
    <s v="50000160 - Fisioterapia Ortopedica (R$ 49,72)"/>
    <s v="Fisioterapia"/>
    <s v="42263120260323538793"/>
    <s v="Finalizado (2/10)"/>
    <n v="41.764800000000001"/>
    <n v="7.9551999999999996"/>
    <n v="49.72"/>
    <s v="Sessão a Faturar"/>
    <s v="010976061904"/>
    <n v="18279"/>
    <s v="Unidade Sao Jose"/>
    <s v="42263120260323538793"/>
    <m/>
  </r>
  <r>
    <x v="10"/>
    <x v="41"/>
    <s v="Cleide Luiza da Silva Cabral"/>
    <s v="Feminino"/>
    <x v="27"/>
    <x v="11"/>
    <s v="20103492 - Patol. Em Dois Ou Mais Membros (R$ 14,83), 20103514 - Patol. Em Diferentes Segmentos da Coluna (R$ 14,83)"/>
    <s v="Fisioterapia"/>
    <n v="1717450118"/>
    <s v="Finalizado (2/5)"/>
    <n v="24.914400000000001"/>
    <n v="4.7455999999999996"/>
    <n v="29.66"/>
    <s v="Sessão a Faturar"/>
    <n v="897137800051020"/>
    <n v="54445"/>
    <s v="Unidade Sao Jose"/>
    <n v="1717450118"/>
    <m/>
  </r>
  <r>
    <x v="10"/>
    <x v="65"/>
    <s v="Monica Nunes dos Santos Silva"/>
    <s v="Feminino"/>
    <x v="0"/>
    <x v="11"/>
    <s v="31602185 - Estimulação Elétrica Transcutânea Fisioterapia (Novo - 01/12) (R$ 54,13)"/>
    <s v="Fisioterapia"/>
    <s v="42263120260323538839"/>
    <s v="Finalizado (2/10)"/>
    <n v="45.469200000000001"/>
    <n v="8.6608000000000001"/>
    <n v="54.13"/>
    <s v="Sessão a Faturar"/>
    <s v="010976061904"/>
    <n v="18279"/>
    <s v="Unidade Sao Jose"/>
    <s v="42263120260323538839"/>
    <m/>
  </r>
  <r>
    <x v="10"/>
    <x v="65"/>
    <s v="Cleide Luiza da Silva Cabral"/>
    <s v="Feminino"/>
    <x v="4"/>
    <x v="11"/>
    <s v="31602185 - Estimulação Elétrica Transcutânea - Removido 13/04/2026 (R$ 40,00)"/>
    <s v="Fisioterapia"/>
    <n v="1717449089"/>
    <s v="Finalizado (2/5)"/>
    <n v="33.6"/>
    <n v="6.4"/>
    <n v="40"/>
    <s v="Sessão a Faturar"/>
    <n v="897137800051020"/>
    <n v="54445"/>
    <s v="Unidade Sao Jose"/>
    <n v="1717449089"/>
    <m/>
  </r>
  <r>
    <x v="10"/>
    <x v="36"/>
    <s v="Sonia Maria Morais Maia"/>
    <s v="Feminino"/>
    <x v="0"/>
    <x v="11"/>
    <s v="50000160 - Fisioterapia Ortopedica (R$ 49,72)"/>
    <s v="Fisioterapia"/>
    <s v="42263120260310440094"/>
    <s v="Finalizado (8/10)"/>
    <n v="41.764800000000001"/>
    <n v="7.9551999999999996"/>
    <n v="49.72"/>
    <s v="Sessão a Faturar"/>
    <s v="010650548005"/>
    <n v="55667"/>
    <s v="Unidade Sao Jose"/>
    <s v="42263120260310440094"/>
    <m/>
  </r>
  <r>
    <x v="10"/>
    <x v="36"/>
    <s v="Manoel de Freitas Mendonça Neto"/>
    <s v="Masculino"/>
    <x v="8"/>
    <x v="11"/>
    <s v="20103492 - Patologia Em Dois Ou Mais Membros (R$ 14,83)"/>
    <s v="Fisioterapia"/>
    <n v="1718846322"/>
    <s v="Finalizado (1/10)"/>
    <n v="12.4572"/>
    <n v="2.3727999999999998"/>
    <n v="14.83"/>
    <s v="Sessão a Faturar"/>
    <n v="954600000256020"/>
    <n v="47993"/>
    <s v="Unidade Sao Jose"/>
    <n v="1718846322"/>
    <m/>
  </r>
  <r>
    <x v="10"/>
    <x v="36"/>
    <s v="Jarbas Arirama da Costa"/>
    <s v="Masculino"/>
    <x v="7"/>
    <x v="11"/>
    <s v="Sao José - 2 - Fisioterapia Ortopédica - Pacote (R$ 20,00)"/>
    <s v="Fisioterapia"/>
    <n v="172379"/>
    <s v="Finalizado (5/10)"/>
    <n v="15"/>
    <n v="5"/>
    <n v="20"/>
    <s v="Pago"/>
    <n v="58656"/>
    <n v="58656"/>
    <s v="Unidade Sao Jose"/>
    <n v="172379"/>
    <m/>
  </r>
  <r>
    <x v="10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8/10)"/>
    <n v="45.469200000000001"/>
    <n v="8.6608000000000001"/>
    <n v="54.13"/>
    <s v="Sessão a Faturar"/>
    <s v="010650548005"/>
    <n v="55667"/>
    <s v="Unidade Sao Jose"/>
    <s v="52263120260310440139"/>
    <m/>
  </r>
  <r>
    <x v="10"/>
    <x v="40"/>
    <s v="Maria Celia Viana de Oliveira"/>
    <s v="Feminino"/>
    <x v="6"/>
    <x v="11"/>
    <s v="20103484 - Patologia Em Um Membro (R$ 14,16)"/>
    <s v="Fisioterapia"/>
    <n v="173317"/>
    <s v="Finalizado (2/10)"/>
    <n v="11.894399999999999"/>
    <n v="2.2656000000000001"/>
    <n v="14.16"/>
    <s v="Sessão a Faturar"/>
    <s v="56788888493902800028"/>
    <n v="33"/>
    <s v="Unidade Sao Jose"/>
    <n v="173317"/>
    <m/>
  </r>
  <r>
    <x v="10"/>
    <x v="40"/>
    <s v="Maria Celia Viana de Oliveira"/>
    <s v="Feminino"/>
    <x v="6"/>
    <x v="11"/>
    <s v="31602185 - Estimulação Elétrica Transcutanea (Tens) (R$ 40,00)"/>
    <s v="Fisioterapia"/>
    <n v="173318"/>
    <s v="Finalizado (1/10)"/>
    <n v="33.6"/>
    <n v="6.4"/>
    <n v="40"/>
    <s v="Sessão a Faturar"/>
    <s v="56788888493902800028"/>
    <n v="33"/>
    <s v="Unidade Sao Jose"/>
    <n v="173318"/>
    <m/>
  </r>
  <r>
    <x v="10"/>
    <x v="40"/>
    <s v="Sheila Ferreira do Nascimento"/>
    <s v="Feminino"/>
    <x v="4"/>
    <x v="11"/>
    <s v="31602185 - Estimulação Elétrica Transcutânea - Removido 13/04/2026 (R$ 40,00)"/>
    <s v="Fisioterapia"/>
    <n v="1713931051"/>
    <s v="Finalizado (5/5)"/>
    <n v="33.6"/>
    <n v="6.4"/>
    <n v="40"/>
    <s v="Sessão Faturada"/>
    <n v="774239001511020"/>
    <n v="27492"/>
    <s v="Unidade Sao Jose"/>
    <n v="1713931051"/>
    <m/>
  </r>
  <r>
    <x v="10"/>
    <x v="35"/>
    <s v="Raimundo Antonio de Oliveira"/>
    <s v="Masculino"/>
    <x v="4"/>
    <x v="11"/>
    <s v="31602185 - Estimulação Elétrica Transcutânea - Removido 13/04/2026 (R$ 40,00)"/>
    <s v="Fisioterapia"/>
    <n v="1715027814"/>
    <s v="Finalizado (5/5)"/>
    <n v="33.6"/>
    <n v="6.4"/>
    <n v="40"/>
    <s v="Sessão Faturada"/>
    <n v="772530028185000"/>
    <n v="27968"/>
    <s v="Unidade Sao Jose"/>
    <n v="1715027814"/>
    <m/>
  </r>
  <r>
    <x v="10"/>
    <x v="35"/>
    <s v="Osmar Barbosa dos Santos Junior"/>
    <s v="Masculino"/>
    <x v="8"/>
    <x v="11"/>
    <s v="20103662 - Pos Operatorio Em Um Membro (R$ 14,99)"/>
    <s v="Fisioterapia"/>
    <n v="1717536622"/>
    <s v="Finalizado (3/5)"/>
    <n v="12.5916"/>
    <n v="2.3984000000000001"/>
    <n v="14.99"/>
    <s v="Sessão Faturada"/>
    <n v="954600036315000"/>
    <n v="58555"/>
    <s v="Unidade Sao Jose"/>
    <n v="1717536622"/>
    <m/>
  </r>
  <r>
    <x v="10"/>
    <x v="42"/>
    <s v="Raimundo Antonio de Oliveira"/>
    <s v="Masculino"/>
    <x v="27"/>
    <x v="11"/>
    <s v="20103514 - Patol. Em Diferentes Segmentos da Coluna (R$ 14,83)"/>
    <s v="Fisioterapia"/>
    <n v="1718075851"/>
    <s v="Finalizado (2/5)"/>
    <n v="12.4572"/>
    <n v="2.3727999999999998"/>
    <n v="14.83"/>
    <s v="Sessão a Faturar"/>
    <n v="772530028185000"/>
    <n v="27968"/>
    <s v="Unidade Sao Jose"/>
    <n v="1718075851"/>
    <m/>
  </r>
  <r>
    <x v="10"/>
    <x v="38"/>
    <s v="Railson Castro de Souza"/>
    <s v="Masculino"/>
    <x v="7"/>
    <x v="11"/>
    <s v="Sao José - 2 - Fisioterapia Ortopédica - Pacote (R$ 20,00)"/>
    <s v="Fisioterapia"/>
    <n v="172143"/>
    <s v="Finalizado (9/10)"/>
    <n v="15"/>
    <n v="5"/>
    <n v="20"/>
    <s v="Pago"/>
    <n v="59697"/>
    <n v="59697"/>
    <s v="Unidade Sao Jose"/>
    <n v="172143"/>
    <m/>
  </r>
  <r>
    <x v="10"/>
    <x v="38"/>
    <s v="Andriely Oliveira Braga"/>
    <s v="Feminino"/>
    <x v="27"/>
    <x v="11"/>
    <s v="20103662 - Pos Operatorio Em Um Membro (R$ 14,99)"/>
    <s v="Fisioterapia"/>
    <n v="1717015559"/>
    <s v="Finalizado (3/5)"/>
    <n v="12.5916"/>
    <n v="2.3984000000000001"/>
    <n v="14.99"/>
    <s v="Sessão a Faturar"/>
    <n v="813227000396000"/>
    <n v="52145"/>
    <s v="Unidade Sao Jose"/>
    <n v="1717015559"/>
    <m/>
  </r>
  <r>
    <x v="10"/>
    <x v="37"/>
    <s v="Sheila Ferreira do Nascimento"/>
    <s v="Feminino"/>
    <x v="27"/>
    <x v="11"/>
    <s v="20103514 - Patol. Em Diferentes Segmentos da Coluna (R$ 14,83)"/>
    <s v="Fisioterapia"/>
    <n v="1718921368"/>
    <s v="Finalizado (1/5)"/>
    <n v="12.4572"/>
    <n v="2.3727999999999998"/>
    <n v="14.83"/>
    <s v="Sessão a Faturar"/>
    <n v="774239001511020"/>
    <n v="27492"/>
    <s v="Unidade Sao Jose"/>
    <n v="1718921368"/>
    <m/>
  </r>
  <r>
    <x v="10"/>
    <x v="37"/>
    <s v="Sheila Ferreira do Nascimento"/>
    <s v="Feminino"/>
    <x v="27"/>
    <x v="11"/>
    <s v="20103522 - Fisioterapia - Pac Com Dependencia de Vida Diária (R$ 23,59)"/>
    <s v="Fisioterapia"/>
    <n v="1718923787"/>
    <s v="Finalizado (1/5)"/>
    <n v="19.8156"/>
    <n v="3.7744"/>
    <n v="23.59"/>
    <s v="Sessão a Faturar"/>
    <n v="774239001511020"/>
    <n v="27492"/>
    <s v="Unidade Sao Jose"/>
    <n v="1718923787"/>
    <m/>
  </r>
  <r>
    <x v="10"/>
    <x v="39"/>
    <s v="Lucia Seixas de Alencar"/>
    <s v="Feminino"/>
    <x v="8"/>
    <x v="11"/>
    <s v="20103484 - Patologia Em Um Membro (R$ 12,22), 20103506 - Patologia Em Um Segmento Na Coluna (R$ 12,22)"/>
    <s v="Fisioterapia"/>
    <n v="1716593501"/>
    <s v="Finalizado (5/5)"/>
    <n v="20.529599999999999"/>
    <n v="3.9104000000000001"/>
    <n v="24.44"/>
    <s v="Sessão Faturada"/>
    <n v="954600005908000"/>
    <n v="59735"/>
    <s v="Unidade Sao Jose"/>
    <n v="1716593501"/>
    <m/>
  </r>
  <r>
    <x v="10"/>
    <x v="39"/>
    <s v="Lucia Seixas de Alencar"/>
    <s v="Feminino"/>
    <x v="9"/>
    <x v="11"/>
    <s v="31602185 - Estimulação Elétrica Transcutânea (Tens) - Removido 13/04/2026 (R$ 40,00)"/>
    <s v="Fisioterapia"/>
    <n v="1717066782"/>
    <s v="Finalizado (4/5)"/>
    <n v="33.6"/>
    <n v="6.4"/>
    <n v="40"/>
    <s v="Sessão Faturada"/>
    <n v="954600005908000"/>
    <n v="59735"/>
    <s v="Unidade Sao Jose"/>
    <n v="1717066782"/>
    <m/>
  </r>
  <r>
    <x v="10"/>
    <x v="39"/>
    <s v="Lucia Seixas de Alencar"/>
    <s v="Feminino"/>
    <x v="8"/>
    <x v="11"/>
    <s v="20103662 - Pos Operatorio Em Um Membro (R$ 14,99)"/>
    <s v="Fisioterapia"/>
    <n v="1716594022"/>
    <s v="Finalizado (5/5)"/>
    <n v="12.5916"/>
    <n v="2.3984000000000001"/>
    <n v="14.99"/>
    <s v="Sessão Faturada"/>
    <n v="954600005908000"/>
    <n v="59735"/>
    <s v="Unidade Sao Jose"/>
    <n v="1716594022"/>
    <m/>
  </r>
  <r>
    <x v="10"/>
    <x v="39"/>
    <s v="Maria Eliete dos Santos"/>
    <s v="Feminino"/>
    <x v="7"/>
    <x v="11"/>
    <s v="Sao José - 2 - Fisioterapia Ortopédica - Pacote (R$ 20,00)"/>
    <s v="Fisioterapia"/>
    <n v="173185"/>
    <s v="Finalizado (2/10)"/>
    <n v="15"/>
    <n v="5"/>
    <n v="20"/>
    <s v="Pago"/>
    <n v="59811"/>
    <n v="59811"/>
    <s v="Unidade Sao Jose"/>
    <n v="173185"/>
    <m/>
  </r>
  <r>
    <x v="10"/>
    <x v="22"/>
    <s v="Maria do Socorro Pereira da Silva"/>
    <s v="Feminino"/>
    <x v="7"/>
    <x v="11"/>
    <s v="Sao José - 2 - Fisioterapia Ortopédica - Pacote (R$ 20,00)"/>
    <s v="Fisioterapia"/>
    <n v="172412"/>
    <s v="Finalizado (8/10)"/>
    <n v="15"/>
    <n v="5"/>
    <n v="20"/>
    <s v="Pago"/>
    <n v="59726"/>
    <n v="59726"/>
    <s v="Unidade Sao Jose"/>
    <n v="172412"/>
    <m/>
  </r>
  <r>
    <x v="10"/>
    <x v="22"/>
    <s v="Ednalva Oliveira Machado"/>
    <s v="Feminino"/>
    <x v="7"/>
    <x v="11"/>
    <s v="Sao José - 4 - Fisioterapia Neurológica/Respiratória - Pacote (R$ 50,00)"/>
    <s v="Fisioterapia"/>
    <n v="173009"/>
    <s v="Finalizado (1/5)"/>
    <n v="37.5"/>
    <n v="12.5"/>
    <n v="50"/>
    <s v="Pago"/>
    <n v="59797"/>
    <n v="59797"/>
    <s v="Unidade Sao Jose"/>
    <n v="173009"/>
    <m/>
  </r>
  <r>
    <x v="10"/>
    <x v="22"/>
    <s v="Rodrigo Serrao da Silva"/>
    <s v="Masculino"/>
    <x v="8"/>
    <x v="11"/>
    <s v="20103492 - Patologia Em Dois Ou Mais Membros (R$ 14,83)"/>
    <s v="Fisioterapia"/>
    <n v="1718244101"/>
    <s v="Finalizado (2/5)"/>
    <n v="12.4572"/>
    <n v="2.3727999999999998"/>
    <n v="14.83"/>
    <s v="Sessão a Faturar"/>
    <n v="954600021490020"/>
    <n v="50970"/>
    <s v="Unidade Sao Jose"/>
    <n v="1718244101"/>
    <m/>
  </r>
  <r>
    <x v="10"/>
    <x v="4"/>
    <s v="Cacio Kenedy da Rocha Anunciaçao"/>
    <s v="Masculino"/>
    <x v="27"/>
    <x v="11"/>
    <s v="20103522 - Fisioterapia - Pac Com Dependencia de Vida Diária (R$ 23,59)"/>
    <s v="Fisioterapia"/>
    <n v="1717248256"/>
    <s v="Finalizado (4/10)"/>
    <n v="19.8156"/>
    <n v="3.7744"/>
    <n v="23.59"/>
    <s v="Sessão a Faturar"/>
    <n v="895113400019000"/>
    <n v="59785"/>
    <s v="Unidade Sao Jose"/>
    <n v="1717248256"/>
    <m/>
  </r>
  <r>
    <x v="10"/>
    <x v="4"/>
    <s v="Beatriz de Souza Figueiredo"/>
    <s v="Feminino"/>
    <x v="8"/>
    <x v="11"/>
    <s v="20103662 - Pos Operatorio Em Um Membro (R$ 14,99)"/>
    <s v="Fisioterapia"/>
    <n v="1709771057"/>
    <s v="Finalizado (3/5)"/>
    <n v="12.5916"/>
    <n v="2.3984000000000001"/>
    <n v="14.99"/>
    <s v="Sessão a Faturar"/>
    <n v="954440004065020"/>
    <n v="57037"/>
    <s v="Unidade Sao Jose"/>
    <n v="1709771057"/>
    <m/>
  </r>
  <r>
    <x v="10"/>
    <x v="29"/>
    <s v="Cacio Kenedy da Rocha Anunciaçao"/>
    <s v="Masculino"/>
    <x v="27"/>
    <x v="11"/>
    <s v="20103492 - Patol. Em Dois Ou Mais Membros (R$ 14,83), 20103514 - Patol. Em Diferentes Segmentos da Coluna (R$ 14,83)"/>
    <s v="Fisioterapia"/>
    <n v="1717247893"/>
    <s v="Finalizado (4/10)"/>
    <n v="24.914400000000001"/>
    <n v="4.7455999999999996"/>
    <n v="29.66"/>
    <s v="Sessão a Faturar"/>
    <n v="895113400019000"/>
    <n v="59785"/>
    <s v="Unidade Sao Jose"/>
    <n v="1717247893"/>
    <m/>
  </r>
  <r>
    <x v="10"/>
    <x v="5"/>
    <s v="Beatriz de Souza Figueiredo"/>
    <s v="Feminino"/>
    <x v="9"/>
    <x v="11"/>
    <s v="31602185 - Estimulação Elétrica Transcutânea (Tens) - Removido 13/04/2026 (R$ 40,00)"/>
    <s v="Fisioterapia"/>
    <n v="1719101039"/>
    <s v="Finalizado (1/5)"/>
    <n v="33.6"/>
    <n v="6.4"/>
    <n v="40"/>
    <s v="Sessão a Faturar"/>
    <n v="954440004065020"/>
    <n v="57037"/>
    <s v="Unidade Sao Jose"/>
    <n v="1719101039"/>
    <m/>
  </r>
  <r>
    <x v="10"/>
    <x v="30"/>
    <s v="Cacio Kenedy da Rocha Anunciaçao"/>
    <s v="Masculino"/>
    <x v="4"/>
    <x v="11"/>
    <s v="31602185 - Estimulação Elétrica Transcutânea - Removido 13/04/2026 (R$ 40,00)"/>
    <s v="Fisioterapia"/>
    <n v="1717632810"/>
    <s v="Finalizado (3/5)"/>
    <n v="33.6"/>
    <n v="6.4"/>
    <n v="40"/>
    <s v="Sessão Faturada"/>
    <n v="895113400019000"/>
    <n v="59785"/>
    <s v="Unidade Sao Jose"/>
    <n v="1717632810"/>
    <m/>
  </r>
  <r>
    <x v="10"/>
    <x v="13"/>
    <s v="Kize Coelho Mar"/>
    <s v="Feminino"/>
    <x v="8"/>
    <x v="11"/>
    <s v="20103492 - Patologia Em Dois Ou Mais Membros (R$ 14,83)"/>
    <s v="Fisioterapia"/>
    <n v="1719128921"/>
    <s v="Finalizado (1/5)"/>
    <n v="12.4572"/>
    <n v="2.3727999999999998"/>
    <n v="14.83"/>
    <s v="Sessão a Faturar"/>
    <n v="954600030813000"/>
    <n v="59602"/>
    <s v="Unidade Sao Jose"/>
    <n v="1719128921"/>
    <m/>
  </r>
  <r>
    <x v="10"/>
    <x v="13"/>
    <s v="Suelen de Souza Moraes"/>
    <s v="Feminino"/>
    <x v="7"/>
    <x v="11"/>
    <s v="Sao José - 2 - Fisioterapia Ortopédica - Pacote (R$ 20,00)"/>
    <s v="Fisioterapia"/>
    <s v="/168940"/>
    <s v="Finalizado (21/30)"/>
    <n v="15"/>
    <n v="5"/>
    <n v="20"/>
    <s v="No Prazo"/>
    <n v="59411"/>
    <n v="59411"/>
    <s v="Unidade Sao Jose"/>
    <s v="/168940"/>
    <m/>
  </r>
  <r>
    <x v="10"/>
    <x v="13"/>
    <s v="Kize Coelho Mar"/>
    <s v="Feminino"/>
    <x v="9"/>
    <x v="11"/>
    <s v="31602185 - Estimulação Elétrica Transcutânea (Tens) - Removido 13/04/2026 (R$ 40,00)"/>
    <s v="Fisioterapia"/>
    <n v="1711961933"/>
    <s v="Finalizado (4/5)"/>
    <n v="33.6"/>
    <n v="6.4"/>
    <n v="40"/>
    <s v="Sessão a Faturar"/>
    <n v="954600030813000"/>
    <n v="59602"/>
    <s v="Unidade Sao Jose"/>
    <n v="1711961933"/>
    <m/>
  </r>
  <r>
    <x v="10"/>
    <x v="6"/>
    <s v="Natalia Anacleto Carvalho da Silva"/>
    <s v="Feminino"/>
    <x v="6"/>
    <x v="11"/>
    <s v="20103662 - Pos Operatorio Em Um Membro (R$ 22,53)"/>
    <s v="Fisioterapia"/>
    <n v="172438"/>
    <s v="Finalizado (6/10)"/>
    <n v="18.9252"/>
    <n v="3.6048"/>
    <n v="22.53"/>
    <s v="Sessão a Faturar"/>
    <s v="51588888477546590011"/>
    <n v="59693"/>
    <s v="Unidade Sao Jose"/>
    <n v="172438"/>
    <m/>
  </r>
  <r>
    <x v="10"/>
    <x v="6"/>
    <s v="David Nascimento Lopes"/>
    <s v="Masculino"/>
    <x v="7"/>
    <x v="11"/>
    <s v="Sao José - 2 - Fisioterapia Ortopédica - Pacote (R$ 20,00)"/>
    <s v="Fisioterapia"/>
    <n v="173205"/>
    <s v="Finalizado (3/10)"/>
    <n v="15"/>
    <n v="5"/>
    <n v="20"/>
    <s v="Pago"/>
    <n v="31359"/>
    <n v="31359"/>
    <s v="Unidade Sao Jose"/>
    <n v="173205"/>
    <m/>
  </r>
  <r>
    <x v="10"/>
    <x v="6"/>
    <s v="Jhonatan Xavier Vieira"/>
    <s v="Masculino"/>
    <x v="7"/>
    <x v="11"/>
    <s v="Sao José - 14 - Fisioterapia Pós Operatória - Pacote (R$ 50,00)"/>
    <s v="Fisioterapia"/>
    <n v="172487"/>
    <s v="Finalizado (3/5)"/>
    <n v="37.5"/>
    <n v="12.5"/>
    <n v="50"/>
    <s v="Pago"/>
    <n v="59583"/>
    <n v="59583"/>
    <s v="Unidade Sao Jose"/>
    <n v="172487"/>
    <m/>
  </r>
  <r>
    <x v="10"/>
    <x v="7"/>
    <s v="Natalia Anacleto Carvalho da Silva"/>
    <s v="Feminino"/>
    <x v="6"/>
    <x v="11"/>
    <s v="31602185 - Estimulação Elétrica Transcutanea (Tens) (R$ 40,00)"/>
    <s v="Fisioterapia"/>
    <n v="172439"/>
    <s v="Finalizado (4/5)"/>
    <n v="33.6"/>
    <n v="6.4"/>
    <n v="40"/>
    <s v="Sessão Faturada"/>
    <s v="51588888477546590011"/>
    <n v="59693"/>
    <s v="Unidade Sao Jose"/>
    <n v="172439"/>
    <m/>
  </r>
  <r>
    <x v="10"/>
    <x v="15"/>
    <s v="Luan Raphael Fernandes da Silva"/>
    <s v="Masculino"/>
    <x v="27"/>
    <x v="11"/>
    <s v="20103484 - Patologia Em Um Membro (R$ 12,22)"/>
    <s v="Fisioterapia"/>
    <n v="1716776041"/>
    <s v="Finalizado (4/5)"/>
    <n v="10.264799999999999"/>
    <n v="1.9552"/>
    <n v="12.22"/>
    <s v="Sessão Faturada"/>
    <n v="775216014346010"/>
    <n v="59334"/>
    <s v="Unidade Sao Jose"/>
    <n v="1716776041"/>
    <m/>
  </r>
  <r>
    <x v="10"/>
    <x v="16"/>
    <s v="Luan Raphael Fernandes da Silva"/>
    <s v="Masculino"/>
    <x v="4"/>
    <x v="11"/>
    <s v="31602185 - Estimulação Elétrica Transcutânea - Removido 13/04/2026 (R$ 40,00)"/>
    <s v="Fisioterapia"/>
    <n v="1717811897"/>
    <s v="Finalizado (3/5)"/>
    <n v="33.6"/>
    <n v="6.4"/>
    <n v="40"/>
    <s v="Sessão Faturada"/>
    <n v="775216014346010"/>
    <n v="59334"/>
    <s v="Unidade Sao Jose"/>
    <n v="1717811897"/>
    <m/>
  </r>
  <r>
    <x v="10"/>
    <x v="17"/>
    <s v="Manuele da Palma Monteiro"/>
    <s v="Feminino"/>
    <x v="7"/>
    <x v="11"/>
    <s v="Sao José - 2 - Fisioterapia Ortopédica - Pacote (R$ 20,00)"/>
    <s v="Fisioterapia"/>
    <n v="171038"/>
    <s v="Finalizado (7/10)"/>
    <n v="15"/>
    <n v="5"/>
    <n v="20"/>
    <s v="Pago"/>
    <n v="59589"/>
    <n v="59589"/>
    <s v="Unidade Sao Jose"/>
    <n v="171038"/>
    <m/>
  </r>
  <r>
    <x v="10"/>
    <x v="8"/>
    <s v="Silvia Regina Rebelo Ferreira"/>
    <s v="Feminino"/>
    <x v="27"/>
    <x v="11"/>
    <s v="20103492 - Patol. Em Dois Ou Mais Membros (R$ 14,83)"/>
    <s v="Fisioterapia"/>
    <n v="1717819709"/>
    <s v="Finalizado (3/5)"/>
    <n v="12.4572"/>
    <n v="2.3727999999999998"/>
    <n v="14.83"/>
    <s v="Sessão a Faturar"/>
    <n v="774063012629010"/>
    <n v="59796"/>
    <s v="Unidade Sao Jose"/>
    <n v="1717819709"/>
    <m/>
  </r>
  <r>
    <x v="10"/>
    <x v="8"/>
    <s v="Silvia Regina Rebelo Ferreira"/>
    <s v="Feminino"/>
    <x v="4"/>
    <x v="11"/>
    <s v="31602185 - Estimulação Elétrica Transcutânea - Removido 13/04/2026 (R$ 40,00)"/>
    <s v="Fisioterapia"/>
    <n v="1718287736"/>
    <s v="Finalizado (2/5)"/>
    <n v="33.6"/>
    <n v="6.4"/>
    <n v="40"/>
    <s v="Sessão Faturada"/>
    <n v="774063012629010"/>
    <n v="59796"/>
    <s v="Unidade Sao Jose"/>
    <n v="1718287736"/>
    <m/>
  </r>
  <r>
    <x v="10"/>
    <x v="10"/>
    <s v="Herminio Cardoso Pereira Junior"/>
    <s v="Masculino"/>
    <x v="4"/>
    <x v="11"/>
    <s v="31602185 - Estimulação Elétrica Transcutânea - Removido 13/04/2026 (R$ 40,00)"/>
    <s v="Fisioterapia"/>
    <n v="1717833464"/>
    <s v="Finalizado (3/5)"/>
    <n v="33.6"/>
    <n v="6.4"/>
    <n v="40"/>
    <s v="Sessão Faturada"/>
    <n v="774239002356010"/>
    <n v="59751"/>
    <s v="Unidade Sao Jose"/>
    <n v="1717833464"/>
    <s v="SENHA TENS: KBW5WU1"/>
  </r>
  <r>
    <x v="10"/>
    <x v="10"/>
    <s v="Sarah Gabriela  da Silva Debastiani Amorim"/>
    <s v="Feminino"/>
    <x v="8"/>
    <x v="11"/>
    <s v="20103492 - Patologia Em Dois Ou Mais Membros (R$ 14,83), 20103514 - Patologia Em Diferentes Segmentos da Coluna (R$ 14,83)"/>
    <s v="Fisioterapia"/>
    <n v="1716802047"/>
    <s v="Finalizado (2/5)"/>
    <n v="24.914400000000001"/>
    <n v="4.7455999999999996"/>
    <n v="29.66"/>
    <s v="Sessão a Faturar"/>
    <n v="954600015270010"/>
    <n v="44887"/>
    <s v="Unidade Sao Jose"/>
    <n v="1716802047"/>
    <m/>
  </r>
  <r>
    <x v="10"/>
    <x v="10"/>
    <s v="Sarah Gabriela  da Silva Debastiani Amorim"/>
    <s v="Feminino"/>
    <x v="9"/>
    <x v="11"/>
    <s v="31602185 - Estimulação Elétrica Transcutânea (Tens) - Removido 13/04/2026 (R$ 40,00)"/>
    <s v="Fisioterapia"/>
    <n v="1719182010"/>
    <s v="Finalizado (1/5)"/>
    <n v="33.6"/>
    <n v="6.4"/>
    <n v="40"/>
    <s v="Sessão a Faturar"/>
    <n v="954600015270010"/>
    <n v="44887"/>
    <s v="Unidade Sao Jose"/>
    <n v="1719182010"/>
    <m/>
  </r>
  <r>
    <x v="10"/>
    <x v="10"/>
    <s v="Herminio Cardoso Pereira Junior"/>
    <s v="Masculino"/>
    <x v="2"/>
    <x v="11"/>
    <s v="20103484 - Fisioterapia - Patologia Em Um Membro (R$ 12,22), 20103514 - Fisioterapia - Patologia Em Diferentes Segmentos da Coluna (R$ 14,83)"/>
    <s v="Fisioterapia"/>
    <n v="1716811450"/>
    <s v="Finalizado (4/5)"/>
    <n v="22.722000000000001"/>
    <n v="4.3280000000000003"/>
    <n v="27.05"/>
    <s v="Sessão Faturada"/>
    <n v="774239002356010"/>
    <n v="59751"/>
    <s v="Unidade Sao Jose"/>
    <n v="1716811450"/>
    <m/>
  </r>
  <r>
    <x v="11"/>
    <x v="44"/>
    <s v="Francisca Neta de Lira Araujo"/>
    <s v="Feminino"/>
    <x v="7"/>
    <x v="11"/>
    <s v="Sao José - 4 - Fisioterapia Neurológica/Respiratória - Pacote (R$ 50,00)"/>
    <s v="Fisioterapia"/>
    <n v="171525"/>
    <s v="Finalizado (8/10)"/>
    <n v="37.5"/>
    <n v="12.5"/>
    <n v="50"/>
    <s v="Pago"/>
    <n v="59631"/>
    <n v="59631"/>
    <s v="Unidade Sao Jose"/>
    <n v="171525"/>
    <m/>
  </r>
  <r>
    <x v="11"/>
    <x v="44"/>
    <s v="Fabio da Costa Félix"/>
    <s v="Masculino"/>
    <x v="27"/>
    <x v="11"/>
    <s v="50000144 - Avaliação de Fisioterapia (R$ 51,42)"/>
    <s v="Fisioterapia"/>
    <n v="1719333278"/>
    <s v="Finalizado (1/1)"/>
    <n v="46.277999999999999"/>
    <n v="5.1420000000000003"/>
    <n v="51.42"/>
    <s v="Sessão Faturada"/>
    <n v="773458001996010"/>
    <n v="59725"/>
    <s v="Unidade Sao Jose"/>
    <n v="1719333278"/>
    <m/>
  </r>
  <r>
    <x v="11"/>
    <x v="44"/>
    <s v="Joao Arthur Alcantara de Lima"/>
    <s v="Masculino"/>
    <x v="2"/>
    <x v="11"/>
    <s v="20103662 - Fisioterapia - Pos Operatorio Em Um Membro (R$ 14,99)"/>
    <s v="Fisioterapia"/>
    <n v="1715842695"/>
    <s v="Finalizado (5/5)"/>
    <n v="12.5916"/>
    <n v="2.3984000000000001"/>
    <n v="14.99"/>
    <s v="Sessão Faturada"/>
    <n v="774642026670000"/>
    <n v="59569"/>
    <s v="Unidade Sao Jose"/>
    <n v="1715842695"/>
    <m/>
  </r>
  <r>
    <x v="11"/>
    <x v="60"/>
    <s v="Joao Arthur Alcantara de Lima"/>
    <s v="Masculino"/>
    <x v="4"/>
    <x v="11"/>
    <s v="31602185 - Estimulação Elétrica Transcutânea - Removido 13/04/2026 (R$ 40,00)"/>
    <s v="Fisioterapia"/>
    <n v="1716403162"/>
    <s v="Finalizado (4/5)"/>
    <n v="33.6"/>
    <n v="6.4"/>
    <n v="40"/>
    <s v="Sessão Faturada"/>
    <n v="774642026670000"/>
    <n v="59569"/>
    <s v="Unidade Sao Jose"/>
    <n v="1716403162"/>
    <m/>
  </r>
  <r>
    <x v="11"/>
    <x v="41"/>
    <s v="Fabio da Costa Félix"/>
    <s v="Masculino"/>
    <x v="27"/>
    <x v="11"/>
    <s v="20103514 - Patol. Em Diferentes Segmentos da Coluna (R$ 14,83)"/>
    <s v="Fisioterapia"/>
    <n v="1719380213"/>
    <s v="Finalizado (1/5)"/>
    <n v="12.4572"/>
    <n v="2.3727999999999998"/>
    <n v="14.83"/>
    <s v="Sessão a Faturar"/>
    <n v="773458001996010"/>
    <n v="59725"/>
    <s v="Unidade Sao Jose"/>
    <n v="1719380213"/>
    <m/>
  </r>
  <r>
    <x v="11"/>
    <x v="65"/>
    <s v="Fabio da Costa Félix"/>
    <s v="Masculino"/>
    <x v="27"/>
    <x v="11"/>
    <s v="20103522 - Fisioterapia - Pac Com Dependencia de Vida Diária (R$ 23,59)"/>
    <s v="Fisioterapia"/>
    <n v="1719380817"/>
    <s v="Finalizado (1/5)"/>
    <n v="19.8156"/>
    <n v="3.7744"/>
    <n v="23.59"/>
    <s v="Sessão a Faturar"/>
    <n v="773458001996010"/>
    <n v="59725"/>
    <s v="Unidade Sao Jose"/>
    <n v="1719380817"/>
    <m/>
  </r>
  <r>
    <x v="11"/>
    <x v="36"/>
    <s v="Sonia Maria Morais Maia"/>
    <s v="Feminino"/>
    <x v="0"/>
    <x v="11"/>
    <s v="50000160 - Fisioterapia Ortopedica (R$ 49,72)"/>
    <s v="Fisioterapia"/>
    <s v="42263120260310440094"/>
    <s v="Finalizado (9/10)"/>
    <n v="41.764800000000001"/>
    <n v="7.9551999999999996"/>
    <n v="49.72"/>
    <s v="Sessão a Faturar"/>
    <s v="010650548005"/>
    <n v="55667"/>
    <s v="Unidade Sao Jose"/>
    <s v="42263120260310440094"/>
    <m/>
  </r>
  <r>
    <x v="11"/>
    <x v="36"/>
    <s v="Maria Celia Viana de Oliveira"/>
    <s v="Feminino"/>
    <x v="6"/>
    <x v="11"/>
    <s v="20103484 - Patologia Em Um Membro (R$ 14,16)"/>
    <s v="Fisioterapia"/>
    <n v="173317"/>
    <s v="Finalizado (3/10)"/>
    <n v="11.894399999999999"/>
    <n v="2.2656000000000001"/>
    <n v="14.16"/>
    <s v="Sessão a Faturar"/>
    <s v="56788888493902800028"/>
    <n v="33"/>
    <s v="Unidade Sao Jose"/>
    <n v="173317"/>
    <m/>
  </r>
  <r>
    <x v="11"/>
    <x v="61"/>
    <s v="Sonia Maria Morais Maia"/>
    <s v="Feminino"/>
    <x v="0"/>
    <x v="11"/>
    <s v="31602185 - Estimulação Elétrica Transcutânea Fisioterapia (Novo - 01/12) (R$ 54,13)"/>
    <s v="Fisioterapia"/>
    <s v="52263120260310440139"/>
    <s v="Finalizado (9/10)"/>
    <n v="45.469200000000001"/>
    <n v="8.6608000000000001"/>
    <n v="54.13"/>
    <s v="Sessão a Faturar"/>
    <s v="010650548005"/>
    <n v="55667"/>
    <s v="Unidade Sao Jose"/>
    <s v="52263120260310440139"/>
    <m/>
  </r>
  <r>
    <x v="11"/>
    <x v="38"/>
    <s v="Sara Gonçalves Vieira"/>
    <s v="Feminino"/>
    <x v="7"/>
    <x v="11"/>
    <s v="Sao José - 2 - Fisioterapia Ortopédica - Pacote (R$ 20,00)"/>
    <s v="Fisioterapia"/>
    <n v="170117"/>
    <s v="Finalizado (6/10)"/>
    <n v="15"/>
    <n v="5"/>
    <n v="20"/>
    <s v="Pago"/>
    <n v="56256"/>
    <n v="56256"/>
    <s v="Unidade Sao Jose"/>
    <n v="170117"/>
    <m/>
  </r>
  <r>
    <x v="11"/>
    <x v="38"/>
    <s v="Elizangela Souza Araujo"/>
    <s v="Feminino"/>
    <x v="27"/>
    <x v="11"/>
    <s v="20103492 - Patol. Em Dois Ou Mais Membros (R$ 14,83), 20103514 - Patol. Em Diferentes Segmentos da Coluna (R$ 14,83)"/>
    <s v="Fisioterapia"/>
    <n v="1716611811"/>
    <s v="Finalizado (4/5)"/>
    <n v="24.914400000000001"/>
    <n v="4.7455999999999996"/>
    <n v="29.66"/>
    <s v="Sessão a Faturar"/>
    <n v="771015061379010"/>
    <n v="57309"/>
    <s v="Unidade Sao Jose"/>
    <n v="1716611811"/>
    <m/>
  </r>
  <r>
    <x v="11"/>
    <x v="38"/>
    <s v="Maria Edilaine do Nascimento Biá"/>
    <s v="Feminino"/>
    <x v="7"/>
    <x v="11"/>
    <s v="Sao José - 2 - Fisioterapia Ortopédica - Pacote (R$ 20,00)"/>
    <s v="Fisioterapia"/>
    <n v="171510"/>
    <s v="Finalizado (5/10)"/>
    <n v="15"/>
    <n v="5"/>
    <n v="20"/>
    <s v="Pago"/>
    <n v="59629"/>
    <n v="59629"/>
    <s v="Unidade Sao Jose"/>
    <n v="171510"/>
    <m/>
  </r>
  <r>
    <x v="11"/>
    <x v="37"/>
    <s v="Railson Castro de Souza"/>
    <s v="Masculino"/>
    <x v="7"/>
    <x v="11"/>
    <s v="Sao José - 2 - Fisioterapia Ortopédica - Pacote (R$ 20,00)"/>
    <s v="Fisioterapia"/>
    <n v="172143"/>
    <s v="Finalizado (10/10)"/>
    <n v="15"/>
    <n v="5"/>
    <n v="20"/>
    <s v="Pago"/>
    <n v="59697"/>
    <n v="59697"/>
    <s v="Unidade Sao Jose"/>
    <n v="172143"/>
    <m/>
  </r>
  <r>
    <x v="11"/>
    <x v="37"/>
    <s v="Lucia Seixas de Alencar"/>
    <s v="Feminino"/>
    <x v="9"/>
    <x v="11"/>
    <s v="31602185 - Estimulação Elétrica Transcutânea (Tens) - Removido 13/04/2026 (R$ 40,00)"/>
    <s v="Fisioterapia"/>
    <n v="1717066782"/>
    <s v="Finalizado (5/5)"/>
    <n v="33.6"/>
    <n v="6.4"/>
    <n v="40"/>
    <s v="Sessão Faturada"/>
    <n v="954600005908000"/>
    <n v="59735"/>
    <s v="Unidade Sao Jose"/>
    <n v="1717066782"/>
    <m/>
  </r>
  <r>
    <x v="11"/>
    <x v="58"/>
    <s v="Lucia Seixas de Alencar"/>
    <s v="Feminino"/>
    <x v="8"/>
    <x v="11"/>
    <s v="20103662 - Pos Operatorio Em Um Membro (R$ 14,99)"/>
    <s v="Fisioterapia"/>
    <n v="1719485318"/>
    <s v="Finalizado (1/5)"/>
    <n v="12.5916"/>
    <n v="2.3984000000000001"/>
    <n v="14.99"/>
    <s v="Sessão a Faturar"/>
    <n v="954600005908000"/>
    <n v="59735"/>
    <s v="Unidade Sao Jose"/>
    <n v="1719485318"/>
    <m/>
  </r>
  <r>
    <x v="11"/>
    <x v="50"/>
    <s v="Lucia Seixas de Alencar"/>
    <s v="Feminino"/>
    <x v="8"/>
    <x v="11"/>
    <s v="20103484 - Patologia Em Um Membro (R$ 12,22), 20103506 - Patologia Em Um Segmento Na Coluna (R$ 12,22)"/>
    <s v="Fisioterapia"/>
    <n v="1719484566"/>
    <s v="Finalizado (1/5)"/>
    <n v="20.529599999999999"/>
    <n v="3.9104000000000001"/>
    <n v="24.44"/>
    <s v="Sessão a Faturar"/>
    <n v="954600005908000"/>
    <n v="59735"/>
    <s v="Unidade Sao Jose"/>
    <n v="1719484566"/>
    <m/>
  </r>
  <r>
    <x v="11"/>
    <x v="39"/>
    <s v="Francisca da Silva Rebouças"/>
    <s v="Feminino"/>
    <x v="7"/>
    <x v="11"/>
    <s v="Sao José - 4 - Fisioterapia Neurológica/Respiratória - Pacote (R$ 50,00)"/>
    <s v="Fisioterapia"/>
    <n v="171760"/>
    <s v="Finalizado (9/10)"/>
    <n v="37.5"/>
    <n v="12.5"/>
    <n v="50"/>
    <s v="Pago"/>
    <n v="59581"/>
    <n v="59581"/>
    <s v="Unidade Sao Jose"/>
    <n v="171760"/>
    <m/>
  </r>
  <r>
    <x v="11"/>
    <x v="39"/>
    <s v="Maria Eliete dos Santos"/>
    <s v="Feminino"/>
    <x v="7"/>
    <x v="11"/>
    <s v="Sao José - 2 - Fisioterapia Ortopédica - Pacote (R$ 20,00)"/>
    <s v="Fisioterapia"/>
    <n v="173185"/>
    <s v="Finalizado (3/10)"/>
    <n v="15"/>
    <n v="5"/>
    <n v="20"/>
    <s v="Pago"/>
    <n v="59811"/>
    <n v="59811"/>
    <s v="Unidade Sao Jose"/>
    <n v="173185"/>
    <m/>
  </r>
  <r>
    <x v="11"/>
    <x v="43"/>
    <s v="Cacio Kenedy da Rocha Anunciaçao"/>
    <s v="Masculino"/>
    <x v="27"/>
    <x v="11"/>
    <s v="20103522 - Fisioterapia - Pac Com Dependencia de Vida Diária (R$ 23,59)"/>
    <s v="Fisioterapia"/>
    <n v="1717248256"/>
    <s v="Finalizado (5/10)"/>
    <n v="19.8156"/>
    <n v="3.7744"/>
    <n v="23.59"/>
    <s v="Sessão a Faturar"/>
    <n v="895113400019000"/>
    <n v="59785"/>
    <s v="Unidade Sao Jose"/>
    <n v="1717248256"/>
    <m/>
  </r>
  <r>
    <x v="11"/>
    <x v="43"/>
    <s v="Cacio Kenedy da Rocha Anunciaçao"/>
    <s v="Masculino"/>
    <x v="27"/>
    <x v="11"/>
    <s v="20103492 - Patol. Em Dois Ou Mais Membros (R$ 14,83), 20103514 - Patol. Em Diferentes Segmentos da Coluna (R$ 14,83)"/>
    <s v="Fisioterapia"/>
    <n v="1717247893"/>
    <s v="Finalizado (5/10)"/>
    <n v="24.914400000000001"/>
    <n v="4.7455999999999996"/>
    <n v="29.66"/>
    <s v="Sessão a Faturar"/>
    <n v="895113400019000"/>
    <n v="59785"/>
    <s v="Unidade Sao Jose"/>
    <n v="1717247893"/>
    <m/>
  </r>
  <r>
    <x v="11"/>
    <x v="43"/>
    <s v="Cacio Kenedy da Rocha Anunciaçao"/>
    <s v="Masculino"/>
    <x v="4"/>
    <x v="11"/>
    <s v="31602185 - Estimulação Elétrica Transcutânea - Removido 13/04/2026 (R$ 40,00)"/>
    <s v="Fisioterapia"/>
    <n v="1717632810"/>
    <s v="Finalizado (4/5)"/>
    <n v="33.6"/>
    <n v="6.4"/>
    <n v="40"/>
    <s v="Sessão Faturada"/>
    <n v="895113400019000"/>
    <n v="59785"/>
    <s v="Unidade Sao Jose"/>
    <n v="1717632810"/>
    <m/>
  </r>
  <r>
    <x v="11"/>
    <x v="22"/>
    <s v="Etelvina Santos de Sousa"/>
    <s v="Feminino"/>
    <x v="7"/>
    <x v="11"/>
    <s v="Sao José - 14 - Fisioterapia Pós Operatória - Pacote (R$ 50,00)"/>
    <s v="Fisioterapia"/>
    <n v="173503"/>
    <s v="Finalizado (1/5)"/>
    <n v="37.5"/>
    <n v="12.5"/>
    <n v="50"/>
    <s v="Pago"/>
    <n v="59839"/>
    <n v="59839"/>
    <s v="Unidade Sao Jose"/>
    <n v="173503"/>
    <m/>
  </r>
  <r>
    <x v="11"/>
    <x v="22"/>
    <s v="Grêta Tâmi Araújo da Silva"/>
    <s v="Feminino"/>
    <x v="7"/>
    <x v="11"/>
    <s v="Sao José - 2 - Fisioterapia Ortopédica - Pacote (R$ 20,00)"/>
    <s v="Fisioterapia"/>
    <n v="171029"/>
    <s v="Finalizado (6/10)"/>
    <n v="15"/>
    <n v="5"/>
    <n v="20"/>
    <s v="Pago"/>
    <n v="59586"/>
    <n v="59586"/>
    <s v="Unidade Sao Jose"/>
    <n v="171029"/>
    <m/>
  </r>
  <r>
    <x v="11"/>
    <x v="22"/>
    <s v="Maria do Socorro Pereira da Silva"/>
    <s v="Feminino"/>
    <x v="7"/>
    <x v="11"/>
    <s v="Sao José - 2 - Fisioterapia Ortopédica - Pacote (R$ 20,00)"/>
    <s v="Fisioterapia"/>
    <n v="172412"/>
    <s v="Finalizado (9/10)"/>
    <n v="15"/>
    <n v="5"/>
    <n v="20"/>
    <s v="Pago"/>
    <n v="59726"/>
    <n v="59726"/>
    <s v="Unidade Sao Jose"/>
    <n v="172412"/>
    <m/>
  </r>
  <r>
    <x v="11"/>
    <x v="2"/>
    <s v="José Francisco da Costa de Melo"/>
    <s v="Masculino"/>
    <x v="27"/>
    <x v="11"/>
    <s v="50000144 - Avaliação de Fisioterapia (R$ 51,42)"/>
    <s v="Fisioterapia"/>
    <n v="1719595288"/>
    <s v="Finalizado (1/1)"/>
    <n v="46.277999999999999"/>
    <n v="5.1420000000000003"/>
    <n v="51.42"/>
    <s v="Sessão Faturada"/>
    <n v="896787200019010"/>
    <n v="58728"/>
    <s v="Unidade Sao Jose"/>
    <n v="1719595288"/>
    <m/>
  </r>
  <r>
    <x v="11"/>
    <x v="2"/>
    <s v="José Francisco da Costa de Melo"/>
    <s v="Masculino"/>
    <x v="27"/>
    <x v="11"/>
    <s v="20103514 - Patol. Em Diferentes Segmentos da Coluna (R$ 14,83)"/>
    <s v="Fisioterapia"/>
    <n v="1719595949"/>
    <s v="Finalizado (1/10)"/>
    <n v="12.4572"/>
    <n v="2.3727999999999998"/>
    <n v="14.83"/>
    <s v="Sessão a Faturar"/>
    <n v="896787200019010"/>
    <n v="58728"/>
    <s v="Unidade Sao Jose"/>
    <n v="1719595949"/>
    <m/>
  </r>
  <r>
    <x v="11"/>
    <x v="13"/>
    <s v="Raymara Mendes Costa"/>
    <s v="Feminino"/>
    <x v="4"/>
    <x v="11"/>
    <s v="31602185 - Estimulação Elétrica Transcutânea - Removido 13/04/2026 (R$ 40,00)"/>
    <s v="Fisioterapia"/>
    <n v="1719652265"/>
    <s v="Finalizado (1/5)"/>
    <n v="33.6"/>
    <n v="6.4"/>
    <n v="40"/>
    <s v="Sessão a Faturar"/>
    <n v="774642028720000"/>
    <n v="59768"/>
    <s v="Unidade Sao Jose"/>
    <n v="1719652265"/>
    <m/>
  </r>
  <r>
    <x v="11"/>
    <x v="13"/>
    <s v="Natalia Anacleto Carvalho da Silva"/>
    <s v="Feminino"/>
    <x v="6"/>
    <x v="11"/>
    <s v="20103662 - Pos Operatorio Em Um Membro (R$ 22,53)"/>
    <s v="Fisioterapia"/>
    <n v="172438"/>
    <s v="Finalizado (7/10)"/>
    <n v="18.9252"/>
    <n v="3.6048"/>
    <n v="22.53"/>
    <s v="Sessão a Faturar"/>
    <s v="51588888477546590011"/>
    <n v="59693"/>
    <s v="Unidade Sao Jose"/>
    <n v="172438"/>
    <m/>
  </r>
  <r>
    <x v="11"/>
    <x v="13"/>
    <s v="Raymara Mendes Costa"/>
    <s v="Feminino"/>
    <x v="27"/>
    <x v="11"/>
    <s v="20103492 - Patol. Em Dois Ou Mais Membros (R$ 14,83), 20103514 - Patol. Em Diferentes Segmentos da Coluna (R$ 14,83)"/>
    <s v="Fisioterapia"/>
    <n v="1717801599"/>
    <s v="Finalizado (2/5)"/>
    <n v="24.914400000000001"/>
    <n v="4.7455999999999996"/>
    <n v="29.66"/>
    <s v="Sessão a Faturar"/>
    <n v="774642028720000"/>
    <n v="59768"/>
    <s v="Unidade Sao Jose"/>
    <n v="1717801599"/>
    <m/>
  </r>
  <r>
    <x v="11"/>
    <x v="14"/>
    <s v="Natalia Anacleto Carvalho da Silva"/>
    <s v="Feminino"/>
    <x v="6"/>
    <x v="11"/>
    <s v="31602185 - Estimulação Elétrica Transcutanea (Tens) (R$ 40,00)"/>
    <s v="Fisioterapia"/>
    <n v="172439"/>
    <s v="Finalizado (5/5)"/>
    <n v="33.6"/>
    <n v="6.4"/>
    <n v="40"/>
    <s v="Sessão Faturada"/>
    <s v="51588888477546590011"/>
    <n v="59693"/>
    <s v="Unidade Sao Jose"/>
    <n v="172439"/>
    <m/>
  </r>
  <r>
    <x v="11"/>
    <x v="6"/>
    <s v="David Nascimento Lopes"/>
    <s v="Masculino"/>
    <x v="7"/>
    <x v="11"/>
    <s v="Sao José - 2 - Fisioterapia Ortopédica - Pacote (R$ 20,00)"/>
    <s v="Fisioterapia"/>
    <n v="173205"/>
    <s v="Finalizado (4/10)"/>
    <n v="15"/>
    <n v="5"/>
    <n v="20"/>
    <s v="Pago"/>
    <n v="31359"/>
    <n v="31359"/>
    <s v="Unidade Sao Jose"/>
    <n v="173205"/>
    <m/>
  </r>
  <r>
    <x v="11"/>
    <x v="15"/>
    <s v="Jessica da Costa Barbosa"/>
    <s v="Feminino"/>
    <x v="7"/>
    <x v="11"/>
    <s v="Sao José - 2 - Fisioterapia Ortopédica - Pacote (R$ 20,00)"/>
    <s v="Fisioterapia"/>
    <n v="170835"/>
    <s v="Finalizado (2/10)"/>
    <n v="15"/>
    <n v="5"/>
    <n v="20"/>
    <s v="No Prazo"/>
    <n v="57549"/>
    <n v="57549"/>
    <s v="Unidade Sao Jose"/>
    <n v="170835"/>
    <m/>
  </r>
  <r>
    <x v="11"/>
    <x v="15"/>
    <s v="Suelen de Souza Moraes"/>
    <s v="Feminino"/>
    <x v="7"/>
    <x v="11"/>
    <s v="Sao José - 2 - Fisioterapia Ortopédica - Pacote (R$ 20,00)"/>
    <s v="Fisioterapia"/>
    <s v="/168940"/>
    <s v="Finalizado (22/30)"/>
    <n v="15"/>
    <n v="5"/>
    <n v="20"/>
    <s v="No Prazo"/>
    <n v="59411"/>
    <n v="59411"/>
    <s v="Unidade Sao Jose"/>
    <s v="/168940"/>
    <m/>
  </r>
  <r>
    <x v="11"/>
    <x v="17"/>
    <s v="Manuele da Palma Monteiro"/>
    <s v="Feminino"/>
    <x v="7"/>
    <x v="11"/>
    <s v="Sao José - 2 - Fisioterapia Ortopédica - Pacote (R$ 20,00)"/>
    <s v="Fisioterapia"/>
    <n v="171038"/>
    <s v="Finalizado (8/10)"/>
    <n v="15"/>
    <n v="5"/>
    <n v="20"/>
    <s v="Pago"/>
    <n v="59589"/>
    <n v="59589"/>
    <s v="Unidade Sao Jose"/>
    <n v="171038"/>
    <m/>
  </r>
  <r>
    <x v="11"/>
    <x v="8"/>
    <s v="Elinaldo Lima da Silva"/>
    <s v="Masculino"/>
    <x v="7"/>
    <x v="11"/>
    <s v="Sao José - 4 - Fisioterapia Neurológica/Respiratória - Pacote (R$ 50,00)"/>
    <s v="Fisioterapia"/>
    <n v="172473"/>
    <s v="Finalizado (3/5)"/>
    <n v="37.5"/>
    <n v="12.5"/>
    <n v="50"/>
    <s v="Pago"/>
    <n v="59730"/>
    <n v="59730"/>
    <s v="Unidade Sao Jose"/>
    <n v="172473"/>
    <m/>
  </r>
  <r>
    <x v="11"/>
    <x v="8"/>
    <s v="Herminio Cardoso Pereira Junior"/>
    <s v="Masculino"/>
    <x v="2"/>
    <x v="11"/>
    <s v="20103484 - Fisioterapia - Patologia Em Um Membro (R$ 12,22), 20103514 - Fisioterapia - Patologia Em Diferentes Segmentos da Coluna (R$ 14,83)"/>
    <s v="Fisioterapia"/>
    <n v="1716811450"/>
    <s v="Finalizado (5/5)"/>
    <n v="22.722000000000001"/>
    <n v="4.3280000000000003"/>
    <n v="27.05"/>
    <s v="Sessão Faturada"/>
    <n v="774239002356010"/>
    <n v="59751"/>
    <s v="Unidade Sao Jose"/>
    <n v="1716811450"/>
    <m/>
  </r>
  <r>
    <x v="11"/>
    <x v="8"/>
    <s v="Herminio Cardoso Pereira Junior"/>
    <s v="Masculino"/>
    <x v="4"/>
    <x v="11"/>
    <s v="31602185 - Estimulação Elétrica Transcutânea - Removido 13/04/2026 (R$ 40,00)"/>
    <s v="Fisioterapia"/>
    <n v="1717833464"/>
    <s v="Finalizado (4/5)"/>
    <n v="33.6"/>
    <n v="6.4"/>
    <n v="40"/>
    <s v="Sessão Faturada"/>
    <n v="774239002356010"/>
    <n v="59751"/>
    <s v="Unidade Sao Jose"/>
    <n v="1717833464"/>
    <s v="SENHA TENS: KBW5WU1"/>
  </r>
  <r>
    <x v="11"/>
    <x v="10"/>
    <s v="Gabriel Parente de Castro"/>
    <s v="Masculino"/>
    <x v="12"/>
    <x v="11"/>
    <s v="31602185 - Estimulação Elétrica Transcutânea (Tens) (R$ 49,00)"/>
    <s v="Fisioterapia"/>
    <n v="10319479"/>
    <s v="Finalizado (9/10)"/>
    <n v="41.16"/>
    <n v="7.84"/>
    <n v="49"/>
    <s v="Sessão Faturada"/>
    <n v="9.5078029485153997E+17"/>
    <n v="59364"/>
    <s v="Unidade Sao Jose"/>
    <n v="10319479"/>
    <m/>
  </r>
  <r>
    <x v="11"/>
    <x v="10"/>
    <s v="Sarah Gabriela  da Silva Debastiani Amorim"/>
    <s v="Feminino"/>
    <x v="8"/>
    <x v="11"/>
    <s v="20103492 - Patologia Em Dois Ou Mais Membros (R$ 14,83), 20103514 - Patologia Em Diferentes Segmentos da Coluna (R$ 14,83)"/>
    <s v="Fisioterapia"/>
    <n v="1716802047"/>
    <s v="Finalizado (3/5)"/>
    <n v="24.914400000000001"/>
    <n v="4.7455999999999996"/>
    <n v="29.66"/>
    <s v="Sessão a Faturar"/>
    <n v="954600015270010"/>
    <n v="44887"/>
    <s v="Unidade Sao Jose"/>
    <n v="1716802047"/>
    <m/>
  </r>
  <r>
    <x v="11"/>
    <x v="10"/>
    <s v="Sarah Gabriela  da Silva Debastiani Amorim"/>
    <s v="Feminino"/>
    <x v="9"/>
    <x v="11"/>
    <s v="31602185 - Estimulação Elétrica Transcutânea (Tens) - Removido 13/04/2026 (R$ 40,00)"/>
    <s v="Fisioterapia"/>
    <n v="1719182010"/>
    <s v="Finalizado (2/5)"/>
    <n v="33.6"/>
    <n v="6.4"/>
    <n v="40"/>
    <s v="Sessão a Faturar"/>
    <n v="954600015270010"/>
    <n v="44887"/>
    <s v="Unidade Sao Jose"/>
    <n v="1719182010"/>
    <m/>
  </r>
  <r>
    <x v="11"/>
    <x v="11"/>
    <s v="Gabriel Parente de Castro"/>
    <s v="Masculino"/>
    <x v="12"/>
    <x v="11"/>
    <s v="20103662 - Pos Operatorio Em Um Membro (R$ 14,99)"/>
    <s v="Fisioterapia"/>
    <n v="170538"/>
    <s v="Finalizado (9/10)"/>
    <n v="12.5916"/>
    <n v="2.3984000000000001"/>
    <n v="14.99"/>
    <s v="Sessão Faturada"/>
    <n v="9.5078029485153997E+17"/>
    <n v="59364"/>
    <s v="Unidade Sao Jose"/>
    <n v="170538"/>
    <m/>
  </r>
  <r>
    <x v="12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1/10)"/>
    <n v="25.824000000000002"/>
    <n v="6.4560000000000004"/>
    <n v="32.28"/>
    <s v="Sessão Faturada"/>
    <s v="00010300011479012"/>
    <n v="17283"/>
    <s v="Unidade Vieiralves"/>
    <n v="13530866"/>
    <m/>
  </r>
  <r>
    <x v="12"/>
    <x v="76"/>
    <s v="Marcelo Santos Barbalho"/>
    <s v="Masculino"/>
    <x v="1"/>
    <x v="12"/>
    <s v="50001078 - Fisioterapia Neurológica (R$ 35,00)"/>
    <s v="Fisioterapia Pélvica e Neurológica"/>
    <n v="9587413"/>
    <s v="Finalizado (2/10)"/>
    <n v="28"/>
    <n v="7"/>
    <n v="35"/>
    <s v="Sessão Faturada"/>
    <s v="0901012963990065"/>
    <n v="36042"/>
    <s v="Unidade Vieiralves"/>
    <n v="9587413"/>
    <m/>
  </r>
  <r>
    <x v="12"/>
    <x v="67"/>
    <s v="Elvis Enrique Gola Herrera"/>
    <s v="Masculino"/>
    <x v="7"/>
    <x v="12"/>
    <s v="Vieiralves - 2 - Fisioterapia Neurológica - Pacote (R$ 45,00)"/>
    <s v="Fisioterapia Pélvica e Neurológica"/>
    <n v="169043"/>
    <s v="Finalizado (4/10)"/>
    <n v="33.75"/>
    <n v="11.25"/>
    <n v="45"/>
    <s v="Pago"/>
    <s v="00"/>
    <n v="59414"/>
    <s v="Unidade Vieiralves"/>
    <n v="169043"/>
    <m/>
  </r>
  <r>
    <x v="12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2/10)"/>
    <n v="28"/>
    <n v="7"/>
    <n v="35"/>
    <s v="Sessão Faturada"/>
    <s v="0901012792890010"/>
    <n v="54879"/>
    <s v="Unidade Vieiralves"/>
    <n v="9077422"/>
    <m/>
  </r>
  <r>
    <x v="12"/>
    <x v="35"/>
    <s v="Dea Ribeiro Margarido"/>
    <s v="Feminino"/>
    <x v="2"/>
    <x v="12"/>
    <s v="20103492 - Fisioterapia - Patologia Em Dois Ou Mais Membros (R$ 14,83)"/>
    <s v="Fisioterapia Pélvica e Neurológica"/>
    <n v="1702676749"/>
    <s v="Finalizado (4/5)"/>
    <n v="11.864000000000001"/>
    <n v="2.9660000000000002"/>
    <n v="14.83"/>
    <s v="Sessão Faturada"/>
    <n v="811010900736010"/>
    <n v="2849"/>
    <s v="Unidade Vieiralves"/>
    <n v="1702676749"/>
    <m/>
  </r>
  <r>
    <x v="12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4/10)"/>
    <n v="28"/>
    <n v="7"/>
    <n v="35"/>
    <s v="Sessão Faturada"/>
    <n v="1101013081440300"/>
    <n v="59408"/>
    <s v="Unidade Vieiralves"/>
    <n v="8981670"/>
    <m/>
  </r>
  <r>
    <x v="12"/>
    <x v="71"/>
    <s v="Dea Ribeiro Margarido"/>
    <s v="Feminino"/>
    <x v="2"/>
    <x v="12"/>
    <s v="20103115 - Atividade Reflexa Cinesioterápica (R$ 20,81)"/>
    <s v="Fisioterapia Pélvica e Neurológica"/>
    <n v="1702677296"/>
    <s v="Finalizado (4/5)"/>
    <n v="16.648"/>
    <n v="4.1619999999999999"/>
    <n v="20.81"/>
    <s v="Sessão Faturada"/>
    <n v="811010900736010"/>
    <n v="2849"/>
    <s v="Unidade Vieiralves"/>
    <n v="1702677296"/>
    <m/>
  </r>
  <r>
    <x v="12"/>
    <x v="68"/>
    <s v="Luis Augusto Mitoso"/>
    <s v="Masculino"/>
    <x v="5"/>
    <x v="12"/>
    <s v="98860011 - Fisioterapia Complexidade 1 - 04/03/2026 (R$ 53,00)"/>
    <s v="Fisioterapia Pélvica e Neurológica"/>
    <n v="77433590"/>
    <s v="Finalizado (2/10)"/>
    <n v="42.4"/>
    <n v="10.6"/>
    <n v="53"/>
    <s v="Sessão Faturada"/>
    <s v="0105813305001328"/>
    <n v="52022"/>
    <s v="Unidade Vieiralves"/>
    <n v="77433590"/>
    <m/>
  </r>
  <r>
    <x v="12"/>
    <x v="68"/>
    <s v="Amanda Richa Silveira Farias"/>
    <s v="Feminino"/>
    <x v="6"/>
    <x v="12"/>
    <s v="20103476 - Patologia Neurologica (R$ 35,40)"/>
    <s v="Fisioterapia Pélvica e Neurológica"/>
    <n v="169828"/>
    <s v="Não compareceu (3/5)"/>
    <n v="35.4"/>
    <n v="0"/>
    <n v="35.4"/>
    <s v="Sessão a Faturar"/>
    <s v="54588888019504770035"/>
    <n v="58490"/>
    <s v="Unidade Vieiralves"/>
    <n v="169828"/>
    <m/>
  </r>
  <r>
    <x v="12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2/10)"/>
    <n v="96.224000000000004"/>
    <n v="24.056000000000001"/>
    <n v="120.28"/>
    <s v="Sessão Faturada"/>
    <s v="0105813305001328"/>
    <n v="52022"/>
    <s v="Unidade Vieiralves"/>
    <n v="77616240"/>
    <m/>
  </r>
  <r>
    <x v="12"/>
    <x v="50"/>
    <s v="William Sam Marinho de Souza Lima"/>
    <s v="Masculino"/>
    <x v="1"/>
    <x v="12"/>
    <s v="50001078 - Fisioterapia Neurológica (R$ 35,00)"/>
    <s v="Fisioterapia Pélvica e Neurológica"/>
    <n v="8489637"/>
    <s v="Finalizado (10/10)"/>
    <n v="28"/>
    <n v="7"/>
    <n v="35"/>
    <s v="Sessão Faturada"/>
    <s v="0901012128090385"/>
    <n v="57062"/>
    <s v="Unidade Vieiralves"/>
    <n v="8489637"/>
    <m/>
  </r>
  <r>
    <x v="12"/>
    <x v="50"/>
    <s v="Rita de Cassia Balbi Alves"/>
    <s v="Feminino"/>
    <x v="19"/>
    <x v="12"/>
    <s v="20103514 - Patol. Em Diferentes Segmentos da Coluna - 17/03/2026 (R$ 91,31)"/>
    <s v="Fisioterapia Pélvica e Neurológica"/>
    <n v="170132"/>
    <s v="Finalizado (1/10)"/>
    <n v="73.048000000000002"/>
    <n v="18.262"/>
    <n v="91.31"/>
    <s v="Sessão a Faturar"/>
    <s v="0001000034150505"/>
    <n v="37165"/>
    <s v="Unidade Vieiralves"/>
    <n v="170132"/>
    <m/>
  </r>
  <r>
    <x v="12"/>
    <x v="50"/>
    <s v="Eduarda Silva Castilho"/>
    <s v="Feminino"/>
    <x v="2"/>
    <x v="12"/>
    <s v="20103670 - Fisioterapia - Pos Operatorio Em Dois Ou Mais Membros (R$ 19,30)"/>
    <s v="Fisioterapia Pélvica e Neurológica"/>
    <n v="1703308841"/>
    <s v="Finalizado (5/5)"/>
    <n v="15.44"/>
    <n v="3.86"/>
    <n v="19.3"/>
    <s v="Sessão Faturada"/>
    <n v="771015041130020"/>
    <n v="45879"/>
    <s v="Unidade Vieiralves"/>
    <n v="1703308841"/>
    <m/>
  </r>
  <r>
    <x v="12"/>
    <x v="78"/>
    <s v="Rita de Cassia Balbi Alves"/>
    <s v="Feminino"/>
    <x v="19"/>
    <x v="12"/>
    <s v="20103476 - Patol. Neurologica Com Dep. de Ativ. de Vida Diária - 17/03/2026 (R$ 63,04)"/>
    <s v="Fisioterapia Pélvica e Neurológica"/>
    <n v="5295010"/>
    <s v="Finalizado (8/9)"/>
    <n v="50.432000000000002"/>
    <n v="12.608000000000001"/>
    <n v="63.04"/>
    <s v="Sessão Faturada"/>
    <s v="0001000034150505"/>
    <n v="37165"/>
    <s v="Unidade Vieiralves"/>
    <n v="5295010"/>
    <s v="GUIA ASSINADA "/>
  </r>
  <r>
    <x v="12"/>
    <x v="72"/>
    <s v="Eduarda Silva Castilho"/>
    <s v="Feminino"/>
    <x v="2"/>
    <x v="12"/>
    <s v="20103115 - Atividade Reflexa Cinesioterápica (R$ 20,81)"/>
    <s v="Fisioterapia Pélvica e Neurológica"/>
    <n v="1703309498"/>
    <s v="Finalizado (5/5)"/>
    <n v="16.648"/>
    <n v="4.1619999999999999"/>
    <n v="20.81"/>
    <s v="Sessão Faturada"/>
    <n v="771015041130020"/>
    <n v="45879"/>
    <s v="Unidade Vieiralves"/>
    <n v="1703309498"/>
    <m/>
  </r>
  <r>
    <x v="12"/>
    <x v="59"/>
    <s v="Rita de Cassia Balbi Alves"/>
    <s v="Feminino"/>
    <x v="19"/>
    <x v="12"/>
    <s v="31602185 - Estimulação Elétrica Transcutanea (Tens) - 17/03/2026 (R$ 138,64)"/>
    <s v="Fisioterapia Pélvica e Neurológica"/>
    <n v="5268820"/>
    <s v="Finalizado (10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12"/>
    <x v="43"/>
    <s v="Jose Neuzimar Guedes de Oliveira Regis"/>
    <s v="Masculino"/>
    <x v="5"/>
    <x v="12"/>
    <s v="98860011 - Fisioterapia Complexidade 1 - 04/03/2026 (R$ 53,00)"/>
    <s v="Fisioterapia Pélvica e Neurológica"/>
    <n v="77393460"/>
    <s v="Finalizado (7/10)"/>
    <n v="42.4"/>
    <n v="10.6"/>
    <n v="53"/>
    <s v="Sessão Faturada"/>
    <s v="0100753700001240"/>
    <n v="59306"/>
    <s v="Unidade Vieiralves"/>
    <n v="77393460"/>
    <m/>
  </r>
  <r>
    <x v="12"/>
    <x v="43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2/10)"/>
    <n v="18.872"/>
    <n v="4.718"/>
    <n v="23.59"/>
    <s v="Sessão Faturada"/>
    <n v="773626015709020"/>
    <n v="44569"/>
    <s v="Unidade Vieiralves"/>
    <n v="1703796691"/>
    <m/>
  </r>
  <r>
    <x v="12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2/10)"/>
    <n v="11.864000000000001"/>
    <n v="2.9660000000000002"/>
    <n v="14.83"/>
    <s v="Sessão Faturada"/>
    <n v="773626015709020"/>
    <n v="44569"/>
    <s v="Unidade Vieiralves"/>
    <n v="1703797778"/>
    <m/>
  </r>
  <r>
    <x v="12"/>
    <x v="77"/>
    <s v="Jose Neuzimar Guedes de Oliveira Regis"/>
    <s v="Masculino"/>
    <x v="5"/>
    <x v="12"/>
    <s v="31602185 - Estimulação Elétrica Transcutânea (Tens) (R$ 125,40)"/>
    <s v="Fisioterapia Pélvica e Neurológica"/>
    <n v="79228680"/>
    <s v="Finalizado (6/10)"/>
    <n v="100.32"/>
    <n v="25.08"/>
    <n v="125.4"/>
    <s v="Sessão a Faturar"/>
    <s v="0100753700001240"/>
    <n v="59306"/>
    <s v="Unidade Vieiralves"/>
    <n v="79228680"/>
    <m/>
  </r>
  <r>
    <x v="13"/>
    <x v="76"/>
    <s v="Marlene de Souza Rodrigues"/>
    <s v="Feminino"/>
    <x v="2"/>
    <x v="12"/>
    <s v="20103492 - Fisioterapia - Patologia Em Dois Ou Mais Membros (R$ 14,83)"/>
    <s v="Fisioterapia Pélvica e Neurológica"/>
    <n v="1701164744"/>
    <s v="Finalizado (4/5)"/>
    <n v="11.864000000000001"/>
    <n v="2.9660000000000002"/>
    <n v="14.83"/>
    <s v="Sessão Faturada"/>
    <n v="837297600019020"/>
    <n v="16076"/>
    <s v="Unidade Vieiralves"/>
    <n v="1701164744"/>
    <m/>
  </r>
  <r>
    <x v="13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2/10)"/>
    <n v="21.64"/>
    <n v="5.41"/>
    <n v="27.05"/>
    <s v="Sessão Faturada"/>
    <n v="952480013550000"/>
    <n v="14121"/>
    <s v="Unidade Vieiralves"/>
    <n v="1704651988"/>
    <m/>
  </r>
  <r>
    <x v="13"/>
    <x v="36"/>
    <s v="Raimunda Monteiro Rocha"/>
    <s v="Feminino"/>
    <x v="2"/>
    <x v="12"/>
    <s v="20103115 - Atividade Reflexa Cinesioterápica (R$ 20,81)"/>
    <s v="Fisioterapia Pélvica e Neurológica"/>
    <n v="1704652634"/>
    <s v="Finalizado (2/4)"/>
    <n v="16.648"/>
    <n v="4.1619999999999999"/>
    <n v="20.81"/>
    <s v="Sessão Faturada"/>
    <n v="952480013550000"/>
    <n v="14121"/>
    <s v="Unidade Vieiralves"/>
    <n v="1704652634"/>
    <m/>
  </r>
  <r>
    <x v="13"/>
    <x v="36"/>
    <s v="Marlene de Souza Rodrigues"/>
    <s v="Feminino"/>
    <x v="2"/>
    <x v="12"/>
    <s v="20103220 - Fisioterapia Respiratória (R$ 12,22)"/>
    <s v="Fisioterapia Pélvica e Neurológica"/>
    <n v="1701162984"/>
    <s v="Finalizado (4/5)"/>
    <n v="9.7759999999999998"/>
    <n v="2.444"/>
    <n v="12.22"/>
    <s v="Sessão Faturada"/>
    <n v="837297600019020"/>
    <n v="16076"/>
    <s v="Unidade Vieiralves"/>
    <n v="1701162984"/>
    <m/>
  </r>
  <r>
    <x v="13"/>
    <x v="67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3/9)"/>
    <n v="11.864000000000001"/>
    <n v="2.9660000000000002"/>
    <n v="14.83"/>
    <s v="Sessão Faturada"/>
    <n v="952650065111000"/>
    <n v="44404"/>
    <s v="Unidade Vieiralves"/>
    <n v="1703705090"/>
    <m/>
  </r>
  <r>
    <x v="13"/>
    <x v="67"/>
    <s v="Rosiane de Souza Silva"/>
    <s v="Feminino"/>
    <x v="2"/>
    <x v="12"/>
    <s v="50000144 - Avaliação de Fisioterapia (R$ 51,42)"/>
    <s v="Fisioterapia Pélvica e Neurológica"/>
    <n v="1706203217"/>
    <s v="Finalizado (1/1)"/>
    <n v="46.277999999999999"/>
    <n v="5.1420000000000003"/>
    <n v="51.42"/>
    <s v="Sessão Faturada"/>
    <n v="830416700094010"/>
    <n v="56546"/>
    <s v="Unidade Vieiralves"/>
    <n v="1706203217"/>
    <m/>
  </r>
  <r>
    <x v="13"/>
    <x v="49"/>
    <s v="Rosiane de Souza Silva"/>
    <s v="Feminino"/>
    <x v="2"/>
    <x v="12"/>
    <s v="20103476 - Fisioterapia - Patologia Neurológica - Removido 07/04/2026 (R$ 23,59)"/>
    <s v="Fisioterapia Pélvica e Neurológica"/>
    <n v="1706209516"/>
    <s v="Finalizado (1/2)"/>
    <n v="18.872"/>
    <n v="4.718"/>
    <n v="23.59"/>
    <s v="Sessão Faturada"/>
    <n v="830416700094010"/>
    <n v="56546"/>
    <s v="Unidade Vieiralves"/>
    <n v="1706209516"/>
    <m/>
  </r>
  <r>
    <x v="13"/>
    <x v="49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3/9)"/>
    <n v="18.872"/>
    <n v="4.718"/>
    <n v="23.59"/>
    <s v="Sessão Faturada"/>
    <n v="952650065111000"/>
    <n v="44404"/>
    <s v="Unidade Vieiralves"/>
    <n v="1703705949"/>
    <m/>
  </r>
  <r>
    <x v="13"/>
    <x v="35"/>
    <s v="Jose Neuzimar Guedes de Oliveira Regis"/>
    <s v="Masculino"/>
    <x v="5"/>
    <x v="12"/>
    <s v="98860011 - Fisioterapia Complexidade 1 - 04/03/2026 (R$ 53,00)"/>
    <s v="Fisioterapia Pélvica e Neurológica"/>
    <n v="77393460"/>
    <s v="Finalizado (8/10)"/>
    <n v="42.4"/>
    <n v="10.6"/>
    <n v="53"/>
    <s v="Sessão Faturada"/>
    <s v="0100753700001240"/>
    <n v="59306"/>
    <s v="Unidade Vieiralves"/>
    <n v="77393460"/>
    <m/>
  </r>
  <r>
    <x v="13"/>
    <x v="35"/>
    <s v="Yedda Crisafera de Lima Figueira"/>
    <s v="Feminino"/>
    <x v="25"/>
    <x v="12"/>
    <s v="50000144 - Avaliação de Fisioterapia (R$ 61,80)"/>
    <s v="Fisioterapia"/>
    <n v="143213"/>
    <s v="Finalizado (1/1)"/>
    <n v="55.62"/>
    <n v="6.18"/>
    <n v="61.8"/>
    <s v="Sessão Faturada"/>
    <n v="33301"/>
    <n v="3132"/>
    <s v="Unidade Vieiralves"/>
    <n v="143213"/>
    <m/>
  </r>
  <r>
    <x v="13"/>
    <x v="42"/>
    <s v="Yedda Crisafera de Lima Figueira"/>
    <s v="Feminino"/>
    <x v="25"/>
    <x v="12"/>
    <s v="50000179 - Fisioterapia Respiratória (R$ 18,29)"/>
    <s v="Fisioterapia"/>
    <n v="143215"/>
    <s v="Finalizado (1/10)"/>
    <n v="14.632"/>
    <n v="3.6579999999999999"/>
    <n v="18.29"/>
    <s v="Sessão Faturada"/>
    <n v="33301"/>
    <n v="3132"/>
    <s v="Unidade Vieiralves"/>
    <n v="143215"/>
    <m/>
  </r>
  <r>
    <x v="13"/>
    <x v="71"/>
    <s v="Jose Neuzimar Guedes de Oliveira Regis"/>
    <s v="Masculino"/>
    <x v="5"/>
    <x v="12"/>
    <s v="31602185 - Estimulação Elétrica Transcutânea (Tens) (R$ 125,40)"/>
    <s v="Fisioterapia Pélvica e Neurológica"/>
    <n v="79228680"/>
    <s v="Finalizado (7/10)"/>
    <n v="100.32"/>
    <n v="25.08"/>
    <n v="125.4"/>
    <s v="Sessão a Faturar"/>
    <s v="0100753700001240"/>
    <n v="59306"/>
    <s v="Unidade Vieiralves"/>
    <n v="79228680"/>
    <m/>
  </r>
  <r>
    <x v="13"/>
    <x v="38"/>
    <s v="Yedda Crisafera de Lima Figueira"/>
    <s v="Feminino"/>
    <x v="25"/>
    <x v="12"/>
    <s v="50000152 - Fisioterapia Neurológica (R$ 19,72)"/>
    <s v="Fisioterapia"/>
    <n v="143217"/>
    <s v="Finalizado (1/10)"/>
    <n v="15.776"/>
    <n v="3.944"/>
    <n v="19.72"/>
    <s v="Sessão Faturada"/>
    <n v="33301"/>
    <n v="3132"/>
    <s v="Unidade Vieiralves"/>
    <n v="143217"/>
    <m/>
  </r>
  <r>
    <x v="13"/>
    <x v="68"/>
    <s v="Walmir Prado de Alencar"/>
    <s v="Masculino"/>
    <x v="1"/>
    <x v="12"/>
    <s v="50000160 - Fisioterapia Ortopédica (R$ 20,00), 98980327 - Taxa de Eletroterapia (Tens) (R$ 15,00)"/>
    <s v="Fisioterapia Pélvica e Neurológica"/>
    <n v="8817715"/>
    <s v="Finalizado (7/10)"/>
    <n v="28"/>
    <n v="7"/>
    <n v="35"/>
    <s v="Sessão Faturada"/>
    <n v="1901013196900100"/>
    <n v="58110"/>
    <s v="Unidade Vieiralves"/>
    <n v="8817715"/>
    <m/>
  </r>
  <r>
    <x v="13"/>
    <x v="68"/>
    <s v="Francisca Pena de Alencar"/>
    <s v="Feminino"/>
    <x v="1"/>
    <x v="12"/>
    <s v="50001078 - Fisioterapia Neurológica (R$ 35,00)"/>
    <s v="Fisioterapia Pélvica e Neurológica"/>
    <n v="8952214"/>
    <s v="Finalizado (3/10)"/>
    <n v="28"/>
    <n v="7"/>
    <n v="35"/>
    <s v="Sessão Faturada"/>
    <n v="1901013196900200"/>
    <n v="58870"/>
    <s v="Unidade Vieiralves"/>
    <n v="8952214"/>
    <m/>
  </r>
  <r>
    <x v="13"/>
    <x v="68"/>
    <s v="Albertina Renata da Altona"/>
    <s v="Feminino"/>
    <x v="2"/>
    <x v="12"/>
    <s v="20103514 - Fisioterapia - Patologia Em Diferentes Segmentos da Coluna (R$ 14,83)"/>
    <s v="Fisioterapia Pélvica e Neurológica"/>
    <n v="1703291052"/>
    <s v="Finalizado (3/5)"/>
    <n v="11.864000000000001"/>
    <n v="2.9660000000000002"/>
    <n v="14.83"/>
    <s v="Sessão Faturada"/>
    <n v="982870069531010"/>
    <n v="59424"/>
    <s v="Unidade Vieiralves"/>
    <n v="1703291052"/>
    <m/>
  </r>
  <r>
    <x v="13"/>
    <x v="37"/>
    <s v="Albertina Renata da Altona"/>
    <s v="Feminino"/>
    <x v="2"/>
    <x v="12"/>
    <s v="20103115 - Atividade Reflexa Cinesioterápica (R$ 20,81)"/>
    <s v="Fisioterapia Pélvica e Neurológica"/>
    <n v="1703296414"/>
    <s v="Finalizado (3/5)"/>
    <n v="16.648"/>
    <n v="4.1619999999999999"/>
    <n v="20.81"/>
    <s v="Sessão Faturada"/>
    <n v="982870069531010"/>
    <n v="59424"/>
    <s v="Unidade Vieiralves"/>
    <n v="1703296414"/>
    <m/>
  </r>
  <r>
    <x v="13"/>
    <x v="50"/>
    <s v="Eduarda Silva Castilho"/>
    <s v="Feminino"/>
    <x v="2"/>
    <x v="12"/>
    <s v="20103670 - Fisioterapia - Pos Operatorio Em Dois Ou Mais Membros (R$ 19,30)"/>
    <s v="Fisioterapia Pélvica e Neurológica"/>
    <n v="1706302379"/>
    <s v="Finalizado (1/5)"/>
    <n v="15.44"/>
    <n v="3.86"/>
    <n v="19.3"/>
    <s v="Sessão Faturada"/>
    <n v="771015041130020"/>
    <n v="45879"/>
    <s v="Unidade Vieiralves"/>
    <n v="1706302379"/>
    <m/>
  </r>
  <r>
    <x v="13"/>
    <x v="50"/>
    <s v="Rosimeire de Carvalho Martins"/>
    <m/>
    <x v="8"/>
    <x v="12"/>
    <s v="20103514 - Patologia Em Diferentes Segmentos da Coluna (R$ 14,83)"/>
    <s v="Fisioterapia Pélvica e Neurológica"/>
    <n v="1706289606"/>
    <s v="Finalizado (1/1)"/>
    <n v="11.864000000000001"/>
    <n v="2.9660000000000002"/>
    <n v="14.83"/>
    <s v="Sessão a Faturar"/>
    <n v="954390038130020"/>
    <n v="45534"/>
    <s v="Unidade Vieiralves"/>
    <n v="1706289606"/>
    <m/>
  </r>
  <r>
    <x v="13"/>
    <x v="50"/>
    <s v="Mario Jorge Barroso Martins"/>
    <s v="Masculino"/>
    <x v="8"/>
    <x v="12"/>
    <s v="20103492 - Patologia Em Dois Ou Mais Membros (R$ 14,83), 20103514 - Patologia Em Diferentes Segmentos da Coluna (R$ 14,83)"/>
    <s v="Fisioterapia Pélvica e Neurológica"/>
    <n v="1706292793"/>
    <s v="Finalizado (1/1)"/>
    <n v="23.728000000000002"/>
    <n v="5.9320000000000004"/>
    <n v="29.66"/>
    <s v="Sessão a Faturar"/>
    <n v="954390038130010"/>
    <n v="45335"/>
    <s v="Unidade Vieiralves"/>
    <n v="1706292793"/>
    <m/>
  </r>
  <r>
    <x v="13"/>
    <x v="72"/>
    <s v="Rosimeire de Carvalho Martins"/>
    <m/>
    <x v="8"/>
    <x v="12"/>
    <s v="20103115 - Atividade Reflexa Cinesioterápica (R$ 20,81)"/>
    <s v="Fisioterapia Pélvica e Neurológica"/>
    <n v="1706289946"/>
    <s v="Finalizado (1/1)"/>
    <n v="16.648"/>
    <n v="4.1619999999999999"/>
    <n v="20.81"/>
    <s v="Sessão a Faturar"/>
    <n v="954390038130020"/>
    <n v="45534"/>
    <s v="Unidade Vieiralves"/>
    <n v="1706289946"/>
    <m/>
  </r>
  <r>
    <x v="13"/>
    <x v="72"/>
    <s v="Mario Jorge Barroso Martins"/>
    <s v="Masculino"/>
    <x v="8"/>
    <x v="12"/>
    <s v="20103115 - Atividade Reflexa Cinesioterápica (R$ 20,81)"/>
    <s v="Fisioterapia Pélvica e Neurológica"/>
    <n v="1706293928"/>
    <s v="Finalizado (1/1)"/>
    <n v="16.648"/>
    <n v="4.1619999999999999"/>
    <n v="20.81"/>
    <s v="Sessão a Faturar"/>
    <n v="954390038130010"/>
    <n v="45335"/>
    <s v="Unidade Vieiralves"/>
    <n v="1706293928"/>
    <m/>
  </r>
  <r>
    <x v="13"/>
    <x v="72"/>
    <s v="Eduarda Silva Castilho"/>
    <s v="Feminino"/>
    <x v="2"/>
    <x v="12"/>
    <s v="20103115 - Atividade Reflexa Cinesioterápica (R$ 20,81)"/>
    <s v="Fisioterapia Pélvica e Neurológica"/>
    <n v="1706303057"/>
    <s v="Finalizado (1/5)"/>
    <n v="16.648"/>
    <n v="4.1619999999999999"/>
    <n v="20.81"/>
    <s v="Sessão Faturada"/>
    <n v="771015041130020"/>
    <n v="45879"/>
    <s v="Unidade Vieiralves"/>
    <n v="1706303057"/>
    <m/>
  </r>
  <r>
    <x v="13"/>
    <x v="43"/>
    <s v="Marcos Vinícius Rocha Barbosa"/>
    <m/>
    <x v="8"/>
    <x v="12"/>
    <s v="50000144 - Consulta de Fisioterapia (R$ 51,42)"/>
    <s v="Fisioterapia Pélvica e Neurológica"/>
    <n v="1706320568"/>
    <s v="Finalizado (1/1)"/>
    <n v="46.277999999999999"/>
    <n v="5.1420000000000003"/>
    <n v="51.42"/>
    <s v="Sessão Faturada"/>
    <n v="954600005150030"/>
    <n v="59421"/>
    <s v="Unidade Vieiralves"/>
    <n v="1706320568"/>
    <m/>
  </r>
  <r>
    <x v="13"/>
    <x v="43"/>
    <s v="Ruth Fonseca Ferreira"/>
    <s v="Feminino"/>
    <x v="1"/>
    <x v="12"/>
    <s v="50001078 - Fisioterapia Neurológica (R$ 35,00)"/>
    <s v="Fisioterapia Pélvica e Neurológica"/>
    <n v="9109557"/>
    <s v="Finalizado (1/10)"/>
    <n v="28"/>
    <n v="7"/>
    <n v="35"/>
    <s v="Sessão Faturada"/>
    <n v="2001013987170000"/>
    <n v="58474"/>
    <s v="Unidade Vieiralves"/>
    <n v="9109557"/>
    <m/>
  </r>
  <r>
    <x v="13"/>
    <x v="77"/>
    <s v="Marcos Vinícius Rocha Barbosa"/>
    <m/>
    <x v="8"/>
    <x v="12"/>
    <s v="20103522 - Fisioterapia - Pac Com Dependencia de Vida Diária (R$ 23,59)"/>
    <s v="Fisioterapia Pélvica e Neurológica"/>
    <n v="1706321334"/>
    <s v="Finalizado (1/5)"/>
    <n v="18.872"/>
    <n v="4.718"/>
    <n v="23.59"/>
    <s v="Sessão a Faturar"/>
    <n v="954600005150030"/>
    <n v="59421"/>
    <s v="Unidade Vieiralves"/>
    <n v="1706321334"/>
    <m/>
  </r>
  <r>
    <x v="14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2/10)"/>
    <n v="25.824000000000002"/>
    <n v="6.4560000000000004"/>
    <n v="32.28"/>
    <s v="Sessão Faturada"/>
    <s v="00010300011479012"/>
    <n v="17283"/>
    <s v="Unidade Vieiralves"/>
    <n v="13530866"/>
    <m/>
  </r>
  <r>
    <x v="14"/>
    <x v="76"/>
    <s v="Paulo Pereira da Costa"/>
    <s v="Masculino"/>
    <x v="6"/>
    <x v="12"/>
    <s v="20103360 - Fisioterapia Respiratória (R$ 16,74)"/>
    <s v="Fisioterapia Pélvica e Neurológica"/>
    <n v="170164"/>
    <s v="Finalizado (1/8)"/>
    <n v="13.391999999999999"/>
    <n v="3.3479999999999999"/>
    <n v="16.739999999999998"/>
    <s v="Sessão a Faturar"/>
    <s v="54588888018315470010"/>
    <n v="59048"/>
    <s v="Unidade Vieiralves"/>
    <n v="170164"/>
    <m/>
  </r>
  <r>
    <x v="14"/>
    <x v="76"/>
    <s v="Yedda Crisafera de Lima Figueira"/>
    <s v="Feminino"/>
    <x v="25"/>
    <x v="12"/>
    <s v="50000179 - Fisioterapia Respiratória (R$ 18,29)"/>
    <s v="Fisioterapia"/>
    <n v="143215"/>
    <s v="Finalizado (2/10)"/>
    <n v="14.632"/>
    <n v="3.6579999999999999"/>
    <n v="18.29"/>
    <s v="Sessão Faturada"/>
    <n v="33301"/>
    <n v="3132"/>
    <s v="Unidade Vieiralves"/>
    <n v="143215"/>
    <m/>
  </r>
  <r>
    <x v="14"/>
    <x v="76"/>
    <s v="Marcelo Santos Barbalho"/>
    <s v="Masculino"/>
    <x v="1"/>
    <x v="12"/>
    <s v="50001078 - Fisioterapia Neurológica (R$ 35,00)"/>
    <s v="Fisioterapia Pélvica e Neurológica"/>
    <n v="9587413"/>
    <s v="Finalizado (3/10)"/>
    <n v="28"/>
    <n v="7"/>
    <n v="35"/>
    <s v="Sessão Faturada"/>
    <s v="0901012963990065"/>
    <n v="36042"/>
    <s v="Unidade Vieiralves"/>
    <n v="9587413"/>
    <m/>
  </r>
  <r>
    <x v="14"/>
    <x v="36"/>
    <s v="Yedda Crisafera de Lima Figueira"/>
    <s v="Feminino"/>
    <x v="25"/>
    <x v="12"/>
    <s v="50000152 - Fisioterapia Neurológica (R$ 19,72)"/>
    <s v="Fisioterapia"/>
    <n v="143217"/>
    <s v="Finalizado (2/10)"/>
    <n v="15.776"/>
    <n v="3.944"/>
    <n v="19.72"/>
    <s v="Sessão Faturada"/>
    <n v="33301"/>
    <n v="3132"/>
    <s v="Unidade Vieiralves"/>
    <n v="143217"/>
    <m/>
  </r>
  <r>
    <x v="14"/>
    <x v="67"/>
    <s v="Elvis Enrique Gola Herrera"/>
    <s v="Masculino"/>
    <x v="7"/>
    <x v="12"/>
    <s v="Vieiralves - 2 - Fisioterapia Neurológica - Pacote (R$ 45,00)"/>
    <s v="Fisioterapia Pélvica e Neurológica"/>
    <n v="169043"/>
    <s v="Finalizado (5/10)"/>
    <n v="33.75"/>
    <n v="11.25"/>
    <n v="45"/>
    <s v="Pago"/>
    <s v="00"/>
    <n v="59414"/>
    <s v="Unidade Vieiralves"/>
    <n v="169043"/>
    <m/>
  </r>
  <r>
    <x v="14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3/10)"/>
    <n v="28"/>
    <n v="7"/>
    <n v="35"/>
    <s v="Sessão Faturada"/>
    <s v="0901012792890010"/>
    <n v="54879"/>
    <s v="Unidade Vieiralves"/>
    <n v="9077422"/>
    <m/>
  </r>
  <r>
    <x v="14"/>
    <x v="67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4/9)"/>
    <n v="11.864000000000001"/>
    <n v="2.9660000000000002"/>
    <n v="14.83"/>
    <s v="Sessão Faturada"/>
    <n v="952650065111000"/>
    <n v="44404"/>
    <s v="Unidade Vieiralves"/>
    <n v="1703705090"/>
    <m/>
  </r>
  <r>
    <x v="14"/>
    <x v="49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4/9)"/>
    <n v="18.872"/>
    <n v="4.718"/>
    <n v="23.59"/>
    <s v="Sessão Faturada"/>
    <n v="952650065111000"/>
    <n v="44404"/>
    <s v="Unidade Vieiralves"/>
    <n v="1703705949"/>
    <m/>
  </r>
  <r>
    <x v="14"/>
    <x v="35"/>
    <s v="Jose Neuzimar Guedes de Oliveira Regis"/>
    <s v="Masculino"/>
    <x v="5"/>
    <x v="12"/>
    <s v="98860011 - Fisioterapia Complexidade 1 - 04/03/2026 (R$ 53,00)"/>
    <s v="Fisioterapia Pélvica e Neurológica"/>
    <n v="77393460"/>
    <s v="Finalizado (9/10)"/>
    <n v="42.4"/>
    <n v="10.6"/>
    <n v="53"/>
    <s v="Sessão Faturada"/>
    <s v="0100753700001240"/>
    <n v="59306"/>
    <s v="Unidade Vieiralves"/>
    <n v="77393460"/>
    <m/>
  </r>
  <r>
    <x v="14"/>
    <x v="35"/>
    <s v="Dea Ribeiro Margarido"/>
    <s v="Feminino"/>
    <x v="2"/>
    <x v="12"/>
    <s v="20103492 - Fisioterapia - Patologia Em Dois Ou Mais Membros (R$ 14,83)"/>
    <s v="Fisioterapia Pélvica e Neurológica"/>
    <n v="1702676749"/>
    <s v="Finalizado (5/5)"/>
    <n v="11.864000000000001"/>
    <n v="2.9660000000000002"/>
    <n v="14.83"/>
    <s v="Sessão Faturada"/>
    <n v="811010900736010"/>
    <n v="2849"/>
    <s v="Unidade Vieiralves"/>
    <n v="1702676749"/>
    <m/>
  </r>
  <r>
    <x v="14"/>
    <x v="71"/>
    <s v="Jose Neuzimar Guedes de Oliveira Regis"/>
    <s v="Masculino"/>
    <x v="5"/>
    <x v="12"/>
    <s v="31602185 - Estimulação Elétrica Transcutânea (Tens) (R$ 125,40)"/>
    <s v="Fisioterapia Pélvica e Neurológica"/>
    <n v="79228680"/>
    <s v="Finalizado (8/10)"/>
    <n v="100.32"/>
    <n v="25.08"/>
    <n v="125.4"/>
    <s v="Sessão a Faturar"/>
    <s v="0100753700001240"/>
    <n v="59306"/>
    <s v="Unidade Vieiralves"/>
    <n v="79228680"/>
    <m/>
  </r>
  <r>
    <x v="14"/>
    <x v="71"/>
    <s v="Dea Ribeiro Margarido"/>
    <s v="Feminino"/>
    <x v="2"/>
    <x v="12"/>
    <s v="20103115 - Atividade Reflexa Cinesioterápica (R$ 20,81)"/>
    <s v="Fisioterapia Pélvica e Neurológica"/>
    <n v="1702677296"/>
    <s v="Finalizado (5/5)"/>
    <n v="16.648"/>
    <n v="4.1619999999999999"/>
    <n v="20.81"/>
    <s v="Sessão Faturada"/>
    <n v="811010900736010"/>
    <n v="2849"/>
    <s v="Unidade Vieiralves"/>
    <n v="1702677296"/>
    <m/>
  </r>
  <r>
    <x v="14"/>
    <x v="68"/>
    <s v="Amanda Richa Silveira Farias"/>
    <s v="Feminino"/>
    <x v="6"/>
    <x v="12"/>
    <s v="20103476 - Patologia Neurologica (R$ 35,40)"/>
    <s v="Fisioterapia Pélvica e Neurológica"/>
    <n v="169828"/>
    <s v="Finalizado (4/5)"/>
    <n v="28.32"/>
    <n v="7.08"/>
    <n v="35.4"/>
    <s v="Sessão a Faturar"/>
    <s v="54588888019504770035"/>
    <n v="58490"/>
    <s v="Unidade Vieiralves"/>
    <n v="169828"/>
    <m/>
  </r>
  <r>
    <x v="14"/>
    <x v="68"/>
    <s v="Luis Augusto Mitoso"/>
    <s v="Masculino"/>
    <x v="5"/>
    <x v="12"/>
    <s v="98860011 - Fisioterapia Complexidade 1 - 04/03/2026 (R$ 53,00)"/>
    <s v="Fisioterapia Pélvica e Neurológica"/>
    <n v="77433590"/>
    <s v="Finalizado (3/10)"/>
    <n v="42.4"/>
    <n v="10.6"/>
    <n v="53"/>
    <s v="Sessão Faturada"/>
    <s v="0105813305001328"/>
    <n v="52022"/>
    <s v="Unidade Vieiralves"/>
    <n v="77433590"/>
    <m/>
  </r>
  <r>
    <x v="14"/>
    <x v="68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5/10)"/>
    <n v="28"/>
    <n v="7"/>
    <n v="35"/>
    <s v="Sessão Faturada"/>
    <n v="1101013081440300"/>
    <n v="59408"/>
    <s v="Unidade Vieiralves"/>
    <n v="8981670"/>
    <m/>
  </r>
  <r>
    <x v="14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3/10)"/>
    <n v="96.224000000000004"/>
    <n v="24.056000000000001"/>
    <n v="120.28"/>
    <s v="Sessão Faturada"/>
    <s v="0105813305001328"/>
    <n v="52022"/>
    <s v="Unidade Vieiralves"/>
    <n v="77616240"/>
    <m/>
  </r>
  <r>
    <x v="14"/>
    <x v="50"/>
    <s v="Luís Carlos Sales de Oliveira"/>
    <s v="Masculino"/>
    <x v="1"/>
    <x v="12"/>
    <s v="50001078 - Fisioterapia Neurológica (R$ 35,00)"/>
    <s v="Fisioterapia Pélvica e Neurológica"/>
    <n v="9833958"/>
    <s v="Finalizado (1/10)"/>
    <n v="28"/>
    <n v="7"/>
    <n v="35"/>
    <s v="Sessão a Faturar"/>
    <n v="1301013437440100"/>
    <n v="57872"/>
    <s v="Unidade Vieiralves"/>
    <n v="9833958"/>
    <m/>
  </r>
  <r>
    <x v="14"/>
    <x v="50"/>
    <s v="Eduarda Silva Castilho"/>
    <s v="Feminino"/>
    <x v="2"/>
    <x v="12"/>
    <s v="20103670 - Fisioterapia - Pos Operatorio Em Dois Ou Mais Membros (R$ 19,30)"/>
    <s v="Fisioterapia Pélvica e Neurológica"/>
    <n v="1706302379"/>
    <s v="Finalizado (2/5)"/>
    <n v="15.44"/>
    <n v="3.86"/>
    <n v="19.3"/>
    <s v="Sessão Faturada"/>
    <n v="771015041130020"/>
    <n v="45879"/>
    <s v="Unidade Vieiralves"/>
    <n v="1706302379"/>
    <m/>
  </r>
  <r>
    <x v="14"/>
    <x v="72"/>
    <s v="Eduarda Silva Castilho"/>
    <s v="Feminino"/>
    <x v="2"/>
    <x v="12"/>
    <s v="20103115 - Atividade Reflexa Cinesioterápica (R$ 20,81)"/>
    <s v="Fisioterapia Pélvica e Neurológica"/>
    <n v="1706303057"/>
    <s v="Finalizado (2/5)"/>
    <n v="16.648"/>
    <n v="4.1619999999999999"/>
    <n v="20.81"/>
    <s v="Sessão Faturada"/>
    <n v="771015041130020"/>
    <n v="45879"/>
    <s v="Unidade Vieiralves"/>
    <n v="1706303057"/>
    <m/>
  </r>
  <r>
    <x v="14"/>
    <x v="43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3/10)"/>
    <n v="18.872"/>
    <n v="4.718"/>
    <n v="23.59"/>
    <s v="Sessão Faturada"/>
    <n v="773626015709020"/>
    <n v="44569"/>
    <s v="Unidade Vieiralves"/>
    <n v="1703796691"/>
    <m/>
  </r>
  <r>
    <x v="14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3/10)"/>
    <n v="11.864000000000001"/>
    <n v="2.9660000000000002"/>
    <n v="14.83"/>
    <s v="Sessão Faturada"/>
    <n v="773626015709020"/>
    <n v="44569"/>
    <s v="Unidade Vieiralves"/>
    <n v="1703797778"/>
    <m/>
  </r>
  <r>
    <x v="15"/>
    <x v="76"/>
    <s v="Marlene de Souza Rodrigues"/>
    <s v="Feminino"/>
    <x v="2"/>
    <x v="12"/>
    <s v="20103492 - Fisioterapia - Patologia Em Dois Ou Mais Membros (R$ 14,83)"/>
    <s v="Fisioterapia Pélvica e Neurológica"/>
    <n v="1701164744"/>
    <s v="Finalizado (5/5)"/>
    <n v="11.864000000000001"/>
    <n v="2.9660000000000002"/>
    <n v="14.83"/>
    <s v="Sessão Faturada"/>
    <n v="837297600019020"/>
    <n v="16076"/>
    <s v="Unidade Vieiralves"/>
    <n v="1701164744"/>
    <m/>
  </r>
  <r>
    <x v="15"/>
    <x v="36"/>
    <s v="Marlene de Souza Rodrigues"/>
    <s v="Feminino"/>
    <x v="2"/>
    <x v="12"/>
    <s v="20103220 - Fisioterapia Respiratória (R$ 12,22)"/>
    <s v="Fisioterapia Pélvica e Neurológica"/>
    <n v="1701162984"/>
    <s v="Finalizado (5/5)"/>
    <n v="9.7759999999999998"/>
    <n v="2.444"/>
    <n v="12.22"/>
    <s v="Sessão Faturada"/>
    <n v="837297600019020"/>
    <n v="16076"/>
    <s v="Unidade Vieiralves"/>
    <n v="1701162984"/>
    <m/>
  </r>
  <r>
    <x v="15"/>
    <x v="67"/>
    <s v="Rosiane de Souza Silva"/>
    <s v="Feminino"/>
    <x v="2"/>
    <x v="12"/>
    <s v="20103522 - Fisioterapia - Pac Com Dependencia de Vida Diária (R$ 23,59)"/>
    <s v="Fisioterapia Pélvica e Neurológica"/>
    <n v="1706209516"/>
    <s v="Finalizado (2/2)"/>
    <n v="18.872"/>
    <n v="4.718"/>
    <n v="23.59"/>
    <s v="Sessão Faturada"/>
    <n v="830416700094010"/>
    <n v="56546"/>
    <s v="Unidade Vieiralves"/>
    <n v="1706209516"/>
    <m/>
  </r>
  <r>
    <x v="15"/>
    <x v="67"/>
    <s v="Marcos Vinícius Rocha Barbosa"/>
    <m/>
    <x v="8"/>
    <x v="12"/>
    <s v="20103522 - Fisioterapia - Pac Com Dependencia de Vida Diária (R$ 23,59)"/>
    <s v="Fisioterapia Pélvica e Neurológica"/>
    <n v="1706321334"/>
    <s v="Finalizado (2/5)"/>
    <n v="18.872"/>
    <n v="4.718"/>
    <n v="23.59"/>
    <s v="Sessão a Faturar"/>
    <n v="954600005150030"/>
    <n v="59421"/>
    <s v="Unidade Vieiralves"/>
    <n v="1706321334"/>
    <m/>
  </r>
  <r>
    <x v="15"/>
    <x v="67"/>
    <s v="Elvis Enrique Gola Herrera"/>
    <s v="Masculino"/>
    <x v="7"/>
    <x v="12"/>
    <s v="Vieiralves - 2 - Fisioterapia Neurológica - Pacote (R$ 45,00)"/>
    <s v="Fisioterapia Pélvica e Neurológica"/>
    <n v="169043"/>
    <s v="Finalizado (6/10)"/>
    <n v="33.75"/>
    <n v="11.25"/>
    <n v="45"/>
    <s v="Pago"/>
    <s v="00"/>
    <n v="59414"/>
    <s v="Unidade Vieiralves"/>
    <n v="169043"/>
    <m/>
  </r>
  <r>
    <x v="15"/>
    <x v="35"/>
    <s v="Jose Neuzimar Guedes de Oliveira Regis"/>
    <s v="Masculino"/>
    <x v="5"/>
    <x v="12"/>
    <s v="98860011 - Fisioterapia Complexidade 1 - 04/03/2026 (R$ 53,00)"/>
    <s v="Fisioterapia Pélvica e Neurológica"/>
    <n v="77393460"/>
    <s v="Finalizado (10/10)"/>
    <n v="42.4"/>
    <n v="10.6"/>
    <n v="53"/>
    <s v="Sessão Faturada"/>
    <s v="0100753700001240"/>
    <n v="59306"/>
    <s v="Unidade Vieiralves"/>
    <n v="77393460"/>
    <m/>
  </r>
  <r>
    <x v="15"/>
    <x v="35"/>
    <s v="Paulo Pereira da Costa"/>
    <s v="Masculino"/>
    <x v="6"/>
    <x v="12"/>
    <s v="20103360 - Fisioterapia Respiratória (R$ 16,74)"/>
    <s v="Fisioterapia Pélvica e Neurológica"/>
    <n v="170164"/>
    <s v="Finalizado (2/8)"/>
    <n v="13.391999999999999"/>
    <n v="3.3479999999999999"/>
    <n v="16.739999999999998"/>
    <s v="Sessão a Faturar"/>
    <s v="54588888018315470010"/>
    <n v="59048"/>
    <s v="Unidade Vieiralves"/>
    <n v="170164"/>
    <m/>
  </r>
  <r>
    <x v="15"/>
    <x v="71"/>
    <s v="Jose Neuzimar Guedes de Oliveira Regis"/>
    <s v="Masculino"/>
    <x v="5"/>
    <x v="12"/>
    <s v="31602185 - Estimulação Elétrica Transcutânea (Tens) (R$ 125,40)"/>
    <s v="Fisioterapia Pélvica e Neurológica"/>
    <n v="79228680"/>
    <s v="Finalizado (9/10)"/>
    <n v="100.32"/>
    <n v="25.08"/>
    <n v="125.4"/>
    <s v="Sessão a Faturar"/>
    <s v="0100753700001240"/>
    <n v="59306"/>
    <s v="Unidade Vieiralves"/>
    <n v="79228680"/>
    <m/>
  </r>
  <r>
    <x v="15"/>
    <x v="68"/>
    <s v="Walmir Prado de Alencar"/>
    <s v="Masculino"/>
    <x v="1"/>
    <x v="12"/>
    <s v="50000160 - Fisioterapia Ortopédica (R$ 20,00), 98980327 - Taxa de Eletroterapia (Tens) (R$ 15,00)"/>
    <s v="Fisioterapia Pélvica e Neurológica"/>
    <n v="8817715"/>
    <s v="Finalizado (8/10)"/>
    <n v="28"/>
    <n v="7"/>
    <n v="35"/>
    <s v="Sessão Faturada"/>
    <n v="1901013196900100"/>
    <n v="58110"/>
    <s v="Unidade Vieiralves"/>
    <n v="8817715"/>
    <m/>
  </r>
  <r>
    <x v="15"/>
    <x v="68"/>
    <s v="Francisca Pena de Alencar"/>
    <s v="Feminino"/>
    <x v="1"/>
    <x v="12"/>
    <s v="50001078 - Fisioterapia Neurológica (R$ 35,00)"/>
    <s v="Fisioterapia Pélvica e Neurológica"/>
    <n v="8952214"/>
    <s v="Finalizado (4/10)"/>
    <n v="28"/>
    <n v="7"/>
    <n v="35"/>
    <s v="Sessão Faturada"/>
    <n v="1901013196900200"/>
    <n v="58870"/>
    <s v="Unidade Vieiralves"/>
    <n v="8952214"/>
    <m/>
  </r>
  <r>
    <x v="15"/>
    <x v="68"/>
    <s v="Albertina Renata da Altona"/>
    <s v="Feminino"/>
    <x v="2"/>
    <x v="12"/>
    <s v="20103514 - Fisioterapia - Patologia Em Diferentes Segmentos da Coluna (R$ 14,83)"/>
    <s v="Fisioterapia Pélvica e Neurológica"/>
    <n v="1703291052"/>
    <s v="Finalizado (4/5)"/>
    <n v="11.864000000000001"/>
    <n v="2.9660000000000002"/>
    <n v="14.83"/>
    <s v="Sessão Faturada"/>
    <n v="982870069531010"/>
    <n v="59424"/>
    <s v="Unidade Vieiralves"/>
    <n v="1703291052"/>
    <m/>
  </r>
  <r>
    <x v="15"/>
    <x v="37"/>
    <s v="Albertina Renata da Altona"/>
    <s v="Feminino"/>
    <x v="2"/>
    <x v="12"/>
    <s v="20103115 - Atividade Reflexa Cinesioterápica (R$ 20,81)"/>
    <s v="Fisioterapia Pélvica e Neurológica"/>
    <n v="1703296414"/>
    <s v="Finalizado (4/5)"/>
    <n v="16.648"/>
    <n v="4.1619999999999999"/>
    <n v="20.81"/>
    <s v="Sessão Faturada"/>
    <n v="982870069531010"/>
    <n v="59424"/>
    <s v="Unidade Vieiralves"/>
    <n v="1703296414"/>
    <m/>
  </r>
  <r>
    <x v="15"/>
    <x v="43"/>
    <s v="Ruth Fonseca Ferreira"/>
    <s v="Feminino"/>
    <x v="1"/>
    <x v="12"/>
    <s v="50001078 - Fisioterapia Neurológica (R$ 35,00)"/>
    <s v="Fisioterapia Pélvica e Neurológica"/>
    <n v="9109557"/>
    <s v="Finalizado (2/10)"/>
    <n v="28"/>
    <n v="7"/>
    <n v="35"/>
    <s v="Sessão Faturada"/>
    <n v="2001013987170000"/>
    <n v="58474"/>
    <s v="Unidade Vieiralves"/>
    <n v="9109557"/>
    <m/>
  </r>
  <r>
    <x v="15"/>
    <x v="43"/>
    <s v="Terezinha Taveira do Nascimento"/>
    <s v="Feminino"/>
    <x v="28"/>
    <x v="12"/>
    <s v="20103476 - Fisioterapia Neurológica (R$ 55,00)"/>
    <s v="Fisioterapia Pélvica e Neurológica"/>
    <m/>
    <s v="Finalizado (1/1)"/>
    <n v="44"/>
    <n v="11"/>
    <n v="55"/>
    <s v="Sessão a Faturar"/>
    <s v="01109642038"/>
    <n v="59373"/>
    <s v="Unidade Vieiralves"/>
    <m/>
    <m/>
  </r>
  <r>
    <x v="16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3/10)"/>
    <n v="25.824000000000002"/>
    <n v="6.4560000000000004"/>
    <n v="32.28"/>
    <s v="Sessão Faturada"/>
    <s v="00010300011479012"/>
    <n v="17283"/>
    <s v="Unidade Vieiralves"/>
    <n v="13530866"/>
    <m/>
  </r>
  <r>
    <x v="16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3/10)"/>
    <n v="21.64"/>
    <n v="5.41"/>
    <n v="27.05"/>
    <s v="Sessão Faturada"/>
    <n v="952480013550000"/>
    <n v="14121"/>
    <s v="Unidade Vieiralves"/>
    <n v="1704651988"/>
    <m/>
  </r>
  <r>
    <x v="16"/>
    <x v="76"/>
    <s v="Marcelo Santos Barbalho"/>
    <s v="Masculino"/>
    <x v="1"/>
    <x v="12"/>
    <s v="50001078 - Fisioterapia Neurológica (R$ 35,00)"/>
    <s v="Fisioterapia Pélvica e Neurológica"/>
    <n v="9587413"/>
    <s v="Finalizado (4/10)"/>
    <n v="28"/>
    <n v="7"/>
    <n v="35"/>
    <s v="Sessão Faturada"/>
    <s v="0901012963990065"/>
    <n v="36042"/>
    <s v="Unidade Vieiralves"/>
    <n v="9587413"/>
    <m/>
  </r>
  <r>
    <x v="16"/>
    <x v="36"/>
    <s v="Raimunda Monteiro Rocha"/>
    <s v="Feminino"/>
    <x v="2"/>
    <x v="12"/>
    <s v="20103115 - Atividade Reflexa Cinesioterápica (R$ 20,81)"/>
    <s v="Fisioterapia Pélvica e Neurológica"/>
    <n v="1704652634"/>
    <s v="Finalizado (3/4)"/>
    <n v="16.648"/>
    <n v="4.1619999999999999"/>
    <n v="20.81"/>
    <s v="Sessão Faturada"/>
    <n v="952480013550000"/>
    <n v="14121"/>
    <s v="Unidade Vieiralves"/>
    <n v="1704652634"/>
    <m/>
  </r>
  <r>
    <x v="16"/>
    <x v="67"/>
    <s v="Elvis Enrique Gola Herrera"/>
    <s v="Masculino"/>
    <x v="7"/>
    <x v="12"/>
    <s v="Vieiralves - 2 - Fisioterapia Neurológica - Pacote (R$ 45,00)"/>
    <s v="Fisioterapia Pélvica e Neurológica"/>
    <n v="169043"/>
    <s v="Finalizado (7/10)"/>
    <n v="33.75"/>
    <n v="11.25"/>
    <n v="45"/>
    <s v="Pago"/>
    <s v="00"/>
    <n v="59414"/>
    <s v="Unidade Vieiralves"/>
    <n v="169043"/>
    <m/>
  </r>
  <r>
    <x v="16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4/10)"/>
    <n v="28"/>
    <n v="7"/>
    <n v="35"/>
    <s v="Sessão Faturada"/>
    <s v="0901012792890010"/>
    <n v="54879"/>
    <s v="Unidade Vieiralves"/>
    <n v="9077422"/>
    <m/>
  </r>
  <r>
    <x v="16"/>
    <x v="35"/>
    <s v="Dea Ribeiro Margarido"/>
    <s v="Feminino"/>
    <x v="2"/>
    <x v="12"/>
    <s v="20103492 - Fisioterapia - Patologia Em Dois Ou Mais Membros (R$ 14,83)"/>
    <s v="Fisioterapia Pélvica e Neurológica"/>
    <n v="1707801966"/>
    <s v="Finalizado (1/2)"/>
    <n v="11.864000000000001"/>
    <n v="2.9660000000000002"/>
    <n v="14.83"/>
    <s v="Sessão Faturada"/>
    <n v="811010900736010"/>
    <n v="2849"/>
    <s v="Unidade Vieiralves"/>
    <n v="1707801966"/>
    <m/>
  </r>
  <r>
    <x v="16"/>
    <x v="35"/>
    <s v="Lia Melissa do Nascimento Bentes"/>
    <s v="Feminino"/>
    <x v="3"/>
    <x v="12"/>
    <s v="0007 - Fisioterapia Ped - Neuro- Resp- Por Sessão (R$ 90,00)"/>
    <s v="Fisioterapia Pélvica e Neurológica"/>
    <s v="00"/>
    <s v="Finalizado (1/1)"/>
    <n v="67.5"/>
    <n v="22.5"/>
    <n v="90"/>
    <s v="Sessão a Faturar"/>
    <s v="0000"/>
    <n v="56530"/>
    <s v="Unidade Vieiralves"/>
    <s v="00"/>
    <m/>
  </r>
  <r>
    <x v="16"/>
    <x v="71"/>
    <s v="Dea Ribeiro Margarido"/>
    <s v="Feminino"/>
    <x v="2"/>
    <x v="12"/>
    <s v="20103115 - Atividade Reflexa Cinesioterápica (R$ 20,81)"/>
    <s v="Fisioterapia Pélvica e Neurológica"/>
    <n v="1707802878"/>
    <s v="Finalizado (1/2)"/>
    <n v="16.648"/>
    <n v="4.1619999999999999"/>
    <n v="20.81"/>
    <s v="Sessão Faturada"/>
    <n v="811010900736010"/>
    <n v="2849"/>
    <s v="Unidade Vieiralves"/>
    <n v="1707802878"/>
    <m/>
  </r>
  <r>
    <x v="16"/>
    <x v="68"/>
    <s v="Walmir Prado de Alencar"/>
    <s v="Masculino"/>
    <x v="1"/>
    <x v="12"/>
    <s v="50000160 - Fisioterapia Ortopédica (R$ 20,00), 98980327 - Taxa de Eletroterapia (Tens) (R$ 15,00)"/>
    <s v="Fisioterapia Pélvica e Neurológica"/>
    <n v="8817715"/>
    <s v="Finalizado (9/10)"/>
    <n v="28"/>
    <n v="7"/>
    <n v="35"/>
    <s v="Sessão Faturada"/>
    <n v="1901013196900100"/>
    <n v="58110"/>
    <s v="Unidade Vieiralves"/>
    <n v="8817715"/>
    <m/>
  </r>
  <r>
    <x v="16"/>
    <x v="68"/>
    <s v="Francisca Pena de Alencar"/>
    <s v="Feminino"/>
    <x v="1"/>
    <x v="12"/>
    <s v="50001078 - Fisioterapia Neurológica (R$ 35,00)"/>
    <s v="Fisioterapia Pélvica e Neurológica"/>
    <n v="8952214"/>
    <s v="Finalizado (5/10)"/>
    <n v="28"/>
    <n v="7"/>
    <n v="35"/>
    <s v="Sessão Faturada"/>
    <n v="1901013196900200"/>
    <n v="58870"/>
    <s v="Unidade Vieiralves"/>
    <n v="8952214"/>
    <m/>
  </r>
  <r>
    <x v="16"/>
    <x v="68"/>
    <s v="Amanda Richa Silveira Farias"/>
    <s v="Feminino"/>
    <x v="6"/>
    <x v="12"/>
    <s v="20103476 - Patologia Neurologica (R$ 35,40)"/>
    <s v="Fisioterapia Pélvica e Neurológica"/>
    <n v="169828"/>
    <s v="Finalizado (5/5)"/>
    <n v="28.32"/>
    <n v="7.08"/>
    <n v="35.4"/>
    <s v="Sessão a Faturar"/>
    <s v="54588888019504770035"/>
    <n v="58490"/>
    <s v="Unidade Vieiralves"/>
    <n v="169828"/>
    <m/>
  </r>
  <r>
    <x v="16"/>
    <x v="50"/>
    <s v="Luis Augusto Mitoso"/>
    <s v="Masculino"/>
    <x v="5"/>
    <x v="12"/>
    <s v="98860011 - Fisioterapia Complexidade 1 - 04/03/2026 (R$ 53,00)"/>
    <s v="Fisioterapia Pélvica e Neurológica"/>
    <n v="77433590"/>
    <s v="Finalizado (4/10)"/>
    <n v="42.4"/>
    <n v="10.6"/>
    <n v="53"/>
    <s v="Sessão Faturada"/>
    <s v="0105813305001328"/>
    <n v="52022"/>
    <s v="Unidade Vieiralves"/>
    <n v="77433590"/>
    <m/>
  </r>
  <r>
    <x v="16"/>
    <x v="72"/>
    <s v="Luis Augusto Mitoso"/>
    <s v="Masculino"/>
    <x v="5"/>
    <x v="12"/>
    <s v="31602185 - Estimulação Elétrica Transcutânea (Tens) - 04/03/2026 (R$ 120,28)"/>
    <s v="Fisioterapia Pélvica e Neurológica"/>
    <n v="77616240"/>
    <s v="Finalizado (4/10)"/>
    <n v="96.224000000000004"/>
    <n v="24.056000000000001"/>
    <n v="120.28"/>
    <s v="Sessão Faturada"/>
    <s v="0105813305001328"/>
    <n v="52022"/>
    <s v="Unidade Vieiralves"/>
    <n v="77616240"/>
    <m/>
  </r>
  <r>
    <x v="16"/>
    <x v="43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4/10)"/>
    <n v="18.872"/>
    <n v="4.718"/>
    <n v="23.59"/>
    <s v="Sessão Faturada"/>
    <n v="773626015709020"/>
    <n v="44569"/>
    <s v="Unidade Vieiralves"/>
    <n v="1703796691"/>
    <m/>
  </r>
  <r>
    <x v="16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4/10)"/>
    <n v="11.864000000000001"/>
    <n v="2.9660000000000002"/>
    <n v="14.83"/>
    <s v="Sessão Faturada"/>
    <n v="773626015709020"/>
    <n v="44569"/>
    <s v="Unidade Vieiralves"/>
    <n v="1703797778"/>
    <m/>
  </r>
  <r>
    <x v="21"/>
    <x v="44"/>
    <s v="Katiuscia Rodrigues Leao"/>
    <s v="Feminino"/>
    <x v="8"/>
    <x v="12"/>
    <s v="20103115 - Atividade Reflexa Cinesioterápica (R$ 20,81)"/>
    <s v="Fisioterapia Pélvica e Neurológica"/>
    <n v="1708215612"/>
    <s v="Finalizado (1/2)"/>
    <n v="16.648"/>
    <n v="4.1619999999999999"/>
    <n v="20.81"/>
    <s v="Sessão a Faturar"/>
    <n v="954600007552000"/>
    <n v="30052"/>
    <s v="Unidade Vieiralves"/>
    <n v="1708215612"/>
    <m/>
  </r>
  <r>
    <x v="21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1/10)"/>
    <n v="11.864000000000001"/>
    <n v="2.9660000000000002"/>
    <n v="14.83"/>
    <s v="Sessão Faturada"/>
    <n v="954600007552000"/>
    <n v="30052"/>
    <s v="Unidade Vieiralves"/>
    <n v="1708215105"/>
    <m/>
  </r>
  <r>
    <x v="21"/>
    <x v="67"/>
    <s v="Luiz Alberto  Monjeló Bisneto"/>
    <m/>
    <x v="2"/>
    <x v="12"/>
    <s v="20103514 - Fisioterapia - Patologia Em Diferentes Segmentos da Coluna (R$ 14,83)"/>
    <s v="Fisioterapia Pélvica e Neurológica"/>
    <n v="1705192210"/>
    <s v="Finalizado (2/2)"/>
    <n v="11.864000000000001"/>
    <n v="2.9660000000000002"/>
    <n v="14.83"/>
    <s v="Sessão Faturada"/>
    <n v="812094300132030"/>
    <n v="59175"/>
    <s v="Unidade Vieiralves"/>
    <n v="1705192210"/>
    <m/>
  </r>
  <r>
    <x v="21"/>
    <x v="49"/>
    <s v="Luiz Alberto  Monjeló Bisneto"/>
    <m/>
    <x v="2"/>
    <x v="12"/>
    <s v="20103115 - Atividade Reflexa Cinesioterápica (R$ 20,81)"/>
    <s v="Fisioterapia Pélvica e Neurológica"/>
    <n v="1705190400"/>
    <s v="Finalizado (2/2)"/>
    <n v="16.648"/>
    <n v="4.1619999999999999"/>
    <n v="20.81"/>
    <s v="Sessão Faturada"/>
    <n v="812094300132030"/>
    <n v="59175"/>
    <s v="Unidade Vieiralves"/>
    <n v="1705190400"/>
    <m/>
  </r>
  <r>
    <x v="21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6/10)"/>
    <n v="28"/>
    <n v="7"/>
    <n v="35"/>
    <s v="Sessão Faturada"/>
    <n v="1101013081440300"/>
    <n v="59408"/>
    <s v="Unidade Vieiralves"/>
    <n v="8981670"/>
    <m/>
  </r>
  <r>
    <x v="21"/>
    <x v="35"/>
    <s v="Marcos Vinícius Rocha Barbosa"/>
    <m/>
    <x v="8"/>
    <x v="12"/>
    <s v="20103522 - Fisioterapia - Pac Com Dependencia de Vida Diária (R$ 23,59)"/>
    <s v="Fisioterapia Pélvica e Neurológica"/>
    <n v="1706321334"/>
    <s v="Finalizado (3/5)"/>
    <n v="18.872"/>
    <n v="4.718"/>
    <n v="23.59"/>
    <s v="Sessão a Faturar"/>
    <n v="954600005150030"/>
    <n v="59421"/>
    <s v="Unidade Vieiralves"/>
    <n v="1706321334"/>
    <m/>
  </r>
  <r>
    <x v="21"/>
    <x v="35"/>
    <s v="Andrielly Lima de Almeida"/>
    <s v="Feminino"/>
    <x v="7"/>
    <x v="12"/>
    <s v="Part Convenio - 9 - Fisioterapia Ortopédica- Sessão (R$ 60,00)"/>
    <s v="Fisioterapia Pélvica e Neurológica"/>
    <m/>
    <s v="Finalizado (1/1)"/>
    <n v="45"/>
    <n v="15"/>
    <n v="60"/>
    <s v="Pago"/>
    <s v="00"/>
    <n v="59563"/>
    <s v="Unidade Vieiralves"/>
    <m/>
    <m/>
  </r>
  <r>
    <x v="21"/>
    <x v="68"/>
    <s v="Marcelo Santos Barbalho"/>
    <s v="Masculino"/>
    <x v="1"/>
    <x v="12"/>
    <s v="50001078 - Fisioterapia Neurológica (R$ 35,00)"/>
    <s v="Fisioterapia Pélvica e Neurológica"/>
    <n v="9587413"/>
    <s v="Finalizado (5/10)"/>
    <n v="28"/>
    <n v="7"/>
    <n v="35"/>
    <s v="Sessão Faturada"/>
    <s v="0901012963990065"/>
    <n v="36042"/>
    <s v="Unidade Vieiralves"/>
    <n v="9587413"/>
    <m/>
  </r>
  <r>
    <x v="21"/>
    <x v="68"/>
    <s v="Emanuele Gurgel de Freitas Melo da Silva"/>
    <s v="Feminino"/>
    <x v="1"/>
    <x v="12"/>
    <s v="50001078 - Fisioterapia Neurológica (R$ 35,00)"/>
    <s v="Fisioterapia Pélvica e Neurológica"/>
    <n v="8317944"/>
    <s v="Não compareceu (8/10)"/>
    <n v="35"/>
    <n v="0"/>
    <n v="35"/>
    <s v="Sessão Faturada"/>
    <n v="1901013438340500"/>
    <n v="58987"/>
    <s v="Unidade Vieiralves"/>
    <n v="8317944"/>
    <m/>
  </r>
  <r>
    <x v="21"/>
    <x v="68"/>
    <s v="Paulo Henrique de Carvalho"/>
    <s v="Masculino"/>
    <x v="1"/>
    <x v="12"/>
    <s v="50000160 - Fisioterapia Ortopédica (R$ 20,00), 50001078 - Fisioterapia Neurológica (R$ 35,00)"/>
    <s v="Fisioterapia Pélvica e Neurológica"/>
    <n v="8809523"/>
    <s v="Finalizado (10/10)"/>
    <n v="44"/>
    <n v="11"/>
    <n v="55"/>
    <s v="Sessão Faturada"/>
    <s v="0901014133180075"/>
    <n v="59311"/>
    <s v="Unidade Vieiralves"/>
    <n v="8809523"/>
    <s v="Guia assinada!"/>
  </r>
  <r>
    <x v="21"/>
    <x v="50"/>
    <s v="Ygor Luccas Sugai Auzier da Silva"/>
    <m/>
    <x v="8"/>
    <x v="12"/>
    <s v="20103484 - Patologia Em Um Membro (R$ 12,22)"/>
    <s v="Fisioterapia Pélvica e Neurológica"/>
    <n v="1724913128"/>
    <s v="Finalizado (1/4)"/>
    <n v="9.7759999999999998"/>
    <n v="2.444"/>
    <n v="12.22"/>
    <s v="Sessão a Faturar"/>
    <n v="954600000450020"/>
    <n v="56735"/>
    <s v="Unidade Vieiralves"/>
    <n v="1724913128"/>
    <m/>
  </r>
  <r>
    <x v="21"/>
    <x v="50"/>
    <s v="Ygor Luccas Sugai Auzier da Silva"/>
    <m/>
    <x v="8"/>
    <x v="12"/>
    <s v="50000144 - Consulta de Fisioterapia (R$ 51,42)"/>
    <s v="Fisioterapia Pélvica e Neurológica"/>
    <n v="1708347771"/>
    <s v="Finalizado (1/1)"/>
    <n v="46.277999999999999"/>
    <n v="5.1420000000000003"/>
    <n v="51.42"/>
    <s v="Sessão Faturada"/>
    <n v="954600000450020"/>
    <n v="56735"/>
    <s v="Unidade Vieiralves"/>
    <n v="1708347771"/>
    <m/>
  </r>
  <r>
    <x v="21"/>
    <x v="43"/>
    <s v="Ruth Fonseca Ferreira"/>
    <s v="Feminino"/>
    <x v="1"/>
    <x v="12"/>
    <s v="50001078 - Fisioterapia Neurológica (R$ 35,00)"/>
    <s v="Fisioterapia Pélvica e Neurológica"/>
    <n v="9109557"/>
    <s v="Finalizado (3/10)"/>
    <n v="28"/>
    <n v="7"/>
    <n v="35"/>
    <s v="Sessão Faturada"/>
    <n v="2001013987170000"/>
    <n v="58474"/>
    <s v="Unidade Vieiralves"/>
    <n v="9109557"/>
    <m/>
  </r>
  <r>
    <x v="17"/>
    <x v="44"/>
    <s v="Odenir Pereira de Faria"/>
    <s v="Masculino"/>
    <x v="1"/>
    <x v="12"/>
    <s v="50001078 - Fisioterapia Neurológica (R$ 35,00)"/>
    <s v="Fisioterapia Pélvica e Neurológica"/>
    <n v="9226513"/>
    <s v="Finalizado (1/10)"/>
    <n v="28"/>
    <n v="7"/>
    <n v="35"/>
    <s v="Sessão a Faturar"/>
    <s v="0701011481330093"/>
    <n v="59350"/>
    <s v="Unidade Vieiralves"/>
    <n v="9226513"/>
    <m/>
  </r>
  <r>
    <x v="17"/>
    <x v="76"/>
    <s v="Marcelo Santos Barbalho"/>
    <s v="Masculino"/>
    <x v="1"/>
    <x v="12"/>
    <s v="50001078 - Fisioterapia Neurológica (R$ 35,00)"/>
    <s v="Fisioterapia Pélvica e Neurológica"/>
    <n v="9587413"/>
    <s v="Finalizado (6/10)"/>
    <n v="28"/>
    <n v="7"/>
    <n v="35"/>
    <s v="Sessão Faturada"/>
    <s v="0901012963990065"/>
    <n v="36042"/>
    <s v="Unidade Vieiralves"/>
    <n v="9587413"/>
    <m/>
  </r>
  <r>
    <x v="17"/>
    <x v="76"/>
    <s v="Yedda Crisafera de Lima Figueira"/>
    <s v="Feminino"/>
    <x v="25"/>
    <x v="12"/>
    <s v="50000179 - Fisioterapia Respiratória (R$ 18,29)"/>
    <s v="Fisioterapia"/>
    <n v="143215"/>
    <s v="Finalizado (3/10)"/>
    <n v="14.632"/>
    <n v="3.6579999999999999"/>
    <n v="18.29"/>
    <s v="Sessão Faturada"/>
    <n v="33301"/>
    <n v="3132"/>
    <s v="Unidade Vieiralves"/>
    <n v="143215"/>
    <m/>
  </r>
  <r>
    <x v="17"/>
    <x v="76"/>
    <s v="Eduarda Lieny Mota de Sá"/>
    <m/>
    <x v="7"/>
    <x v="12"/>
    <s v="Vieiralves - 2 - Fisioterapia Neurológica - Pacote (R$ 45,00)"/>
    <s v="Fisioterapia Pélvica e Neurológica"/>
    <n v="170955"/>
    <s v="Finalizado (1/10)"/>
    <n v="33.75"/>
    <n v="11.25"/>
    <n v="45"/>
    <s v="Pago"/>
    <s v="00"/>
    <n v="59557"/>
    <s v="Unidade Vieiralves"/>
    <n v="170955"/>
    <m/>
  </r>
  <r>
    <x v="17"/>
    <x v="36"/>
    <s v="Yedda Crisafera de Lima Figueira"/>
    <s v="Feminino"/>
    <x v="25"/>
    <x v="12"/>
    <s v="50000152 - Fisioterapia Neurológica (R$ 19,72)"/>
    <s v="Fisioterapia"/>
    <n v="143217"/>
    <s v="Finalizado (3/10)"/>
    <n v="15.776"/>
    <n v="3.944"/>
    <n v="19.72"/>
    <s v="Sessão Faturada"/>
    <n v="33301"/>
    <n v="3132"/>
    <s v="Unidade Vieiralves"/>
    <n v="143217"/>
    <m/>
  </r>
  <r>
    <x v="17"/>
    <x v="67"/>
    <s v="Marcos Vinícius Rocha Barbosa"/>
    <m/>
    <x v="8"/>
    <x v="12"/>
    <s v="20103522 - Fisioterapia - Pac Com Dependencia de Vida Diária (R$ 23,59)"/>
    <s v="Fisioterapia Pélvica e Neurológica"/>
    <n v="1706321334"/>
    <s v="Finalizado (4/5)"/>
    <n v="18.872"/>
    <n v="4.718"/>
    <n v="23.59"/>
    <s v="Sessão a Faturar"/>
    <n v="954600005150030"/>
    <n v="59421"/>
    <s v="Unidade Vieiralves"/>
    <n v="1706321334"/>
    <m/>
  </r>
  <r>
    <x v="17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5/10)"/>
    <n v="28"/>
    <n v="7"/>
    <n v="35"/>
    <s v="Sessão Faturada"/>
    <s v="0901012792890010"/>
    <n v="54879"/>
    <s v="Unidade Vieiralves"/>
    <n v="9077422"/>
    <m/>
  </r>
  <r>
    <x v="17"/>
    <x v="35"/>
    <s v="Ana Clara Froes Leite"/>
    <s v="Feminino"/>
    <x v="8"/>
    <x v="12"/>
    <s v="50000144 - Consulta de Fisioterapia (R$ 51,42)"/>
    <s v="Fisioterapia Pélvica e Neurológica"/>
    <n v="1708920634"/>
    <s v="Finalizado (1/1)"/>
    <n v="46.277999999999999"/>
    <n v="5.1420000000000003"/>
    <n v="51.42"/>
    <s v="Sessão Faturada"/>
    <n v="954600022691040"/>
    <n v="47756"/>
    <s v="Unidade Vieiralves"/>
    <n v="1708920634"/>
    <m/>
  </r>
  <r>
    <x v="17"/>
    <x v="35"/>
    <s v="Dea Ribeiro Margarido"/>
    <s v="Feminino"/>
    <x v="2"/>
    <x v="12"/>
    <s v="20103115 - Atividade Reflexa Cinesioterápica (R$ 20,81)"/>
    <s v="Fisioterapia Pélvica e Neurológica"/>
    <n v="1707802878"/>
    <s v="Finalizado (2/2)"/>
    <n v="16.648"/>
    <n v="4.1619999999999999"/>
    <n v="20.81"/>
    <s v="Sessão Faturada"/>
    <n v="811010900736010"/>
    <n v="2849"/>
    <s v="Unidade Vieiralves"/>
    <n v="1707802878"/>
    <m/>
  </r>
  <r>
    <x v="17"/>
    <x v="35"/>
    <s v="Paulo Pereira da Costa"/>
    <s v="Masculino"/>
    <x v="6"/>
    <x v="12"/>
    <s v="20103360 - Fisioterapia Respiratória (R$ 16,74)"/>
    <s v="Fisioterapia Pélvica e Neurológica"/>
    <n v="170164"/>
    <s v="Finalizado (3/8)"/>
    <n v="13.391999999999999"/>
    <n v="3.3479999999999999"/>
    <n v="16.739999999999998"/>
    <s v="Sessão a Faturar"/>
    <s v="54588888018315470010"/>
    <n v="59048"/>
    <s v="Unidade Vieiralves"/>
    <n v="170164"/>
    <m/>
  </r>
  <r>
    <x v="17"/>
    <x v="35"/>
    <s v="Dea Ribeiro Margarido"/>
    <s v="Feminino"/>
    <x v="2"/>
    <x v="12"/>
    <s v="20103492 - Fisioterapia - Patologia Em Dois Ou Mais Membros (R$ 14,83)"/>
    <s v="Fisioterapia Pélvica e Neurológica"/>
    <n v="1707801966"/>
    <s v="Finalizado (2/2)"/>
    <n v="11.864000000000001"/>
    <n v="2.9660000000000002"/>
    <n v="14.83"/>
    <s v="Sessão Faturada"/>
    <n v="811010900736010"/>
    <n v="2849"/>
    <s v="Unidade Vieiralves"/>
    <n v="1707801966"/>
    <m/>
  </r>
  <r>
    <x v="17"/>
    <x v="42"/>
    <s v="Ana Clara Froes Leite"/>
    <s v="Feminino"/>
    <x v="8"/>
    <x v="12"/>
    <s v="20103514 - Patologia Em Diferentes Segmentos da Coluna (R$ 14,83)"/>
    <s v="Fisioterapia Pélvica e Neurológica"/>
    <n v="1708921407"/>
    <s v="Finalizado (1/5)"/>
    <n v="11.864000000000001"/>
    <n v="2.9660000000000002"/>
    <n v="14.83"/>
    <s v="Sessão Faturada"/>
    <n v="954600022691040"/>
    <n v="47756"/>
    <s v="Unidade Vieiralves"/>
    <n v="1708921407"/>
    <m/>
  </r>
  <r>
    <x v="17"/>
    <x v="79"/>
    <s v="Ana Clara Froes Leite"/>
    <s v="Feminino"/>
    <x v="8"/>
    <x v="12"/>
    <s v="20103522 - Fisioterapia - Pac Com Dependencia de Vida Diária (R$ 23,59)"/>
    <s v="Fisioterapia Pélvica e Neurológica"/>
    <n v="1708923929"/>
    <s v="Finalizado (1/3)"/>
    <n v="18.872"/>
    <n v="4.718"/>
    <n v="23.59"/>
    <s v="Sessão Faturada"/>
    <n v="954600022691040"/>
    <n v="47756"/>
    <s v="Unidade Vieiralves"/>
    <n v="1708923929"/>
    <m/>
  </r>
  <r>
    <x v="17"/>
    <x v="68"/>
    <s v="Luis Augusto Mitoso"/>
    <s v="Masculino"/>
    <x v="5"/>
    <x v="12"/>
    <s v="31602185 - Estimulação Elétrica Transcutânea (Tens) - 04/03/2026 (R$ 120,28)"/>
    <s v="Fisioterapia Pélvica e Neurológica"/>
    <n v="77616240"/>
    <s v="Finalizado (5/10)"/>
    <n v="96.224000000000004"/>
    <n v="24.056000000000001"/>
    <n v="120.28"/>
    <s v="Sessão Faturada"/>
    <s v="0105813305001328"/>
    <n v="52022"/>
    <s v="Unidade Vieiralves"/>
    <n v="77616240"/>
    <m/>
  </r>
  <r>
    <x v="17"/>
    <x v="68"/>
    <s v="Amanda Richa Silveira Farias"/>
    <s v="Feminino"/>
    <x v="6"/>
    <x v="12"/>
    <s v="20103476 - Patologia Neurologica (R$ 35,40)"/>
    <s v="Fisioterapia Pélvica e Neurológica"/>
    <n v="170967"/>
    <s v="Finalizado (1/10)"/>
    <n v="28.32"/>
    <n v="7.08"/>
    <n v="35.4"/>
    <s v="Sessão a Faturar"/>
    <s v="54588888019504770035"/>
    <n v="58490"/>
    <s v="Unidade Vieiralves"/>
    <n v="170967"/>
    <m/>
  </r>
  <r>
    <x v="17"/>
    <x v="68"/>
    <s v="Luis Augusto Mitoso"/>
    <s v="Masculino"/>
    <x v="5"/>
    <x v="12"/>
    <s v="98860011 - Fisioterapia Complexidade 1 - 04/03/2026 (R$ 53,00)"/>
    <s v="Fisioterapia Pélvica e Neurológica"/>
    <n v="77433590"/>
    <s v="Finalizado (5/10)"/>
    <n v="42.4"/>
    <n v="10.6"/>
    <n v="53"/>
    <s v="Sessão Faturada"/>
    <s v="0105813305001328"/>
    <n v="52022"/>
    <s v="Unidade Vieiralves"/>
    <n v="77433590"/>
    <m/>
  </r>
  <r>
    <x v="17"/>
    <x v="50"/>
    <s v="Luís Carlos Sales de Oliveira"/>
    <s v="Masculino"/>
    <x v="1"/>
    <x v="12"/>
    <s v="50001078 - Fisioterapia Neurológica (R$ 35,00)"/>
    <s v="Fisioterapia Pélvica e Neurológica"/>
    <n v="9833958"/>
    <s v="Finalizado (2/10)"/>
    <n v="28"/>
    <n v="7"/>
    <n v="35"/>
    <s v="Sessão a Faturar"/>
    <n v="1301013437440100"/>
    <n v="57872"/>
    <s v="Unidade Vieiralves"/>
    <n v="9833958"/>
    <m/>
  </r>
  <r>
    <x v="17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1/10)"/>
    <n v="39.776000000000003"/>
    <n v="9.9440000000000008"/>
    <n v="49.72"/>
    <s v="Sessão a Faturar"/>
    <s v="010962004503"/>
    <n v="54390"/>
    <s v="Unidade Vieiralves"/>
    <s v="42263120260303393761"/>
    <m/>
  </r>
  <r>
    <x v="17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1/10)"/>
    <n v="43.304000000000002"/>
    <n v="10.826000000000001"/>
    <n v="54.13"/>
    <s v="Sessão a Faturar"/>
    <s v="010962004503"/>
    <n v="54390"/>
    <s v="Unidade Vieiralves"/>
    <s v="42263120260303393869"/>
    <m/>
  </r>
  <r>
    <x v="17"/>
    <x v="43"/>
    <s v="Eduarda Silva Castilho"/>
    <s v="Feminino"/>
    <x v="2"/>
    <x v="12"/>
    <s v="20103670 - Fisioterapia - Pos Operatorio Em Dois Ou Mais Membros (R$ 19,30)"/>
    <s v="Fisioterapia Pélvica e Neurológica"/>
    <n v="1706302379"/>
    <s v="Finalizado (3/5)"/>
    <n v="15.44"/>
    <n v="3.86"/>
    <n v="19.3"/>
    <s v="Sessão Faturada"/>
    <n v="771015041130020"/>
    <n v="45879"/>
    <s v="Unidade Vieiralves"/>
    <n v="1706302379"/>
    <m/>
  </r>
  <r>
    <x v="17"/>
    <x v="43"/>
    <s v="Ruth Fonseca Ferreira"/>
    <s v="Feminino"/>
    <x v="1"/>
    <x v="12"/>
    <s v="50001078 - Fisioterapia Neurológica (R$ 35,00)"/>
    <s v="Fisioterapia Pélvica e Neurológica"/>
    <n v="9109557"/>
    <s v="Finalizado (4/10)"/>
    <n v="28"/>
    <n v="7"/>
    <n v="35"/>
    <s v="Sessão Faturada"/>
    <n v="2001013987170000"/>
    <n v="58474"/>
    <s v="Unidade Vieiralves"/>
    <n v="9109557"/>
    <m/>
  </r>
  <r>
    <x v="17"/>
    <x v="77"/>
    <s v="Eduarda Silva Castilho"/>
    <s v="Feminino"/>
    <x v="2"/>
    <x v="12"/>
    <s v="20103115 - Atividade Reflexa Cinesioterápica (R$ 20,81)"/>
    <s v="Fisioterapia Pélvica e Neurológica"/>
    <n v="1706303057"/>
    <s v="Finalizado (3/5)"/>
    <n v="16.648"/>
    <n v="4.1619999999999999"/>
    <n v="20.81"/>
    <s v="Sessão Faturada"/>
    <n v="771015041130020"/>
    <n v="45879"/>
    <s v="Unidade Vieiralves"/>
    <n v="1706303057"/>
    <m/>
  </r>
  <r>
    <x v="18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2/10)"/>
    <n v="11.864000000000001"/>
    <n v="2.9660000000000002"/>
    <n v="14.83"/>
    <s v="Sessão Faturada"/>
    <n v="954600007552000"/>
    <n v="30052"/>
    <s v="Unidade Vieiralves"/>
    <n v="1708215105"/>
    <m/>
  </r>
  <r>
    <x v="18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4/10)"/>
    <n v="25.824000000000002"/>
    <n v="6.4560000000000004"/>
    <n v="32.28"/>
    <s v="Sessão Faturada"/>
    <s v="00010300011479012"/>
    <n v="17283"/>
    <s v="Unidade Vieiralves"/>
    <n v="13530866"/>
    <m/>
  </r>
  <r>
    <x v="18"/>
    <x v="74"/>
    <s v="Katiuscia Rodrigues Leao"/>
    <s v="Feminino"/>
    <x v="8"/>
    <x v="12"/>
    <s v="20103115 - Atividade Reflexa Cinesioterápica (R$ 20,81)"/>
    <s v="Fisioterapia Pélvica e Neurológica"/>
    <n v="1708215612"/>
    <s v="Finalizado (2/2)"/>
    <n v="16.648"/>
    <n v="4.1619999999999999"/>
    <n v="20.81"/>
    <s v="Sessão a Faturar"/>
    <n v="954600007552000"/>
    <n v="30052"/>
    <s v="Unidade Vieiralves"/>
    <n v="1708215612"/>
    <m/>
  </r>
  <r>
    <x v="18"/>
    <x v="76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7/10)"/>
    <n v="28"/>
    <n v="7"/>
    <n v="35"/>
    <s v="Sessão Faturada"/>
    <n v="1101013081440300"/>
    <n v="59408"/>
    <s v="Unidade Vieiralves"/>
    <n v="8981670"/>
    <m/>
  </r>
  <r>
    <x v="18"/>
    <x v="76"/>
    <s v="Marlene de Souza Rodrigues"/>
    <s v="Feminino"/>
    <x v="2"/>
    <x v="12"/>
    <s v="20103492 - Fisioterapia - Patologia Em Dois Ou Mais Membros (R$ 14,83)"/>
    <s v="Fisioterapia Pélvica e Neurológica"/>
    <n v="1709460013"/>
    <s v="Finalizado (1/8)"/>
    <n v="11.864000000000001"/>
    <n v="2.9660000000000002"/>
    <n v="14.83"/>
    <s v="Sessão a Faturar"/>
    <n v="837297600019020"/>
    <n v="16076"/>
    <s v="Unidade Vieiralves"/>
    <n v="1709460013"/>
    <m/>
  </r>
  <r>
    <x v="18"/>
    <x v="76"/>
    <s v="Raimunda Monteiro Rocha"/>
    <s v="Feminino"/>
    <x v="2"/>
    <x v="12"/>
    <s v="20103115 - Atividade Reflexa Cinesioterápica (R$ 20,81)"/>
    <s v="Fisioterapia Pélvica e Neurológica"/>
    <n v="1704652634"/>
    <s v="Finalizado (4/4)"/>
    <n v="16.648"/>
    <n v="4.1619999999999999"/>
    <n v="20.81"/>
    <s v="Sessão Faturada"/>
    <n v="952480013550000"/>
    <n v="14121"/>
    <s v="Unidade Vieiralves"/>
    <n v="1704652634"/>
    <m/>
  </r>
  <r>
    <x v="18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4/10)"/>
    <n v="21.64"/>
    <n v="5.41"/>
    <n v="27.05"/>
    <s v="Sessão Faturada"/>
    <n v="952480013550000"/>
    <n v="14121"/>
    <s v="Unidade Vieiralves"/>
    <n v="1704651988"/>
    <m/>
  </r>
  <r>
    <x v="18"/>
    <x v="36"/>
    <s v="Marlene de Souza Rodrigues"/>
    <s v="Feminino"/>
    <x v="2"/>
    <x v="12"/>
    <s v="20103220 - Fisioterapia Respiratória (R$ 12,22)"/>
    <s v="Fisioterapia Pélvica e Neurológica"/>
    <n v="1709458737"/>
    <s v="Finalizado (1/8)"/>
    <n v="9.7759999999999998"/>
    <n v="2.444"/>
    <n v="12.22"/>
    <s v="Sessão a Faturar"/>
    <n v="837297600019020"/>
    <n v="16076"/>
    <s v="Unidade Vieiralves"/>
    <n v="1709458737"/>
    <m/>
  </r>
  <r>
    <x v="18"/>
    <x v="67"/>
    <s v="Elvis Enrique Gola Herrera"/>
    <s v="Masculino"/>
    <x v="7"/>
    <x v="12"/>
    <s v="Vieiralves - 2 - Fisioterapia Neurológica - Pacote (R$ 45,00)"/>
    <s v="Fisioterapia Pélvica e Neurológica"/>
    <n v="169043"/>
    <s v="Finalizado (8/10)"/>
    <n v="33.75"/>
    <n v="11.25"/>
    <n v="45"/>
    <s v="Pago"/>
    <s v="00"/>
    <n v="59414"/>
    <s v="Unidade Vieiralves"/>
    <n v="169043"/>
    <m/>
  </r>
  <r>
    <x v="18"/>
    <x v="35"/>
    <s v="Odenir Pereira de Faria"/>
    <s v="Masculino"/>
    <x v="1"/>
    <x v="12"/>
    <s v="50001078 - Fisioterapia Neurológica (R$ 35,00)"/>
    <s v="Fisioterapia Pélvica e Neurológica"/>
    <n v="9226513"/>
    <s v="Finalizado (2/10)"/>
    <n v="28"/>
    <n v="7"/>
    <n v="35"/>
    <s v="Sessão a Faturar"/>
    <s v="0701011481330093"/>
    <n v="59350"/>
    <s v="Unidade Vieiralves"/>
    <n v="9226513"/>
    <m/>
  </r>
  <r>
    <x v="18"/>
    <x v="35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5/9)"/>
    <n v="11.864000000000001"/>
    <n v="2.9660000000000002"/>
    <n v="14.83"/>
    <s v="Sessão Faturada"/>
    <n v="952650065111000"/>
    <n v="44404"/>
    <s v="Unidade Vieiralves"/>
    <n v="1703705090"/>
    <m/>
  </r>
  <r>
    <x v="18"/>
    <x v="71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5/9)"/>
    <n v="18.872"/>
    <n v="4.718"/>
    <n v="23.59"/>
    <s v="Sessão Faturada"/>
    <n v="952650065111000"/>
    <n v="44404"/>
    <s v="Unidade Vieiralves"/>
    <n v="1703705949"/>
    <m/>
  </r>
  <r>
    <x v="18"/>
    <x v="68"/>
    <s v="Francisca Pena de Alencar"/>
    <s v="Feminino"/>
    <x v="1"/>
    <x v="12"/>
    <s v="50001078 - Fisioterapia Neurológica (R$ 35,00)"/>
    <s v="Fisioterapia Pélvica e Neurológica"/>
    <n v="8952214"/>
    <s v="Finalizado (6/10)"/>
    <n v="28"/>
    <n v="7"/>
    <n v="35"/>
    <s v="Sessão Faturada"/>
    <n v="1901013196900200"/>
    <n v="58870"/>
    <s v="Unidade Vieiralves"/>
    <n v="8952214"/>
    <m/>
  </r>
  <r>
    <x v="18"/>
    <x v="68"/>
    <s v="Walmir Prado de Alencar"/>
    <s v="Masculino"/>
    <x v="1"/>
    <x v="12"/>
    <s v="50000160 - Fisioterapia Ortopédica (R$ 20,00), 98980327 - Taxa de Eletroterapia (Tens) (R$ 15,00)"/>
    <s v="Fisioterapia Pélvica e Neurológica"/>
    <n v="8817715"/>
    <s v="Finalizado (10/10)"/>
    <n v="28"/>
    <n v="7"/>
    <n v="35"/>
    <s v="Sessão Faturada"/>
    <n v="1901013196900100"/>
    <n v="58110"/>
    <s v="Unidade Vieiralves"/>
    <n v="8817715"/>
    <m/>
  </r>
  <r>
    <x v="18"/>
    <x v="68"/>
    <s v="Albertina Renata da Altona"/>
    <s v="Feminino"/>
    <x v="2"/>
    <x v="12"/>
    <s v="20103514 - Fisioterapia - Patologia Em Diferentes Segmentos da Coluna (R$ 14,83)"/>
    <s v="Fisioterapia Pélvica e Neurológica"/>
    <n v="1703291052"/>
    <s v="Finalizado (5/5)"/>
    <n v="11.864000000000001"/>
    <n v="2.9660000000000002"/>
    <n v="14.83"/>
    <s v="Sessão Faturada"/>
    <n v="982870069531010"/>
    <n v="59424"/>
    <s v="Unidade Vieiralves"/>
    <n v="1703291052"/>
    <m/>
  </r>
  <r>
    <x v="18"/>
    <x v="37"/>
    <s v="Albertina Renata da Altona"/>
    <s v="Feminino"/>
    <x v="2"/>
    <x v="12"/>
    <s v="20103115 - Atividade Reflexa Cinesioterápica (R$ 20,81)"/>
    <s v="Fisioterapia Pélvica e Neurológica"/>
    <n v="1703296414"/>
    <s v="Finalizado (5/5)"/>
    <n v="16.648"/>
    <n v="4.1619999999999999"/>
    <n v="20.81"/>
    <s v="Sessão Faturada"/>
    <n v="982870069531010"/>
    <n v="59424"/>
    <s v="Unidade Vieiralves"/>
    <n v="1703296414"/>
    <m/>
  </r>
  <r>
    <x v="18"/>
    <x v="50"/>
    <s v="Eliezio Pinheiro Lobo"/>
    <s v="Masculino"/>
    <x v="8"/>
    <x v="12"/>
    <s v="20103468 - Parkinson (R$ 12,22)"/>
    <s v="Fisioterapia Pélvica e Neurológica"/>
    <n v="1709620447"/>
    <s v="Finalizado (1/5)"/>
    <n v="9.7759999999999998"/>
    <n v="2.444"/>
    <n v="12.22"/>
    <s v="Sessão a Faturar"/>
    <n v="954390038032000"/>
    <n v="45864"/>
    <s v="Unidade Vieiralves"/>
    <n v="1709620447"/>
    <m/>
  </r>
  <r>
    <x v="18"/>
    <x v="50"/>
    <s v="Eduarda Silva Castilho"/>
    <s v="Feminino"/>
    <x v="2"/>
    <x v="12"/>
    <s v="20103670 - Fisioterapia - Pos Operatorio Em Dois Ou Mais Membros (R$ 19,30)"/>
    <s v="Fisioterapia Pélvica e Neurológica"/>
    <n v="1706302379"/>
    <s v="Finalizado (4/5)"/>
    <n v="15.44"/>
    <n v="3.86"/>
    <n v="19.3"/>
    <s v="Sessão Faturada"/>
    <n v="771015041130020"/>
    <n v="45879"/>
    <s v="Unidade Vieiralves"/>
    <n v="1706302379"/>
    <m/>
  </r>
  <r>
    <x v="18"/>
    <x v="50"/>
    <s v="Maria Cristina Pires Montes Giovanazzi"/>
    <s v="Feminino"/>
    <x v="6"/>
    <x v="12"/>
    <s v="20103360 - Fisioterapia Respiratória (R$ 16,74)"/>
    <s v="Fisioterapia Pélvica e Neurológica"/>
    <n v="165501"/>
    <s v="Finalizado (7/10)"/>
    <n v="13.391999999999999"/>
    <n v="3.3479999999999999"/>
    <n v="16.739999999999998"/>
    <s v="Sessão Faturada"/>
    <s v="54588888003122320026"/>
    <n v="1606"/>
    <s v="Unidade Vieiralves"/>
    <n v="165501"/>
    <m/>
  </r>
  <r>
    <x v="18"/>
    <x v="72"/>
    <s v="Maria Cristina Pires Montes Giovanazzi"/>
    <s v="Feminino"/>
    <x v="6"/>
    <x v="12"/>
    <s v="20103476 - Patologia Neurologica (R$ 35,40)"/>
    <s v="Fisioterapia Pélvica e Neurológica"/>
    <n v="165978"/>
    <s v="Finalizado (6/10)"/>
    <n v="28.32"/>
    <n v="7.08"/>
    <n v="35.4"/>
    <s v="Sessão Faturada"/>
    <s v="54588888003122320026"/>
    <n v="1606"/>
    <s v="Unidade Vieiralves"/>
    <n v="165978"/>
    <m/>
  </r>
  <r>
    <x v="18"/>
    <x v="72"/>
    <s v="Eduarda Silva Castilho"/>
    <s v="Feminino"/>
    <x v="2"/>
    <x v="12"/>
    <s v="20103115 - Atividade Reflexa Cinesioterápica (R$ 20,81)"/>
    <s v="Fisioterapia Pélvica e Neurológica"/>
    <n v="1706303057"/>
    <s v="Finalizado (4/5)"/>
    <n v="16.648"/>
    <n v="4.1619999999999999"/>
    <n v="20.81"/>
    <s v="Sessão Faturada"/>
    <n v="771015041130020"/>
    <n v="45879"/>
    <s v="Unidade Vieiralves"/>
    <n v="1706303057"/>
    <m/>
  </r>
  <r>
    <x v="18"/>
    <x v="43"/>
    <s v="William Sam Marinho de Souza Lima"/>
    <s v="Masculino"/>
    <x v="1"/>
    <x v="12"/>
    <s v="50001078 - Fisioterapia Neurológica (R$ 35,00)"/>
    <s v="Fisioterapia Pélvica e Neurológica"/>
    <n v="9262962"/>
    <s v="Finalizado (1/5)"/>
    <n v="28"/>
    <n v="7"/>
    <n v="35"/>
    <s v="Sessão Faturada"/>
    <s v="0901012128090385"/>
    <n v="57062"/>
    <s v="Unidade Vieiralves"/>
    <n v="9262962"/>
    <m/>
  </r>
  <r>
    <x v="22"/>
    <x v="44"/>
    <s v="Adriane Cavalcante Xavier"/>
    <s v="Feminino"/>
    <x v="2"/>
    <x v="12"/>
    <s v="50000144 - Avaliação de Fisioterapia (R$ 51,42)"/>
    <s v="Fisioterapia Pélvica e Neurológica"/>
    <n v="1710042161"/>
    <s v="Finalizado (1/1)"/>
    <n v="46.277999999999999"/>
    <n v="5.1420000000000003"/>
    <n v="51.42"/>
    <s v="Sessão Faturada"/>
    <n v="811285500019020"/>
    <n v="43789"/>
    <s v="Unidade Vieiralves"/>
    <n v="1710042161"/>
    <m/>
  </r>
  <r>
    <x v="22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5/10)"/>
    <n v="25.824000000000002"/>
    <n v="6.4560000000000004"/>
    <n v="32.28"/>
    <s v="Sessão Faturada"/>
    <s v="00010300011479012"/>
    <n v="17283"/>
    <s v="Unidade Vieiralves"/>
    <n v="13530866"/>
    <m/>
  </r>
  <r>
    <x v="22"/>
    <x v="74"/>
    <s v="Adriane Cavalcante Xavier"/>
    <s v="Feminino"/>
    <x v="2"/>
    <x v="12"/>
    <s v="20103492 - Fisioterapia - Patologia Em Dois Ou Mais Membros (R$ 14,83)"/>
    <s v="Fisioterapia Pélvica e Neurológica"/>
    <n v="1710042981"/>
    <s v="Finalizado (1/8)"/>
    <n v="11.864000000000001"/>
    <n v="2.9660000000000002"/>
    <n v="14.83"/>
    <s v="Sessão a Faturar"/>
    <n v="811285500019020"/>
    <n v="43789"/>
    <s v="Unidade Vieiralves"/>
    <n v="1710042981"/>
    <m/>
  </r>
  <r>
    <x v="22"/>
    <x v="76"/>
    <s v="Marcelo Santos Barbalho"/>
    <s v="Masculino"/>
    <x v="1"/>
    <x v="12"/>
    <s v="50001078 - Fisioterapia Neurológica (R$ 35,00)"/>
    <s v="Fisioterapia Pélvica e Neurológica"/>
    <n v="9587413"/>
    <s v="Finalizado (7/10)"/>
    <n v="28"/>
    <n v="7"/>
    <n v="35"/>
    <s v="Sessão Faturada"/>
    <s v="0901012963990065"/>
    <n v="36042"/>
    <s v="Unidade Vieiralves"/>
    <n v="9587413"/>
    <m/>
  </r>
  <r>
    <x v="22"/>
    <x v="76"/>
    <s v="Eduarda Lieny Mota de Sá"/>
    <m/>
    <x v="7"/>
    <x v="12"/>
    <s v="Vieiralves - 2 - Fisioterapia Neurológica - Pacote (R$ 45,00)"/>
    <s v="Fisioterapia Pélvica e Neurológica"/>
    <n v="170955"/>
    <s v="Finalizado (2/10)"/>
    <n v="33.75"/>
    <n v="11.25"/>
    <n v="45"/>
    <s v="Pago"/>
    <s v="00"/>
    <n v="59557"/>
    <s v="Unidade Vieiralves"/>
    <n v="170955"/>
    <m/>
  </r>
  <r>
    <x v="22"/>
    <x v="76"/>
    <s v="Yedda Crisafera de Lima Figueira"/>
    <s v="Feminino"/>
    <x v="25"/>
    <x v="12"/>
    <s v="50000179 - Fisioterapia Respiratória (R$ 18,29)"/>
    <s v="Fisioterapia"/>
    <n v="143215"/>
    <s v="Finalizado (4/10)"/>
    <n v="14.632"/>
    <n v="3.6579999999999999"/>
    <n v="18.29"/>
    <s v="Sessão Faturada"/>
    <n v="33301"/>
    <n v="3132"/>
    <s v="Unidade Vieiralves"/>
    <n v="143215"/>
    <m/>
  </r>
  <r>
    <x v="22"/>
    <x v="36"/>
    <s v="Yedda Crisafera de Lima Figueira"/>
    <s v="Feminino"/>
    <x v="25"/>
    <x v="12"/>
    <s v="50000152 - Fisioterapia Neurológica (R$ 19,72)"/>
    <s v="Fisioterapia"/>
    <n v="143217"/>
    <s v="Finalizado (4/10)"/>
    <n v="15.776"/>
    <n v="3.944"/>
    <n v="19.72"/>
    <s v="Sessão Faturada"/>
    <n v="33301"/>
    <n v="3132"/>
    <s v="Unidade Vieiralves"/>
    <n v="143217"/>
    <m/>
  </r>
  <r>
    <x v="22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6/10)"/>
    <n v="28"/>
    <n v="7"/>
    <n v="35"/>
    <s v="Sessão Faturada"/>
    <s v="0901012792890010"/>
    <n v="54879"/>
    <s v="Unidade Vieiralves"/>
    <n v="9077422"/>
    <m/>
  </r>
  <r>
    <x v="22"/>
    <x v="35"/>
    <s v="Paulo Pereira da Costa"/>
    <s v="Masculino"/>
    <x v="6"/>
    <x v="12"/>
    <s v="20103360 - Fisioterapia Respiratória (R$ 16,74)"/>
    <s v="Fisioterapia Pélvica e Neurológica"/>
    <n v="170164"/>
    <s v="Finalizado (4/8)"/>
    <n v="13.391999999999999"/>
    <n v="3.3479999999999999"/>
    <n v="16.739999999999998"/>
    <s v="Sessão a Faturar"/>
    <s v="54588888018315470010"/>
    <n v="59048"/>
    <s v="Unidade Vieiralves"/>
    <n v="170164"/>
    <m/>
  </r>
  <r>
    <x v="22"/>
    <x v="35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6/9)"/>
    <n v="11.864000000000001"/>
    <n v="2.9660000000000002"/>
    <n v="14.83"/>
    <s v="Sessão Faturada"/>
    <n v="952650065111000"/>
    <n v="44404"/>
    <s v="Unidade Vieiralves"/>
    <n v="1703705090"/>
    <m/>
  </r>
  <r>
    <x v="22"/>
    <x v="35"/>
    <s v="Regina Coeli de Queiroz Barbosa"/>
    <m/>
    <x v="1"/>
    <x v="12"/>
    <s v="50000144 - Consulta de Fisioterapia (R$ 16,00)"/>
    <s v="Fisioterapia Pélvica e Neurológica"/>
    <n v="9283907"/>
    <s v="Finalizado (1/1)"/>
    <n v="14.4"/>
    <n v="1.6"/>
    <n v="16"/>
    <s v="Sessão Faturada"/>
    <s v="0901000375930025"/>
    <n v="59605"/>
    <s v="Unidade Vieiralves"/>
    <n v="9283907"/>
    <m/>
  </r>
  <r>
    <x v="22"/>
    <x v="71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6/9)"/>
    <n v="18.872"/>
    <n v="4.718"/>
    <n v="23.59"/>
    <s v="Sessão Faturada"/>
    <n v="952650065111000"/>
    <n v="44404"/>
    <s v="Unidade Vieiralves"/>
    <n v="1703705949"/>
    <m/>
  </r>
  <r>
    <x v="22"/>
    <x v="68"/>
    <s v="Luis Augusto Mitoso"/>
    <s v="Masculino"/>
    <x v="5"/>
    <x v="12"/>
    <s v="98860011 - Fisioterapia Complexidade 1 - 04/03/2026 (R$ 53,00)"/>
    <s v="Fisioterapia Pélvica e Neurológica"/>
    <n v="77433590"/>
    <s v="Finalizado (6/10)"/>
    <n v="42.4"/>
    <n v="10.6"/>
    <n v="53"/>
    <s v="Sessão Faturada"/>
    <s v="0105813305001328"/>
    <n v="52022"/>
    <s v="Unidade Vieiralves"/>
    <n v="77433590"/>
    <m/>
  </r>
  <r>
    <x v="22"/>
    <x v="68"/>
    <s v="Odenir Pereira de Faria"/>
    <s v="Masculino"/>
    <x v="1"/>
    <x v="12"/>
    <s v="50001078 - Fisioterapia Neurológica (R$ 35,00)"/>
    <s v="Fisioterapia Pélvica e Neurológica"/>
    <n v="9226513"/>
    <s v="Finalizado (3/10)"/>
    <n v="28"/>
    <n v="7"/>
    <n v="35"/>
    <s v="Sessão a Faturar"/>
    <s v="0701011481330093"/>
    <n v="59350"/>
    <s v="Unidade Vieiralves"/>
    <n v="9226513"/>
    <m/>
  </r>
  <r>
    <x v="22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6/10)"/>
    <n v="96.224000000000004"/>
    <n v="24.056000000000001"/>
    <n v="120.28"/>
    <s v="Sessão Faturada"/>
    <s v="0105813305001328"/>
    <n v="52022"/>
    <s v="Unidade Vieiralves"/>
    <n v="77616240"/>
    <m/>
  </r>
  <r>
    <x v="22"/>
    <x v="50"/>
    <s v="Luís Carlos Sales de Oliveira"/>
    <s v="Masculino"/>
    <x v="1"/>
    <x v="12"/>
    <s v="50001078 - Fisioterapia Neurológica (R$ 35,00)"/>
    <s v="Fisioterapia Pélvica e Neurológica"/>
    <n v="9833958"/>
    <s v="Finalizado (3/10)"/>
    <n v="28"/>
    <n v="7"/>
    <n v="35"/>
    <s v="Sessão a Faturar"/>
    <n v="1301013437440100"/>
    <n v="57872"/>
    <s v="Unidade Vieiralves"/>
    <n v="9833958"/>
    <m/>
  </r>
  <r>
    <x v="22"/>
    <x v="50"/>
    <s v="Eduarda Silva Castilho"/>
    <s v="Feminino"/>
    <x v="2"/>
    <x v="12"/>
    <s v="20103670 - Fisioterapia - Pos Operatorio Em Dois Ou Mais Membros (R$ 19,30)"/>
    <s v="Fisioterapia Pélvica e Neurológica"/>
    <n v="1706302379"/>
    <s v="Finalizado (5/5)"/>
    <n v="15.44"/>
    <n v="3.86"/>
    <n v="19.3"/>
    <s v="Sessão Faturada"/>
    <n v="771015041130020"/>
    <n v="45879"/>
    <s v="Unidade Vieiralves"/>
    <n v="1706302379"/>
    <m/>
  </r>
  <r>
    <x v="22"/>
    <x v="72"/>
    <s v="Eduarda Silva Castilho"/>
    <s v="Feminino"/>
    <x v="2"/>
    <x v="12"/>
    <s v="20103115 - Atividade Reflexa Cinesioterápica (R$ 20,81)"/>
    <s v="Fisioterapia Pélvica e Neurológica"/>
    <n v="1706303057"/>
    <s v="Finalizado (5/5)"/>
    <n v="16.648"/>
    <n v="4.1619999999999999"/>
    <n v="20.81"/>
    <s v="Sessão Faturada"/>
    <n v="771015041130020"/>
    <n v="45879"/>
    <s v="Unidade Vieiralves"/>
    <n v="1706303057"/>
    <m/>
  </r>
  <r>
    <x v="22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5/10)"/>
    <n v="11.864000000000001"/>
    <n v="2.9660000000000002"/>
    <n v="14.83"/>
    <s v="Sessão Faturada"/>
    <n v="773626015709020"/>
    <n v="44569"/>
    <s v="Unidade Vieiralves"/>
    <n v="1703797778"/>
    <m/>
  </r>
  <r>
    <x v="22"/>
    <x v="77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5/10)"/>
    <n v="18.872"/>
    <n v="4.718"/>
    <n v="23.59"/>
    <s v="Sessão Faturada"/>
    <n v="773626015709020"/>
    <n v="44569"/>
    <s v="Unidade Vieiralves"/>
    <n v="1703796691"/>
    <m/>
  </r>
  <r>
    <x v="19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3/10)"/>
    <n v="11.864000000000001"/>
    <n v="2.9660000000000002"/>
    <n v="14.83"/>
    <s v="Sessão Faturada"/>
    <n v="954600007552000"/>
    <n v="30052"/>
    <s v="Unidade Vieiralves"/>
    <n v="1708215105"/>
    <m/>
  </r>
  <r>
    <x v="19"/>
    <x v="44"/>
    <s v="Adriane Cavalcante Xavier"/>
    <s v="Feminino"/>
    <x v="2"/>
    <x v="12"/>
    <s v="20103492 - Fisioterapia - Patologia Em Dois Ou Mais Membros (R$ 14,83)"/>
    <s v="Fisioterapia Pélvica e Neurológica"/>
    <n v="1710042981"/>
    <s v="Finalizado (2/8)"/>
    <n v="11.864000000000001"/>
    <n v="2.9660000000000002"/>
    <n v="14.83"/>
    <s v="Sessão a Faturar"/>
    <n v="811285500019020"/>
    <n v="43789"/>
    <s v="Unidade Vieiralves"/>
    <n v="1710042981"/>
    <m/>
  </r>
  <r>
    <x v="19"/>
    <x v="76"/>
    <s v="Marlene de Souza Rodrigues"/>
    <s v="Feminino"/>
    <x v="2"/>
    <x v="12"/>
    <s v="20103492 - Fisioterapia - Patologia Em Dois Ou Mais Membros (R$ 14,83)"/>
    <s v="Fisioterapia Pélvica e Neurológica"/>
    <n v="1709460013"/>
    <s v="Finalizado (2/8)"/>
    <n v="11.864000000000001"/>
    <n v="2.9660000000000002"/>
    <n v="14.83"/>
    <s v="Sessão a Faturar"/>
    <n v="837297600019020"/>
    <n v="16076"/>
    <s v="Unidade Vieiralves"/>
    <n v="1709460013"/>
    <m/>
  </r>
  <r>
    <x v="19"/>
    <x v="76"/>
    <s v="Marlene de Souza Rodrigues"/>
    <s v="Feminino"/>
    <x v="2"/>
    <x v="12"/>
    <s v="20103220 - Fisioterapia Respiratória (R$ 12,22)"/>
    <s v="Fisioterapia Pélvica e Neurológica"/>
    <n v="1709458737"/>
    <s v="Finalizado (2/8)"/>
    <n v="9.7759999999999998"/>
    <n v="2.444"/>
    <n v="12.22"/>
    <s v="Sessão a Faturar"/>
    <n v="837297600019020"/>
    <n v="16076"/>
    <s v="Unidade Vieiralves"/>
    <n v="1709458737"/>
    <m/>
  </r>
  <r>
    <x v="19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8/10)"/>
    <n v="28"/>
    <n v="7"/>
    <n v="35"/>
    <s v="Sessão Faturada"/>
    <n v="1101013081440300"/>
    <n v="59408"/>
    <s v="Unidade Vieiralves"/>
    <n v="8981670"/>
    <m/>
  </r>
  <r>
    <x v="19"/>
    <x v="35"/>
    <s v="Odenir Pereira de Faria"/>
    <s v="Masculino"/>
    <x v="1"/>
    <x v="12"/>
    <s v="50001078 - Fisioterapia Neurológica (R$ 35,00)"/>
    <s v="Fisioterapia Pélvica e Neurológica"/>
    <n v="9226513"/>
    <s v="Finalizado (4/10)"/>
    <n v="28"/>
    <n v="7"/>
    <n v="35"/>
    <s v="Sessão a Faturar"/>
    <s v="0701011481330093"/>
    <n v="59350"/>
    <s v="Unidade Vieiralves"/>
    <n v="9226513"/>
    <m/>
  </r>
  <r>
    <x v="19"/>
    <x v="35"/>
    <s v="Bryan Maranhão Lima"/>
    <s v="Masculino"/>
    <x v="7"/>
    <x v="12"/>
    <s v="Vieiralves - 2 - Fisioterapia Neurológica - Pacote (R$ 45,00)"/>
    <s v="Fisioterapia Pélvica e Neurológica"/>
    <m/>
    <s v="Finalizado (1/10)"/>
    <n v="33.75"/>
    <n v="11.25"/>
    <n v="45"/>
    <s v="Pago"/>
    <s v="00"/>
    <n v="59598"/>
    <s v="Unidade Vieiralves"/>
    <m/>
    <m/>
  </r>
  <r>
    <x v="19"/>
    <x v="68"/>
    <s v="Francisca Pena de Alencar"/>
    <s v="Feminino"/>
    <x v="1"/>
    <x v="12"/>
    <s v="50001078 - Fisioterapia Neurológica (R$ 35,00)"/>
    <s v="Fisioterapia Pélvica e Neurológica"/>
    <n v="8952214"/>
    <s v="Finalizado (7/10)"/>
    <n v="28"/>
    <n v="7"/>
    <n v="35"/>
    <s v="Sessão Faturada"/>
    <n v="1901013196900200"/>
    <n v="58870"/>
    <s v="Unidade Vieiralves"/>
    <n v="8952214"/>
    <m/>
  </r>
  <r>
    <x v="19"/>
    <x v="68"/>
    <s v="Walmir Prado de Alencar"/>
    <s v="Masculino"/>
    <x v="1"/>
    <x v="12"/>
    <s v="50001078 - Fisioterapia Neurológica (R$ 35,00)"/>
    <s v="Fisioterapia Pélvica e Neurológica"/>
    <n v="9802711"/>
    <s v="Finalizado (1/10)"/>
    <n v="28"/>
    <n v="7"/>
    <n v="35"/>
    <s v="Sessão a Faturar"/>
    <n v="1901013196900100"/>
    <n v="58110"/>
    <s v="Unidade Vieiralves"/>
    <n v="9802711"/>
    <m/>
  </r>
  <r>
    <x v="19"/>
    <x v="68"/>
    <s v="Albertina Renata da Altona"/>
    <s v="Feminino"/>
    <x v="2"/>
    <x v="12"/>
    <s v="20103492 - Fisioterapia - Patologia Em Dois Ou Mais Membros (R$ 14,83), 20103514 - Fisioterapia - Patologia Em Diferentes Segmentos da Coluna (R$ 14,83)"/>
    <s v="Fisioterapia Pélvica e Neurológica"/>
    <n v="1710811608"/>
    <s v="Finalizado (1/5)"/>
    <n v="23.728000000000002"/>
    <n v="5.9320000000000004"/>
    <n v="29.66"/>
    <s v="Sessão Faturada"/>
    <n v="982870069531010"/>
    <n v="59424"/>
    <s v="Unidade Vieiralves"/>
    <n v="1710811608"/>
    <m/>
  </r>
  <r>
    <x v="19"/>
    <x v="37"/>
    <s v="Albertina Renata da Altona"/>
    <s v="Feminino"/>
    <x v="4"/>
    <x v="12"/>
    <s v="31602185 - Estimulação Elétrica Transcutânea - Removido 13/04/2026 (R$ 40,00)"/>
    <s v="Fisioterapia Pélvica e Neurológica"/>
    <n v="1710813366"/>
    <s v="Finalizado (1/5)"/>
    <n v="32"/>
    <n v="8"/>
    <n v="40"/>
    <s v="Sessão Faturada"/>
    <n v="982870069531010"/>
    <n v="59424"/>
    <s v="Unidade Vieiralves"/>
    <n v="1710813366"/>
    <m/>
  </r>
  <r>
    <x v="19"/>
    <x v="50"/>
    <s v="Benjamin Chaves de Sousa"/>
    <s v="Masculino"/>
    <x v="2"/>
    <x v="12"/>
    <s v="20103522 - Fisioterapia - Pac Com Dependencia de Vida Diária (R$ 23,59)"/>
    <s v="Fisioterapia Pélvica e Neurológica"/>
    <n v="1710824724"/>
    <s v="Finalizado (1/4)"/>
    <n v="18.872"/>
    <n v="4.718"/>
    <n v="23.59"/>
    <s v="Sessão a Faturar"/>
    <n v="774812000752050"/>
    <n v="49500"/>
    <s v="Unidade Vieiralves"/>
    <n v="1710824724"/>
    <m/>
  </r>
  <r>
    <x v="19"/>
    <x v="50"/>
    <s v="Eliezio Pinheiro Lobo"/>
    <s v="Masculino"/>
    <x v="8"/>
    <x v="12"/>
    <s v="20103468 - Parkinson (R$ 12,22)"/>
    <s v="Fisioterapia Pélvica e Neurológica"/>
    <n v="1709620447"/>
    <s v="Finalizado (2/5)"/>
    <n v="9.7759999999999998"/>
    <n v="2.444"/>
    <n v="12.22"/>
    <s v="Sessão a Faturar"/>
    <n v="954390038032000"/>
    <n v="45864"/>
    <s v="Unidade Vieiralves"/>
    <n v="1709620447"/>
    <m/>
  </r>
  <r>
    <x v="19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1/10)"/>
    <n v="15.44"/>
    <n v="3.86"/>
    <n v="19.3"/>
    <s v="Sessão a Faturar"/>
    <n v="771015041130020"/>
    <n v="45879"/>
    <s v="Unidade Vieiralves"/>
    <n v="1710848333"/>
    <m/>
  </r>
  <r>
    <x v="20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6/10)"/>
    <n v="25.824000000000002"/>
    <n v="6.4560000000000004"/>
    <n v="32.28"/>
    <s v="Sessão Faturada"/>
    <s v="00010300011479012"/>
    <n v="17283"/>
    <s v="Unidade Vieiralves"/>
    <n v="13530866"/>
    <m/>
  </r>
  <r>
    <x v="20"/>
    <x v="76"/>
    <s v="Yedda Crisafera de Lima Figueira"/>
    <s v="Feminino"/>
    <x v="25"/>
    <x v="12"/>
    <s v="50000179 - Fisioterapia Respiratória (R$ 18,29)"/>
    <s v="Fisioterapia"/>
    <n v="143215"/>
    <s v="Finalizado (5/10)"/>
    <n v="14.632"/>
    <n v="3.6579999999999999"/>
    <n v="18.29"/>
    <s v="Sessão Faturada"/>
    <n v="33301"/>
    <n v="3132"/>
    <s v="Unidade Vieiralves"/>
    <n v="143215"/>
    <m/>
  </r>
  <r>
    <x v="20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5/10)"/>
    <n v="21.64"/>
    <n v="5.41"/>
    <n v="27.05"/>
    <s v="Sessão Faturada"/>
    <n v="952480013550000"/>
    <n v="14121"/>
    <s v="Unidade Vieiralves"/>
    <n v="1704651988"/>
    <m/>
  </r>
  <r>
    <x v="20"/>
    <x v="36"/>
    <s v="Yedda Crisafera de Lima Figueira"/>
    <s v="Feminino"/>
    <x v="25"/>
    <x v="12"/>
    <s v="50000152 - Fisioterapia Neurológica (R$ 19,72)"/>
    <s v="Fisioterapia"/>
    <n v="143217"/>
    <s v="Finalizado (5/10)"/>
    <n v="15.776"/>
    <n v="3.944"/>
    <n v="19.72"/>
    <s v="Sessão Faturada"/>
    <n v="33301"/>
    <n v="3132"/>
    <s v="Unidade Vieiralves"/>
    <n v="143217"/>
    <m/>
  </r>
  <r>
    <x v="20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7/10)"/>
    <n v="28"/>
    <n v="7"/>
    <n v="35"/>
    <s v="Sessão Faturada"/>
    <s v="0901012792890010"/>
    <n v="54879"/>
    <s v="Unidade Vieiralves"/>
    <n v="9077422"/>
    <m/>
  </r>
  <r>
    <x v="20"/>
    <x v="67"/>
    <s v="Eduarda Lieny Mota de Sá"/>
    <m/>
    <x v="7"/>
    <x v="12"/>
    <s v="Vieiralves - 2 - Fisioterapia Neurológica - Pacote (R$ 45,00)"/>
    <s v="Fisioterapia Pélvica e Neurológica"/>
    <n v="170955"/>
    <s v="Finalizado (3/10)"/>
    <n v="33.75"/>
    <n v="11.25"/>
    <n v="45"/>
    <s v="Pago"/>
    <s v="00"/>
    <n v="59557"/>
    <s v="Unidade Vieiralves"/>
    <n v="170955"/>
    <m/>
  </r>
  <r>
    <x v="20"/>
    <x v="35"/>
    <s v="Odenir Pereira de Faria"/>
    <s v="Masculino"/>
    <x v="1"/>
    <x v="12"/>
    <s v="50001078 - Fisioterapia Neurológica (R$ 35,00)"/>
    <s v="Fisioterapia Pélvica e Neurológica"/>
    <n v="9226513"/>
    <s v="Finalizado (5/10)"/>
    <n v="28"/>
    <n v="7"/>
    <n v="35"/>
    <s v="Sessão a Faturar"/>
    <s v="0701011481330093"/>
    <n v="59350"/>
    <s v="Unidade Vieiralves"/>
    <n v="9226513"/>
    <m/>
  </r>
  <r>
    <x v="20"/>
    <x v="68"/>
    <s v="Luis Augusto Mitoso"/>
    <s v="Masculino"/>
    <x v="5"/>
    <x v="12"/>
    <s v="98860011 - Fisioterapia Complexidade 1 - 04/03/2026 (R$ 53,00)"/>
    <s v="Fisioterapia Pélvica e Neurológica"/>
    <n v="77433590"/>
    <s v="Finalizado (7/10)"/>
    <n v="42.4"/>
    <n v="10.6"/>
    <n v="53"/>
    <s v="Sessão Faturada"/>
    <s v="0105813305001328"/>
    <n v="52022"/>
    <s v="Unidade Vieiralves"/>
    <n v="77433590"/>
    <m/>
  </r>
  <r>
    <x v="20"/>
    <x v="68"/>
    <s v="Francisca Pena de Alencar"/>
    <s v="Feminino"/>
    <x v="1"/>
    <x v="12"/>
    <s v="50001078 - Fisioterapia Neurológica (R$ 35,00)"/>
    <s v="Fisioterapia Pélvica e Neurológica"/>
    <n v="8952214"/>
    <s v="Finalizado (8/10)"/>
    <n v="28"/>
    <n v="7"/>
    <n v="35"/>
    <s v="Sessão Faturada"/>
    <n v="1901013196900200"/>
    <n v="58870"/>
    <s v="Unidade Vieiralves"/>
    <n v="8952214"/>
    <m/>
  </r>
  <r>
    <x v="20"/>
    <x v="68"/>
    <s v="Walmir Prado de Alencar"/>
    <s v="Masculino"/>
    <x v="1"/>
    <x v="12"/>
    <s v="50001078 - Fisioterapia Neurológica (R$ 35,00)"/>
    <s v="Fisioterapia Pélvica e Neurológica"/>
    <n v="9802711"/>
    <s v="Finalizado (2/10)"/>
    <n v="28"/>
    <n v="7"/>
    <n v="35"/>
    <s v="Sessão a Faturar"/>
    <n v="1901013196900100"/>
    <n v="58110"/>
    <s v="Unidade Vieiralves"/>
    <n v="9802711"/>
    <m/>
  </r>
  <r>
    <x v="20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7/10)"/>
    <n v="96.224000000000004"/>
    <n v="24.056000000000001"/>
    <n v="120.28"/>
    <s v="Sessão Faturada"/>
    <s v="0105813305001328"/>
    <n v="52022"/>
    <s v="Unidade Vieiralves"/>
    <n v="77616240"/>
    <m/>
  </r>
  <r>
    <x v="20"/>
    <x v="50"/>
    <s v="Amanda Richa Silveira Farias"/>
    <s v="Feminino"/>
    <x v="6"/>
    <x v="12"/>
    <s v="20103476 - Patologia Neurologica (R$ 35,40)"/>
    <s v="Fisioterapia Pélvica e Neurológica"/>
    <n v="170967"/>
    <s v="Finalizado (2/10)"/>
    <n v="28.32"/>
    <n v="7.08"/>
    <n v="35.4"/>
    <s v="Sessão a Faturar"/>
    <s v="54588888019504770035"/>
    <n v="58490"/>
    <s v="Unidade Vieiralves"/>
    <n v="170967"/>
    <m/>
  </r>
  <r>
    <x v="20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2/10)"/>
    <n v="15.44"/>
    <n v="3.86"/>
    <n v="19.3"/>
    <s v="Sessão a Faturar"/>
    <n v="771015041130020"/>
    <n v="45879"/>
    <s v="Unidade Vieiralves"/>
    <n v="1710848333"/>
    <m/>
  </r>
  <r>
    <x v="20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2/10)"/>
    <n v="39.776000000000003"/>
    <n v="9.9440000000000008"/>
    <n v="49.72"/>
    <s v="Sessão a Faturar"/>
    <s v="010962004503"/>
    <n v="54390"/>
    <s v="Unidade Vieiralves"/>
    <s v="42263120260303393761"/>
    <m/>
  </r>
  <r>
    <x v="20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2/10)"/>
    <n v="43.304000000000002"/>
    <n v="10.826000000000001"/>
    <n v="54.13"/>
    <s v="Sessão a Faturar"/>
    <s v="010962004503"/>
    <n v="54390"/>
    <s v="Unidade Vieiralves"/>
    <s v="42263120260303393869"/>
    <m/>
  </r>
  <r>
    <x v="20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6/10)"/>
    <n v="11.864000000000001"/>
    <n v="2.9660000000000002"/>
    <n v="14.83"/>
    <s v="Sessão Faturada"/>
    <n v="773626015709020"/>
    <n v="44569"/>
    <s v="Unidade Vieiralves"/>
    <n v="1703797778"/>
    <m/>
  </r>
  <r>
    <x v="20"/>
    <x v="77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6/10)"/>
    <n v="18.872"/>
    <n v="4.718"/>
    <n v="23.59"/>
    <s v="Sessão Faturada"/>
    <n v="773626015709020"/>
    <n v="44569"/>
    <s v="Unidade Vieiralves"/>
    <n v="1703796691"/>
    <m/>
  </r>
  <r>
    <x v="23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4/10)"/>
    <n v="11.864000000000001"/>
    <n v="2.9660000000000002"/>
    <n v="14.83"/>
    <s v="Sessão Faturada"/>
    <n v="954600007552000"/>
    <n v="30052"/>
    <s v="Unidade Vieiralves"/>
    <n v="1708215105"/>
    <m/>
  </r>
  <r>
    <x v="23"/>
    <x v="76"/>
    <s v="Bryan Maranhão Lima"/>
    <s v="Masculino"/>
    <x v="7"/>
    <x v="12"/>
    <s v="Vieiralves - 2 - Fisioterapia Neurológica - Pacote (R$ 45,00)"/>
    <s v="Fisioterapia Pélvica e Neurológica"/>
    <m/>
    <s v="Finalizado (2/10)"/>
    <n v="33.75"/>
    <n v="11.25"/>
    <n v="45"/>
    <s v="Pago"/>
    <s v="00"/>
    <n v="59598"/>
    <s v="Unidade Vieiralves"/>
    <m/>
    <m/>
  </r>
  <r>
    <x v="23"/>
    <x v="76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9/10)"/>
    <n v="28"/>
    <n v="7"/>
    <n v="35"/>
    <s v="Sessão Faturada"/>
    <n v="1101013081440300"/>
    <n v="59408"/>
    <s v="Unidade Vieiralves"/>
    <n v="8981670"/>
    <m/>
  </r>
  <r>
    <x v="23"/>
    <x v="67"/>
    <s v="Odenir Pereira de Faria"/>
    <s v="Masculino"/>
    <x v="1"/>
    <x v="12"/>
    <s v="50001078 - Fisioterapia Neurológica (R$ 35,00)"/>
    <s v="Fisioterapia Pélvica e Neurológica"/>
    <n v="9226513"/>
    <s v="Finalizado (6/10)"/>
    <n v="28"/>
    <n v="7"/>
    <n v="35"/>
    <s v="Sessão a Faturar"/>
    <s v="0701011481330093"/>
    <n v="59350"/>
    <s v="Unidade Vieiralves"/>
    <n v="9226513"/>
    <m/>
  </r>
  <r>
    <x v="23"/>
    <x v="67"/>
    <s v="Laercio Sampaio de Souza"/>
    <s v="Masculino"/>
    <x v="2"/>
    <x v="12"/>
    <s v="50000144 - Avaliação de Fisioterapia (R$ 51,42)"/>
    <s v="Fisioterapia Pélvica e Neurológica"/>
    <n v="1711910355"/>
    <s v="Finalizado (1/1)"/>
    <n v="46.277999999999999"/>
    <n v="5.1420000000000003"/>
    <n v="51.42"/>
    <s v="Sessão Faturada"/>
    <n v="812512800043000"/>
    <n v="19903"/>
    <s v="Unidade Vieiralves"/>
    <n v="1711910355"/>
    <m/>
  </r>
  <r>
    <x v="23"/>
    <x v="67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7/9)"/>
    <n v="11.864000000000001"/>
    <n v="2.9660000000000002"/>
    <n v="14.83"/>
    <s v="Sessão Faturada"/>
    <n v="952650065111000"/>
    <n v="44404"/>
    <s v="Unidade Vieiralves"/>
    <n v="1703705090"/>
    <m/>
  </r>
  <r>
    <x v="23"/>
    <x v="67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7/9)"/>
    <n v="18.872"/>
    <n v="4.718"/>
    <n v="23.59"/>
    <s v="Sessão Faturada"/>
    <n v="952650065111000"/>
    <n v="44404"/>
    <s v="Unidade Vieiralves"/>
    <n v="1703705949"/>
    <m/>
  </r>
  <r>
    <x v="23"/>
    <x v="67"/>
    <s v="Laercio Sampaio de Souza"/>
    <s v="Masculino"/>
    <x v="2"/>
    <x v="12"/>
    <s v="20103484 - Fisioterapia - Patologia Em Um Membro (R$ 12,22)"/>
    <s v="Fisioterapia Pélvica e Neurológica"/>
    <n v="1711911045"/>
    <s v="Finalizado (1/10)"/>
    <n v="9.7759999999999998"/>
    <n v="2.444"/>
    <n v="12.22"/>
    <s v="Sessão a Faturar"/>
    <n v="812512800043000"/>
    <n v="19903"/>
    <s v="Unidade Vieiralves"/>
    <n v="1711911045"/>
    <m/>
  </r>
  <r>
    <x v="23"/>
    <x v="35"/>
    <s v="Artemiza Virginio de Moura"/>
    <s v="Feminino"/>
    <x v="2"/>
    <x v="12"/>
    <s v="50000144 - Avaliação de Fisioterapia (R$ 51,42)"/>
    <s v="Fisioterapia Pélvica e Neurológica"/>
    <n v="1711911504"/>
    <s v="Finalizado (1/1)"/>
    <n v="46.277999999999999"/>
    <n v="5.1420000000000003"/>
    <n v="51.42"/>
    <s v="Sessão Faturada"/>
    <n v="812512800019000"/>
    <n v="560"/>
    <s v="Unidade Vieiralves"/>
    <n v="1711911504"/>
    <m/>
  </r>
  <r>
    <x v="23"/>
    <x v="35"/>
    <s v="Artemiza Virginio de Moura"/>
    <s v="Feminino"/>
    <x v="2"/>
    <x v="12"/>
    <s v="20103522 - Fisioterapia - Pac Com Dependencia de Vida Diária (R$ 23,59)"/>
    <s v="Fisioterapia Pélvica e Neurológica"/>
    <n v="1711914767"/>
    <s v="Finalizado (1/6)"/>
    <n v="18.872"/>
    <n v="4.718"/>
    <n v="23.59"/>
    <s v="Sessão a Faturar"/>
    <n v="812512800019000"/>
    <n v="560"/>
    <s v="Unidade Vieiralves"/>
    <n v="1711914767"/>
    <m/>
  </r>
  <r>
    <x v="23"/>
    <x v="35"/>
    <s v="Thiago Martins Leão"/>
    <s v="Masculino"/>
    <x v="5"/>
    <x v="12"/>
    <s v="98860020 - Fisioterapia Complexidade 2 - 04/03/2026 (R$ 70,79)"/>
    <s v="Fisioterapia Pélvica e Neurológica"/>
    <n v="77114190"/>
    <s v="Finalizado (4/10)"/>
    <n v="56.631999999999998"/>
    <n v="14.157999999999999"/>
    <n v="70.790000000000006"/>
    <s v="Sessão Faturada"/>
    <s v="010086556202"/>
    <n v="57073"/>
    <s v="Unidade Vieiralves"/>
    <n v="77114190"/>
    <m/>
  </r>
  <r>
    <x v="23"/>
    <x v="35"/>
    <s v="Marcos Vinícius Rocha Barbosa"/>
    <m/>
    <x v="8"/>
    <x v="12"/>
    <s v="20103522 - Fisioterapia - Pac Com Dependencia de Vida Diária (R$ 23,59)"/>
    <s v="Fisioterapia Pélvica e Neurológica"/>
    <n v="1706321334"/>
    <s v="Finalizado (5/5)"/>
    <n v="18.872"/>
    <n v="4.718"/>
    <n v="23.59"/>
    <s v="Sessão a Faturar"/>
    <n v="954600005150030"/>
    <n v="59421"/>
    <s v="Unidade Vieiralves"/>
    <n v="1706321334"/>
    <m/>
  </r>
  <r>
    <x v="23"/>
    <x v="71"/>
    <s v="Thiago Martins Leão"/>
    <s v="Masculino"/>
    <x v="5"/>
    <x v="12"/>
    <s v="31602185 - Estimulação Elétrica Transcutânea (Tens) - 04/03/2026 (R$ 120,28)"/>
    <s v="Fisioterapia Pélvica e Neurológica"/>
    <n v="74911120"/>
    <s v="Finalizado (6/10)"/>
    <n v="96.224000000000004"/>
    <n v="24.056000000000001"/>
    <n v="120.28"/>
    <s v="Sessão Faturada"/>
    <s v="010086556202"/>
    <n v="57073"/>
    <s v="Unidade Vieiralves"/>
    <n v="74911120"/>
    <s v="GUIA ASSINADA"/>
  </r>
  <r>
    <x v="23"/>
    <x v="68"/>
    <s v="Eduarda Lieny Mota de Sá"/>
    <m/>
    <x v="7"/>
    <x v="12"/>
    <s v="Vieiralves - 2 - Fisioterapia Neurológica - Pacote (R$ 45,00)"/>
    <s v="Fisioterapia Pélvica e Neurológica"/>
    <n v="170955"/>
    <s v="Finalizado (4/10)"/>
    <n v="33.75"/>
    <n v="11.25"/>
    <n v="45"/>
    <s v="Pago"/>
    <s v="00"/>
    <n v="59557"/>
    <s v="Unidade Vieiralves"/>
    <n v="170955"/>
    <m/>
  </r>
  <r>
    <x v="23"/>
    <x v="68"/>
    <s v="Marcelo Santos Barbalho"/>
    <s v="Masculino"/>
    <x v="1"/>
    <x v="12"/>
    <s v="50001078 - Fisioterapia Neurológica (R$ 35,00)"/>
    <s v="Fisioterapia Pélvica e Neurológica"/>
    <n v="9587413"/>
    <s v="Finalizado (8/10)"/>
    <n v="28"/>
    <n v="7"/>
    <n v="35"/>
    <s v="Sessão Faturada"/>
    <s v="0901012963990065"/>
    <n v="36042"/>
    <s v="Unidade Vieiralves"/>
    <n v="9587413"/>
    <m/>
  </r>
  <r>
    <x v="23"/>
    <x v="68"/>
    <s v="Amanda Richa Silveira Farias"/>
    <s v="Feminino"/>
    <x v="6"/>
    <x v="12"/>
    <s v="20103476 - Patologia Neurologica (R$ 35,40)"/>
    <s v="Fisioterapia Pélvica e Neurológica"/>
    <n v="170967"/>
    <s v="Finalizado (3/10)"/>
    <n v="28.32"/>
    <n v="7.08"/>
    <n v="35.4"/>
    <s v="Sessão a Faturar"/>
    <s v="54588888019504770035"/>
    <n v="58490"/>
    <s v="Unidade Vieiralves"/>
    <n v="170967"/>
    <m/>
  </r>
  <r>
    <x v="23"/>
    <x v="50"/>
    <s v="Ygor Luccas Sugai Auzier da Silva"/>
    <m/>
    <x v="8"/>
    <x v="12"/>
    <s v="20103484 - Patologia Em Um Membro (R$ 12,22)"/>
    <s v="Fisioterapia Pélvica e Neurológica"/>
    <n v="1724913128"/>
    <s v="Finalizado (2/4)"/>
    <n v="9.7759999999999998"/>
    <n v="2.444"/>
    <n v="12.22"/>
    <s v="Sessão a Faturar"/>
    <n v="954600000450020"/>
    <n v="56735"/>
    <s v="Unidade Vieiralves"/>
    <n v="1724913128"/>
    <m/>
  </r>
  <r>
    <x v="23"/>
    <x v="50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1/10)"/>
    <n v="33.75"/>
    <n v="11.25"/>
    <n v="45"/>
    <s v="Sessão a Faturar"/>
    <s v="0000"/>
    <n v="56530"/>
    <s v="Unidade Vieiralves"/>
    <n v="171619"/>
    <m/>
  </r>
  <r>
    <x v="23"/>
    <x v="43"/>
    <s v="Rhian Cristian Freitas Gomes"/>
    <s v="Masculino"/>
    <x v="2"/>
    <x v="12"/>
    <s v="50000144 - Avaliação de Fisioterapia (R$ 51,42)"/>
    <s v="Fisioterapia Pélvica e Neurológica"/>
    <n v="1711982486"/>
    <s v="Finalizado (1/1)"/>
    <n v="46.277999999999999"/>
    <n v="5.1420000000000003"/>
    <n v="51.42"/>
    <s v="Sessão Faturada"/>
    <n v="610170070001030"/>
    <n v="59248"/>
    <s v="Unidade Vieiralves"/>
    <n v="1711982486"/>
    <m/>
  </r>
  <r>
    <x v="23"/>
    <x v="43"/>
    <s v="Rhian Cristian Freitas Gomes"/>
    <s v="Masculino"/>
    <x v="2"/>
    <x v="12"/>
    <s v="20103522 - Fisioterapia - Pac Com Dependencia de Vida Diária (R$ 23,59)"/>
    <s v="Fisioterapia Pélvica e Neurológica"/>
    <n v="1711983920"/>
    <s v="Finalizado (1/3)"/>
    <n v="18.872"/>
    <n v="4.718"/>
    <n v="23.59"/>
    <s v="Sessão a Faturar"/>
    <n v="610170070001030"/>
    <n v="59248"/>
    <s v="Unidade Vieiralves"/>
    <n v="1711983920"/>
    <m/>
  </r>
  <r>
    <x v="0"/>
    <x v="44"/>
    <s v="Francisca Maria Pereira"/>
    <s v="Feminino"/>
    <x v="1"/>
    <x v="12"/>
    <s v="50000160 - Fisioterapia Ortopédica (R$ 20,00), 98980327 - Taxa de Eletroterapia (Tens) (R$ 15,00)"/>
    <s v="Fisioterapia Pélvica e Neurológica"/>
    <n v="8981670"/>
    <s v="Finalizado (10/10)"/>
    <n v="28"/>
    <n v="7"/>
    <n v="35"/>
    <s v="Sessão Faturada"/>
    <n v="1101013081440300"/>
    <n v="59408"/>
    <s v="Unidade Vieiralves"/>
    <n v="8981670"/>
    <m/>
  </r>
  <r>
    <x v="0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7/10)"/>
    <n v="25.824000000000002"/>
    <n v="6.4560000000000004"/>
    <n v="32.28"/>
    <s v="Sessão Faturada"/>
    <s v="00010300011479012"/>
    <n v="17283"/>
    <s v="Unidade Vieiralves"/>
    <n v="13530866"/>
    <m/>
  </r>
  <r>
    <x v="0"/>
    <x v="76"/>
    <s v="Yedda Crisafera de Lima Figueira"/>
    <s v="Feminino"/>
    <x v="25"/>
    <x v="12"/>
    <s v="50000179 - Fisioterapia Respiratória (R$ 18,29)"/>
    <s v="Fisioterapia"/>
    <n v="143215"/>
    <s v="Finalizado (6/10)"/>
    <n v="14.632"/>
    <n v="3.6579999999999999"/>
    <n v="18.29"/>
    <s v="Sessão Faturada"/>
    <n v="33301"/>
    <n v="3132"/>
    <s v="Unidade Vieiralves"/>
    <n v="143215"/>
    <m/>
  </r>
  <r>
    <x v="0"/>
    <x v="76"/>
    <s v="Eduarda Lieny Mota de Sá"/>
    <m/>
    <x v="7"/>
    <x v="12"/>
    <s v="Vieiralves - 2 - Fisioterapia Neurológica - Pacote (R$ 45,00)"/>
    <s v="Fisioterapia Pélvica e Neurológica"/>
    <n v="170955"/>
    <s v="Finalizado (5/10)"/>
    <n v="33.75"/>
    <n v="11.25"/>
    <n v="45"/>
    <s v="Pago"/>
    <s v="00"/>
    <n v="59557"/>
    <s v="Unidade Vieiralves"/>
    <n v="170955"/>
    <m/>
  </r>
  <r>
    <x v="0"/>
    <x v="36"/>
    <s v="Yedda Crisafera de Lima Figueira"/>
    <s v="Feminino"/>
    <x v="25"/>
    <x v="12"/>
    <s v="50000152 - Fisioterapia Neurológica (R$ 19,72)"/>
    <s v="Fisioterapia"/>
    <n v="143217"/>
    <s v="Finalizado (6/10)"/>
    <n v="15.776"/>
    <n v="3.944"/>
    <n v="19.72"/>
    <s v="Sessão Faturada"/>
    <n v="33301"/>
    <n v="3132"/>
    <s v="Unidade Vieiralves"/>
    <n v="143217"/>
    <m/>
  </r>
  <r>
    <x v="0"/>
    <x v="67"/>
    <s v="Emanuele Gurgel de Freitas Melo da Silva"/>
    <s v="Feminino"/>
    <x v="1"/>
    <x v="12"/>
    <s v="50001078 - Fisioterapia Neurológica (R$ 35,00)"/>
    <s v="Fisioterapia Pélvica e Neurológica"/>
    <n v="8317944"/>
    <s v="Finalizado (9/10)"/>
    <n v="28"/>
    <n v="7"/>
    <n v="35"/>
    <s v="Sessão Faturada"/>
    <n v="1901013438340500"/>
    <n v="58987"/>
    <s v="Unidade Vieiralves"/>
    <n v="8317944"/>
    <m/>
  </r>
  <r>
    <x v="0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8/10)"/>
    <n v="28"/>
    <n v="7"/>
    <n v="35"/>
    <s v="Sessão Faturada"/>
    <s v="0901012792890010"/>
    <n v="54879"/>
    <s v="Unidade Vieiralves"/>
    <n v="9077422"/>
    <m/>
  </r>
  <r>
    <x v="0"/>
    <x v="67"/>
    <s v="Luís Carlos Sales de Oliveira"/>
    <s v="Masculino"/>
    <x v="1"/>
    <x v="12"/>
    <s v="50001078 - Fisioterapia Neurológica (R$ 35,00)"/>
    <s v="Fisioterapia Pélvica e Neurológica"/>
    <n v="9833958"/>
    <s v="Não compareceu (4/10)"/>
    <n v="35"/>
    <n v="0"/>
    <n v="35"/>
    <s v="Sessão a Faturar"/>
    <n v="1301013437440100"/>
    <n v="57872"/>
    <s v="Unidade Vieiralves"/>
    <n v="9833958"/>
    <m/>
  </r>
  <r>
    <x v="0"/>
    <x v="35"/>
    <s v="Francisca Oliveira de Souza"/>
    <s v="Feminino"/>
    <x v="1"/>
    <x v="12"/>
    <s v="50000144 - Consulta de Fisioterapia (R$ 16,00)"/>
    <s v="Fisioterapia Pélvica e Neurológica"/>
    <n v="9362857"/>
    <s v="Finalizado (1/1)"/>
    <n v="14.4"/>
    <n v="1.6"/>
    <n v="16"/>
    <s v="Sessão Faturada"/>
    <s v="0901013231690029"/>
    <n v="59606"/>
    <s v="Unidade Vieiralves"/>
    <n v="9362857"/>
    <m/>
  </r>
  <r>
    <x v="0"/>
    <x v="35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1/10)"/>
    <n v="28"/>
    <n v="7"/>
    <n v="35"/>
    <s v="Sessão Faturada"/>
    <s v="0901000375930025"/>
    <n v="59605"/>
    <s v="Unidade Vieiralves"/>
    <n v="9362465"/>
    <m/>
  </r>
  <r>
    <x v="0"/>
    <x v="71"/>
    <s v="Francisca Oliveira de Souza"/>
    <s v="Feminino"/>
    <x v="1"/>
    <x v="12"/>
    <s v="50000160 - Fisioterapia Ortopédica (R$ 20,00), 98980327 - Taxa de Eletroterapia (Tens) (R$ 15,00)"/>
    <s v="Fisioterapia Pélvica e Neurológica"/>
    <n v="9363157"/>
    <s v="Finalizado (1/10)"/>
    <n v="28"/>
    <n v="7"/>
    <n v="35"/>
    <s v="Sessão a Faturar"/>
    <s v="0901013231690029"/>
    <n v="59606"/>
    <s v="Unidade Vieiralves"/>
    <n v="9363157"/>
    <m/>
  </r>
  <r>
    <x v="0"/>
    <x v="68"/>
    <s v="Luis Augusto Mitoso"/>
    <s v="Masculino"/>
    <x v="5"/>
    <x v="12"/>
    <s v="98860011 - Fisioterapia Complexidade 1 - 04/03/2026 (R$ 53,00)"/>
    <s v="Fisioterapia Pélvica e Neurológica"/>
    <n v="77433590"/>
    <s v="Finalizado (8/10)"/>
    <n v="42.4"/>
    <n v="10.6"/>
    <n v="53"/>
    <s v="Sessão Faturada"/>
    <s v="0105813305001328"/>
    <n v="52022"/>
    <s v="Unidade Vieiralves"/>
    <n v="77433590"/>
    <m/>
  </r>
  <r>
    <x v="0"/>
    <x v="68"/>
    <s v="Ana Clara Froes Leite"/>
    <s v="Feminino"/>
    <x v="8"/>
    <x v="12"/>
    <s v="20103514 - Patologia Em Diferentes Segmentos da Coluna (R$ 14,83)"/>
    <s v="Fisioterapia Pélvica e Neurológica"/>
    <n v="1708921407"/>
    <s v="Finalizado (4/5)"/>
    <n v="11.864000000000001"/>
    <n v="2.9660000000000002"/>
    <n v="14.83"/>
    <s v="Sessão Faturada"/>
    <n v="954600022691040"/>
    <n v="47756"/>
    <s v="Unidade Vieiralves"/>
    <n v="1708921407"/>
    <m/>
  </r>
  <r>
    <x v="0"/>
    <x v="37"/>
    <s v="Ana Clara Froes Leite"/>
    <s v="Feminino"/>
    <x v="8"/>
    <x v="12"/>
    <s v="20103522 - Fisioterapia - Pac Com Dependencia de Vida Diária (R$ 23,59)"/>
    <s v="Fisioterapia Pélvica e Neurológica"/>
    <n v="1708923929"/>
    <s v="Finalizado (2/3)"/>
    <n v="18.872"/>
    <n v="4.718"/>
    <n v="23.59"/>
    <s v="Sessão Faturada"/>
    <n v="954600022691040"/>
    <n v="47756"/>
    <s v="Unidade Vieiralves"/>
    <n v="1708923929"/>
    <m/>
  </r>
  <r>
    <x v="0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8/10)"/>
    <n v="96.224000000000004"/>
    <n v="24.056000000000001"/>
    <n v="120.28"/>
    <s v="Sessão Faturada"/>
    <s v="0105813305001328"/>
    <n v="52022"/>
    <s v="Unidade Vieiralves"/>
    <n v="77616240"/>
    <m/>
  </r>
  <r>
    <x v="0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3/10)"/>
    <n v="39.776000000000003"/>
    <n v="9.9440000000000008"/>
    <n v="49.72"/>
    <s v="Sessão a Faturar"/>
    <s v="010962004503"/>
    <n v="54390"/>
    <s v="Unidade Vieiralves"/>
    <s v="42263120260303393761"/>
    <m/>
  </r>
  <r>
    <x v="0"/>
    <x v="50"/>
    <s v="William Sam Marinho de Souza Lima"/>
    <s v="Masculino"/>
    <x v="1"/>
    <x v="12"/>
    <s v="50001078 - Fisioterapia Neurológica (R$ 35,00)"/>
    <s v="Fisioterapia Pélvica e Neurológica"/>
    <n v="9262962"/>
    <s v="Finalizado (2/5)"/>
    <n v="28"/>
    <n v="7"/>
    <n v="35"/>
    <s v="Sessão Faturada"/>
    <s v="0901012128090385"/>
    <n v="57062"/>
    <s v="Unidade Vieiralves"/>
    <n v="9262962"/>
    <m/>
  </r>
  <r>
    <x v="0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3/10)"/>
    <n v="43.304000000000002"/>
    <n v="10.826000000000001"/>
    <n v="54.13"/>
    <s v="Sessão a Faturar"/>
    <s v="010962004503"/>
    <n v="54390"/>
    <s v="Unidade Vieiralves"/>
    <s v="42263120260303393869"/>
    <m/>
  </r>
  <r>
    <x v="0"/>
    <x v="43"/>
    <s v="Amanda Richa Silveira Farias"/>
    <s v="Feminino"/>
    <x v="6"/>
    <x v="12"/>
    <s v="20103476 - Patologia Neurologica (R$ 35,40)"/>
    <s v="Fisioterapia Pélvica e Neurológica"/>
    <n v="170967"/>
    <s v="Finalizado (4/10)"/>
    <n v="28.32"/>
    <n v="7.08"/>
    <n v="35.4"/>
    <s v="Sessão a Faturar"/>
    <s v="54588888019504770035"/>
    <n v="58490"/>
    <s v="Unidade Vieiralves"/>
    <n v="170967"/>
    <m/>
  </r>
  <r>
    <x v="0"/>
    <x v="43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7/10)"/>
    <n v="18.872"/>
    <n v="4.718"/>
    <n v="23.59"/>
    <s v="Sessão Faturada"/>
    <n v="773626015709020"/>
    <n v="44569"/>
    <s v="Unidade Vieiralves"/>
    <n v="1703796691"/>
    <m/>
  </r>
  <r>
    <x v="0"/>
    <x v="77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7/10)"/>
    <n v="11.864000000000001"/>
    <n v="2.9660000000000002"/>
    <n v="14.83"/>
    <s v="Sessão Faturada"/>
    <n v="773626015709020"/>
    <n v="44569"/>
    <s v="Unidade Vieiralves"/>
    <n v="1703797778"/>
    <m/>
  </r>
  <r>
    <x v="1"/>
    <x v="44"/>
    <s v="Maria Luisa Piraice Bandeira"/>
    <s v="Masculino"/>
    <x v="2"/>
    <x v="12"/>
    <s v="20103689 - Fisioterapia - Retardo No Desenvolvimento Psicomotor (R$ 17,17)"/>
    <s v="Fisioterapia Pélvica e Neurológica"/>
    <n v="1713218237"/>
    <s v="Finalizado (1/2)"/>
    <n v="13.736000000000001"/>
    <n v="3.4340000000000002"/>
    <n v="17.170000000000002"/>
    <s v="Sessão a Faturar"/>
    <n v="775216013463030"/>
    <n v="59630"/>
    <s v="Unidade Vieiralves"/>
    <n v="1713218237"/>
    <m/>
  </r>
  <r>
    <x v="1"/>
    <x v="44"/>
    <s v="Maria Luisa Piraice Bandeira"/>
    <s v="Masculino"/>
    <x v="2"/>
    <x v="12"/>
    <s v="50000144 - Avaliação de Fisioterapia (R$ 51,42)"/>
    <s v="Fisioterapia Pélvica e Neurológica"/>
    <n v="1713207429"/>
    <s v="Finalizado (1/1)"/>
    <n v="46.277999999999999"/>
    <n v="5.1420000000000003"/>
    <n v="51.42"/>
    <s v="Sessão Faturada"/>
    <n v="775216013463030"/>
    <n v="59630"/>
    <s v="Unidade Vieiralves"/>
    <n v="1713207429"/>
    <m/>
  </r>
  <r>
    <x v="1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5/10)"/>
    <n v="11.864000000000001"/>
    <n v="2.9660000000000002"/>
    <n v="14.83"/>
    <s v="Sessão Faturada"/>
    <n v="954600007552000"/>
    <n v="30052"/>
    <s v="Unidade Vieiralves"/>
    <n v="1708215105"/>
    <m/>
  </r>
  <r>
    <x v="1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6/10)"/>
    <n v="21.64"/>
    <n v="5.41"/>
    <n v="27.05"/>
    <s v="Sessão Faturada"/>
    <n v="952480013550000"/>
    <n v="14121"/>
    <s v="Unidade Vieiralves"/>
    <n v="1704651988"/>
    <m/>
  </r>
  <r>
    <x v="1"/>
    <x v="76"/>
    <s v="Marlene de Souza Rodrigues"/>
    <s v="Feminino"/>
    <x v="2"/>
    <x v="12"/>
    <s v="20103492 - Fisioterapia - Patologia Em Dois Ou Mais Membros (R$ 14,83)"/>
    <s v="Fisioterapia Pélvica e Neurológica"/>
    <n v="1709460013"/>
    <s v="Finalizado (3/8)"/>
    <n v="11.864000000000001"/>
    <n v="2.9660000000000002"/>
    <n v="14.83"/>
    <s v="Sessão a Faturar"/>
    <n v="837297600019020"/>
    <n v="16076"/>
    <s v="Unidade Vieiralves"/>
    <n v="1709460013"/>
    <m/>
  </r>
  <r>
    <x v="1"/>
    <x v="36"/>
    <s v="Marlene de Souza Rodrigues"/>
    <s v="Feminino"/>
    <x v="2"/>
    <x v="12"/>
    <s v="20103220 - Fisioterapia Respiratória (R$ 12,22)"/>
    <s v="Fisioterapia Pélvica e Neurológica"/>
    <n v="1709458737"/>
    <s v="Finalizado (3/8)"/>
    <n v="9.7759999999999998"/>
    <n v="2.444"/>
    <n v="12.22"/>
    <s v="Sessão a Faturar"/>
    <n v="837297600019020"/>
    <n v="16076"/>
    <s v="Unidade Vieiralves"/>
    <n v="1709458737"/>
    <m/>
  </r>
  <r>
    <x v="1"/>
    <x v="67"/>
    <s v="Marcelo Santos Barbalho"/>
    <s v="Masculino"/>
    <x v="1"/>
    <x v="12"/>
    <s v="50001078 - Fisioterapia Neurológica (R$ 35,00)"/>
    <s v="Fisioterapia Pélvica e Neurológica"/>
    <n v="9587413"/>
    <s v="Finalizado (9/10)"/>
    <n v="28"/>
    <n v="7"/>
    <n v="35"/>
    <s v="Sessão Faturada"/>
    <s v="0901012963990065"/>
    <n v="36042"/>
    <s v="Unidade Vieiralves"/>
    <n v="9587413"/>
    <m/>
  </r>
  <r>
    <x v="1"/>
    <x v="67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8/9)"/>
    <n v="11.864000000000001"/>
    <n v="2.9660000000000002"/>
    <n v="14.83"/>
    <s v="Sessão Faturada"/>
    <n v="952650065111000"/>
    <n v="44404"/>
    <s v="Unidade Vieiralves"/>
    <n v="1703705090"/>
    <m/>
  </r>
  <r>
    <x v="1"/>
    <x v="49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8/9)"/>
    <n v="18.872"/>
    <n v="4.718"/>
    <n v="23.59"/>
    <s v="Sessão Faturada"/>
    <n v="952650065111000"/>
    <n v="44404"/>
    <s v="Unidade Vieiralves"/>
    <n v="1703705949"/>
    <m/>
  </r>
  <r>
    <x v="1"/>
    <x v="35"/>
    <s v="Maria Cristina Pires Montes Giovanazzi"/>
    <s v="Feminino"/>
    <x v="6"/>
    <x v="12"/>
    <s v="20103360 - Fisioterapia Respiratória (R$ 16,74)"/>
    <s v="Fisioterapia Pélvica e Neurológica"/>
    <n v="165501"/>
    <s v="Finalizado (8/10)"/>
    <n v="13.391999999999999"/>
    <n v="3.3479999999999999"/>
    <n v="16.739999999999998"/>
    <s v="Sessão Faturada"/>
    <s v="54588888003122320026"/>
    <n v="1606"/>
    <s v="Unidade Vieiralves"/>
    <n v="165501"/>
    <m/>
  </r>
  <r>
    <x v="1"/>
    <x v="71"/>
    <s v="Maria Cristina Pires Montes Giovanazzi"/>
    <s v="Feminino"/>
    <x v="6"/>
    <x v="12"/>
    <s v="20103476 - Patologia Neurologica (R$ 35,40)"/>
    <s v="Fisioterapia Pélvica e Neurológica"/>
    <n v="165978"/>
    <s v="Finalizado (7/10)"/>
    <n v="28.32"/>
    <n v="7.08"/>
    <n v="35.4"/>
    <s v="Sessão Faturada"/>
    <s v="54588888003122320026"/>
    <n v="1606"/>
    <s v="Unidade Vieiralves"/>
    <n v="165978"/>
    <m/>
  </r>
  <r>
    <x v="1"/>
    <x v="68"/>
    <s v="Maria Marlene Cardoso Gonçalves"/>
    <s v="Feminino"/>
    <x v="1"/>
    <x v="12"/>
    <s v="50001078 - Fisioterapia Neurológica (R$ 35,00)"/>
    <s v="Fisioterapia Pélvica e Neurológica"/>
    <n v="9392405"/>
    <s v="Finalizado (1/10)"/>
    <n v="28"/>
    <n v="7"/>
    <n v="35"/>
    <s v="Sessão Faturada"/>
    <s v="0201011439440066"/>
    <n v="55043"/>
    <s v="Unidade Vieiralves"/>
    <n v="9392405"/>
    <m/>
  </r>
  <r>
    <x v="1"/>
    <x v="68"/>
    <s v="Albertina Renata da Altona"/>
    <s v="Feminino"/>
    <x v="2"/>
    <x v="12"/>
    <s v="20103492 - Fisioterapia - Patologia Em Dois Ou Mais Membros (R$ 14,83), 20103514 - Fisioterapia - Patologia Em Diferentes Segmentos da Coluna (R$ 14,83)"/>
    <s v="Fisioterapia Pélvica e Neurológica"/>
    <n v="1710811608"/>
    <s v="Finalizado (2/5)"/>
    <n v="23.728000000000002"/>
    <n v="5.9320000000000004"/>
    <n v="29.66"/>
    <s v="Sessão Faturada"/>
    <n v="982870069531010"/>
    <n v="59424"/>
    <s v="Unidade Vieiralves"/>
    <n v="1710811608"/>
    <m/>
  </r>
  <r>
    <x v="1"/>
    <x v="68"/>
    <s v="Maria Marlene Cardoso Gonçalves"/>
    <s v="Feminino"/>
    <x v="1"/>
    <x v="12"/>
    <s v="50000144 - Consulta de Fisioterapia (R$ 16,00)"/>
    <s v="Fisioterapia Pélvica e Neurológica"/>
    <n v="9387537"/>
    <s v="Finalizado (1/1)"/>
    <n v="14.4"/>
    <n v="1.6"/>
    <n v="16"/>
    <s v="Sessão Faturada"/>
    <s v="0201011439440066"/>
    <n v="55043"/>
    <s v="Unidade Vieiralves"/>
    <n v="9387537"/>
    <m/>
  </r>
  <r>
    <x v="1"/>
    <x v="37"/>
    <s v="Albertina Renata da Altona"/>
    <s v="Feminino"/>
    <x v="4"/>
    <x v="12"/>
    <s v="31602185 - Estimulação Elétrica Transcutânea - Removido 13/04/2026 (R$ 40,00)"/>
    <s v="Fisioterapia Pélvica e Neurológica"/>
    <n v="1710813366"/>
    <s v="Finalizado (2/5)"/>
    <n v="32"/>
    <n v="8"/>
    <n v="40"/>
    <s v="Sessão Faturada"/>
    <n v="982870069531010"/>
    <n v="59424"/>
    <s v="Unidade Vieiralves"/>
    <n v="1710813366"/>
    <m/>
  </r>
  <r>
    <x v="1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3/10)"/>
    <n v="15.44"/>
    <n v="3.86"/>
    <n v="19.3"/>
    <s v="Sessão a Faturar"/>
    <n v="771015041130020"/>
    <n v="45879"/>
    <s v="Unidade Vieiralves"/>
    <n v="1710848333"/>
    <m/>
  </r>
  <r>
    <x v="1"/>
    <x v="50"/>
    <s v="Rita de Cassia Balbi Alves"/>
    <s v="Feminino"/>
    <x v="19"/>
    <x v="12"/>
    <s v="20103514 - Patol. Em Diferentes Segmentos da Coluna - 17/03/2026 (R$ 91,31)"/>
    <s v="Fisioterapia Pélvica e Neurológica"/>
    <n v="170132"/>
    <s v="Finalizado (3/10)"/>
    <n v="73.048000000000002"/>
    <n v="18.262"/>
    <n v="91.31"/>
    <s v="Sessão a Faturar"/>
    <s v="0001000034150505"/>
    <n v="37165"/>
    <s v="Unidade Vieiralves"/>
    <n v="170132"/>
    <m/>
  </r>
  <r>
    <x v="1"/>
    <x v="50"/>
    <s v="Rita de Cassia Balbi Alves"/>
    <s v="Feminino"/>
    <x v="19"/>
    <x v="12"/>
    <s v="20103514 - Patol. Em Diferentes Segmentos da Coluna - 17/03/2026 (R$ 91,31)"/>
    <s v="Fisioterapia Pélvica e Neurológica"/>
    <n v="170132"/>
    <s v="Finalizado (2/10)"/>
    <n v="73.048000000000002"/>
    <n v="18.262"/>
    <n v="91.31"/>
    <s v="Sessão a Faturar"/>
    <s v="0001000034150505"/>
    <n v="37165"/>
    <s v="Unidade Vieiralves"/>
    <n v="170132"/>
    <m/>
  </r>
  <r>
    <x v="2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8/10)"/>
    <n v="25.824000000000002"/>
    <n v="6.4560000000000004"/>
    <n v="32.28"/>
    <s v="Sessão Faturada"/>
    <s v="00010300011479012"/>
    <n v="17283"/>
    <s v="Unidade Vieiralves"/>
    <n v="13530866"/>
    <m/>
  </r>
  <r>
    <x v="2"/>
    <x v="76"/>
    <s v="Eduarda Lieny Mota de Sá"/>
    <m/>
    <x v="7"/>
    <x v="12"/>
    <s v="Vieiralves - 2 - Fisioterapia Neurológica - Pacote (R$ 45,00)"/>
    <s v="Fisioterapia Pélvica e Neurológica"/>
    <n v="170955"/>
    <s v="Finalizado (6/10)"/>
    <n v="33.75"/>
    <n v="11.25"/>
    <n v="45"/>
    <s v="Pago"/>
    <s v="00"/>
    <n v="59557"/>
    <s v="Unidade Vieiralves"/>
    <n v="170955"/>
    <m/>
  </r>
  <r>
    <x v="2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9/10)"/>
    <n v="28"/>
    <n v="7"/>
    <n v="35"/>
    <s v="Sessão Faturada"/>
    <s v="0901012792890010"/>
    <n v="54879"/>
    <s v="Unidade Vieiralves"/>
    <n v="9077422"/>
    <m/>
  </r>
  <r>
    <x v="2"/>
    <x v="35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2/10)"/>
    <n v="28"/>
    <n v="7"/>
    <n v="35"/>
    <s v="Sessão Faturada"/>
    <s v="0901000375930025"/>
    <n v="59605"/>
    <s v="Unidade Vieiralves"/>
    <n v="9362465"/>
    <m/>
  </r>
  <r>
    <x v="2"/>
    <x v="35"/>
    <s v="Regina Elizabeth Pinheiro de Oliveira"/>
    <s v="Feminino"/>
    <x v="1"/>
    <x v="12"/>
    <s v="50000144 - Consulta de Fisioterapia (R$ 16,00)"/>
    <s v="Fisioterapia Pélvica e Neurológica"/>
    <n v="9409134"/>
    <s v="Finalizado (1/1)"/>
    <n v="14.4"/>
    <n v="1.6"/>
    <n v="16"/>
    <s v="Sessão Faturada"/>
    <s v="0901013811970051"/>
    <n v="135"/>
    <s v="Unidade Vieiralves"/>
    <n v="9409134"/>
    <m/>
  </r>
  <r>
    <x v="2"/>
    <x v="71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409369"/>
    <s v="Finalizado (1/10)"/>
    <n v="28"/>
    <n v="7"/>
    <n v="35"/>
    <s v="Sessão a Faturar"/>
    <s v="0901013811970051"/>
    <n v="135"/>
    <s v="Unidade Vieiralves"/>
    <n v="9409369"/>
    <m/>
  </r>
  <r>
    <x v="2"/>
    <x v="68"/>
    <s v="Artemiza Virginio de Moura"/>
    <s v="Feminino"/>
    <x v="2"/>
    <x v="12"/>
    <s v="20103522 - Fisioterapia - Pac Com Dependencia de Vida Diária (R$ 23,59)"/>
    <s v="Fisioterapia Pélvica e Neurológica"/>
    <n v="1711914767"/>
    <s v="Finalizado (2/6)"/>
    <n v="18.872"/>
    <n v="4.718"/>
    <n v="23.59"/>
    <s v="Sessão a Faturar"/>
    <n v="812512800019000"/>
    <n v="560"/>
    <s v="Unidade Vieiralves"/>
    <n v="1711914767"/>
    <m/>
  </r>
  <r>
    <x v="2"/>
    <x v="68"/>
    <s v="Laercio Sampaio de Souza"/>
    <s v="Masculino"/>
    <x v="2"/>
    <x v="12"/>
    <s v="20103484 - Fisioterapia - Patologia Em Um Membro (R$ 12,22)"/>
    <s v="Fisioterapia Pélvica e Neurológica"/>
    <n v="1711911045"/>
    <s v="Finalizado (2/10)"/>
    <n v="9.7759999999999998"/>
    <n v="2.444"/>
    <n v="12.22"/>
    <s v="Sessão a Faturar"/>
    <n v="812512800043000"/>
    <n v="19903"/>
    <s v="Unidade Vieiralves"/>
    <n v="1711911045"/>
    <m/>
  </r>
  <r>
    <x v="2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4/10)"/>
    <n v="39.776000000000003"/>
    <n v="9.9440000000000008"/>
    <n v="49.72"/>
    <s v="Sessão a Faturar"/>
    <s v="010962004503"/>
    <n v="54390"/>
    <s v="Unidade Vieiralves"/>
    <s v="42263120260303393761"/>
    <m/>
  </r>
  <r>
    <x v="2"/>
    <x v="50"/>
    <s v="Ana Clara Froes Leite"/>
    <s v="Feminino"/>
    <x v="8"/>
    <x v="12"/>
    <s v="20103514 - Patologia Em Diferentes Segmentos da Coluna (R$ 14,83)"/>
    <s v="Fisioterapia Pélvica e Neurológica"/>
    <n v="1708921407"/>
    <s v="Finalizado (5/5)"/>
    <n v="11.864000000000001"/>
    <n v="2.9660000000000002"/>
    <n v="14.83"/>
    <s v="Sessão Faturada"/>
    <n v="954600022691040"/>
    <n v="47756"/>
    <s v="Unidade Vieiralves"/>
    <n v="1708921407"/>
    <m/>
  </r>
  <r>
    <x v="2"/>
    <x v="50"/>
    <s v="William Sam Marinho de Souza Lima"/>
    <s v="Masculino"/>
    <x v="1"/>
    <x v="12"/>
    <s v="50001078 - Fisioterapia Neurológica (R$ 35,00)"/>
    <s v="Fisioterapia Pélvica e Neurológica"/>
    <n v="9262962"/>
    <s v="Finalizado (3/5)"/>
    <n v="28"/>
    <n v="7"/>
    <n v="35"/>
    <s v="Sessão Faturada"/>
    <s v="0901012128090385"/>
    <n v="57062"/>
    <s v="Unidade Vieiralves"/>
    <n v="9262962"/>
    <m/>
  </r>
  <r>
    <x v="2"/>
    <x v="78"/>
    <s v="Ana Clara Froes Leite"/>
    <s v="Feminino"/>
    <x v="8"/>
    <x v="12"/>
    <s v="20103522 - Fisioterapia - Pac Com Dependencia de Vida Diária (R$ 23,59)"/>
    <s v="Fisioterapia Pélvica e Neurológica"/>
    <n v="1708923929"/>
    <s v="Finalizado (3/3)"/>
    <n v="18.872"/>
    <n v="4.718"/>
    <n v="23.59"/>
    <s v="Sessão Faturada"/>
    <n v="954600022691040"/>
    <n v="47756"/>
    <s v="Unidade Vieiralves"/>
    <n v="1708923929"/>
    <m/>
  </r>
  <r>
    <x v="2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4/10)"/>
    <n v="43.304000000000002"/>
    <n v="10.826000000000001"/>
    <n v="54.13"/>
    <s v="Sessão a Faturar"/>
    <s v="010962004503"/>
    <n v="54390"/>
    <s v="Unidade Vieiralves"/>
    <s v="42263120260303393869"/>
    <m/>
  </r>
  <r>
    <x v="2"/>
    <x v="43"/>
    <s v="Amanda Richa Silveira Farias"/>
    <s v="Feminino"/>
    <x v="6"/>
    <x v="12"/>
    <s v="20103476 - Patologia Neurologica (R$ 35,40)"/>
    <s v="Fisioterapia Pélvica e Neurológica"/>
    <n v="170967"/>
    <s v="Finalizado (5/10)"/>
    <n v="28.32"/>
    <n v="7.08"/>
    <n v="35.4"/>
    <s v="Sessão a Faturar"/>
    <s v="54588888019504770035"/>
    <n v="58490"/>
    <s v="Unidade Vieiralves"/>
    <n v="170967"/>
    <m/>
  </r>
  <r>
    <x v="2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8/10)"/>
    <n v="11.864000000000001"/>
    <n v="2.9660000000000002"/>
    <n v="14.83"/>
    <s v="Sessão Faturada"/>
    <n v="773626015709020"/>
    <n v="44569"/>
    <s v="Unidade Vieiralves"/>
    <n v="1703797778"/>
    <m/>
  </r>
  <r>
    <x v="2"/>
    <x v="43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8/10)"/>
    <n v="18.872"/>
    <n v="4.718"/>
    <n v="23.59"/>
    <s v="Sessão Faturada"/>
    <n v="773626015709020"/>
    <n v="44569"/>
    <s v="Unidade Vieiralves"/>
    <n v="1703796691"/>
    <m/>
  </r>
  <r>
    <x v="3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6/10)"/>
    <n v="11.864000000000001"/>
    <n v="2.9660000000000002"/>
    <n v="14.83"/>
    <s v="Sessão Faturada"/>
    <n v="954600007552000"/>
    <n v="30052"/>
    <s v="Unidade Vieiralves"/>
    <n v="1708215105"/>
    <m/>
  </r>
  <r>
    <x v="3"/>
    <x v="44"/>
    <s v="Maria Luisa Piraice Bandeira"/>
    <s v="Masculino"/>
    <x v="2"/>
    <x v="12"/>
    <s v="20103689 - Fisioterapia - Retardo No Desenvolvimento Psicomotor (R$ 17,17)"/>
    <s v="Fisioterapia Pélvica e Neurológica"/>
    <n v="1713218237"/>
    <s v="Finalizado (2/2)"/>
    <n v="13.736000000000001"/>
    <n v="3.4340000000000002"/>
    <n v="17.170000000000002"/>
    <s v="Sessão a Faturar"/>
    <n v="775216013463030"/>
    <n v="59630"/>
    <s v="Unidade Vieiralves"/>
    <n v="1713218237"/>
    <m/>
  </r>
  <r>
    <x v="3"/>
    <x v="76"/>
    <s v="Marlene de Souza Rodrigues"/>
    <s v="Feminino"/>
    <x v="2"/>
    <x v="12"/>
    <s v="20103492 - Fisioterapia - Patologia Em Dois Ou Mais Membros (R$ 14,83)"/>
    <s v="Fisioterapia Pélvica e Neurológica"/>
    <n v="1709460013"/>
    <s v="Finalizado (4/8)"/>
    <n v="11.864000000000001"/>
    <n v="2.9660000000000002"/>
    <n v="14.83"/>
    <s v="Sessão a Faturar"/>
    <n v="837297600019020"/>
    <n v="16076"/>
    <s v="Unidade Vieiralves"/>
    <n v="1709460013"/>
    <m/>
  </r>
  <r>
    <x v="3"/>
    <x v="36"/>
    <s v="Marlene de Souza Rodrigues"/>
    <s v="Feminino"/>
    <x v="2"/>
    <x v="12"/>
    <s v="20103220 - Fisioterapia Respiratória (R$ 12,22)"/>
    <s v="Fisioterapia Pélvica e Neurológica"/>
    <n v="1709458737"/>
    <s v="Finalizado (4/8)"/>
    <n v="9.7759999999999998"/>
    <n v="2.444"/>
    <n v="12.22"/>
    <s v="Sessão a Faturar"/>
    <n v="837297600019020"/>
    <n v="16076"/>
    <s v="Unidade Vieiralves"/>
    <n v="1709458737"/>
    <m/>
  </r>
  <r>
    <x v="3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1/10)"/>
    <n v="28"/>
    <n v="7"/>
    <n v="35"/>
    <s v="Sessão Faturada"/>
    <n v="1101013081440300"/>
    <n v="59408"/>
    <s v="Unidade Vieiralves"/>
    <n v="9356555"/>
    <m/>
  </r>
  <r>
    <x v="3"/>
    <x v="68"/>
    <s v="Francisca Pena de Alencar"/>
    <s v="Feminino"/>
    <x v="1"/>
    <x v="12"/>
    <s v="50001078 - Fisioterapia Neurológica (R$ 35,00)"/>
    <s v="Fisioterapia Pélvica e Neurológica"/>
    <n v="8952214"/>
    <s v="Finalizado (9/10)"/>
    <n v="28"/>
    <n v="7"/>
    <n v="35"/>
    <s v="Sessão Faturada"/>
    <n v="1901013196900200"/>
    <n v="58870"/>
    <s v="Unidade Vieiralves"/>
    <n v="8952214"/>
    <m/>
  </r>
  <r>
    <x v="3"/>
    <x v="68"/>
    <s v="Walmir Prado de Alencar"/>
    <s v="Masculino"/>
    <x v="1"/>
    <x v="12"/>
    <s v="50001078 - Fisioterapia Neurológica (R$ 35,00)"/>
    <s v="Fisioterapia Pélvica e Neurológica"/>
    <n v="9802711"/>
    <s v="Finalizado (3/10)"/>
    <n v="28"/>
    <n v="7"/>
    <n v="35"/>
    <s v="Sessão a Faturar"/>
    <n v="1901013196900100"/>
    <n v="58110"/>
    <s v="Unidade Vieiralves"/>
    <n v="9802711"/>
    <m/>
  </r>
  <r>
    <x v="3"/>
    <x v="50"/>
    <s v="Maria Marlene Cardoso Gonçalves"/>
    <s v="Feminino"/>
    <x v="1"/>
    <x v="12"/>
    <s v="50001078 - Fisioterapia Neurológica (R$ 35,00)"/>
    <s v="Fisioterapia Pélvica e Neurológica"/>
    <n v="9392405"/>
    <s v="Finalizado (2/10)"/>
    <n v="28"/>
    <n v="7"/>
    <n v="35"/>
    <s v="Sessão Faturada"/>
    <s v="0201011439440066"/>
    <n v="55043"/>
    <s v="Unidade Vieiralves"/>
    <n v="9392405"/>
    <m/>
  </r>
  <r>
    <x v="3"/>
    <x v="43"/>
    <s v="Benicio Jose Machado de Queiroga Teixeria"/>
    <s v="Masculino"/>
    <x v="6"/>
    <x v="12"/>
    <s v="50000144 - Avaliação de Fisioterapia (R$ 56,52)"/>
    <s v="Fisioterapia Pélvica e Neurológica"/>
    <n v="7700047297"/>
    <s v="Finalizado (1/1)"/>
    <n v="50.868000000000002"/>
    <n v="5.6520000000000001"/>
    <n v="56.52"/>
    <s v="Sessão Faturada"/>
    <s v="55788888493335620117"/>
    <n v="59677"/>
    <s v="Unidade Vieiralves"/>
    <n v="7700047297"/>
    <m/>
  </r>
  <r>
    <x v="3"/>
    <x v="77"/>
    <s v="Benicio Jose Machado de Queiroga Teixeria"/>
    <s v="Masculino"/>
    <x v="6"/>
    <x v="12"/>
    <s v="20103476 - Patologia Neurologica (R$ 35,40)"/>
    <s v="Fisioterapia Pélvica e Neurológica"/>
    <n v="172273"/>
    <s v="Finalizado (1/8)"/>
    <n v="28.32"/>
    <n v="7.08"/>
    <n v="35.4"/>
    <s v="Sessão a Faturar"/>
    <s v="55788888493335620117"/>
    <n v="59677"/>
    <s v="Unidade Vieiralves"/>
    <n v="172273"/>
    <m/>
  </r>
  <r>
    <x v="4"/>
    <x v="44"/>
    <s v="Maria Marlene Cardoso Gonçalves"/>
    <s v="Feminino"/>
    <x v="1"/>
    <x v="12"/>
    <s v="50001078 - Fisioterapia Neurológica (R$ 35,00)"/>
    <s v="Fisioterapia Pélvica e Neurológica"/>
    <n v="9392405"/>
    <s v="Finalizado (3/10)"/>
    <n v="28"/>
    <n v="7"/>
    <n v="35"/>
    <s v="Sessão Faturada"/>
    <s v="0201011439440066"/>
    <n v="55043"/>
    <s v="Unidade Vieiralves"/>
    <n v="9392405"/>
    <m/>
  </r>
  <r>
    <x v="4"/>
    <x v="44"/>
    <s v="Adriane Cavalcante Xavier"/>
    <s v="Feminino"/>
    <x v="2"/>
    <x v="12"/>
    <s v="20103492 - Fisioterapia - Patologia Em Dois Ou Mais Membros (R$ 14,83)"/>
    <s v="Fisioterapia Pélvica e Neurológica"/>
    <n v="1710042981"/>
    <s v="Finalizado (3/8)"/>
    <n v="11.864000000000001"/>
    <n v="2.9660000000000002"/>
    <n v="14.83"/>
    <s v="Sessão a Faturar"/>
    <n v="811285500019020"/>
    <n v="43789"/>
    <s v="Unidade Vieiralves"/>
    <n v="1710042981"/>
    <m/>
  </r>
  <r>
    <x v="4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9/10)"/>
    <n v="25.824000000000002"/>
    <n v="6.4560000000000004"/>
    <n v="32.28"/>
    <s v="Sessão Faturada"/>
    <s v="00010300011479012"/>
    <n v="17283"/>
    <s v="Unidade Vieiralves"/>
    <n v="13530866"/>
    <m/>
  </r>
  <r>
    <x v="4"/>
    <x v="74"/>
    <s v="Adriane Cavalcante Xavier"/>
    <s v="Feminino"/>
    <x v="4"/>
    <x v="12"/>
    <s v="31602185 - Estimulação Elétrica Transcutânea - Removido 13/04/2026 (R$ 40,00)"/>
    <s v="Fisioterapia Pélvica e Neurológica"/>
    <n v="1714891505"/>
    <s v="Finalizado (1/10)"/>
    <n v="32"/>
    <n v="8"/>
    <n v="40"/>
    <s v="Sessão a Faturar"/>
    <n v="811285500019020"/>
    <n v="43789"/>
    <s v="Unidade Vieiralves"/>
    <n v="1714891505"/>
    <m/>
  </r>
  <r>
    <x v="4"/>
    <x v="76"/>
    <s v="Elzi Cleide Caetano da Costa"/>
    <s v="Feminino"/>
    <x v="6"/>
    <x v="12"/>
    <s v="20103492 - Patologia Em Dois Ou Mais Membros (R$ 30,26)"/>
    <s v="Fisioterapia Pélvica e Neurológica"/>
    <n v="172263"/>
    <s v="Finalizado (1/10)"/>
    <n v="24.207999999999998"/>
    <n v="6.0519999999999996"/>
    <n v="30.26"/>
    <s v="Sessão a Faturar"/>
    <s v="86979122003944240017"/>
    <n v="53521"/>
    <s v="Unidade Vieiralves"/>
    <n v="172263"/>
    <s v="GUIA ASSINADA"/>
  </r>
  <r>
    <x v="4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7/10)"/>
    <n v="21.64"/>
    <n v="5.41"/>
    <n v="27.05"/>
    <s v="Sessão Faturada"/>
    <n v="952480013550000"/>
    <n v="14121"/>
    <s v="Unidade Vieiralves"/>
    <n v="1704651988"/>
    <m/>
  </r>
  <r>
    <x v="4"/>
    <x v="76"/>
    <s v="Eduarda Lieny Mota de Sá"/>
    <m/>
    <x v="7"/>
    <x v="12"/>
    <s v="Vieiralves - 2 - Fisioterapia Neurológica - Pacote (R$ 45,00)"/>
    <s v="Fisioterapia Pélvica e Neurológica"/>
    <n v="170955"/>
    <s v="Finalizado (7/10)"/>
    <n v="33.75"/>
    <n v="11.25"/>
    <n v="45"/>
    <s v="Pago"/>
    <s v="00"/>
    <n v="59557"/>
    <s v="Unidade Vieiralves"/>
    <n v="170955"/>
    <m/>
  </r>
  <r>
    <x v="4"/>
    <x v="36"/>
    <s v="Elzi Cleide Caetano da Costa"/>
    <s v="Feminino"/>
    <x v="6"/>
    <x v="12"/>
    <s v="31602185 - Estimulação Elétrica Transcutanea (Tens) (R$ 40,00)"/>
    <s v="Fisioterapia Pélvica e Neurológica"/>
    <n v="172364"/>
    <s v="Finalizado (1/1)"/>
    <n v="32"/>
    <n v="8"/>
    <n v="40"/>
    <s v="Sessão a Faturar"/>
    <s v="86979122003944240017"/>
    <n v="53521"/>
    <s v="Unidade Vieiralves"/>
    <n v="172364"/>
    <m/>
  </r>
  <r>
    <x v="4"/>
    <x v="67"/>
    <s v="Francisca Oliveira de Souza"/>
    <s v="Feminino"/>
    <x v="1"/>
    <x v="12"/>
    <s v="50000160 - Fisioterapia Ortopédica (R$ 20,00), 98980327 - Taxa de Eletroterapia (Tens) (R$ 15,00)"/>
    <s v="Fisioterapia Pélvica e Neurológica"/>
    <n v="9363157"/>
    <s v="Finalizado (2/10)"/>
    <n v="28"/>
    <n v="7"/>
    <n v="35"/>
    <s v="Sessão a Faturar"/>
    <s v="0901013231690029"/>
    <n v="59606"/>
    <s v="Unidade Vieiralves"/>
    <n v="9363157"/>
    <m/>
  </r>
  <r>
    <x v="4"/>
    <x v="67"/>
    <s v="Raimundo Nonato de Araujo Souza"/>
    <s v="Masculino"/>
    <x v="1"/>
    <x v="12"/>
    <s v="50000160 - Fisioterapia Ortopédica (R$ 20,00), 98980327 - Taxa de Eletroterapia (Tens) (R$ 15,00)"/>
    <s v="Fisioterapia Pélvica e Neurológica"/>
    <n v="9077422"/>
    <s v="Finalizado (10/10)"/>
    <n v="28"/>
    <n v="7"/>
    <n v="35"/>
    <s v="Sessão Faturada"/>
    <s v="0901012792890010"/>
    <n v="54879"/>
    <s v="Unidade Vieiralves"/>
    <n v="9077422"/>
    <m/>
  </r>
  <r>
    <x v="4"/>
    <x v="35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3/10)"/>
    <n v="28"/>
    <n v="7"/>
    <n v="35"/>
    <s v="Sessão Faturada"/>
    <s v="0901000375930025"/>
    <n v="59605"/>
    <s v="Unidade Vieiralves"/>
    <n v="9362465"/>
    <m/>
  </r>
  <r>
    <x v="4"/>
    <x v="35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2/10)"/>
    <n v="33.75"/>
    <n v="11.25"/>
    <n v="45"/>
    <s v="Sessão a Faturar"/>
    <s v="0000"/>
    <n v="56530"/>
    <s v="Unidade Vieiralves"/>
    <n v="171619"/>
    <m/>
  </r>
  <r>
    <x v="4"/>
    <x v="68"/>
    <s v="Luis Augusto Mitoso"/>
    <s v="Masculino"/>
    <x v="5"/>
    <x v="12"/>
    <s v="98860011 - Fisioterapia Complexidade 1 - 04/03/2026 (R$ 53,00)"/>
    <s v="Fisioterapia Pélvica e Neurológica"/>
    <n v="77433590"/>
    <s v="Finalizado (9/10)"/>
    <n v="42.4"/>
    <n v="10.6"/>
    <n v="53"/>
    <s v="Sessão Faturada"/>
    <s v="0105813305001328"/>
    <n v="52022"/>
    <s v="Unidade Vieiralves"/>
    <n v="77433590"/>
    <m/>
  </r>
  <r>
    <x v="4"/>
    <x v="68"/>
    <s v="Francisca Pena de Alencar"/>
    <s v="Feminino"/>
    <x v="1"/>
    <x v="12"/>
    <s v="50001078 - Fisioterapia Neurológica (R$ 35,00)"/>
    <s v="Fisioterapia Pélvica e Neurológica"/>
    <n v="8952214"/>
    <s v="Finalizado (10/10)"/>
    <n v="28"/>
    <n v="7"/>
    <n v="35"/>
    <s v="Sessão Faturada"/>
    <n v="1901013196900200"/>
    <n v="58870"/>
    <s v="Unidade Vieiralves"/>
    <n v="8952214"/>
    <m/>
  </r>
  <r>
    <x v="4"/>
    <x v="68"/>
    <s v="Walmir Prado de Alencar"/>
    <s v="Masculino"/>
    <x v="1"/>
    <x v="12"/>
    <s v="50001078 - Fisioterapia Neurológica (R$ 35,00)"/>
    <s v="Fisioterapia Pélvica e Neurológica"/>
    <n v="9802711"/>
    <s v="Finalizado (4/10)"/>
    <n v="28"/>
    <n v="7"/>
    <n v="35"/>
    <s v="Sessão a Faturar"/>
    <n v="1901013196900100"/>
    <n v="58110"/>
    <s v="Unidade Vieiralves"/>
    <n v="9802711"/>
    <m/>
  </r>
  <r>
    <x v="4"/>
    <x v="37"/>
    <s v="Luis Augusto Mitoso"/>
    <s v="Masculino"/>
    <x v="5"/>
    <x v="12"/>
    <s v="31602185 - Estimulação Elétrica Transcutânea (Tens) - 04/03/2026 (R$ 120,28)"/>
    <s v="Fisioterapia Pélvica e Neurológica"/>
    <n v="77616240"/>
    <s v="Finalizado (9/10)"/>
    <n v="96.224000000000004"/>
    <n v="24.056000000000001"/>
    <n v="120.28"/>
    <s v="Sessão Faturada"/>
    <s v="0105813305001328"/>
    <n v="52022"/>
    <s v="Unidade Vieiralves"/>
    <n v="77616240"/>
    <m/>
  </r>
  <r>
    <x v="4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5/10)"/>
    <n v="15.44"/>
    <n v="3.86"/>
    <n v="19.3"/>
    <s v="Sessão a Faturar"/>
    <n v="771015041130020"/>
    <n v="45879"/>
    <s v="Unidade Vieiralves"/>
    <n v="1710848333"/>
    <m/>
  </r>
  <r>
    <x v="4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5/10)"/>
    <n v="39.776000000000003"/>
    <n v="9.9440000000000008"/>
    <n v="49.72"/>
    <s v="Sessão a Faturar"/>
    <s v="010962004503"/>
    <n v="54390"/>
    <s v="Unidade Vieiralves"/>
    <s v="42263120260303393761"/>
    <m/>
  </r>
  <r>
    <x v="4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5/10)"/>
    <n v="43.304000000000002"/>
    <n v="10.826000000000001"/>
    <n v="54.13"/>
    <s v="Sessão a Faturar"/>
    <s v="010962004503"/>
    <n v="54390"/>
    <s v="Unidade Vieiralves"/>
    <s v="42263120260303393869"/>
    <m/>
  </r>
  <r>
    <x v="4"/>
    <x v="43"/>
    <s v="Amanda Richa Silveira Farias"/>
    <s v="Feminino"/>
    <x v="6"/>
    <x v="12"/>
    <s v="20103476 - Patologia Neurologica (R$ 35,40)"/>
    <s v="Fisioterapia Pélvica e Neurológica"/>
    <n v="170967"/>
    <s v="Finalizado (6/10)"/>
    <n v="28.32"/>
    <n v="7.08"/>
    <n v="35.4"/>
    <s v="Sessão a Faturar"/>
    <s v="54588888019504770035"/>
    <n v="58490"/>
    <s v="Unidade Vieiralves"/>
    <n v="170967"/>
    <m/>
  </r>
  <r>
    <x v="4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9/10)"/>
    <n v="11.864000000000001"/>
    <n v="2.9660000000000002"/>
    <n v="14.83"/>
    <s v="Sessão Faturada"/>
    <n v="773626015709020"/>
    <n v="44569"/>
    <s v="Unidade Vieiralves"/>
    <n v="1703797778"/>
    <m/>
  </r>
  <r>
    <x v="4"/>
    <x v="77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9/10)"/>
    <n v="18.872"/>
    <n v="4.718"/>
    <n v="23.59"/>
    <s v="Sessão Faturada"/>
    <n v="773626015709020"/>
    <n v="44569"/>
    <s v="Unidade Vieiralves"/>
    <n v="1703796691"/>
    <m/>
  </r>
  <r>
    <x v="24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7/10)"/>
    <n v="11.864000000000001"/>
    <n v="2.9660000000000002"/>
    <n v="14.83"/>
    <s v="Sessão Faturada"/>
    <n v="954600007552000"/>
    <n v="30052"/>
    <s v="Unidade Vieiralves"/>
    <n v="1708215105"/>
    <m/>
  </r>
  <r>
    <x v="24"/>
    <x v="76"/>
    <s v="Sâmara Regina Rodrigues Santiago"/>
    <s v="Feminino"/>
    <x v="6"/>
    <x v="12"/>
    <s v="20103360 - Fisioterapia Respiratória (R$ 16,74)"/>
    <s v="Fisioterapia Pélvica e Neurológica"/>
    <n v="172226"/>
    <s v="Finalizado (2/10)"/>
    <n v="13.391999999999999"/>
    <n v="3.3479999999999999"/>
    <n v="16.739999999999998"/>
    <s v="Sessão a Faturar"/>
    <s v="54588888019468180024"/>
    <n v="59615"/>
    <s v="Unidade Vieiralves"/>
    <n v="172226"/>
    <m/>
  </r>
  <r>
    <x v="24"/>
    <x v="67"/>
    <s v="Thiago Martins Leão"/>
    <s v="Masculino"/>
    <x v="5"/>
    <x v="12"/>
    <s v="31602185 - Estimulação Elétrica Transcutânea (Tens) - 04/03/2026 (R$ 120,28)"/>
    <s v="Fisioterapia Pélvica e Neurológica"/>
    <n v="74911120"/>
    <s v="Finalizado (7/10)"/>
    <n v="96.224000000000004"/>
    <n v="24.056000000000001"/>
    <n v="120.28"/>
    <s v="Sessão Faturada"/>
    <s v="010086556202"/>
    <n v="57073"/>
    <s v="Unidade Vieiralves"/>
    <n v="74911120"/>
    <s v="GUIA ASSINADA"/>
  </r>
  <r>
    <x v="24"/>
    <x v="67"/>
    <s v="Amanda Richa Silveira Farias"/>
    <s v="Feminino"/>
    <x v="6"/>
    <x v="12"/>
    <s v="20103476 - Patologia Neurologica (R$ 35,40)"/>
    <s v="Fisioterapia Pélvica e Neurológica"/>
    <n v="170967"/>
    <s v="Finalizado (7/10)"/>
    <n v="28.32"/>
    <n v="7.08"/>
    <n v="35.4"/>
    <s v="Sessão a Faturar"/>
    <s v="54588888019504770035"/>
    <n v="58490"/>
    <s v="Unidade Vieiralves"/>
    <n v="170967"/>
    <m/>
  </r>
  <r>
    <x v="24"/>
    <x v="67"/>
    <s v="Thiago Martins Leão"/>
    <s v="Masculino"/>
    <x v="5"/>
    <x v="12"/>
    <s v="31602185 - Estimulação Elétrica Transcutânea (Tens) - 04/03/2026 (R$ 120,28)"/>
    <s v="Fisioterapia Pélvica e Neurológica"/>
    <n v="74911120"/>
    <s v="Finalizado (8/10)"/>
    <n v="96.224000000000004"/>
    <n v="24.056000000000001"/>
    <n v="120.28"/>
    <s v="Sessão Faturada"/>
    <s v="010086556202"/>
    <n v="57073"/>
    <s v="Unidade Vieiralves"/>
    <n v="74911120"/>
    <s v="GUIA ASSINADA"/>
  </r>
  <r>
    <x v="24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2/10)"/>
    <n v="28"/>
    <n v="7"/>
    <n v="35"/>
    <s v="Sessão Faturada"/>
    <n v="1101013081440300"/>
    <n v="59408"/>
    <s v="Unidade Vieiralves"/>
    <n v="9356555"/>
    <m/>
  </r>
  <r>
    <x v="24"/>
    <x v="35"/>
    <s v="Marcos Vinícius Rocha Barbosa"/>
    <m/>
    <x v="8"/>
    <x v="12"/>
    <s v="20103522 - Fisioterapia - Pac Com Dependencia de Vida Diária (R$ 23,59)"/>
    <s v="Fisioterapia Pélvica e Neurológica"/>
    <n v="1712955426"/>
    <s v="Finalizado (3/10)"/>
    <n v="18.872"/>
    <n v="4.718"/>
    <n v="23.59"/>
    <s v="Sessão a Faturar"/>
    <n v="954600005150030"/>
    <n v="59421"/>
    <s v="Unidade Vieiralves"/>
    <n v="1712955426"/>
    <m/>
  </r>
  <r>
    <x v="24"/>
    <x v="68"/>
    <s v="Eduarda Lieny Mota de Sá"/>
    <m/>
    <x v="7"/>
    <x v="12"/>
    <s v="Vieiralves - 2 - Fisioterapia Neurológica - Pacote (R$ 45,00)"/>
    <s v="Fisioterapia Pélvica e Neurológica"/>
    <n v="170955"/>
    <s v="Finalizado (8/10)"/>
    <n v="33.75"/>
    <n v="11.25"/>
    <n v="45"/>
    <s v="Pago"/>
    <s v="00"/>
    <n v="59557"/>
    <s v="Unidade Vieiralves"/>
    <n v="170955"/>
    <m/>
  </r>
  <r>
    <x v="24"/>
    <x v="68"/>
    <s v="Candida Maria Tinôco Moraes de Oliveira"/>
    <s v="Feminino"/>
    <x v="2"/>
    <x v="12"/>
    <s v="20103220 - Fisioterapia Respiratória (R$ 12,22)"/>
    <s v="Fisioterapia Pélvica e Neurológica"/>
    <n v="1706991298"/>
    <s v="Finalizado (5/10)"/>
    <n v="9.7759999999999998"/>
    <n v="2.444"/>
    <n v="12.22"/>
    <s v="Sessão Faturada"/>
    <n v="774510000094010"/>
    <n v="59495"/>
    <s v="Unidade Vieiralves"/>
    <n v="1706991298"/>
    <m/>
  </r>
  <r>
    <x v="24"/>
    <x v="68"/>
    <s v="Candida Maria Tinôco Moraes de Oliveira"/>
    <s v="Feminino"/>
    <x v="2"/>
    <x v="12"/>
    <s v="20103522 - Fisioterapia - Pac Com Dependencia de Vida Diária (R$ 23,59)"/>
    <s v="Fisioterapia Pélvica e Neurológica"/>
    <n v="1707019628"/>
    <s v="Finalizado (5/10)"/>
    <n v="18.872"/>
    <n v="4.718"/>
    <n v="23.59"/>
    <s v="Sessão Faturada"/>
    <n v="774510000094010"/>
    <n v="59495"/>
    <s v="Unidade Vieiralves"/>
    <n v="1707019628"/>
    <m/>
  </r>
  <r>
    <x v="24"/>
    <x v="50"/>
    <s v="Luis Augusto Mitoso"/>
    <s v="Masculino"/>
    <x v="5"/>
    <x v="12"/>
    <s v="98860011 - Fisioterapia Complexidade 1 - 04/03/2026 (R$ 53,00)"/>
    <s v="Fisioterapia Pélvica e Neurológica"/>
    <n v="77433590"/>
    <s v="Finalizado (10/10)"/>
    <n v="42.4"/>
    <n v="10.6"/>
    <n v="53"/>
    <s v="Sessão Faturada"/>
    <s v="0105813305001328"/>
    <n v="52022"/>
    <s v="Unidade Vieiralves"/>
    <n v="77433590"/>
    <m/>
  </r>
  <r>
    <x v="24"/>
    <x v="50"/>
    <s v="Ygor Luccas Sugai Auzier da Silva"/>
    <m/>
    <x v="8"/>
    <x v="12"/>
    <s v="20103484 - Patologia Em Um Membro (R$ 12,22)"/>
    <s v="Fisioterapia Pélvica e Neurológica"/>
    <n v="1724913128"/>
    <s v="Finalizado (3/4)"/>
    <n v="9.7759999999999998"/>
    <n v="2.444"/>
    <n v="12.22"/>
    <s v="Sessão a Faturar"/>
    <n v="954600000450020"/>
    <n v="56735"/>
    <s v="Unidade Vieiralves"/>
    <n v="1724913128"/>
    <m/>
  </r>
  <r>
    <x v="24"/>
    <x v="72"/>
    <s v="Luis Augusto Mitoso"/>
    <s v="Masculino"/>
    <x v="5"/>
    <x v="12"/>
    <s v="31602185 - Estimulação Elétrica Transcutânea (Tens) - 04/03/2026 (R$ 120,28)"/>
    <s v="Fisioterapia Pélvica e Neurológica"/>
    <n v="77616240"/>
    <s v="Finalizado (10/10)"/>
    <n v="96.224000000000004"/>
    <n v="24.056000000000001"/>
    <n v="120.28"/>
    <s v="Sessão Faturada"/>
    <s v="0105813305001328"/>
    <n v="52022"/>
    <s v="Unidade Vieiralves"/>
    <n v="77616240"/>
    <m/>
  </r>
  <r>
    <x v="24"/>
    <x v="43"/>
    <s v="Rhian Cristian Freitas Gomes"/>
    <s v="Masculino"/>
    <x v="2"/>
    <x v="12"/>
    <s v="20103522 - Fisioterapia - Pac Com Dependencia de Vida Diária (R$ 23,59)"/>
    <s v="Fisioterapia Pélvica e Neurológica"/>
    <n v="1711983920"/>
    <s v="Finalizado (2/3)"/>
    <n v="18.872"/>
    <n v="4.718"/>
    <n v="23.59"/>
    <s v="Sessão a Faturar"/>
    <n v="610170070001030"/>
    <n v="59248"/>
    <s v="Unidade Vieiralves"/>
    <n v="1711983920"/>
    <m/>
  </r>
  <r>
    <x v="24"/>
    <x v="43"/>
    <s v="Eliezio Pinheiro Lobo"/>
    <s v="Masculino"/>
    <x v="8"/>
    <x v="12"/>
    <s v="20103468 - Parkinson (R$ 12,22)"/>
    <s v="Fisioterapia Pélvica e Neurológica"/>
    <n v="1709620447"/>
    <s v="Finalizado (3/5)"/>
    <n v="9.7759999999999998"/>
    <n v="2.444"/>
    <n v="12.22"/>
    <s v="Sessão a Faturar"/>
    <n v="954390038032000"/>
    <n v="45864"/>
    <s v="Unidade Vieiralves"/>
    <n v="1709620447"/>
    <m/>
  </r>
  <r>
    <x v="5"/>
    <x v="44"/>
    <s v="José Pedro Figueiredo Silva"/>
    <s v="Feminino"/>
    <x v="10"/>
    <x v="12"/>
    <s v="50000160 - Fisioterapia Ortopédica (R$ 15,00)"/>
    <s v="Fisioterapia Pélvica e Neurológica"/>
    <n v="22993745"/>
    <s v="Finalizado (1/10)"/>
    <n v="12"/>
    <n v="3"/>
    <n v="15"/>
    <s v="Sessão a Faturar"/>
    <s v="00010064290041008"/>
    <n v="59715"/>
    <s v="Unidade Vieiralves"/>
    <n v="22993745"/>
    <m/>
  </r>
  <r>
    <x v="5"/>
    <x v="44"/>
    <s v="Paulo Geraldo Mello Raposo Camara"/>
    <s v="Masculino"/>
    <x v="13"/>
    <x v="12"/>
    <s v="20103492 - Patologia Em Dois Ou Mais Membros (R$ 32,28)"/>
    <s v="Fisioterapia Pélvica e Neurológica"/>
    <n v="13530866"/>
    <s v="Finalizado (10/10)"/>
    <n v="25.824000000000002"/>
    <n v="6.4560000000000004"/>
    <n v="32.28"/>
    <s v="Sessão Faturada"/>
    <s v="00010300011479012"/>
    <n v="17283"/>
    <s v="Unidade Vieiralves"/>
    <n v="13530866"/>
    <m/>
  </r>
  <r>
    <x v="5"/>
    <x v="76"/>
    <s v="Yedda Crisafera de Lima Figueira"/>
    <s v="Feminino"/>
    <x v="25"/>
    <x v="12"/>
    <s v="50000179 - Fisioterapia Respiratória (R$ 18,29)"/>
    <s v="Fisioterapia"/>
    <n v="143215"/>
    <s v="Finalizado (7/10)"/>
    <n v="14.632"/>
    <n v="3.6579999999999999"/>
    <n v="18.29"/>
    <s v="Sessão Faturada"/>
    <n v="33301"/>
    <n v="3132"/>
    <s v="Unidade Vieiralves"/>
    <n v="143215"/>
    <m/>
  </r>
  <r>
    <x v="5"/>
    <x v="36"/>
    <s v="Yedda Crisafera de Lima Figueira"/>
    <s v="Feminino"/>
    <x v="25"/>
    <x v="12"/>
    <s v="50000152 - Fisioterapia Neurológica (R$ 19,72)"/>
    <s v="Fisioterapia"/>
    <n v="143217"/>
    <s v="Finalizado (7/10)"/>
    <n v="15.776"/>
    <n v="3.944"/>
    <n v="19.72"/>
    <s v="Sessão Faturada"/>
    <n v="33301"/>
    <n v="3132"/>
    <s v="Unidade Vieiralves"/>
    <n v="143217"/>
    <m/>
  </r>
  <r>
    <x v="5"/>
    <x v="67"/>
    <s v="Francisco Augusto Barroso da Costa Lima"/>
    <s v="Masculino"/>
    <x v="2"/>
    <x v="12"/>
    <s v="20103492 - Fisioterapia - Patologia Em Dois Ou Mais Membros (R$ 14,83)"/>
    <s v="Fisioterapia Pélvica e Neurológica"/>
    <n v="1703705090"/>
    <s v="Finalizado (9/9)"/>
    <n v="11.864000000000001"/>
    <n v="2.9660000000000002"/>
    <n v="14.83"/>
    <s v="Sessão Faturada"/>
    <n v="952650065111000"/>
    <n v="44404"/>
    <s v="Unidade Vieiralves"/>
    <n v="1703705090"/>
    <m/>
  </r>
  <r>
    <x v="5"/>
    <x v="67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409369"/>
    <s v="Finalizado (2/10)"/>
    <n v="28"/>
    <n v="7"/>
    <n v="35"/>
    <s v="Sessão a Faturar"/>
    <s v="0901013811970051"/>
    <n v="135"/>
    <s v="Unidade Vieiralves"/>
    <n v="9409369"/>
    <m/>
  </r>
  <r>
    <x v="5"/>
    <x v="49"/>
    <s v="Francisco Augusto Barroso da Costa Lima"/>
    <s v="Masculino"/>
    <x v="2"/>
    <x v="12"/>
    <s v="20103522 - Fisioterapia - Pac Com Dependencia de Vida Diária (R$ 23,59)"/>
    <s v="Fisioterapia Pélvica e Neurológica"/>
    <n v="1703705949"/>
    <s v="Finalizado (9/9)"/>
    <n v="18.872"/>
    <n v="4.718"/>
    <n v="23.59"/>
    <s v="Sessão Faturada"/>
    <n v="952650065111000"/>
    <n v="44404"/>
    <s v="Unidade Vieiralves"/>
    <n v="1703705949"/>
    <m/>
  </r>
  <r>
    <x v="5"/>
    <x v="35"/>
    <s v="Artemiza Virginio de Moura"/>
    <s v="Feminino"/>
    <x v="2"/>
    <x v="12"/>
    <s v="20103484 - Fisioterapia - Patologia Em Um Membro (R$ 12,22), 20103506 - Fisioterapia - Patologia Em Um Segmento da Coluna (R$ 12,22)"/>
    <s v="Fisioterapia Pélvica e Neurológica"/>
    <n v="1715946725"/>
    <s v="Finalizado (1/4)"/>
    <n v="19.552"/>
    <n v="4.8879999999999999"/>
    <n v="24.44"/>
    <s v="Sessão a Faturar"/>
    <n v="812512800019000"/>
    <n v="560"/>
    <s v="Unidade Vieiralves"/>
    <n v="1715946725"/>
    <m/>
  </r>
  <r>
    <x v="5"/>
    <x v="35"/>
    <s v="Laercio Sampaio de Souza"/>
    <s v="Masculino"/>
    <x v="2"/>
    <x v="12"/>
    <s v="20103484 - Fisioterapia - Patologia Em Um Membro (R$ 12,22)"/>
    <s v="Fisioterapia Pélvica e Neurológica"/>
    <n v="1711911045"/>
    <s v="Finalizado (3/10)"/>
    <n v="9.7759999999999998"/>
    <n v="2.444"/>
    <n v="12.22"/>
    <s v="Sessão a Faturar"/>
    <n v="812512800043000"/>
    <n v="19903"/>
    <s v="Unidade Vieiralves"/>
    <n v="1711911045"/>
    <m/>
  </r>
  <r>
    <x v="5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3/10)"/>
    <n v="28"/>
    <n v="7"/>
    <n v="35"/>
    <s v="Sessão Faturada"/>
    <n v="1101013081440300"/>
    <n v="59408"/>
    <s v="Unidade Vieiralves"/>
    <n v="9356555"/>
    <m/>
  </r>
  <r>
    <x v="5"/>
    <x v="42"/>
    <s v="Artemiza Virginio de Moura"/>
    <s v="Feminino"/>
    <x v="2"/>
    <x v="12"/>
    <s v="20103522 - Fisioterapia - Pac Com Dependencia de Vida Diária (R$ 23,59)"/>
    <s v="Fisioterapia Pélvica e Neurológica"/>
    <n v="1711914767"/>
    <s v="Finalizado (3/6)"/>
    <n v="18.872"/>
    <n v="4.718"/>
    <n v="23.59"/>
    <s v="Sessão a Faturar"/>
    <n v="812512800019000"/>
    <n v="560"/>
    <s v="Unidade Vieiralves"/>
    <n v="1711914767"/>
    <m/>
  </r>
  <r>
    <x v="5"/>
    <x v="38"/>
    <s v="Artemiza Virginio de Moura"/>
    <s v="Feminino"/>
    <x v="4"/>
    <x v="12"/>
    <s v="31602185 - Estimulação Elétrica Transcutânea - Removido 13/04/2026 (R$ 40,00)"/>
    <s v="Fisioterapia Pélvica e Neurológica"/>
    <n v="1715949545"/>
    <s v="Finalizado (1/2)"/>
    <n v="32"/>
    <n v="8"/>
    <n v="40"/>
    <s v="Sessão a Faturar"/>
    <n v="812512800019000"/>
    <n v="560"/>
    <s v="Unidade Vieiralves"/>
    <n v="1715949545"/>
    <m/>
  </r>
  <r>
    <x v="5"/>
    <x v="68"/>
    <s v="Amanda Richa Silveira Farias"/>
    <s v="Feminino"/>
    <x v="6"/>
    <x v="12"/>
    <s v="20103476 - Patologia Neurologica (R$ 35,40)"/>
    <s v="Fisioterapia Pélvica e Neurológica"/>
    <n v="170967"/>
    <s v="Finalizado (8/10)"/>
    <n v="28.32"/>
    <n v="7.08"/>
    <n v="35.4"/>
    <s v="Sessão a Faturar"/>
    <s v="54588888019504770035"/>
    <n v="58490"/>
    <s v="Unidade Vieiralves"/>
    <n v="170967"/>
    <m/>
  </r>
  <r>
    <x v="5"/>
    <x v="68"/>
    <s v="Paulo Pereira da Costa"/>
    <s v="Masculino"/>
    <x v="6"/>
    <x v="12"/>
    <s v="20103360 - Fisioterapia Respiratória (R$ 16,74)"/>
    <s v="Fisioterapia Pélvica e Neurológica"/>
    <n v="170164"/>
    <s v="Finalizado (5/8)"/>
    <n v="13.391999999999999"/>
    <n v="3.3479999999999999"/>
    <n v="16.739999999999998"/>
    <s v="Sessão a Faturar"/>
    <s v="54588888018315470010"/>
    <n v="59048"/>
    <s v="Unidade Vieiralves"/>
    <n v="170164"/>
    <m/>
  </r>
  <r>
    <x v="5"/>
    <x v="68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4/10)"/>
    <n v="28"/>
    <n v="7"/>
    <n v="35"/>
    <s v="Sessão Faturada"/>
    <s v="0901000375930025"/>
    <n v="59605"/>
    <s v="Unidade Vieiralves"/>
    <n v="9362465"/>
    <m/>
  </r>
  <r>
    <x v="5"/>
    <x v="50"/>
    <s v="William Sam Marinho de Souza Lima"/>
    <s v="Masculino"/>
    <x v="1"/>
    <x v="12"/>
    <s v="50001078 - Fisioterapia Neurológica (R$ 35,00)"/>
    <s v="Fisioterapia Pélvica e Neurológica"/>
    <n v="9262962"/>
    <s v="Finalizado (4/5)"/>
    <n v="28"/>
    <n v="7"/>
    <n v="35"/>
    <s v="Sessão Faturada"/>
    <s v="0901012128090385"/>
    <n v="57062"/>
    <s v="Unidade Vieiralves"/>
    <n v="9262962"/>
    <m/>
  </r>
  <r>
    <x v="5"/>
    <x v="50"/>
    <s v="Luís Carlos Sales de Oliveira"/>
    <s v="Masculino"/>
    <x v="1"/>
    <x v="12"/>
    <s v="50001078 - Fisioterapia Neurológica (R$ 35,00)"/>
    <s v="Fisioterapia Pélvica e Neurológica"/>
    <n v="9833958"/>
    <s v="Finalizado (5/10)"/>
    <n v="28"/>
    <n v="7"/>
    <n v="35"/>
    <s v="Sessão a Faturar"/>
    <n v="1301013437440100"/>
    <n v="57872"/>
    <s v="Unidade Vieiralves"/>
    <n v="9833958"/>
    <m/>
  </r>
  <r>
    <x v="5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6/10)"/>
    <n v="39.776000000000003"/>
    <n v="9.9440000000000008"/>
    <n v="49.72"/>
    <s v="Sessão a Faturar"/>
    <s v="010962004503"/>
    <n v="54390"/>
    <s v="Unidade Vieiralves"/>
    <s v="42263120260303393761"/>
    <m/>
  </r>
  <r>
    <x v="5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6/10)"/>
    <n v="43.304000000000002"/>
    <n v="10.826000000000001"/>
    <n v="54.13"/>
    <s v="Sessão a Faturar"/>
    <s v="010962004503"/>
    <n v="54390"/>
    <s v="Unidade Vieiralves"/>
    <s v="42263120260303393869"/>
    <m/>
  </r>
  <r>
    <x v="5"/>
    <x v="43"/>
    <s v="Francisca Oliveira de Souza"/>
    <s v="Feminino"/>
    <x v="1"/>
    <x v="12"/>
    <s v="50000160 - Fisioterapia Ortopédica (R$ 20,00), 98980327 - Taxa de Eletroterapia (Tens) (R$ 15,00)"/>
    <s v="Fisioterapia Pélvica e Neurológica"/>
    <n v="9363157"/>
    <s v="Finalizado (3/10)"/>
    <n v="28"/>
    <n v="7"/>
    <n v="35"/>
    <s v="Sessão a Faturar"/>
    <s v="0901013231690029"/>
    <n v="59606"/>
    <s v="Unidade Vieiralves"/>
    <n v="9363157"/>
    <m/>
  </r>
  <r>
    <x v="5"/>
    <x v="43"/>
    <s v="Eduarda Silva Castilho"/>
    <s v="Feminino"/>
    <x v="2"/>
    <x v="12"/>
    <s v="20103670 - Fisioterapia - Pos Operatorio Em Dois Ou Mais Membros (R$ 19,30)"/>
    <s v="Fisioterapia Pélvica e Neurológica"/>
    <n v="1710848333"/>
    <s v="Finalizado (6/10)"/>
    <n v="15.44"/>
    <n v="3.86"/>
    <n v="19.3"/>
    <s v="Sessão a Faturar"/>
    <n v="771015041130020"/>
    <n v="45879"/>
    <s v="Unidade Vieiralves"/>
    <n v="1710848333"/>
    <m/>
  </r>
  <r>
    <x v="6"/>
    <x v="44"/>
    <s v="Adriane Cavalcante Xavier"/>
    <s v="Feminino"/>
    <x v="2"/>
    <x v="12"/>
    <s v="20103492 - Fisioterapia - Patologia Em Dois Ou Mais Membros (R$ 14,83)"/>
    <s v="Fisioterapia Pélvica e Neurológica"/>
    <n v="1710042981"/>
    <s v="Finalizado (4/8)"/>
    <n v="11.864000000000001"/>
    <n v="2.9660000000000002"/>
    <n v="14.83"/>
    <s v="Sessão a Faturar"/>
    <n v="811285500019020"/>
    <n v="43789"/>
    <s v="Unidade Vieiralves"/>
    <n v="1710042981"/>
    <m/>
  </r>
  <r>
    <x v="6"/>
    <x v="74"/>
    <s v="Adriane Cavalcante Xavier"/>
    <s v="Feminino"/>
    <x v="4"/>
    <x v="12"/>
    <s v="31602185 - Estimulação Elétrica Transcutânea - Removido 13/04/2026 (R$ 40,00)"/>
    <s v="Fisioterapia Pélvica e Neurológica"/>
    <n v="1714891505"/>
    <s v="Finalizado (2/10)"/>
    <n v="32"/>
    <n v="8"/>
    <n v="40"/>
    <s v="Sessão a Faturar"/>
    <n v="811285500019020"/>
    <n v="43789"/>
    <s v="Unidade Vieiralves"/>
    <n v="1714891505"/>
    <m/>
  </r>
  <r>
    <x v="6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8/10)"/>
    <n v="21.64"/>
    <n v="5.41"/>
    <n v="27.05"/>
    <s v="Sessão Faturada"/>
    <n v="952480013550000"/>
    <n v="14121"/>
    <s v="Unidade Vieiralves"/>
    <n v="1704651988"/>
    <m/>
  </r>
  <r>
    <x v="6"/>
    <x v="35"/>
    <s v="Marcelo Santos Barbalho"/>
    <s v="Masculino"/>
    <x v="1"/>
    <x v="12"/>
    <s v="50001078 - Fisioterapia Neurológica (R$ 35,00)"/>
    <s v="Fisioterapia Pélvica e Neurológica"/>
    <n v="9587413"/>
    <s v="Finalizado (10/10)"/>
    <n v="28"/>
    <n v="7"/>
    <n v="35"/>
    <s v="Sessão Faturada"/>
    <s v="0901012963990065"/>
    <n v="36042"/>
    <s v="Unidade Vieiralves"/>
    <n v="9587413"/>
    <m/>
  </r>
  <r>
    <x v="6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4/10)"/>
    <n v="28"/>
    <n v="7"/>
    <n v="35"/>
    <s v="Sessão Faturada"/>
    <n v="1101013081440300"/>
    <n v="59408"/>
    <s v="Unidade Vieiralves"/>
    <n v="9356555"/>
    <m/>
  </r>
  <r>
    <x v="6"/>
    <x v="68"/>
    <s v="Albertina Renata da Altona"/>
    <s v="Feminino"/>
    <x v="2"/>
    <x v="12"/>
    <s v="20103492 - Fisioterapia - Patologia Em Dois Ou Mais Membros (R$ 14,83), 20103514 - Fisioterapia - Patologia Em Diferentes Segmentos da Coluna (R$ 14,83)"/>
    <s v="Fisioterapia Pélvica e Neurológica"/>
    <n v="1710811608"/>
    <s v="Finalizado (3/5)"/>
    <n v="23.728000000000002"/>
    <n v="5.9320000000000004"/>
    <n v="29.66"/>
    <s v="Sessão Faturada"/>
    <n v="982870069531010"/>
    <n v="59424"/>
    <s v="Unidade Vieiralves"/>
    <n v="1710811608"/>
    <m/>
  </r>
  <r>
    <x v="6"/>
    <x v="68"/>
    <s v="Francisca Pena de Alencar"/>
    <s v="Feminino"/>
    <x v="1"/>
    <x v="12"/>
    <s v="50001078 - Fisioterapia Neurológica (R$ 35,00)"/>
    <s v="Fisioterapia Pélvica e Neurológica"/>
    <n v="9460318"/>
    <s v="Finalizado (1/10)"/>
    <n v="28"/>
    <n v="7"/>
    <n v="35"/>
    <s v="Sessão a Faturar"/>
    <n v="1901013196900200"/>
    <n v="58870"/>
    <s v="Unidade Vieiralves"/>
    <n v="9460318"/>
    <m/>
  </r>
  <r>
    <x v="6"/>
    <x v="68"/>
    <s v="Walmir Prado de Alencar"/>
    <s v="Masculino"/>
    <x v="1"/>
    <x v="12"/>
    <s v="50001078 - Fisioterapia Neurológica (R$ 35,00)"/>
    <s v="Fisioterapia Pélvica e Neurológica"/>
    <n v="9802711"/>
    <s v="Finalizado (5/10)"/>
    <n v="28"/>
    <n v="7"/>
    <n v="35"/>
    <s v="Sessão a Faturar"/>
    <n v="1901013196900100"/>
    <n v="58110"/>
    <s v="Unidade Vieiralves"/>
    <n v="9802711"/>
    <m/>
  </r>
  <r>
    <x v="6"/>
    <x v="37"/>
    <s v="Albertina Renata da Altona"/>
    <s v="Feminino"/>
    <x v="4"/>
    <x v="12"/>
    <s v="31602185 - Estimulação Elétrica Transcutânea - Removido 13/04/2026 (R$ 40,00)"/>
    <s v="Fisioterapia Pélvica e Neurológica"/>
    <n v="1710813366"/>
    <s v="Finalizado (3/5)"/>
    <n v="32"/>
    <n v="8"/>
    <n v="40"/>
    <s v="Sessão Faturada"/>
    <n v="982870069531010"/>
    <n v="59424"/>
    <s v="Unidade Vieiralves"/>
    <n v="1710813366"/>
    <m/>
  </r>
  <r>
    <x v="6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7/10)"/>
    <n v="15.44"/>
    <n v="3.86"/>
    <n v="19.3"/>
    <s v="Sessão a Faturar"/>
    <n v="771015041130020"/>
    <n v="45879"/>
    <s v="Unidade Vieiralves"/>
    <n v="1710848333"/>
    <m/>
  </r>
  <r>
    <x v="6"/>
    <x v="50"/>
    <s v="Maria Marlene Cardoso Gonçalves"/>
    <s v="Feminino"/>
    <x v="1"/>
    <x v="12"/>
    <s v="50001078 - Fisioterapia Neurológica (R$ 35,00)"/>
    <s v="Fisioterapia Pélvica e Neurológica"/>
    <n v="9392405"/>
    <s v="Finalizado (4/10)"/>
    <n v="28"/>
    <n v="7"/>
    <n v="35"/>
    <s v="Sessão Faturada"/>
    <s v="0201011439440066"/>
    <n v="55043"/>
    <s v="Unidade Vieiralves"/>
    <n v="9392405"/>
    <m/>
  </r>
  <r>
    <x v="6"/>
    <x v="50"/>
    <s v="Rita de Cassia Balbi Alves"/>
    <s v="Feminino"/>
    <x v="19"/>
    <x v="12"/>
    <s v="20103514 - Patol. Em Diferentes Segmentos da Coluna - 17/03/2026 (R$ 91,31)"/>
    <s v="Fisioterapia Pélvica e Neurológica"/>
    <n v="170132"/>
    <s v="Finalizado (4/10)"/>
    <n v="73.048000000000002"/>
    <n v="18.262"/>
    <n v="91.31"/>
    <s v="Sessão a Faturar"/>
    <s v="0001000034150505"/>
    <n v="37165"/>
    <s v="Unidade Vieiralves"/>
    <n v="170132"/>
    <m/>
  </r>
  <r>
    <x v="6"/>
    <x v="72"/>
    <s v="Rita de Cassia Balbi Alves"/>
    <s v="Feminino"/>
    <x v="19"/>
    <x v="12"/>
    <s v="20103476 - Patol. Neurologica Com Dep. de Ativ. de Vida Diária - 17/03/2026 (R$ 63,04)"/>
    <s v="Fisioterapia Pélvica e Neurológica"/>
    <n v="5295010"/>
    <s v="Finalizado (9/9)"/>
    <n v="50.432000000000002"/>
    <n v="12.608000000000001"/>
    <n v="63.04"/>
    <s v="Sessão Faturada"/>
    <s v="0001000034150505"/>
    <n v="37165"/>
    <s v="Unidade Vieiralves"/>
    <n v="5295010"/>
    <s v="GUIA ASSINADA "/>
  </r>
  <r>
    <x v="6"/>
    <x v="43"/>
    <s v="Benicio Jose Machado de Queiroga Teixeria"/>
    <s v="Masculino"/>
    <x v="6"/>
    <x v="12"/>
    <s v="20103476 - Patologia Neurologica (R$ 35,40)"/>
    <s v="Fisioterapia Pélvica e Neurológica"/>
    <n v="172273"/>
    <s v="Finalizado (2/8)"/>
    <n v="28.32"/>
    <n v="7.08"/>
    <n v="35.4"/>
    <s v="Sessão a Faturar"/>
    <s v="55788888493335620117"/>
    <n v="59677"/>
    <s v="Unidade Vieiralves"/>
    <n v="172273"/>
    <m/>
  </r>
  <r>
    <x v="6"/>
    <x v="43"/>
    <s v="Selton Jose Maquine da Silva"/>
    <s v="Masculino"/>
    <x v="2"/>
    <x v="12"/>
    <s v="20103492 - Fisioterapia - Patologia Em Dois Ou Mais Membros (R$ 14,83)"/>
    <s v="Fisioterapia Pélvica e Neurológica"/>
    <n v="1703797778"/>
    <s v="Finalizado (10/10)"/>
    <n v="11.864000000000001"/>
    <n v="2.9660000000000002"/>
    <n v="14.83"/>
    <s v="Sessão Faturada"/>
    <n v="773626015709020"/>
    <n v="44569"/>
    <s v="Unidade Vieiralves"/>
    <n v="1703797778"/>
    <m/>
  </r>
  <r>
    <x v="6"/>
    <x v="77"/>
    <s v="Selton Jose Maquine da Silva"/>
    <s v="Masculino"/>
    <x v="2"/>
    <x v="12"/>
    <s v="20103522 - Fisioterapia - Pac Com Dependencia de Vida Diária (R$ 23,59)"/>
    <s v="Fisioterapia Pélvica e Neurológica"/>
    <n v="1703796691"/>
    <s v="Finalizado (10/10)"/>
    <n v="18.872"/>
    <n v="4.718"/>
    <n v="23.59"/>
    <s v="Sessão Faturada"/>
    <n v="773626015709020"/>
    <n v="44569"/>
    <s v="Unidade Vieiralves"/>
    <n v="1703796691"/>
    <m/>
  </r>
  <r>
    <x v="7"/>
    <x v="44"/>
    <s v="Paulo Geraldo Mello Raposo Camara"/>
    <s v="Masculino"/>
    <x v="13"/>
    <x v="12"/>
    <s v="20103492 - Patologia Em Dois Ou Mais Membros (R$ 32,28)"/>
    <s v="Fisioterapia Pélvica e Neurológica"/>
    <n v="13794730"/>
    <s v="Finalizado (1/10)"/>
    <n v="25.824000000000002"/>
    <n v="6.4560000000000004"/>
    <n v="32.28"/>
    <s v="Sessão a Faturar"/>
    <s v="00010300011479012"/>
    <n v="17283"/>
    <s v="Unidade Vieiralves"/>
    <n v="13794730"/>
    <m/>
  </r>
  <r>
    <x v="7"/>
    <x v="76"/>
    <s v="Yedda Crisafera de Lima Figueira"/>
    <s v="Feminino"/>
    <x v="25"/>
    <x v="12"/>
    <s v="50000179 - Fisioterapia Respiratória (R$ 18,29)"/>
    <s v="Fisioterapia"/>
    <n v="143215"/>
    <s v="Finalizado (8/10)"/>
    <n v="14.632"/>
    <n v="3.6579999999999999"/>
    <n v="18.29"/>
    <s v="Sessão Faturada"/>
    <n v="33301"/>
    <n v="3132"/>
    <s v="Unidade Vieiralves"/>
    <n v="143215"/>
    <m/>
  </r>
  <r>
    <x v="7"/>
    <x v="76"/>
    <s v="Laercio Sampaio de Souza"/>
    <s v="Masculino"/>
    <x v="2"/>
    <x v="12"/>
    <s v="20103484 - Fisioterapia - Patologia Em Um Membro (R$ 12,22)"/>
    <s v="Fisioterapia Pélvica e Neurológica"/>
    <n v="1711911045"/>
    <s v="Finalizado (4/10)"/>
    <n v="9.7759999999999998"/>
    <n v="2.444"/>
    <n v="12.22"/>
    <s v="Sessão a Faturar"/>
    <n v="812512800043000"/>
    <n v="19903"/>
    <s v="Unidade Vieiralves"/>
    <n v="1711911045"/>
    <m/>
  </r>
  <r>
    <x v="7"/>
    <x v="36"/>
    <s v="Yedda Crisafera de Lima Figueira"/>
    <s v="Feminino"/>
    <x v="25"/>
    <x v="12"/>
    <s v="50000152 - Fisioterapia Neurológica (R$ 19,72)"/>
    <s v="Fisioterapia"/>
    <n v="143217"/>
    <s v="Finalizado (8/10)"/>
    <n v="15.776"/>
    <n v="3.944"/>
    <n v="19.72"/>
    <s v="Sessão Faturada"/>
    <n v="33301"/>
    <n v="3132"/>
    <s v="Unidade Vieiralves"/>
    <n v="143217"/>
    <m/>
  </r>
  <r>
    <x v="7"/>
    <x v="67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409369"/>
    <s v="Finalizado (3/10)"/>
    <n v="28"/>
    <n v="7"/>
    <n v="35"/>
    <s v="Sessão a Faturar"/>
    <s v="0901013811970051"/>
    <n v="135"/>
    <s v="Unidade Vieiralves"/>
    <n v="9409369"/>
    <m/>
  </r>
  <r>
    <x v="7"/>
    <x v="67"/>
    <s v="Eduarda Lieny Mota de Sá"/>
    <m/>
    <x v="7"/>
    <x v="12"/>
    <s v="Vieiralves - 2 - Fisioterapia Neurológica - Pacote (R$ 45,00)"/>
    <s v="Fisioterapia Pélvica e Neurológica"/>
    <n v="170955"/>
    <s v="Finalizado (9/10)"/>
    <n v="33.75"/>
    <n v="11.25"/>
    <n v="45"/>
    <s v="Pago"/>
    <s v="00"/>
    <n v="59557"/>
    <s v="Unidade Vieiralves"/>
    <n v="170955"/>
    <m/>
  </r>
  <r>
    <x v="7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5/10)"/>
    <n v="28"/>
    <n v="7"/>
    <n v="35"/>
    <s v="Sessão Faturada"/>
    <n v="1101013081440300"/>
    <n v="59408"/>
    <s v="Unidade Vieiralves"/>
    <n v="9356555"/>
    <m/>
  </r>
  <r>
    <x v="7"/>
    <x v="68"/>
    <s v="Amanda Richa Silveira Farias"/>
    <s v="Feminino"/>
    <x v="6"/>
    <x v="12"/>
    <s v="20103476 - Patologia Neurologica (R$ 35,40)"/>
    <s v="Fisioterapia Pélvica e Neurológica"/>
    <n v="170967"/>
    <s v="Finalizado (9/10)"/>
    <n v="28.32"/>
    <n v="7.08"/>
    <n v="35.4"/>
    <s v="Sessão a Faturar"/>
    <s v="54588888019504770035"/>
    <n v="58490"/>
    <s v="Unidade Vieiralves"/>
    <n v="170967"/>
    <m/>
  </r>
  <r>
    <x v="7"/>
    <x v="68"/>
    <s v="Maria Marlene Cardoso Gonçalves"/>
    <s v="Feminino"/>
    <x v="1"/>
    <x v="12"/>
    <s v="50001078 - Fisioterapia Neurológica (R$ 35,00)"/>
    <s v="Fisioterapia Pélvica e Neurológica"/>
    <n v="9392405"/>
    <s v="Finalizado (5/10)"/>
    <n v="28"/>
    <n v="7"/>
    <n v="35"/>
    <s v="Sessão Faturada"/>
    <s v="0201011439440066"/>
    <n v="55043"/>
    <s v="Unidade Vieiralves"/>
    <n v="9392405"/>
    <m/>
  </r>
  <r>
    <x v="7"/>
    <x v="68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5/10)"/>
    <n v="28"/>
    <n v="7"/>
    <n v="35"/>
    <s v="Sessão Faturada"/>
    <s v="0901000375930025"/>
    <n v="59605"/>
    <s v="Unidade Vieiralves"/>
    <n v="9362465"/>
    <m/>
  </r>
  <r>
    <x v="7"/>
    <x v="50"/>
    <s v="Benjamin Chaves de Sousa"/>
    <s v="Masculino"/>
    <x v="2"/>
    <x v="12"/>
    <s v="20103522 - Fisioterapia - Pac Com Dependencia de Vida Diária (R$ 23,59)"/>
    <s v="Fisioterapia Pélvica e Neurológica"/>
    <n v="1710824724"/>
    <s v="Finalizado (2/4)"/>
    <n v="18.872"/>
    <n v="4.718"/>
    <n v="23.59"/>
    <s v="Sessão a Faturar"/>
    <n v="774812000752050"/>
    <n v="49500"/>
    <s v="Unidade Vieiralves"/>
    <n v="1710824724"/>
    <m/>
  </r>
  <r>
    <x v="7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7/10)"/>
    <n v="39.776000000000003"/>
    <n v="9.9440000000000008"/>
    <n v="49.72"/>
    <s v="Sessão a Faturar"/>
    <s v="010962004503"/>
    <n v="54390"/>
    <s v="Unidade Vieiralves"/>
    <s v="42263120260303393761"/>
    <m/>
  </r>
  <r>
    <x v="7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7/10)"/>
    <n v="43.304000000000002"/>
    <n v="10.826000000000001"/>
    <n v="54.13"/>
    <s v="Sessão a Faturar"/>
    <s v="010962004503"/>
    <n v="54390"/>
    <s v="Unidade Vieiralves"/>
    <s v="42263120260303393869"/>
    <m/>
  </r>
  <r>
    <x v="7"/>
    <x v="43"/>
    <s v="Marcos Vinícius Rocha Barbosa"/>
    <m/>
    <x v="8"/>
    <x v="12"/>
    <s v="20103522 - Fisioterapia - Pac Com Dependencia de Vida Diária (R$ 23,59)"/>
    <s v="Fisioterapia Pélvica e Neurológica"/>
    <n v="1712955426"/>
    <s v="Finalizado (4/10)"/>
    <n v="18.872"/>
    <n v="4.718"/>
    <n v="23.59"/>
    <s v="Sessão a Faturar"/>
    <n v="954600005150030"/>
    <n v="59421"/>
    <s v="Unidade Vieiralves"/>
    <n v="1712955426"/>
    <m/>
  </r>
  <r>
    <x v="7"/>
    <x v="43"/>
    <s v="Eduarda Silva Castilho"/>
    <s v="Feminino"/>
    <x v="2"/>
    <x v="12"/>
    <s v="20103670 - Fisioterapia - Pos Operatorio Em Dois Ou Mais Membros (R$ 19,30)"/>
    <s v="Fisioterapia Pélvica e Neurológica"/>
    <n v="1710848333"/>
    <s v="Finalizado (8/10)"/>
    <n v="15.44"/>
    <n v="3.86"/>
    <n v="19.3"/>
    <s v="Sessão a Faturar"/>
    <n v="771015041130020"/>
    <n v="45879"/>
    <s v="Unidade Vieiralves"/>
    <n v="1710848333"/>
    <m/>
  </r>
  <r>
    <x v="8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8/10)"/>
    <n v="11.864000000000001"/>
    <n v="2.9660000000000002"/>
    <n v="14.83"/>
    <s v="Sessão Faturada"/>
    <n v="954600007552000"/>
    <n v="30052"/>
    <s v="Unidade Vieiralves"/>
    <n v="1708215105"/>
    <m/>
  </r>
  <r>
    <x v="8"/>
    <x v="76"/>
    <s v="Marlene de Souza Rodrigues"/>
    <s v="Feminino"/>
    <x v="2"/>
    <x v="12"/>
    <s v="20103492 - Fisioterapia - Patologia Em Dois Ou Mais Membros (R$ 14,83)"/>
    <s v="Fisioterapia Pélvica e Neurológica"/>
    <n v="1709460013"/>
    <s v="Finalizado (5/8)"/>
    <n v="11.864000000000001"/>
    <n v="2.9660000000000002"/>
    <n v="14.83"/>
    <s v="Sessão a Faturar"/>
    <n v="837297600019020"/>
    <n v="16076"/>
    <s v="Unidade Vieiralves"/>
    <n v="1709460013"/>
    <m/>
  </r>
  <r>
    <x v="8"/>
    <x v="36"/>
    <s v="Marlene de Souza Rodrigues"/>
    <s v="Feminino"/>
    <x v="2"/>
    <x v="12"/>
    <s v="20103220 - Fisioterapia Respiratória (R$ 12,22)"/>
    <s v="Fisioterapia Pélvica e Neurológica"/>
    <n v="1709458737"/>
    <s v="Finalizado (5/8)"/>
    <n v="9.7759999999999998"/>
    <n v="2.444"/>
    <n v="12.22"/>
    <s v="Sessão a Faturar"/>
    <n v="837297600019020"/>
    <n v="16076"/>
    <s v="Unidade Vieiralves"/>
    <n v="1709458737"/>
    <m/>
  </r>
  <r>
    <x v="8"/>
    <x v="67"/>
    <s v="Gabriel Elias Fontoura Silveira"/>
    <m/>
    <x v="2"/>
    <x v="12"/>
    <s v="20103670 - Fisioterapia - Pos Operatorio Em Dois Ou Mais Membros (R$ 19,30)"/>
    <s v="Fisioterapia Pélvica e Neurológica"/>
    <n v="1717483135"/>
    <s v="Finalizado (1/10)"/>
    <n v="15.44"/>
    <n v="3.86"/>
    <n v="19.3"/>
    <s v="Sessão a Faturar"/>
    <n v="960019386623050"/>
    <n v="56507"/>
    <s v="Unidade Vieiralves"/>
    <n v="1717483135"/>
    <m/>
  </r>
  <r>
    <x v="8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6/10)"/>
    <n v="28"/>
    <n v="7"/>
    <n v="35"/>
    <s v="Sessão Faturada"/>
    <n v="1101013081440300"/>
    <n v="59408"/>
    <s v="Unidade Vieiralves"/>
    <n v="9356555"/>
    <m/>
  </r>
  <r>
    <x v="8"/>
    <x v="35"/>
    <s v="Maria Cristina Pires Montes Giovanazzi"/>
    <s v="Feminino"/>
    <x v="6"/>
    <x v="12"/>
    <s v="20103360 - Fisioterapia Respiratória (R$ 16,74)"/>
    <s v="Fisioterapia Pélvica e Neurológica"/>
    <n v="165501"/>
    <s v="Finalizado (9/10)"/>
    <n v="13.391999999999999"/>
    <n v="3.3479999999999999"/>
    <n v="16.739999999999998"/>
    <s v="Sessão Faturada"/>
    <s v="54588888003122320026"/>
    <n v="1606"/>
    <s v="Unidade Vieiralves"/>
    <n v="165501"/>
    <m/>
  </r>
  <r>
    <x v="8"/>
    <x v="71"/>
    <s v="Maria Cristina Pires Montes Giovanazzi"/>
    <s v="Feminino"/>
    <x v="6"/>
    <x v="12"/>
    <s v="20103476 - Patologia Neurologica (R$ 35,40)"/>
    <s v="Fisioterapia Pélvica e Neurológica"/>
    <n v="165978"/>
    <s v="Finalizado (8/10)"/>
    <n v="28.32"/>
    <n v="7.08"/>
    <n v="35.4"/>
    <s v="Sessão Faturada"/>
    <s v="54588888003122320026"/>
    <n v="1606"/>
    <s v="Unidade Vieiralves"/>
    <n v="165978"/>
    <m/>
  </r>
  <r>
    <x v="8"/>
    <x v="68"/>
    <s v="Albertina Renata da Altona"/>
    <s v="Feminino"/>
    <x v="2"/>
    <x v="12"/>
    <s v="20103492 - Fisioterapia - Patologia Em Dois Ou Mais Membros (R$ 14,83), 20103514 - Fisioterapia - Patologia Em Diferentes Segmentos da Coluna (R$ 14,83)"/>
    <s v="Fisioterapia Pélvica e Neurológica"/>
    <n v="1710811608"/>
    <s v="Finalizado (4/5)"/>
    <n v="23.728000000000002"/>
    <n v="5.9320000000000004"/>
    <n v="29.66"/>
    <s v="Sessão Faturada"/>
    <n v="982870069531010"/>
    <n v="59424"/>
    <s v="Unidade Vieiralves"/>
    <n v="1710811608"/>
    <m/>
  </r>
  <r>
    <x v="8"/>
    <x v="68"/>
    <s v="Francisca Pena de Alencar"/>
    <s v="Feminino"/>
    <x v="1"/>
    <x v="12"/>
    <s v="50001078 - Fisioterapia Neurológica (R$ 35,00)"/>
    <s v="Fisioterapia Pélvica e Neurológica"/>
    <n v="9460318"/>
    <s v="Finalizado (2/10)"/>
    <n v="28"/>
    <n v="7"/>
    <n v="35"/>
    <s v="Sessão a Faturar"/>
    <n v="1901013196900200"/>
    <n v="58870"/>
    <s v="Unidade Vieiralves"/>
    <n v="9460318"/>
    <m/>
  </r>
  <r>
    <x v="8"/>
    <x v="68"/>
    <s v="Walmir Prado de Alencar"/>
    <s v="Masculino"/>
    <x v="1"/>
    <x v="12"/>
    <s v="50001078 - Fisioterapia Neurológica (R$ 35,00)"/>
    <s v="Fisioterapia Pélvica e Neurológica"/>
    <n v="9802711"/>
    <s v="Finalizado (6/10)"/>
    <n v="28"/>
    <n v="7"/>
    <n v="35"/>
    <s v="Sessão a Faturar"/>
    <n v="1901013196900100"/>
    <n v="58110"/>
    <s v="Unidade Vieiralves"/>
    <n v="9802711"/>
    <m/>
  </r>
  <r>
    <x v="8"/>
    <x v="37"/>
    <s v="Albertina Renata da Altona"/>
    <s v="Feminino"/>
    <x v="4"/>
    <x v="12"/>
    <s v="31602185 - Estimulação Elétrica Transcutânea - Removido 13/04/2026 (R$ 40,00)"/>
    <s v="Fisioterapia Pélvica e Neurológica"/>
    <n v="1710813366"/>
    <s v="Finalizado (4/5)"/>
    <n v="32"/>
    <n v="8"/>
    <n v="40"/>
    <s v="Sessão Faturada"/>
    <n v="982870069531010"/>
    <n v="59424"/>
    <s v="Unidade Vieiralves"/>
    <n v="1710813366"/>
    <m/>
  </r>
  <r>
    <x v="8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9/10)"/>
    <n v="15.44"/>
    <n v="3.86"/>
    <n v="19.3"/>
    <s v="Sessão a Faturar"/>
    <n v="771015041130020"/>
    <n v="45879"/>
    <s v="Unidade Vieiralves"/>
    <n v="1710848333"/>
    <m/>
  </r>
  <r>
    <x v="8"/>
    <x v="50"/>
    <s v="Maria de Fatima Lima de Oliveira"/>
    <s v="Feminino"/>
    <x v="3"/>
    <x v="12"/>
    <s v="0008 - Fisioterapia Ped - Neuro- Resp- Pacote Com 10 Sessões (R$ 45,00)"/>
    <s v="Fisioterapia Pélvica e Neurológica"/>
    <n v="172672"/>
    <s v="Finalizado (1/10)"/>
    <n v="33.75"/>
    <n v="11.25"/>
    <n v="45"/>
    <s v="Sessão a Faturar"/>
    <n v="13826"/>
    <n v="38380"/>
    <s v="Unidade Vieiralves"/>
    <n v="172672"/>
    <m/>
  </r>
  <r>
    <x v="8"/>
    <x v="43"/>
    <s v="Selton Jose Maquine da Silva"/>
    <s v="Masculino"/>
    <x v="2"/>
    <x v="12"/>
    <s v="20103492 - Fisioterapia - Patologia Em Dois Ou Mais Membros (R$ 14,83)"/>
    <s v="Fisioterapia Pélvica e Neurológica"/>
    <n v="1717644873"/>
    <s v="Finalizado (1/10)"/>
    <n v="11.864000000000001"/>
    <n v="2.9660000000000002"/>
    <n v="14.83"/>
    <s v="Sessão a Faturar"/>
    <n v="773626015709020"/>
    <n v="44569"/>
    <s v="Unidade Vieiralves"/>
    <n v="1717644873"/>
    <m/>
  </r>
  <r>
    <x v="8"/>
    <x v="43"/>
    <s v="Benicio Jose Machado de Queiroga Teixeria"/>
    <s v="Masculino"/>
    <x v="6"/>
    <x v="12"/>
    <s v="20103476 - Patologia Neurologica (R$ 35,40)"/>
    <s v="Fisioterapia Pélvica e Neurológica"/>
    <n v="172273"/>
    <s v="Finalizado (3/8)"/>
    <n v="28.32"/>
    <n v="7.08"/>
    <n v="35.4"/>
    <s v="Sessão a Faturar"/>
    <s v="55788888493335620117"/>
    <n v="59677"/>
    <s v="Unidade Vieiralves"/>
    <n v="172273"/>
    <m/>
  </r>
  <r>
    <x v="8"/>
    <x v="77"/>
    <s v="Selton Jose Maquine da Silva"/>
    <s v="Masculino"/>
    <x v="2"/>
    <x v="12"/>
    <s v="20103522 - Fisioterapia - Pac Com Dependencia de Vida Diária (R$ 23,59)"/>
    <s v="Fisioterapia Pélvica e Neurológica"/>
    <n v="1717645822"/>
    <s v="Finalizado (1/10)"/>
    <n v="18.872"/>
    <n v="4.718"/>
    <n v="23.59"/>
    <s v="Sessão a Faturar"/>
    <n v="773626015709020"/>
    <n v="44569"/>
    <s v="Unidade Vieiralves"/>
    <n v="1717645822"/>
    <m/>
  </r>
  <r>
    <x v="9"/>
    <x v="44"/>
    <s v="Paulo Geraldo Mello Raposo Camara"/>
    <s v="Masculino"/>
    <x v="13"/>
    <x v="12"/>
    <s v="20103492 - Patologia Em Dois Ou Mais Membros (R$ 32,28)"/>
    <s v="Fisioterapia Pélvica e Neurológica"/>
    <n v="13794730"/>
    <s v="Finalizado (2/10)"/>
    <n v="25.824000000000002"/>
    <n v="6.4560000000000004"/>
    <n v="32.28"/>
    <s v="Sessão a Faturar"/>
    <s v="00010300011479012"/>
    <n v="17283"/>
    <s v="Unidade Vieiralves"/>
    <n v="13794730"/>
    <m/>
  </r>
  <r>
    <x v="9"/>
    <x v="44"/>
    <s v="Adriane Cavalcante Xavier"/>
    <s v="Feminino"/>
    <x v="2"/>
    <x v="12"/>
    <s v="20103492 - Fisioterapia - Patologia Em Dois Ou Mais Membros (R$ 14,83)"/>
    <s v="Fisioterapia Pélvica e Neurológica"/>
    <n v="1710042981"/>
    <s v="Finalizado (5/8)"/>
    <n v="11.864000000000001"/>
    <n v="2.9660000000000002"/>
    <n v="14.83"/>
    <s v="Sessão a Faturar"/>
    <n v="811285500019020"/>
    <n v="43789"/>
    <s v="Unidade Vieiralves"/>
    <n v="1710042981"/>
    <m/>
  </r>
  <r>
    <x v="9"/>
    <x v="74"/>
    <s v="Adriane Cavalcante Xavier"/>
    <s v="Feminino"/>
    <x v="4"/>
    <x v="12"/>
    <s v="31602185 - Estimulação Elétrica Transcutânea - Removido 13/04/2026 (R$ 40,00)"/>
    <s v="Fisioterapia Pélvica e Neurológica"/>
    <n v="1714891505"/>
    <s v="Finalizado (3/10)"/>
    <n v="32"/>
    <n v="8"/>
    <n v="40"/>
    <s v="Sessão a Faturar"/>
    <n v="811285500019020"/>
    <n v="43789"/>
    <s v="Unidade Vieiralves"/>
    <n v="1714891505"/>
    <m/>
  </r>
  <r>
    <x v="9"/>
    <x v="76"/>
    <s v="Yedda Crisafera de Lima Figueira"/>
    <s v="Feminino"/>
    <x v="25"/>
    <x v="12"/>
    <s v="50000179 - Fisioterapia Respiratória (R$ 18,29)"/>
    <s v="Fisioterapia"/>
    <n v="143215"/>
    <s v="Finalizado (9/10)"/>
    <n v="14.632"/>
    <n v="3.6579999999999999"/>
    <n v="18.29"/>
    <s v="Sessão Faturada"/>
    <n v="33301"/>
    <n v="3132"/>
    <s v="Unidade Vieiralves"/>
    <n v="143215"/>
    <m/>
  </r>
  <r>
    <x v="9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9/10)"/>
    <n v="21.64"/>
    <n v="5.41"/>
    <n v="27.05"/>
    <s v="Sessão Faturada"/>
    <n v="952480013550000"/>
    <n v="14121"/>
    <s v="Unidade Vieiralves"/>
    <n v="1704651988"/>
    <m/>
  </r>
  <r>
    <x v="9"/>
    <x v="36"/>
    <s v="Yedda Crisafera de Lima Figueira"/>
    <s v="Feminino"/>
    <x v="25"/>
    <x v="12"/>
    <s v="50000152 - Fisioterapia Neurológica (R$ 19,72)"/>
    <s v="Fisioterapia"/>
    <n v="143217"/>
    <s v="Finalizado (9/10)"/>
    <n v="15.776"/>
    <n v="3.944"/>
    <n v="19.72"/>
    <s v="Sessão Faturada"/>
    <n v="33301"/>
    <n v="3132"/>
    <s v="Unidade Vieiralves"/>
    <n v="143217"/>
    <m/>
  </r>
  <r>
    <x v="9"/>
    <x v="67"/>
    <s v="Laercio Sampaio de Souza"/>
    <s v="Masculino"/>
    <x v="2"/>
    <x v="12"/>
    <s v="20103484 - Fisioterapia - Patologia Em Um Membro (R$ 12,22)"/>
    <s v="Fisioterapia Pélvica e Neurológica"/>
    <n v="1711911045"/>
    <s v="Finalizado (5/10)"/>
    <n v="9.7759999999999998"/>
    <n v="2.444"/>
    <n v="12.22"/>
    <s v="Sessão a Faturar"/>
    <n v="812512800043000"/>
    <n v="19903"/>
    <s v="Unidade Vieiralves"/>
    <n v="1711911045"/>
    <m/>
  </r>
  <r>
    <x v="9"/>
    <x v="67"/>
    <s v="Lia Melissa do Nascimento Bentes"/>
    <s v="Feminino"/>
    <x v="3"/>
    <x v="12"/>
    <s v="0008 - Fisioterapia Ped - Neuro- Resp- Pacote Com 10 Sessões (R$ 45,00)"/>
    <s v="Fisioterapia Pélvica e Neurológica"/>
    <n v="171619"/>
    <s v="Finalizado (3/10)"/>
    <n v="33.75"/>
    <n v="11.25"/>
    <n v="45"/>
    <s v="Sessão a Faturar"/>
    <s v="0000"/>
    <n v="56530"/>
    <s v="Unidade Vieiralves"/>
    <n v="171619"/>
    <m/>
  </r>
  <r>
    <x v="9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7/10)"/>
    <n v="28"/>
    <n v="7"/>
    <n v="35"/>
    <s v="Sessão Faturada"/>
    <n v="1101013081440300"/>
    <n v="59408"/>
    <s v="Unidade Vieiralves"/>
    <n v="9356555"/>
    <m/>
  </r>
  <r>
    <x v="9"/>
    <x v="68"/>
    <s v="Amanda Richa Silveira Farias"/>
    <s v="Feminino"/>
    <x v="6"/>
    <x v="12"/>
    <s v="20103476 - Patologia Neurologica (R$ 35,40)"/>
    <s v="Fisioterapia Pélvica e Neurológica"/>
    <n v="170967"/>
    <s v="Finalizado (10/10)"/>
    <n v="28.32"/>
    <n v="7.08"/>
    <n v="35.4"/>
    <s v="Sessão a Faturar"/>
    <s v="54588888019504770035"/>
    <n v="58490"/>
    <s v="Unidade Vieiralves"/>
    <n v="170967"/>
    <m/>
  </r>
  <r>
    <x v="9"/>
    <x v="68"/>
    <s v="Maria Marlene Cardoso Gonçalves"/>
    <s v="Feminino"/>
    <x v="1"/>
    <x v="12"/>
    <s v="50001078 - Fisioterapia Neurológica (R$ 35,00)"/>
    <s v="Fisioterapia Pélvica e Neurológica"/>
    <n v="9392405"/>
    <s v="Finalizado (6/10)"/>
    <n v="28"/>
    <n v="7"/>
    <n v="35"/>
    <s v="Sessão Faturada"/>
    <s v="0201011439440066"/>
    <n v="55043"/>
    <s v="Unidade Vieiralves"/>
    <n v="9392405"/>
    <m/>
  </r>
  <r>
    <x v="9"/>
    <x v="68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6/10)"/>
    <n v="28"/>
    <n v="7"/>
    <n v="35"/>
    <s v="Sessão Faturada"/>
    <s v="0901000375930025"/>
    <n v="59605"/>
    <s v="Unidade Vieiralves"/>
    <n v="9362465"/>
    <m/>
  </r>
  <r>
    <x v="9"/>
    <x v="50"/>
    <s v="Francisca Oliveira de Souza"/>
    <s v="Feminino"/>
    <x v="1"/>
    <x v="12"/>
    <s v="50000160 - Fisioterapia Ortopédica (R$ 20,00), 98980327 - Taxa de Eletroterapia (Tens) (R$ 15,00)"/>
    <s v="Fisioterapia Pélvica e Neurológica"/>
    <n v="9363157"/>
    <s v="Finalizado (4/10)"/>
    <n v="28"/>
    <n v="7"/>
    <n v="35"/>
    <s v="Sessão a Faturar"/>
    <s v="0901013231690029"/>
    <n v="59606"/>
    <s v="Unidade Vieiralves"/>
    <n v="9363157"/>
    <m/>
  </r>
  <r>
    <x v="9"/>
    <x v="50"/>
    <s v="William Sam Marinho de Souza Lima"/>
    <s v="Masculino"/>
    <x v="1"/>
    <x v="12"/>
    <s v="50001078 - Fisioterapia Neurológica (R$ 35,00)"/>
    <s v="Fisioterapia Pélvica e Neurológica"/>
    <n v="9262962"/>
    <s v="Finalizado (5/5)"/>
    <n v="28"/>
    <n v="7"/>
    <n v="35"/>
    <s v="Sessão Faturada"/>
    <s v="0901012128090385"/>
    <n v="57062"/>
    <s v="Unidade Vieiralves"/>
    <n v="9262962"/>
    <m/>
  </r>
  <r>
    <x v="9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8/10)"/>
    <n v="39.776000000000003"/>
    <n v="9.9440000000000008"/>
    <n v="49.72"/>
    <s v="Sessão a Faturar"/>
    <s v="010962004503"/>
    <n v="54390"/>
    <s v="Unidade Vieiralves"/>
    <s v="42263120260303393761"/>
    <m/>
  </r>
  <r>
    <x v="9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8/10)"/>
    <n v="43.304000000000002"/>
    <n v="10.826000000000001"/>
    <n v="54.13"/>
    <s v="Sessão a Faturar"/>
    <s v="010962004503"/>
    <n v="54390"/>
    <s v="Unidade Vieiralves"/>
    <s v="42263120260303393869"/>
    <m/>
  </r>
  <r>
    <x v="9"/>
    <x v="43"/>
    <s v="Ruth Fonseca Ferreira"/>
    <s v="Feminino"/>
    <x v="1"/>
    <x v="12"/>
    <s v="50001078 - Fisioterapia Neurológica (R$ 35,00)"/>
    <s v="Fisioterapia Pélvica e Neurológica"/>
    <n v="9109557"/>
    <s v="Finalizado (5/10)"/>
    <n v="28"/>
    <n v="7"/>
    <n v="35"/>
    <s v="Sessão Faturada"/>
    <n v="2001013987170000"/>
    <n v="58474"/>
    <s v="Unidade Vieiralves"/>
    <n v="9109557"/>
    <m/>
  </r>
  <r>
    <x v="9"/>
    <x v="43"/>
    <s v="Selton Jose Maquine da Silva"/>
    <s v="Masculino"/>
    <x v="2"/>
    <x v="12"/>
    <s v="20103492 - Fisioterapia - Patologia Em Dois Ou Mais Membros (R$ 14,83)"/>
    <s v="Fisioterapia Pélvica e Neurológica"/>
    <n v="1717644873"/>
    <s v="Finalizado (2/10)"/>
    <n v="11.864000000000001"/>
    <n v="2.9660000000000002"/>
    <n v="14.83"/>
    <s v="Sessão a Faturar"/>
    <n v="773626015709020"/>
    <n v="44569"/>
    <s v="Unidade Vieiralves"/>
    <n v="1717644873"/>
    <m/>
  </r>
  <r>
    <x v="9"/>
    <x v="77"/>
    <s v="Selton Jose Maquine da Silva"/>
    <s v="Masculino"/>
    <x v="2"/>
    <x v="12"/>
    <s v="20103522 - Fisioterapia - Pac Com Dependencia de Vida Diária (R$ 23,59)"/>
    <s v="Fisioterapia Pélvica e Neurológica"/>
    <n v="1717645822"/>
    <s v="Finalizado (2/10)"/>
    <n v="18.872"/>
    <n v="4.718"/>
    <n v="23.59"/>
    <s v="Sessão a Faturar"/>
    <n v="773626015709020"/>
    <n v="44569"/>
    <s v="Unidade Vieiralves"/>
    <n v="1717645822"/>
    <m/>
  </r>
  <r>
    <x v="25"/>
    <x v="76"/>
    <s v="Sâmara Regina Rodrigues Santiago"/>
    <s v="Feminino"/>
    <x v="6"/>
    <x v="12"/>
    <s v="20103360 - Fisioterapia Respiratória (R$ 16,74)"/>
    <s v="Fisioterapia Pélvica e Neurológica"/>
    <n v="172226"/>
    <s v="Finalizado (8/10)"/>
    <n v="13.391999999999999"/>
    <n v="3.3479999999999999"/>
    <n v="16.739999999999998"/>
    <s v="Sessão a Faturar"/>
    <s v="54588888019468180024"/>
    <n v="59615"/>
    <s v="Unidade Vieiralves"/>
    <n v="172226"/>
    <m/>
  </r>
  <r>
    <x v="25"/>
    <x v="76"/>
    <s v="Raimunda Sidney de Souza Cavalcanti"/>
    <s v="Feminino"/>
    <x v="1"/>
    <x v="12"/>
    <s v="50000160 - Fisioterapia Ortopédica (R$ 20,00), 98980327 - Taxa de Eletroterapia (Tens) (R$ 15,00)"/>
    <s v="Fisioterapia Pélvica e Neurológica"/>
    <n v="9524346"/>
    <s v="Finalizado (2/10)"/>
    <n v="28"/>
    <n v="7"/>
    <n v="35"/>
    <s v="Sessão a Faturar"/>
    <n v="901002717130010"/>
    <n v="54607"/>
    <s v="Unidade Vieiralves"/>
    <n v="9524346"/>
    <m/>
  </r>
  <r>
    <x v="25"/>
    <x v="67"/>
    <s v="Marcos Vinícius Rocha Barbosa"/>
    <m/>
    <x v="8"/>
    <x v="12"/>
    <s v="20103522 - Fisioterapia - Pac Com Dependencia de Vida Diária (R$ 23,59)"/>
    <s v="Fisioterapia Pélvica e Neurológica"/>
    <n v="1712955426"/>
    <s v="Finalizado (5/10)"/>
    <n v="18.872"/>
    <n v="4.718"/>
    <n v="23.59"/>
    <s v="Sessão a Faturar"/>
    <n v="954600005150030"/>
    <n v="59421"/>
    <s v="Unidade Vieiralves"/>
    <n v="1712955426"/>
    <m/>
  </r>
  <r>
    <x v="25"/>
    <x v="67"/>
    <s v="Luiz Alberto  Monjeló Bisneto"/>
    <m/>
    <x v="2"/>
    <x v="12"/>
    <s v="20103514 - Fisioterapia - Patologia Em Diferentes Segmentos da Coluna (R$ 14,83)"/>
    <s v="Fisioterapia Pélvica e Neurológica"/>
    <n v="1718447947"/>
    <s v="Finalizado (1/5)"/>
    <n v="11.864000000000001"/>
    <n v="2.9660000000000002"/>
    <n v="14.83"/>
    <s v="Sessão a Faturar"/>
    <n v="812094300132030"/>
    <n v="59175"/>
    <s v="Unidade Vieiralves"/>
    <n v="1718447947"/>
    <m/>
  </r>
  <r>
    <x v="25"/>
    <x v="35"/>
    <s v="Maria de Fatima Lima de Oliveira"/>
    <s v="Feminino"/>
    <x v="3"/>
    <x v="12"/>
    <s v="0008 - Fisioterapia Ped - Neuro- Resp- Pacote Com 10 Sessões (R$ 45,00)"/>
    <s v="Fisioterapia Pélvica e Neurológica"/>
    <n v="172672"/>
    <s v="Finalizado (2/10)"/>
    <n v="33.75"/>
    <n v="11.25"/>
    <n v="45"/>
    <s v="Sessão a Faturar"/>
    <n v="13826"/>
    <n v="38380"/>
    <s v="Unidade Vieiralves"/>
    <n v="172672"/>
    <m/>
  </r>
  <r>
    <x v="25"/>
    <x v="35"/>
    <s v="Thiago Martins Leão"/>
    <s v="Masculino"/>
    <x v="5"/>
    <x v="12"/>
    <s v="98860020 - Fisioterapia Complexidade 2 - 04/03/2026 (R$ 70,79)"/>
    <s v="Fisioterapia Pélvica e Neurológica"/>
    <n v="77114190"/>
    <s v="Finalizado (5/10)"/>
    <n v="56.631999999999998"/>
    <n v="14.157999999999999"/>
    <n v="70.790000000000006"/>
    <s v="Sessão Faturada"/>
    <s v="010086556202"/>
    <n v="57073"/>
    <s v="Unidade Vieiralves"/>
    <n v="77114190"/>
    <m/>
  </r>
  <r>
    <x v="25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8/10)"/>
    <n v="28"/>
    <n v="7"/>
    <n v="35"/>
    <s v="Sessão Faturada"/>
    <n v="1101013081440300"/>
    <n v="59408"/>
    <s v="Unidade Vieiralves"/>
    <n v="9356555"/>
    <m/>
  </r>
  <r>
    <x v="25"/>
    <x v="71"/>
    <s v="Thiago Martins Leão"/>
    <s v="Masculino"/>
    <x v="5"/>
    <x v="12"/>
    <s v="31602185 - Estimulação Elétrica Transcutânea (Tens) - 04/03/2026 (R$ 120,28)"/>
    <s v="Fisioterapia Pélvica e Neurológica"/>
    <n v="74911120"/>
    <s v="Finalizado (9/10)"/>
    <n v="96.224000000000004"/>
    <n v="24.056000000000001"/>
    <n v="120.28"/>
    <s v="Sessão Faturada"/>
    <s v="010086556202"/>
    <n v="57073"/>
    <s v="Unidade Vieiralves"/>
    <n v="74911120"/>
    <s v="GUIA ASSINADA"/>
  </r>
  <r>
    <x v="25"/>
    <x v="68"/>
    <s v="Ygor Luccas Sugai Auzier da Silva"/>
    <m/>
    <x v="8"/>
    <x v="12"/>
    <s v="20103484 - Patologia Em Um Membro (R$ 12,22)"/>
    <s v="Fisioterapia Pélvica e Neurológica"/>
    <n v="1724913128"/>
    <s v="Finalizado (4/4)"/>
    <n v="9.7759999999999998"/>
    <n v="2.444"/>
    <n v="12.22"/>
    <s v="Sessão a Faturar"/>
    <n v="954600000450020"/>
    <n v="56735"/>
    <s v="Unidade Vieiralves"/>
    <n v="1724913128"/>
    <m/>
  </r>
  <r>
    <x v="25"/>
    <x v="68"/>
    <s v="Amanda Richa Silveira Farias"/>
    <s v="Feminino"/>
    <x v="6"/>
    <x v="12"/>
    <s v="20103476 - Patologia Neurologica (R$ 35,40)"/>
    <s v="Fisioterapia Pélvica e Neurológica"/>
    <n v="173279"/>
    <s v="Finalizado (1/10)"/>
    <n v="28.32"/>
    <n v="7.08"/>
    <n v="35.4"/>
    <s v="Sessão a Faturar"/>
    <s v="54588888019504770035"/>
    <n v="58490"/>
    <s v="Unidade Vieiralves"/>
    <n v="173279"/>
    <m/>
  </r>
  <r>
    <x v="25"/>
    <x v="68"/>
    <s v="Eduarda Lieny Mota de Sá"/>
    <m/>
    <x v="7"/>
    <x v="12"/>
    <s v="Vieiralves - 2 - Fisioterapia Neurológica - Pacote (R$ 45,00)"/>
    <s v="Fisioterapia Pélvica e Neurológica"/>
    <n v="170955"/>
    <s v="Finalizado (10/10)"/>
    <n v="33.75"/>
    <n v="11.25"/>
    <n v="45"/>
    <s v="Pago"/>
    <s v="00"/>
    <n v="59557"/>
    <s v="Unidade Vieiralves"/>
    <n v="170955"/>
    <m/>
  </r>
  <r>
    <x v="25"/>
    <x v="43"/>
    <s v="Eliezio Pinheiro Lobo"/>
    <s v="Masculino"/>
    <x v="8"/>
    <x v="12"/>
    <s v="20103468 - Parkinson (R$ 12,22)"/>
    <s v="Fisioterapia Pélvica e Neurológica"/>
    <n v="1709620447"/>
    <s v="Finalizado (4/5)"/>
    <n v="9.7759999999999998"/>
    <n v="2.444"/>
    <n v="12.22"/>
    <s v="Sessão a Faturar"/>
    <n v="954390038032000"/>
    <n v="45864"/>
    <s v="Unidade Vieiralves"/>
    <n v="1709620447"/>
    <m/>
  </r>
  <r>
    <x v="25"/>
    <x v="43"/>
    <s v="Rhian Cristian Freitas Gomes"/>
    <s v="Masculino"/>
    <x v="2"/>
    <x v="12"/>
    <s v="20103522 - Fisioterapia - Pac Com Dependencia de Vida Diária (R$ 23,59)"/>
    <s v="Fisioterapia Pélvica e Neurológica"/>
    <n v="1711983920"/>
    <s v="Finalizado (3/3)"/>
    <n v="18.872"/>
    <n v="4.718"/>
    <n v="23.59"/>
    <s v="Sessão a Faturar"/>
    <n v="610170070001030"/>
    <n v="59248"/>
    <s v="Unidade Vieiralves"/>
    <n v="1711983920"/>
    <m/>
  </r>
  <r>
    <x v="10"/>
    <x v="44"/>
    <s v="Katiuscia Rodrigues Leao"/>
    <s v="Feminino"/>
    <x v="8"/>
    <x v="12"/>
    <s v="20103514 - Patologia Em Diferentes Segmentos da Coluna (R$ 14,83)"/>
    <s v="Fisioterapia Pélvica e Neurológica"/>
    <n v="1708215105"/>
    <s v="Finalizado (9/10)"/>
    <n v="11.864000000000001"/>
    <n v="2.9660000000000002"/>
    <n v="14.83"/>
    <s v="Sessão Faturada"/>
    <n v="954600007552000"/>
    <n v="30052"/>
    <s v="Unidade Vieiralves"/>
    <n v="1708215105"/>
    <m/>
  </r>
  <r>
    <x v="10"/>
    <x v="44"/>
    <s v="Gisele Coelho da Roza"/>
    <s v="Feminino"/>
    <x v="1"/>
    <x v="12"/>
    <s v="50000144 - Consulta de Fisioterapia (R$ 16,00)"/>
    <s v="Fisioterapia Pélvica e Neurológica"/>
    <n v="9603702"/>
    <s v="Finalizado (1/1)"/>
    <n v="14.4"/>
    <n v="1.6"/>
    <n v="16"/>
    <s v="Sessão Faturada"/>
    <n v="1101013266380400"/>
    <n v="54408"/>
    <s v="Unidade Vieiralves"/>
    <n v="9603702"/>
    <m/>
  </r>
  <r>
    <x v="10"/>
    <x v="44"/>
    <s v="Paulo Geraldo Mello Raposo Camara"/>
    <s v="Masculino"/>
    <x v="13"/>
    <x v="12"/>
    <s v="20103492 - Patologia Em Dois Ou Mais Membros (R$ 32,28)"/>
    <s v="Fisioterapia Pélvica e Neurológica"/>
    <n v="13794730"/>
    <s v="Finalizado (3/10)"/>
    <n v="25.824000000000002"/>
    <n v="6.4560000000000004"/>
    <n v="32.28"/>
    <s v="Sessão a Faturar"/>
    <s v="00010300011479012"/>
    <n v="17283"/>
    <s v="Unidade Vieiralves"/>
    <n v="13794730"/>
    <m/>
  </r>
  <r>
    <x v="10"/>
    <x v="76"/>
    <s v="Yedda Crisafera de Lima Figueira"/>
    <s v="Feminino"/>
    <x v="25"/>
    <x v="12"/>
    <s v="50000179 - Fisioterapia Respiratória (R$ 18,29)"/>
    <s v="Fisioterapia"/>
    <n v="143215"/>
    <s v="Finalizado (10/10)"/>
    <n v="14.632"/>
    <n v="3.6579999999999999"/>
    <n v="18.29"/>
    <s v="Sessão Faturada"/>
    <n v="33301"/>
    <n v="3132"/>
    <s v="Unidade Vieiralves"/>
    <n v="143215"/>
    <m/>
  </r>
  <r>
    <x v="10"/>
    <x v="36"/>
    <s v="Yedda Crisafera de Lima Figueira"/>
    <s v="Feminino"/>
    <x v="25"/>
    <x v="12"/>
    <s v="50000152 - Fisioterapia Neurológica (R$ 19,72)"/>
    <s v="Fisioterapia"/>
    <n v="143217"/>
    <s v="Finalizado (10/10)"/>
    <n v="15.776"/>
    <n v="3.944"/>
    <n v="19.72"/>
    <s v="Sessão Faturada"/>
    <n v="33301"/>
    <n v="3132"/>
    <s v="Unidade Vieiralves"/>
    <n v="143217"/>
    <m/>
  </r>
  <r>
    <x v="10"/>
    <x v="67"/>
    <s v="Regina Elizabeth Pinheiro de Oliveira"/>
    <s v="Feminino"/>
    <x v="1"/>
    <x v="12"/>
    <s v="50000160 - Fisioterapia Ortopédica (R$ 20,00), 98980327 - Taxa de Eletroterapia (Tens) (R$ 15,00)"/>
    <s v="Fisioterapia Pélvica e Neurológica"/>
    <n v="9409369"/>
    <s v="Finalizado (4/10)"/>
    <n v="28"/>
    <n v="7"/>
    <n v="35"/>
    <s v="Sessão a Faturar"/>
    <s v="0901013811970051"/>
    <n v="135"/>
    <s v="Unidade Vieiralves"/>
    <n v="9409369"/>
    <m/>
  </r>
  <r>
    <x v="10"/>
    <x v="67"/>
    <s v="Francisco Augusto Barroso da Costa Lima"/>
    <s v="Masculino"/>
    <x v="2"/>
    <x v="12"/>
    <s v="20103492 - Fisioterapia - Patologia Em Dois Ou Mais Membros (R$ 14,83)"/>
    <s v="Fisioterapia Pélvica e Neurológica"/>
    <n v="1718866811"/>
    <s v="Finalizado (1/10)"/>
    <n v="11.864000000000001"/>
    <n v="2.9660000000000002"/>
    <n v="14.83"/>
    <s v="Sessão a Faturar"/>
    <n v="952650065111000"/>
    <n v="44404"/>
    <s v="Unidade Vieiralves"/>
    <n v="1718866811"/>
    <m/>
  </r>
  <r>
    <x v="10"/>
    <x v="49"/>
    <s v="Francisco Augusto Barroso da Costa Lima"/>
    <s v="Masculino"/>
    <x v="2"/>
    <x v="12"/>
    <s v="20103522 - Fisioterapia - Pac Com Dependencia de Vida Diária (R$ 23,59)"/>
    <s v="Fisioterapia Pélvica e Neurológica"/>
    <n v="1718867900"/>
    <s v="Finalizado (1/10)"/>
    <n v="18.872"/>
    <n v="4.718"/>
    <n v="23.59"/>
    <s v="Sessão a Faturar"/>
    <n v="952650065111000"/>
    <n v="44404"/>
    <s v="Unidade Vieiralves"/>
    <n v="1718867900"/>
    <m/>
  </r>
  <r>
    <x v="10"/>
    <x v="35"/>
    <s v="Maria da Conceição Grandal Oliveira"/>
    <s v="Feminino"/>
    <x v="21"/>
    <x v="12"/>
    <s v="20103492 - Fisioterapia Em Dois Ou Mais Membros (R$ 49,20), 20103506 - Fisioterapia Em Um Segmento da Coluna (R$ 34,74)"/>
    <s v="Fisioterapia Pélvica e Neurológica"/>
    <n v="173230"/>
    <s v="Finalizado (2/10)"/>
    <n v="67.152000000000001"/>
    <n v="16.788"/>
    <n v="83.94"/>
    <s v="Sessão a Faturar"/>
    <n v="10519601"/>
    <n v="59789"/>
    <s v="Unidade Vieiralves"/>
    <n v="173230"/>
    <m/>
  </r>
  <r>
    <x v="10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9/10)"/>
    <n v="28"/>
    <n v="7"/>
    <n v="35"/>
    <s v="Sessão Faturada"/>
    <n v="1101013081440300"/>
    <n v="59408"/>
    <s v="Unidade Vieiralves"/>
    <n v="9356555"/>
    <m/>
  </r>
  <r>
    <x v="10"/>
    <x v="35"/>
    <s v="Maria de Fatima Lima de Oliveira"/>
    <s v="Feminino"/>
    <x v="3"/>
    <x v="12"/>
    <s v="0008 - Fisioterapia Ped - Neuro- Resp- Pacote Com 10 Sessões (R$ 45,00)"/>
    <s v="Fisioterapia Pélvica e Neurológica"/>
    <n v="172672"/>
    <s v="Finalizado (3/10)"/>
    <n v="33.75"/>
    <n v="11.25"/>
    <n v="45"/>
    <s v="Sessão a Faturar"/>
    <n v="13826"/>
    <n v="38380"/>
    <s v="Unidade Vieiralves"/>
    <n v="172672"/>
    <m/>
  </r>
  <r>
    <x v="10"/>
    <x v="68"/>
    <s v="Amanda Richa Silveira Farias"/>
    <s v="Feminino"/>
    <x v="6"/>
    <x v="12"/>
    <s v="20103476 - Patologia Neurologica (R$ 35,40)"/>
    <s v="Fisioterapia Pélvica e Neurológica"/>
    <n v="173279"/>
    <s v="Finalizado (2/10)"/>
    <n v="28.32"/>
    <n v="7.08"/>
    <n v="35.4"/>
    <s v="Sessão a Faturar"/>
    <s v="54588888019504770035"/>
    <n v="58490"/>
    <s v="Unidade Vieiralves"/>
    <n v="173279"/>
    <m/>
  </r>
  <r>
    <x v="10"/>
    <x v="68"/>
    <s v="Regina Coeli de Queiroz Barbosa"/>
    <m/>
    <x v="1"/>
    <x v="12"/>
    <s v="50000160 - Fisioterapia Ortopédica (R$ 20,00), 98980327 - Taxa de Eletroterapia (Tens) (R$ 15,00)"/>
    <s v="Fisioterapia Pélvica e Neurológica"/>
    <n v="9362465"/>
    <s v="Finalizado (7/10)"/>
    <n v="28"/>
    <n v="7"/>
    <n v="35"/>
    <s v="Sessão Faturada"/>
    <s v="0901000375930025"/>
    <n v="59605"/>
    <s v="Unidade Vieiralves"/>
    <n v="9362465"/>
    <m/>
  </r>
  <r>
    <x v="10"/>
    <x v="50"/>
    <s v="Maria do Perpetuo Socorro Cruz Para"/>
    <s v="Feminino"/>
    <x v="0"/>
    <x v="12"/>
    <s v="50000160 - Fisioterapia Ortopedica (R$ 49,72)"/>
    <s v="Fisioterapia Pélvica e Neurológica"/>
    <s v="42263120260303393761"/>
    <s v="Finalizado (9/10)"/>
    <n v="39.776000000000003"/>
    <n v="9.9440000000000008"/>
    <n v="49.72"/>
    <s v="Sessão a Faturar"/>
    <s v="010962004503"/>
    <n v="54390"/>
    <s v="Unidade Vieiralves"/>
    <s v="42263120260303393761"/>
    <m/>
  </r>
  <r>
    <x v="10"/>
    <x v="72"/>
    <s v="Maria do Perpetuo Socorro Cruz Para"/>
    <s v="Feminino"/>
    <x v="0"/>
    <x v="12"/>
    <s v="31602185 - Estimulação Elétrica Transcutânea Fisioterapia (Novo - 01/12) (R$ 54,13)"/>
    <s v="Fisioterapia Pélvica e Neurológica"/>
    <s v="42263120260303393869"/>
    <s v="Finalizado (9/10)"/>
    <n v="43.304000000000002"/>
    <n v="10.826000000000001"/>
    <n v="54.13"/>
    <s v="Sessão a Faturar"/>
    <s v="010962004503"/>
    <n v="54390"/>
    <s v="Unidade Vieiralves"/>
    <s v="42263120260303393869"/>
    <m/>
  </r>
  <r>
    <x v="10"/>
    <x v="43"/>
    <s v="Marcos Vinícius Rocha Barbosa"/>
    <m/>
    <x v="8"/>
    <x v="12"/>
    <s v="20103522 - Fisioterapia - Pac Com Dependencia de Vida Diária (R$ 23,59)"/>
    <s v="Fisioterapia Pélvica e Neurológica"/>
    <n v="1712955426"/>
    <s v="Finalizado (6/10)"/>
    <n v="18.872"/>
    <n v="4.718"/>
    <n v="23.59"/>
    <s v="Sessão a Faturar"/>
    <n v="954600005150030"/>
    <n v="59421"/>
    <s v="Unidade Vieiralves"/>
    <n v="1712955426"/>
    <m/>
  </r>
  <r>
    <x v="10"/>
    <x v="43"/>
    <s v="Selton Jose Maquine da Silva"/>
    <s v="Masculino"/>
    <x v="2"/>
    <x v="12"/>
    <s v="20103492 - Fisioterapia - Patologia Em Dois Ou Mais Membros (R$ 14,83)"/>
    <s v="Fisioterapia Pélvica e Neurológica"/>
    <n v="1717644873"/>
    <s v="Finalizado (3/10)"/>
    <n v="11.864000000000001"/>
    <n v="2.9660000000000002"/>
    <n v="14.83"/>
    <s v="Sessão a Faturar"/>
    <n v="773626015709020"/>
    <n v="44569"/>
    <s v="Unidade Vieiralves"/>
    <n v="1717644873"/>
    <m/>
  </r>
  <r>
    <x v="10"/>
    <x v="43"/>
    <s v="Selton Jose Maquine da Silva"/>
    <s v="Masculino"/>
    <x v="2"/>
    <x v="12"/>
    <s v="20103522 - Fisioterapia - Pac Com Dependencia de Vida Diária (R$ 23,59)"/>
    <s v="Fisioterapia Pélvica e Neurológica"/>
    <n v="1717645822"/>
    <s v="Finalizado (3/10)"/>
    <n v="18.872"/>
    <n v="4.718"/>
    <n v="23.59"/>
    <s v="Sessão a Faturar"/>
    <n v="773626015709020"/>
    <n v="44569"/>
    <s v="Unidade Vieiralves"/>
    <n v="1717645822"/>
    <m/>
  </r>
  <r>
    <x v="11"/>
    <x v="44"/>
    <s v="Manuela Fernanda Souza Vaz"/>
    <s v="Feminino"/>
    <x v="1"/>
    <x v="12"/>
    <s v="50001078 - Fisioterapia Neurológica (R$ 35,00)"/>
    <s v="Fisioterapia Pélvica e Neurológica"/>
    <n v="9629090"/>
    <s v="Finalizado (1/5)"/>
    <n v="28"/>
    <n v="7"/>
    <n v="35"/>
    <s v="Sessão a Faturar"/>
    <n v="1901013779720300"/>
    <n v="58663"/>
    <s v="Unidade Vieiralves"/>
    <n v="9629090"/>
    <m/>
  </r>
  <r>
    <x v="11"/>
    <x v="44"/>
    <s v="Manuela Fernanda Souza Vaz"/>
    <s v="Feminino"/>
    <x v="1"/>
    <x v="12"/>
    <s v="50000144 - Consulta de Fisioterapia (R$ 16,00)"/>
    <s v="Fisioterapia Pélvica e Neurológica"/>
    <n v="9628814"/>
    <s v="Finalizado (1/1)"/>
    <n v="14.4"/>
    <n v="1.6"/>
    <n v="16"/>
    <s v="Sessão Faturada"/>
    <n v="1901013779720300"/>
    <n v="58663"/>
    <s v="Unidade Vieiralves"/>
    <n v="9628814"/>
    <m/>
  </r>
  <r>
    <x v="11"/>
    <x v="76"/>
    <s v="Maria da Conceição Grandal Oliveira"/>
    <s v="Feminino"/>
    <x v="21"/>
    <x v="12"/>
    <s v="20103492 - Fisioterapia Em Dois Ou Mais Membros (R$ 49,20), 20103506 - Fisioterapia Em Um Segmento da Coluna (R$ 34,74)"/>
    <s v="Fisioterapia Pélvica e Neurológica"/>
    <n v="173230"/>
    <s v="Finalizado (3/10)"/>
    <n v="67.152000000000001"/>
    <n v="16.788"/>
    <n v="83.94"/>
    <s v="Sessão a Faturar"/>
    <n v="10519601"/>
    <n v="59789"/>
    <s v="Unidade Vieiralves"/>
    <n v="173230"/>
    <m/>
  </r>
  <r>
    <x v="11"/>
    <x v="76"/>
    <s v="Raimunda Monteiro Rocha"/>
    <s v="Feminino"/>
    <x v="2"/>
    <x v="12"/>
    <s v="20103492 - Fisioterapia - Patologia Em Dois Ou Mais Membros (R$ 14,83), 20103506 - Fisioterapia - Patologia Em Um Segmento da Coluna (R$ 12,22)"/>
    <s v="Fisioterapia Pélvica e Neurológica"/>
    <n v="1704651988"/>
    <s v="Finalizado (10/10)"/>
    <n v="21.64"/>
    <n v="5.41"/>
    <n v="27.05"/>
    <s v="Sessão Faturada"/>
    <n v="952480013550000"/>
    <n v="14121"/>
    <s v="Unidade Vieiralves"/>
    <n v="1704651988"/>
    <m/>
  </r>
  <r>
    <x v="11"/>
    <x v="35"/>
    <s v="José Pedro Figueiredo Silva"/>
    <s v="Feminino"/>
    <x v="10"/>
    <x v="12"/>
    <s v="50000160 - Fisioterapia Ortopédica (R$ 15,00)"/>
    <s v="Fisioterapia Pélvica e Neurológica"/>
    <n v="22993745"/>
    <s v="Não compareceu (2/10)"/>
    <n v="15"/>
    <n v="0"/>
    <n v="15"/>
    <s v="Sessão a Faturar"/>
    <s v="00010064290041008"/>
    <n v="59715"/>
    <s v="Unidade Vieiralves"/>
    <n v="22993745"/>
    <m/>
  </r>
  <r>
    <x v="11"/>
    <x v="35"/>
    <s v="Maria Cristina Pires Montes Giovanazzi"/>
    <s v="Feminino"/>
    <x v="6"/>
    <x v="12"/>
    <s v="20103360 - Fisioterapia Respiratória (R$ 16,74)"/>
    <s v="Fisioterapia Pélvica e Neurológica"/>
    <n v="165501"/>
    <s v="Finalizado (10/10)"/>
    <n v="13.391999999999999"/>
    <n v="3.3479999999999999"/>
    <n v="16.739999999999998"/>
    <s v="Sessão Faturada"/>
    <s v="54588888003122320026"/>
    <n v="1606"/>
    <s v="Unidade Vieiralves"/>
    <n v="165501"/>
    <m/>
  </r>
  <r>
    <x v="11"/>
    <x v="35"/>
    <s v="Francisca Maria Pereira"/>
    <s v="Feminino"/>
    <x v="1"/>
    <x v="12"/>
    <s v="50000160 - Fisioterapia Ortopédica (R$ 20,00), 98980327 - Taxa de Eletroterapia (Tens) (R$ 15,00)"/>
    <s v="Fisioterapia Pélvica e Neurológica"/>
    <n v="9356555"/>
    <s v="Finalizado (10/10)"/>
    <n v="28"/>
    <n v="7"/>
    <n v="35"/>
    <s v="Sessão Faturada"/>
    <n v="1101013081440300"/>
    <n v="59408"/>
    <s v="Unidade Vieiralves"/>
    <n v="9356555"/>
    <m/>
  </r>
  <r>
    <x v="11"/>
    <x v="71"/>
    <s v="Maria Cristina Pires Montes Giovanazzi"/>
    <s v="Feminino"/>
    <x v="6"/>
    <x v="12"/>
    <s v="20103476 - Patologia Neurologica (R$ 35,40)"/>
    <s v="Fisioterapia Pélvica e Neurológica"/>
    <n v="165978"/>
    <s v="Finalizado (9/10)"/>
    <n v="28.32"/>
    <n v="7.08"/>
    <n v="35.4"/>
    <s v="Sessão Faturada"/>
    <s v="54588888003122320026"/>
    <n v="1606"/>
    <s v="Unidade Vieiralves"/>
    <n v="165978"/>
    <m/>
  </r>
  <r>
    <x v="11"/>
    <x v="68"/>
    <s v="Francisca Pena de Alencar"/>
    <s v="Feminino"/>
    <x v="1"/>
    <x v="12"/>
    <s v="50001078 - Fisioterapia Neurológica (R$ 35,00)"/>
    <s v="Fisioterapia Pélvica e Neurológica"/>
    <n v="9460318"/>
    <s v="Finalizado (3/10)"/>
    <n v="28"/>
    <n v="7"/>
    <n v="35"/>
    <s v="Sessão a Faturar"/>
    <n v="1901013196900200"/>
    <n v="58870"/>
    <s v="Unidade Vieiralves"/>
    <n v="9460318"/>
    <m/>
  </r>
  <r>
    <x v="11"/>
    <x v="68"/>
    <s v="Walmir Prado de Alencar"/>
    <s v="Masculino"/>
    <x v="1"/>
    <x v="12"/>
    <s v="50001078 - Fisioterapia Neurológica (R$ 35,00)"/>
    <s v="Fisioterapia Pélvica e Neurológica"/>
    <n v="9802711"/>
    <s v="Finalizado (7/10)"/>
    <n v="28"/>
    <n v="7"/>
    <n v="35"/>
    <s v="Sessão a Faturar"/>
    <n v="1901013196900100"/>
    <n v="58110"/>
    <s v="Unidade Vieiralves"/>
    <n v="9802711"/>
    <m/>
  </r>
  <r>
    <x v="11"/>
    <x v="68"/>
    <s v="Maria Marlene Cardoso Gonçalves"/>
    <s v="Feminino"/>
    <x v="1"/>
    <x v="12"/>
    <s v="50001078 - Fisioterapia Neurológica (R$ 35,00)"/>
    <s v="Fisioterapia Pélvica e Neurológica"/>
    <n v="9392405"/>
    <s v="Finalizado (7/10)"/>
    <n v="28"/>
    <n v="7"/>
    <n v="35"/>
    <s v="Sessão Faturada"/>
    <s v="0201011439440066"/>
    <n v="55043"/>
    <s v="Unidade Vieiralves"/>
    <n v="9392405"/>
    <m/>
  </r>
  <r>
    <x v="11"/>
    <x v="50"/>
    <s v="Eduarda Silva Castilho"/>
    <s v="Feminino"/>
    <x v="2"/>
    <x v="12"/>
    <s v="20103670 - Fisioterapia - Pos Operatorio Em Dois Ou Mais Membros (R$ 19,30)"/>
    <s v="Fisioterapia Pélvica e Neurológica"/>
    <n v="1710848333"/>
    <s v="Finalizado (10/10)"/>
    <n v="15.44"/>
    <n v="3.86"/>
    <n v="19.3"/>
    <s v="Sessão a Faturar"/>
    <n v="771015041130020"/>
    <n v="45879"/>
    <s v="Unidade Vieiralves"/>
    <n v="1710848333"/>
    <m/>
  </r>
  <r>
    <x v="11"/>
    <x v="50"/>
    <s v="Rita de Cassia Balbi Alves"/>
    <s v="Feminino"/>
    <x v="19"/>
    <x v="12"/>
    <s v="20103514 - Patol. Em Diferentes Segmentos da Coluna - 17/03/2026 (R$ 91,31)"/>
    <s v="Fisioterapia Pélvica e Neurológica"/>
    <n v="170132"/>
    <s v="Finalizado (5/10)"/>
    <n v="73.048000000000002"/>
    <n v="18.262"/>
    <n v="91.31"/>
    <s v="Sessão a Faturar"/>
    <s v="0001000034150505"/>
    <n v="37165"/>
    <s v="Unidade Vieiralves"/>
    <n v="170132"/>
    <m/>
  </r>
  <r>
    <x v="11"/>
    <x v="50"/>
    <s v="Albertina Renata da Altona"/>
    <s v="Feminino"/>
    <x v="2"/>
    <x v="12"/>
    <s v="20103492 - Fisioterapia - Patologia Em Dois Ou Mais Membros (R$ 14,83), 20103514 - Fisioterapia - Patologia Em Diferentes Segmentos da Coluna (R$ 14,83)"/>
    <s v="Fisioterapia Pélvica e Neurológica"/>
    <n v="1710811608"/>
    <s v="Finalizado (5/5)"/>
    <n v="23.728000000000002"/>
    <n v="5.9320000000000004"/>
    <n v="29.66"/>
    <s v="Sessão Faturada"/>
    <n v="982870069531010"/>
    <n v="59424"/>
    <s v="Unidade Vieiralves"/>
    <n v="1710811608"/>
    <m/>
  </r>
  <r>
    <x v="11"/>
    <x v="72"/>
    <s v="Albertina Renata da Altona"/>
    <s v="Feminino"/>
    <x v="4"/>
    <x v="12"/>
    <s v="31602185 - Estimulação Elétrica Transcutânea - Removido 13/04/2026 (R$ 40,00)"/>
    <s v="Fisioterapia Pélvica e Neurológica"/>
    <n v="1710813366"/>
    <s v="Finalizado (5/5)"/>
    <n v="32"/>
    <n v="8"/>
    <n v="40"/>
    <s v="Sessão Faturada"/>
    <n v="982870069531010"/>
    <n v="59424"/>
    <s v="Unidade Vieiralves"/>
    <n v="1710813366"/>
    <m/>
  </r>
  <r>
    <x v="11"/>
    <x v="43"/>
    <s v="Eliezio Pinheiro Lobo"/>
    <s v="Masculino"/>
    <x v="8"/>
    <x v="12"/>
    <s v="20103468 - Parkinson (R$ 12,22)"/>
    <s v="Fisioterapia Pélvica e Neurológica"/>
    <n v="1709620447"/>
    <s v="Finalizado (5/5)"/>
    <n v="9.7759999999999998"/>
    <n v="2.444"/>
    <n v="12.22"/>
    <s v="Sessão a Faturar"/>
    <n v="954390038032000"/>
    <n v="45864"/>
    <s v="Unidade Vieiralves"/>
    <n v="1709620447"/>
    <m/>
  </r>
  <r>
    <x v="11"/>
    <x v="43"/>
    <s v="Ruth Fonseca Ferreira"/>
    <s v="Feminino"/>
    <x v="1"/>
    <x v="12"/>
    <s v="50001078 - Fisioterapia Neurológica (R$ 35,00)"/>
    <s v="Fisioterapia Pélvica e Neurológica"/>
    <n v="9109557"/>
    <s v="Finalizado (6/10)"/>
    <n v="28"/>
    <n v="7"/>
    <n v="35"/>
    <s v="Sessão Faturada"/>
    <n v="2001013987170000"/>
    <n v="58474"/>
    <s v="Unidade Vieiralves"/>
    <n v="9109557"/>
    <m/>
  </r>
  <r>
    <x v="11"/>
    <x v="43"/>
    <s v="Benicio Jose Machado de Queiroga Teixeria"/>
    <s v="Masculino"/>
    <x v="6"/>
    <x v="12"/>
    <s v="20103476 - Patologia Neurologica (R$ 35,40)"/>
    <s v="Fisioterapia Pélvica e Neurológica"/>
    <n v="172273"/>
    <s v="Finalizado (4/8)"/>
    <n v="28.32"/>
    <n v="7.08"/>
    <n v="35.4"/>
    <s v="Sessão a Faturar"/>
    <s v="55788888493335620117"/>
    <n v="59677"/>
    <s v="Unidade Vieiralves"/>
    <n v="172273"/>
    <m/>
  </r>
  <r>
    <x v="12"/>
    <x v="22"/>
    <s v="Magda Rejane Nogueira Miranda"/>
    <m/>
    <x v="29"/>
    <x v="13"/>
    <s v="50000144 - Avaliação de Fisioterapia (R$ 36,50)"/>
    <s v="Fisioterapia Pélvica e Neurológica"/>
    <n v="1085495"/>
    <s v="Finalizado (1/1)"/>
    <n v="32.85"/>
    <n v="3.65"/>
    <n v="36.5"/>
    <s v="Sessão Faturada"/>
    <n v="130260032740010"/>
    <n v="54854"/>
    <s v="Unidade Vieiralves"/>
    <n v="1085495"/>
    <m/>
  </r>
  <r>
    <x v="12"/>
    <x v="22"/>
    <s v="Cirilo de Paula Bezerra"/>
    <s v="Masculino"/>
    <x v="0"/>
    <x v="13"/>
    <s v="50000160 - Fisioterapia Ortopedica (R$ 49,72)"/>
    <s v="Fisioterapia Pélvica e Neurológica"/>
    <s v="42263120260225348910"/>
    <s v="Finalizado (2/10)"/>
    <n v="39.776000000000003"/>
    <n v="9.9440000000000008"/>
    <n v="49.72"/>
    <s v="Sessão Faturada"/>
    <s v="010033494000"/>
    <n v="50241"/>
    <s v="Unidade Vieiralves"/>
    <s v="42263120260225348910"/>
    <m/>
  </r>
  <r>
    <x v="12"/>
    <x v="23"/>
    <s v="Magda Rejane Nogueira Miranda"/>
    <m/>
    <x v="29"/>
    <x v="13"/>
    <s v="50000160 - Fisioterapia Ortopedica/Neurológica (R$ 33,00)"/>
    <s v="Fisioterapia Pélvica e Neurológica"/>
    <n v="1085520"/>
    <s v="Finalizado (1/10)"/>
    <n v="26.4"/>
    <n v="6.6"/>
    <n v="33"/>
    <s v="Sessão Faturada"/>
    <n v="130260032740010"/>
    <n v="54854"/>
    <s v="Unidade Vieiralves"/>
    <n v="1085520"/>
    <m/>
  </r>
  <r>
    <x v="12"/>
    <x v="23"/>
    <s v="Cirilo de Paula Bezerra"/>
    <s v="Masculino"/>
    <x v="0"/>
    <x v="13"/>
    <s v="50000713 - Fisioterapia Neurológica e Respiratória (R$ 35,49)"/>
    <s v="Fisioterapia Pélvica e Neurológica"/>
    <s v="42263120260225348777"/>
    <s v="Finalizado (3/10)"/>
    <n v="28.391999999999999"/>
    <n v="7.0979999999999999"/>
    <n v="35.49"/>
    <s v="Sessão Faturada"/>
    <s v="010033494000"/>
    <n v="50241"/>
    <s v="Unidade Vieiralves"/>
    <s v="42263120260225348777"/>
    <m/>
  </r>
  <r>
    <x v="12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2/10)"/>
    <n v="43.304000000000002"/>
    <n v="10.826000000000001"/>
    <n v="54.13"/>
    <s v="Sessão Faturada"/>
    <s v="010033494000"/>
    <n v="50241"/>
    <s v="Unidade Vieiralves"/>
    <s v="42263120260225348956"/>
    <m/>
  </r>
  <r>
    <x v="12"/>
    <x v="0"/>
    <s v="Magda Rejane Nogueira Miranda"/>
    <m/>
    <x v="29"/>
    <x v="13"/>
    <s v="31602185 - Estimulação Elétrica Transcutanea (R$ 87,74)"/>
    <s v="Fisioterapia Pélvica e Neurológica"/>
    <n v="1085540"/>
    <s v="Finalizado (1/10)"/>
    <n v="70.191999999999993"/>
    <n v="17.547999999999998"/>
    <n v="87.74"/>
    <s v="Sessão Faturada"/>
    <n v="130260032740010"/>
    <n v="54854"/>
    <s v="Unidade Vieiralves"/>
    <n v="1085540"/>
    <m/>
  </r>
  <r>
    <x v="12"/>
    <x v="53"/>
    <s v="Rosa da Silva Freitas"/>
    <s v="Feminino"/>
    <x v="12"/>
    <x v="13"/>
    <s v="20103662 - Pos Operatorio Em Um Membro (R$ 14,99)"/>
    <s v="Fisioterapia Pélvica e Neurológica"/>
    <n v="169347"/>
    <s v="Finalizado (3/10)"/>
    <n v="11.992000000000001"/>
    <n v="2.9980000000000002"/>
    <n v="14.99"/>
    <s v="Sessão Faturada"/>
    <n v="9.5125181212225997E+17"/>
    <n v="55746"/>
    <s v="Unidade Vieiralves"/>
    <n v="169347"/>
    <m/>
  </r>
  <r>
    <x v="12"/>
    <x v="53"/>
    <s v="Ivy Manoelly de Moraes Melo"/>
    <s v="Feminino"/>
    <x v="2"/>
    <x v="13"/>
    <s v="50000144 - Avaliação de Fisioterapia (R$ 51,42)"/>
    <s v="Fisioterapia Pélvica e Neurológica"/>
    <n v="1705832177"/>
    <s v="Finalizado (1/1)"/>
    <n v="46.277999999999999"/>
    <n v="5.1420000000000003"/>
    <n v="51.42"/>
    <s v="Sessão Faturada"/>
    <n v="774063009652010"/>
    <n v="58085"/>
    <s v="Unidade Vieiralves"/>
    <n v="1705832177"/>
    <m/>
  </r>
  <r>
    <x v="12"/>
    <x v="80"/>
    <s v="Ivy Manoelly de Moraes Melo"/>
    <s v="Feminino"/>
    <x v="2"/>
    <x v="13"/>
    <s v="20103492 - Fisioterapia - Patologia Em Dois Ou Mais Membros (R$ 14,83)"/>
    <s v="Fisioterapia Pélvica e Neurológica"/>
    <n v="1705833394"/>
    <s v="Finalizado (1/3)"/>
    <n v="11.864000000000001"/>
    <n v="2.9660000000000002"/>
    <n v="14.83"/>
    <s v="Sessão Faturada"/>
    <n v="774063009652010"/>
    <n v="58085"/>
    <s v="Unidade Vieiralves"/>
    <n v="1705833394"/>
    <m/>
  </r>
  <r>
    <x v="12"/>
    <x v="56"/>
    <s v="Ivy Manoelly de Moraes Melo"/>
    <s v="Feminino"/>
    <x v="2"/>
    <x v="13"/>
    <s v="20103115 - Atividade Reflexa Cinesioterápica (R$ 20,81)"/>
    <s v="Fisioterapia Pélvica e Neurológica"/>
    <n v="1705834525"/>
    <s v="Finalizado (1/3)"/>
    <n v="16.648"/>
    <n v="4.1619999999999999"/>
    <n v="20.81"/>
    <s v="Sessão Faturada"/>
    <n v="774063009652010"/>
    <n v="58085"/>
    <s v="Unidade Vieiralves"/>
    <n v="1705834525"/>
    <m/>
  </r>
  <r>
    <x v="12"/>
    <x v="81"/>
    <s v="Paulo Henrique de Carvalho"/>
    <s v="Masculino"/>
    <x v="1"/>
    <x v="13"/>
    <s v="50000160 - Fisioterapia Ortopédica (R$ 20,00), 50001078 - Fisioterapia Neurológica (R$ 35,00)"/>
    <s v="Fisioterapia Pélvica e Neurológica"/>
    <n v="8809523"/>
    <s v="Finalizado (6/10)"/>
    <n v="44"/>
    <n v="11"/>
    <n v="55"/>
    <s v="Sessão Faturada"/>
    <s v="0901014133180075"/>
    <n v="59311"/>
    <s v="Unidade Vieiralves"/>
    <n v="8809523"/>
    <s v="Guia assinada!"/>
  </r>
  <r>
    <x v="12"/>
    <x v="81"/>
    <s v="Marcelo Nogueira Dutra Monteiro"/>
    <s v="Masculino"/>
    <x v="1"/>
    <x v="13"/>
    <s v="50001078 - Fisioterapia Neurológica (R$ 35,00)"/>
    <s v="Fisioterapia Pélvica e Neurológica"/>
    <n v="9210531"/>
    <s v="Finalizado (1/10)"/>
    <n v="28"/>
    <n v="7"/>
    <n v="35"/>
    <s v="Sessão Faturada"/>
    <n v="2001014027620000"/>
    <n v="58817"/>
    <s v="Unidade Vieiralves"/>
    <n v="9210531"/>
    <m/>
  </r>
  <r>
    <x v="12"/>
    <x v="13"/>
    <s v="Maria Eduarda Santos Thomazzini"/>
    <s v="Feminino"/>
    <x v="2"/>
    <x v="13"/>
    <s v="20103522 - Fisioterapia - Pac Com Dependencia de Vida Diária (R$ 23,59)"/>
    <s v="Fisioterapia Pélvica e Neurológica"/>
    <n v="1699215496"/>
    <s v="Finalizado (6/9)"/>
    <n v="18.872"/>
    <n v="4.718"/>
    <n v="23.59"/>
    <s v="Sessão Faturada"/>
    <n v="813148600191030"/>
    <n v="45180"/>
    <s v="Unidade Vieiralves"/>
    <n v="1699215496"/>
    <m/>
  </r>
  <r>
    <x v="12"/>
    <x v="82"/>
    <s v="Iraci Araújo Barros"/>
    <s v="Feminino"/>
    <x v="1"/>
    <x v="13"/>
    <s v="50000160 - Fisioterapia Ortopédica (R$ 20,00), 98980327 - Taxa de Eletroterapia (Tens) (R$ 15,00)"/>
    <s v="Fisioterapia Pélvica e Neurológica"/>
    <n v="8963371"/>
    <s v="Não compareceu (4/5)"/>
    <n v="35"/>
    <n v="0"/>
    <n v="35"/>
    <s v="Sessão Faturada"/>
    <s v="0801012888450069"/>
    <n v="58688"/>
    <s v="Unidade Vieiralves"/>
    <n v="8963371"/>
    <m/>
  </r>
  <r>
    <x v="12"/>
    <x v="8"/>
    <s v="Alice Rocha Valerio"/>
    <s v="Feminino"/>
    <x v="2"/>
    <x v="13"/>
    <s v="50000144 - Avaliação de Fisioterapia (R$ 51,42)"/>
    <s v="Fisioterapia Pélvica e Neurológica"/>
    <n v="1705930800"/>
    <s v="Finalizado (1/1)"/>
    <n v="46.277999999999999"/>
    <n v="5.1420000000000003"/>
    <n v="51.42"/>
    <s v="Sessão Faturada"/>
    <n v="774438016047020"/>
    <n v="45558"/>
    <s v="Unidade Vieiralves"/>
    <n v="1705930800"/>
    <m/>
  </r>
  <r>
    <x v="12"/>
    <x v="34"/>
    <s v="Alice Rocha Valerio"/>
    <s v="Feminino"/>
    <x v="2"/>
    <x v="13"/>
    <s v="20103492 - Fisioterapia - Patologia Em Dois Ou Mais Membros (R$ 14,83)"/>
    <s v="Fisioterapia Pélvica e Neurológica"/>
    <n v="1705931508"/>
    <s v="Finalizado (1/7)"/>
    <n v="11.864000000000001"/>
    <n v="2.9660000000000002"/>
    <n v="14.83"/>
    <s v="Sessão Faturada"/>
    <n v="774438016047020"/>
    <n v="45558"/>
    <s v="Unidade Vieiralves"/>
    <n v="1705931508"/>
    <m/>
  </r>
  <r>
    <x v="12"/>
    <x v="83"/>
    <s v="Giulia Canto Falcone"/>
    <s v="Feminino"/>
    <x v="2"/>
    <x v="13"/>
    <s v="20103263 - Hemiparesia (R$ 14,83)"/>
    <s v="Fisioterapia Pélvica e Neurológica"/>
    <n v="1703998943"/>
    <s v="Finalizado (3/4)"/>
    <n v="11.864000000000001"/>
    <n v="2.9660000000000002"/>
    <n v="14.83"/>
    <s v="Sessão Faturada"/>
    <n v="886495900019020"/>
    <n v="58902"/>
    <s v="Unidade Vieiralves"/>
    <n v="1703998943"/>
    <m/>
  </r>
  <r>
    <x v="12"/>
    <x v="84"/>
    <s v="Fernando da Silva Passos"/>
    <s v="Masculino"/>
    <x v="2"/>
    <x v="13"/>
    <s v="20103522 - Fisioterapia - Pac Com Dependencia de Vida Diária (R$ 23,59)"/>
    <s v="Fisioterapia Pélvica e Neurológica"/>
    <n v="1704021332"/>
    <s v="Finalizado (3/5)"/>
    <n v="18.872"/>
    <n v="4.718"/>
    <n v="23.59"/>
    <s v="Sessão Faturada"/>
    <n v="894245300060000"/>
    <n v="55116"/>
    <s v="Unidade Vieiralves"/>
    <n v="1704021332"/>
    <m/>
  </r>
  <r>
    <x v="12"/>
    <x v="85"/>
    <s v="Fernando da Silva Passos"/>
    <s v="Masculino"/>
    <x v="2"/>
    <x v="13"/>
    <s v="20103662 - Fisioterapia - Pos Operatorio Em Um Membro (R$ 14,99)"/>
    <s v="Fisioterapia Pélvica e Neurológica"/>
    <n v="1704019241"/>
    <s v="Finalizado (3/5)"/>
    <n v="11.992000000000001"/>
    <n v="2.9980000000000002"/>
    <n v="14.99"/>
    <s v="Sessão Faturada"/>
    <n v="894245300060000"/>
    <n v="55116"/>
    <s v="Unidade Vieiralves"/>
    <n v="1704019241"/>
    <m/>
  </r>
  <r>
    <x v="13"/>
    <x v="53"/>
    <s v="Ivy Manoelly de Moraes Melo"/>
    <s v="Feminino"/>
    <x v="2"/>
    <x v="13"/>
    <s v="20103492 - Fisioterapia - Patologia Em Dois Ou Mais Membros (R$ 14,83)"/>
    <s v="Fisioterapia Pélvica e Neurológica"/>
    <n v="1705833394"/>
    <s v="Finalizado (2/3)"/>
    <n v="11.864000000000001"/>
    <n v="2.9660000000000002"/>
    <n v="14.83"/>
    <s v="Sessão Faturada"/>
    <n v="774063009652010"/>
    <n v="58085"/>
    <s v="Unidade Vieiralves"/>
    <n v="1705833394"/>
    <m/>
  </r>
  <r>
    <x v="13"/>
    <x v="2"/>
    <s v="Ivy Manoelly de Moraes Melo"/>
    <s v="Feminino"/>
    <x v="2"/>
    <x v="13"/>
    <s v="20103115 - Atividade Reflexa Cinesioterápica (R$ 20,81)"/>
    <s v="Fisioterapia Pélvica e Neurológica"/>
    <n v="1705834525"/>
    <s v="Finalizado (2/3)"/>
    <n v="16.648"/>
    <n v="4.1619999999999999"/>
    <n v="20.81"/>
    <s v="Sessão Faturada"/>
    <n v="774063009652010"/>
    <n v="58085"/>
    <s v="Unidade Vieiralves"/>
    <n v="1705834525"/>
    <m/>
  </r>
  <r>
    <x v="13"/>
    <x v="81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5/10)"/>
    <n v="28"/>
    <n v="7"/>
    <n v="35"/>
    <s v="Sessão Faturada"/>
    <s v="0901011170770099"/>
    <n v="54606"/>
    <s v="Unidade Vieiralves"/>
    <n v="8826149"/>
    <m/>
  </r>
  <r>
    <x v="13"/>
    <x v="26"/>
    <s v="Otávio Augusto Nogueira Waldmann"/>
    <m/>
    <x v="1"/>
    <x v="13"/>
    <s v="50001078 - Fisioterapia Neurológica (R$ 35,00)"/>
    <s v="Fisioterapia Pélvica e Neurológica"/>
    <n v="9143958"/>
    <s v="Finalizado (1/5)"/>
    <n v="28"/>
    <n v="7"/>
    <n v="35"/>
    <s v="Sessão Faturada"/>
    <n v="1901012850050200"/>
    <n v="58059"/>
    <s v="Unidade Vieiralves"/>
    <n v="9143958"/>
    <m/>
  </r>
  <r>
    <x v="13"/>
    <x v="26"/>
    <s v="Maria Helena Maximino de Freitas"/>
    <s v="Feminino"/>
    <x v="1"/>
    <x v="13"/>
    <s v="50001078 - Fisioterapia Neurológica (R$ 35,00)"/>
    <s v="Fisioterapia Pélvica e Neurológica"/>
    <n v="8732864"/>
    <s v="Finalizado (7/10)"/>
    <n v="28"/>
    <n v="7"/>
    <n v="35"/>
    <s v="Sessão Faturada"/>
    <n v="1101013447190500"/>
    <n v="58939"/>
    <s v="Unidade Vieiralves"/>
    <n v="8732864"/>
    <s v="*GUIA ASSINADA*"/>
  </r>
  <r>
    <x v="13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3/8)"/>
    <n v="56.631999999999998"/>
    <n v="14.157999999999999"/>
    <n v="70.790000000000006"/>
    <s v="Sessão Faturada"/>
    <s v="0100568887030197"/>
    <n v="58133"/>
    <s v="Unidade Vieiralves"/>
    <n v="77542760"/>
    <m/>
  </r>
  <r>
    <x v="13"/>
    <x v="8"/>
    <s v="Davi Luís Vinente Alcantara"/>
    <s v="Masculino"/>
    <x v="6"/>
    <x v="13"/>
    <s v="20103670 - Pos Operatorio Em Dois Ou Mais Membros (R$ 28,97)"/>
    <s v="Fisioterapia Pélvica e Neurológica"/>
    <n v="169883"/>
    <s v="Finalizado (2/5)"/>
    <n v="23.175999999999998"/>
    <n v="5.7939999999999996"/>
    <n v="28.97"/>
    <s v="Sessão a Faturar"/>
    <s v="54588888018315590104"/>
    <n v="57469"/>
    <s v="Unidade Vieiralves"/>
    <n v="169883"/>
    <m/>
  </r>
  <r>
    <x v="13"/>
    <x v="8"/>
    <s v="Daniel Carvalho Castro"/>
    <s v="Masculino"/>
    <x v="2"/>
    <x v="13"/>
    <s v="20103492 - Fisioterapia - Patologia Em Dois Ou Mais Membros (R$ 14,83)"/>
    <s v="Fisioterapia Pélvica e Neurológica"/>
    <n v="1706513507"/>
    <s v="Finalizado (1/6)"/>
    <n v="11.864000000000001"/>
    <n v="2.9660000000000002"/>
    <n v="14.83"/>
    <s v="Sessão Faturada"/>
    <n v="960016866689030"/>
    <n v="58551"/>
    <s v="Unidade Vieiralves"/>
    <n v="1706513507"/>
    <m/>
  </r>
  <r>
    <x v="13"/>
    <x v="34"/>
    <s v="Daniel Carvalho Castro"/>
    <s v="Masculino"/>
    <x v="2"/>
    <x v="13"/>
    <s v="20103115 - Atividade Reflexa Cinesioterápica (R$ 20,81)"/>
    <s v="Fisioterapia Pélvica e Neurológica"/>
    <n v="1706514398"/>
    <s v="Finalizado (1/5)"/>
    <n v="16.648"/>
    <n v="4.1619999999999999"/>
    <n v="20.81"/>
    <s v="Sessão Faturada"/>
    <n v="960016866689030"/>
    <n v="58551"/>
    <s v="Unidade Vieiralves"/>
    <n v="1706514398"/>
    <m/>
  </r>
  <r>
    <x v="13"/>
    <x v="34"/>
    <s v="Davi Luís Vinente Alcantara"/>
    <s v="Masculino"/>
    <x v="6"/>
    <x v="13"/>
    <s v="20103476 - Patologia Neurologica (R$ 35,40)"/>
    <s v="Fisioterapia Pélvica e Neurológica"/>
    <n v="169884"/>
    <s v="Finalizado (2/5)"/>
    <n v="28.32"/>
    <n v="7.08"/>
    <n v="35.4"/>
    <s v="Sessão a Faturar"/>
    <s v="54588888018315590104"/>
    <n v="57469"/>
    <s v="Unidade Vieiralves"/>
    <n v="169884"/>
    <m/>
  </r>
  <r>
    <x v="13"/>
    <x v="83"/>
    <s v="Vicente Gabriel Lima Melo"/>
    <s v="Masculino"/>
    <x v="6"/>
    <x v="13"/>
    <s v="20103484 - Patologia Em Um Membro (R$ 14,16)"/>
    <s v="Fisioterapia Pélvica e Neurológica"/>
    <n v="170389"/>
    <s v="Finalizado (1/10)"/>
    <n v="11.327999999999999"/>
    <n v="2.8319999999999999"/>
    <n v="14.16"/>
    <s v="Sessão a Faturar"/>
    <s v="56788888488763750101"/>
    <n v="56312"/>
    <s v="Unidade Vieiralves"/>
    <n v="170389"/>
    <m/>
  </r>
  <r>
    <x v="13"/>
    <x v="83"/>
    <s v="Vicente Gabriel Lima Melo"/>
    <s v="Masculino"/>
    <x v="6"/>
    <x v="13"/>
    <s v="20103484 - Patologia Em Um Membro (R$ 14,16)"/>
    <s v="Fisioterapia Pélvica e Neurológica"/>
    <n v="165302"/>
    <s v="Finalizado (9/10)"/>
    <n v="11.327999999999999"/>
    <n v="2.8319999999999999"/>
    <n v="14.16"/>
    <s v="Sessão a Faturar"/>
    <s v="56788888488763750101"/>
    <n v="56312"/>
    <s v="Unidade Vieiralves"/>
    <n v="165302"/>
    <m/>
  </r>
  <r>
    <x v="13"/>
    <x v="12"/>
    <s v="Vicente Gabriel Lima Melo"/>
    <s v="Masculino"/>
    <x v="6"/>
    <x v="13"/>
    <s v="20103476 - Patologia Neurologica (R$ 35,40)"/>
    <s v="Fisioterapia Pélvica e Neurológica"/>
    <n v="170387"/>
    <s v="Finalizado (1/10)"/>
    <n v="28.32"/>
    <n v="7.08"/>
    <n v="35.4"/>
    <s v="Sessão a Faturar"/>
    <s v="56788888488763750101"/>
    <n v="56312"/>
    <s v="Unidade Vieiralves"/>
    <n v="170387"/>
    <m/>
  </r>
  <r>
    <x v="14"/>
    <x v="22"/>
    <s v="Giulia Canto Falcone"/>
    <s v="Feminino"/>
    <x v="2"/>
    <x v="13"/>
    <s v="20103263 - Hemiparesia (R$ 14,83)"/>
    <s v="Fisioterapia Pélvica e Neurológica"/>
    <n v="1703998943"/>
    <s v="Finalizado (4/4)"/>
    <n v="11.864000000000001"/>
    <n v="2.9660000000000002"/>
    <n v="14.83"/>
    <s v="Sessão Faturada"/>
    <n v="886495900019020"/>
    <n v="58902"/>
    <s v="Unidade Vieiralves"/>
    <n v="1703998943"/>
    <m/>
  </r>
  <r>
    <x v="14"/>
    <x v="22"/>
    <s v="Cirilo de Paula Bezerra"/>
    <s v="Masculino"/>
    <x v="0"/>
    <x v="13"/>
    <s v="50000160 - Fisioterapia Ortopedica (R$ 49,72)"/>
    <s v="Fisioterapia Pélvica e Neurológica"/>
    <s v="42263120260225348910"/>
    <s v="Finalizado (3/10)"/>
    <n v="39.776000000000003"/>
    <n v="9.9440000000000008"/>
    <n v="49.72"/>
    <s v="Sessão Faturada"/>
    <s v="010033494000"/>
    <n v="50241"/>
    <s v="Unidade Vieiralves"/>
    <s v="42263120260225348910"/>
    <m/>
  </r>
  <r>
    <x v="14"/>
    <x v="23"/>
    <s v="Cirilo de Paula Bezerra"/>
    <s v="Masculino"/>
    <x v="0"/>
    <x v="13"/>
    <s v="50000713 - Fisioterapia Neurológica e Respiratória (R$ 35,49)"/>
    <s v="Fisioterapia Pélvica e Neurológica"/>
    <s v="42263120260225348777"/>
    <s v="Finalizado (4/10)"/>
    <n v="28.391999999999999"/>
    <n v="7.0979999999999999"/>
    <n v="35.49"/>
    <s v="Sessão Faturada"/>
    <s v="010033494000"/>
    <n v="50241"/>
    <s v="Unidade Vieiralves"/>
    <s v="42263120260225348777"/>
    <m/>
  </r>
  <r>
    <x v="14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3/10)"/>
    <n v="43.304000000000002"/>
    <n v="10.826000000000001"/>
    <n v="54.13"/>
    <s v="Sessão Faturada"/>
    <s v="010033494000"/>
    <n v="50241"/>
    <s v="Unidade Vieiralves"/>
    <s v="42263120260225348956"/>
    <m/>
  </r>
  <r>
    <x v="14"/>
    <x v="53"/>
    <s v="Rosa da Silva Freitas"/>
    <s v="Feminino"/>
    <x v="12"/>
    <x v="13"/>
    <s v="20103662 - Pos Operatorio Em Um Membro (R$ 14,99)"/>
    <s v="Fisioterapia Pélvica e Neurológica"/>
    <n v="169347"/>
    <s v="Finalizado (4/10)"/>
    <n v="11.992000000000001"/>
    <n v="2.9980000000000002"/>
    <n v="14.99"/>
    <s v="Sessão Faturada"/>
    <n v="9.5125181212225997E+17"/>
    <n v="55746"/>
    <s v="Unidade Vieiralves"/>
    <n v="169347"/>
    <m/>
  </r>
  <r>
    <x v="14"/>
    <x v="53"/>
    <s v="Irene Souza dos Santos"/>
    <s v="Feminino"/>
    <x v="1"/>
    <x v="13"/>
    <s v="50000160 - Fisioterapia Ortopédica (R$ 20,00), 98980327 - Taxa de Eletroterapia (Tens) (R$ 15,00)"/>
    <s v="Fisioterapia Pélvica e Neurológica"/>
    <n v="9035979"/>
    <s v="Finalizado (3/10)"/>
    <n v="28"/>
    <n v="7"/>
    <n v="35"/>
    <s v="Sessão Faturada"/>
    <n v="2001013584300100"/>
    <n v="55833"/>
    <s v="Unidade Vieiralves"/>
    <n v="9035979"/>
    <m/>
  </r>
  <r>
    <x v="14"/>
    <x v="81"/>
    <s v="Paulo Henrique de Carvalho"/>
    <s v="Masculino"/>
    <x v="1"/>
    <x v="13"/>
    <s v="50000160 - Fisioterapia Ortopédica (R$ 20,00), 50001078 - Fisioterapia Neurológica (R$ 35,00)"/>
    <s v="Fisioterapia Pélvica e Neurológica"/>
    <n v="8809523"/>
    <s v="Finalizado (7/10)"/>
    <n v="44"/>
    <n v="11"/>
    <n v="55"/>
    <s v="Sessão Faturada"/>
    <s v="0901014133180075"/>
    <n v="59311"/>
    <s v="Unidade Vieiralves"/>
    <n v="8809523"/>
    <s v="Guia assinada!"/>
  </r>
  <r>
    <x v="14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1/10)"/>
    <n v="28"/>
    <n v="7"/>
    <n v="35"/>
    <s v="Sessão Faturada"/>
    <s v="0901001475800024"/>
    <n v="59069"/>
    <s v="Unidade Vieiralves"/>
    <n v="9164912"/>
    <m/>
  </r>
  <r>
    <x v="14"/>
    <x v="13"/>
    <s v="Maria Eduarda Santos Thomazzini"/>
    <s v="Feminino"/>
    <x v="2"/>
    <x v="13"/>
    <s v="20103522 - Fisioterapia - Pac Com Dependencia de Vida Diária (R$ 23,59)"/>
    <s v="Fisioterapia Pélvica e Neurológica"/>
    <n v="1699215496"/>
    <s v="Finalizado (7/9)"/>
    <n v="18.872"/>
    <n v="4.718"/>
    <n v="23.59"/>
    <s v="Sessão Faturada"/>
    <n v="813148600191030"/>
    <n v="45180"/>
    <s v="Unidade Vieiralves"/>
    <n v="1699215496"/>
    <m/>
  </r>
  <r>
    <x v="14"/>
    <x v="26"/>
    <s v="Candida Maria Tinôco Moraes de Oliveira"/>
    <s v="Feminino"/>
    <x v="2"/>
    <x v="13"/>
    <s v="50000144 - Avaliação de Fisioterapia (R$ 51,42)"/>
    <s v="Fisioterapia Pélvica e Neurológica"/>
    <n v="1706990110"/>
    <s v="Finalizado (1/1)"/>
    <n v="46.277999999999999"/>
    <n v="5.1420000000000003"/>
    <n v="51.42"/>
    <s v="Sessão Faturada"/>
    <n v="774510000094010"/>
    <n v="59495"/>
    <s v="Unidade Vieiralves"/>
    <n v="1706990110"/>
    <m/>
  </r>
  <r>
    <x v="14"/>
    <x v="26"/>
    <s v="Ivy Manoelly de Moraes Melo"/>
    <s v="Feminino"/>
    <x v="2"/>
    <x v="13"/>
    <s v="20103492 - Fisioterapia - Patologia Em Dois Ou Mais Membros (R$ 14,83)"/>
    <s v="Fisioterapia Pélvica e Neurológica"/>
    <n v="1705833394"/>
    <s v="Finalizado (3/3)"/>
    <n v="11.864000000000001"/>
    <n v="2.9660000000000002"/>
    <n v="14.83"/>
    <s v="Sessão Faturada"/>
    <n v="774063009652010"/>
    <n v="58085"/>
    <s v="Unidade Vieiralves"/>
    <n v="1705833394"/>
    <m/>
  </r>
  <r>
    <x v="14"/>
    <x v="86"/>
    <s v="Candida Maria Tinôco Moraes de Oliveira"/>
    <s v="Feminino"/>
    <x v="2"/>
    <x v="13"/>
    <s v="20103220 - Fisioterapia Respiratória (R$ 12,22)"/>
    <s v="Fisioterapia Pélvica e Neurológica"/>
    <n v="1706991298"/>
    <s v="Finalizado (1/10)"/>
    <n v="9.7759999999999998"/>
    <n v="2.444"/>
    <n v="12.22"/>
    <s v="Sessão Faturada"/>
    <n v="774510000094010"/>
    <n v="59495"/>
    <s v="Unidade Vieiralves"/>
    <n v="1706991298"/>
    <m/>
  </r>
  <r>
    <x v="14"/>
    <x v="15"/>
    <s v="Ivy Manoelly de Moraes Melo"/>
    <s v="Feminino"/>
    <x v="2"/>
    <x v="13"/>
    <s v="20103115 - Atividade Reflexa Cinesioterápica (R$ 20,81)"/>
    <s v="Fisioterapia Pélvica e Neurológica"/>
    <n v="1705834525"/>
    <s v="Finalizado (3/3)"/>
    <n v="16.648"/>
    <n v="4.1619999999999999"/>
    <n v="20.81"/>
    <s v="Sessão Faturada"/>
    <n v="774063009652010"/>
    <n v="58085"/>
    <s v="Unidade Vieiralves"/>
    <n v="1705834525"/>
    <m/>
  </r>
  <r>
    <x v="14"/>
    <x v="5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1/10)"/>
    <n v="18.872"/>
    <n v="4.718"/>
    <n v="23.59"/>
    <s v="Sessão Faturada"/>
    <n v="774510000094010"/>
    <n v="59495"/>
    <s v="Unidade Vieiralves"/>
    <n v="1707019628"/>
    <m/>
  </r>
  <r>
    <x v="14"/>
    <x v="82"/>
    <s v="Iraci Araújo Barros"/>
    <s v="Feminino"/>
    <x v="1"/>
    <x v="13"/>
    <s v="50000160 - Fisioterapia Ortopédica (R$ 20,00), 98980327 - Taxa de Eletroterapia (Tens) (R$ 15,00)"/>
    <s v="Fisioterapia Pélvica e Neurológica"/>
    <n v="8963371"/>
    <s v="Finalizado (5/5)"/>
    <n v="28"/>
    <n v="7"/>
    <n v="35"/>
    <s v="Sessão Faturada"/>
    <s v="0801012888450069"/>
    <n v="58688"/>
    <s v="Unidade Vieiralves"/>
    <n v="8963371"/>
    <m/>
  </r>
  <r>
    <x v="14"/>
    <x v="8"/>
    <s v="Lara Matos Barroso"/>
    <s v="Feminino"/>
    <x v="5"/>
    <x v="13"/>
    <s v="98860020 - Fisioterapia Neurologica - 04/03/2026 (R$ 70,79)"/>
    <s v="Fisioterapia Pélvica e Neurológica"/>
    <n v="77634250"/>
    <s v="Finalizado (2/2)"/>
    <n v="56.631999999999998"/>
    <n v="14.157999999999999"/>
    <n v="70.790000000000006"/>
    <s v="Sessão Faturada"/>
    <s v="0101382771020156"/>
    <n v="56665"/>
    <s v="Unidade Vieiralves"/>
    <n v="77634250"/>
    <m/>
  </r>
  <r>
    <x v="14"/>
    <x v="83"/>
    <s v="Ayla Sofia Grijó dos Santos Tavares"/>
    <s v="Feminino"/>
    <x v="5"/>
    <x v="13"/>
    <s v="98860020 - Fisioterapia Neurologica - 04/03/2026 (R$ 70,79)"/>
    <s v="Fisioterapia Pélvica e Neurológica"/>
    <n v="77633240"/>
    <s v="Finalizado (2/10)"/>
    <n v="56.631999999999998"/>
    <n v="14.157999999999999"/>
    <n v="70.790000000000006"/>
    <s v="Sessão Faturada"/>
    <s v="0309795521020160"/>
    <n v="56720"/>
    <s v="Unidade Vieiralves"/>
    <n v="77633240"/>
    <m/>
  </r>
  <r>
    <x v="14"/>
    <x v="84"/>
    <s v="Magda Rejane Nogueira Miranda"/>
    <m/>
    <x v="29"/>
    <x v="13"/>
    <s v="50000160 - Fisioterapia Ortopedica/Neurológica (R$ 33,00)"/>
    <s v="Fisioterapia Pélvica e Neurológica"/>
    <n v="1085520"/>
    <s v="Finalizado (2/10)"/>
    <n v="26.4"/>
    <n v="6.6"/>
    <n v="33"/>
    <s v="Sessão Faturada"/>
    <n v="130260032740010"/>
    <n v="54854"/>
    <s v="Unidade Vieiralves"/>
    <n v="1085520"/>
    <m/>
  </r>
  <r>
    <x v="14"/>
    <x v="84"/>
    <s v="Fernando da Silva Passos"/>
    <s v="Masculino"/>
    <x v="2"/>
    <x v="13"/>
    <s v="20103662 - Fisioterapia - Pos Operatorio Em Um Membro (R$ 14,99)"/>
    <s v="Fisioterapia Pélvica e Neurológica"/>
    <n v="1704019241"/>
    <s v="Finalizado (4/5)"/>
    <n v="11.992000000000001"/>
    <n v="2.9980000000000002"/>
    <n v="14.99"/>
    <s v="Sessão Faturada"/>
    <n v="894245300060000"/>
    <n v="55116"/>
    <s v="Unidade Vieiralves"/>
    <n v="1704019241"/>
    <m/>
  </r>
  <r>
    <x v="14"/>
    <x v="85"/>
    <s v="Magda Rejane Nogueira Miranda"/>
    <m/>
    <x v="29"/>
    <x v="13"/>
    <s v="31602185 - Estimulação Elétrica Transcutanea (R$ 87,74)"/>
    <s v="Fisioterapia Pélvica e Neurológica"/>
    <n v="1085540"/>
    <s v="Finalizado (2/10)"/>
    <n v="70.191999999999993"/>
    <n v="17.547999999999998"/>
    <n v="87.74"/>
    <s v="Sessão Faturada"/>
    <n v="130260032740010"/>
    <n v="54854"/>
    <s v="Unidade Vieiralves"/>
    <n v="1085540"/>
    <m/>
  </r>
  <r>
    <x v="14"/>
    <x v="85"/>
    <s v="Fernando da Silva Passos"/>
    <s v="Masculino"/>
    <x v="2"/>
    <x v="13"/>
    <s v="20103522 - Fisioterapia - Pac Com Dependencia de Vida Diária (R$ 23,59)"/>
    <s v="Fisioterapia Pélvica e Neurológica"/>
    <n v="1704021332"/>
    <s v="Finalizado (4/5)"/>
    <n v="18.872"/>
    <n v="4.718"/>
    <n v="23.59"/>
    <s v="Sessão Faturada"/>
    <n v="894245300060000"/>
    <n v="55116"/>
    <s v="Unidade Vieiralves"/>
    <n v="1704021332"/>
    <m/>
  </r>
  <r>
    <x v="15"/>
    <x v="81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6/10)"/>
    <n v="28"/>
    <n v="7"/>
    <n v="35"/>
    <s v="Sessão Faturada"/>
    <s v="0901011170770099"/>
    <n v="54606"/>
    <s v="Unidade Vieiralves"/>
    <n v="8826149"/>
    <m/>
  </r>
  <r>
    <x v="15"/>
    <x v="81"/>
    <s v="Paulo Henrique de Carvalho"/>
    <s v="Masculino"/>
    <x v="1"/>
    <x v="13"/>
    <s v="50000160 - Fisioterapia Ortopédica (R$ 20,00), 50001078 - Fisioterapia Neurológica (R$ 35,00)"/>
    <s v="Fisioterapia Pélvica e Neurológica"/>
    <n v="8809523"/>
    <s v="Finalizado (8/10)"/>
    <n v="44"/>
    <n v="11"/>
    <n v="55"/>
    <s v="Sessão Faturada"/>
    <s v="0901014133180075"/>
    <n v="59311"/>
    <s v="Unidade Vieiralves"/>
    <n v="8809523"/>
    <s v="Guia assinada!"/>
  </r>
  <r>
    <x v="15"/>
    <x v="13"/>
    <s v="Maria Basilia Ladeira Luniere"/>
    <s v="Feminino"/>
    <x v="7"/>
    <x v="13"/>
    <s v="Vieiralves - 3 - Fisioterapia Respiratória - Pacote (R$ 90,00)"/>
    <s v="Fisioterapia Pélvica e Neurológica"/>
    <n v="163240"/>
    <s v="Finalizado (10/10)"/>
    <n v="70.2"/>
    <n v="19.8"/>
    <n v="90"/>
    <s v="Pago"/>
    <s v="00"/>
    <n v="58820"/>
    <s v="Unidade Vieiralves"/>
    <n v="163240"/>
    <m/>
  </r>
  <r>
    <x v="15"/>
    <x v="13"/>
    <s v="Daniel Carvalho Castro"/>
    <s v="Masculino"/>
    <x v="2"/>
    <x v="13"/>
    <s v="20103492 - Fisioterapia - Patologia Em Dois Ou Mais Membros (R$ 14,83)"/>
    <s v="Fisioterapia Pélvica e Neurológica"/>
    <n v="1706513507"/>
    <s v="Finalizado (2/6)"/>
    <n v="11.864000000000001"/>
    <n v="2.9660000000000002"/>
    <n v="14.83"/>
    <s v="Sessão Faturada"/>
    <n v="960016866689030"/>
    <n v="58551"/>
    <s v="Unidade Vieiralves"/>
    <n v="1706513507"/>
    <m/>
  </r>
  <r>
    <x v="15"/>
    <x v="32"/>
    <s v="Daniel Carvalho Castro"/>
    <s v="Masculino"/>
    <x v="2"/>
    <x v="13"/>
    <s v="20103115 - Atividade Reflexa Cinesioterápica (R$ 20,81)"/>
    <s v="Fisioterapia Pélvica e Neurológica"/>
    <n v="1706514398"/>
    <s v="Finalizado (2/5)"/>
    <n v="16.648"/>
    <n v="4.1619999999999999"/>
    <n v="20.81"/>
    <s v="Sessão Faturada"/>
    <n v="960016866689030"/>
    <n v="58551"/>
    <s v="Unidade Vieiralves"/>
    <n v="1706514398"/>
    <m/>
  </r>
  <r>
    <x v="15"/>
    <x v="26"/>
    <s v="Otávio Augusto Nogueira Waldmann"/>
    <m/>
    <x v="1"/>
    <x v="13"/>
    <s v="50001078 - Fisioterapia Neurológica (R$ 35,00)"/>
    <s v="Fisioterapia Pélvica e Neurológica"/>
    <n v="9143958"/>
    <s v="Finalizado (2/5)"/>
    <n v="28"/>
    <n v="7"/>
    <n v="35"/>
    <s v="Sessão Faturada"/>
    <n v="1901012850050200"/>
    <n v="58059"/>
    <s v="Unidade Vieiralves"/>
    <n v="9143958"/>
    <m/>
  </r>
  <r>
    <x v="15"/>
    <x v="26"/>
    <s v="Maria Helena Maximino de Freitas"/>
    <s v="Feminino"/>
    <x v="1"/>
    <x v="13"/>
    <s v="50001078 - Fisioterapia Neurológica (R$ 35,00)"/>
    <s v="Fisioterapia Pélvica e Neurológica"/>
    <n v="8732864"/>
    <s v="Finalizado (8/10)"/>
    <n v="28"/>
    <n v="7"/>
    <n v="35"/>
    <s v="Sessão Faturada"/>
    <n v="1101013447190500"/>
    <n v="58939"/>
    <s v="Unidade Vieiralves"/>
    <n v="8732864"/>
    <s v="*GUIA ASSINADA*"/>
  </r>
  <r>
    <x v="15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2/7)"/>
    <n v="11.864000000000001"/>
    <n v="2.9660000000000002"/>
    <n v="14.83"/>
    <s v="Sessão Faturada"/>
    <n v="774438016047020"/>
    <n v="45558"/>
    <s v="Unidade Vieiralves"/>
    <n v="1705931508"/>
    <m/>
  </r>
  <r>
    <x v="15"/>
    <x v="8"/>
    <s v="Davi Luís Vinente Alcantara"/>
    <s v="Masculino"/>
    <x v="6"/>
    <x v="13"/>
    <s v="20103670 - Pos Operatorio Em Dois Ou Mais Membros (R$ 28,97)"/>
    <s v="Fisioterapia Pélvica e Neurológica"/>
    <n v="169883"/>
    <s v="Finalizado (3/5)"/>
    <n v="23.175999999999998"/>
    <n v="5.7939999999999996"/>
    <n v="28.97"/>
    <s v="Sessão a Faturar"/>
    <s v="54588888018315590104"/>
    <n v="57469"/>
    <s v="Unidade Vieiralves"/>
    <n v="169883"/>
    <m/>
  </r>
  <r>
    <x v="15"/>
    <x v="34"/>
    <s v="Davi Luís Vinente Alcantara"/>
    <s v="Masculino"/>
    <x v="6"/>
    <x v="13"/>
    <s v="20103476 - Patologia Neurologica (R$ 35,40)"/>
    <s v="Fisioterapia Pélvica e Neurológica"/>
    <n v="169884"/>
    <s v="Finalizado (3/5)"/>
    <n v="28.32"/>
    <n v="7.08"/>
    <n v="35.4"/>
    <s v="Sessão a Faturar"/>
    <s v="54588888018315590104"/>
    <n v="57469"/>
    <s v="Unidade Vieiralves"/>
    <n v="169884"/>
    <m/>
  </r>
  <r>
    <x v="15"/>
    <x v="83"/>
    <s v="Michele Alves de Souza"/>
    <s v="Feminino"/>
    <x v="2"/>
    <x v="13"/>
    <s v="20103522 - Fisioterapia - Pac Com Dependencia de Vida Diária (R$ 23,59)"/>
    <s v="Fisioterapia Pélvica e Neurológica"/>
    <n v="1707538887"/>
    <s v="Finalizado (1/3)"/>
    <n v="18.872"/>
    <n v="4.718"/>
    <n v="23.59"/>
    <s v="Sessão Faturada"/>
    <n v="953650003336010"/>
    <n v="18512"/>
    <s v="Unidade Vieiralves"/>
    <n v="1707538887"/>
    <m/>
  </r>
  <r>
    <x v="15"/>
    <x v="83"/>
    <s v="Vicente Gabriel Lima Melo"/>
    <s v="Masculino"/>
    <x v="6"/>
    <x v="13"/>
    <s v="20103484 - Patologia Em Um Membro (R$ 14,16)"/>
    <s v="Fisioterapia Pélvica e Neurológica"/>
    <n v="165302"/>
    <s v="Finalizado (10/10)"/>
    <n v="11.327999999999999"/>
    <n v="2.8319999999999999"/>
    <n v="14.16"/>
    <s v="Sessão a Faturar"/>
    <s v="56788888488763750101"/>
    <n v="56312"/>
    <s v="Unidade Vieiralves"/>
    <n v="165302"/>
    <m/>
  </r>
  <r>
    <x v="15"/>
    <x v="83"/>
    <s v="Vicente Gabriel Lima Melo"/>
    <s v="Masculino"/>
    <x v="6"/>
    <x v="13"/>
    <s v="20103484 - Patologia Em Um Membro (R$ 14,16)"/>
    <s v="Fisioterapia Pélvica e Neurológica"/>
    <n v="170389"/>
    <s v="Finalizado (2/10)"/>
    <n v="11.327999999999999"/>
    <n v="2.8319999999999999"/>
    <n v="14.16"/>
    <s v="Sessão a Faturar"/>
    <s v="56788888488763750101"/>
    <n v="56312"/>
    <s v="Unidade Vieiralves"/>
    <n v="170389"/>
    <m/>
  </r>
  <r>
    <x v="15"/>
    <x v="12"/>
    <s v="Vicente Gabriel Lima Melo"/>
    <s v="Masculino"/>
    <x v="6"/>
    <x v="13"/>
    <s v="20103476 - Patologia Neurologica (R$ 35,40)"/>
    <s v="Fisioterapia Pélvica e Neurológica"/>
    <n v="170387"/>
    <s v="Finalizado (2/10)"/>
    <n v="28.32"/>
    <n v="7.08"/>
    <n v="35.4"/>
    <s v="Sessão a Faturar"/>
    <s v="56788888488763750101"/>
    <n v="56312"/>
    <s v="Unidade Vieiralves"/>
    <n v="170387"/>
    <m/>
  </r>
  <r>
    <x v="15"/>
    <x v="84"/>
    <s v="Magda Rejane Nogueira Miranda"/>
    <m/>
    <x v="29"/>
    <x v="13"/>
    <s v="50000160 - Fisioterapia Ortopedica/Neurológica (R$ 33,00)"/>
    <s v="Fisioterapia Pélvica e Neurológica"/>
    <n v="1085520"/>
    <s v="Finalizado (3/10)"/>
    <n v="26.4"/>
    <n v="6.6"/>
    <n v="33"/>
    <s v="Sessão Faturada"/>
    <n v="130260032740010"/>
    <n v="54854"/>
    <s v="Unidade Vieiralves"/>
    <n v="1085520"/>
    <m/>
  </r>
  <r>
    <x v="15"/>
    <x v="85"/>
    <s v="Magda Rejane Nogueira Miranda"/>
    <m/>
    <x v="29"/>
    <x v="13"/>
    <s v="31602185 - Estimulação Elétrica Transcutanea (R$ 87,74)"/>
    <s v="Fisioterapia Pélvica e Neurológica"/>
    <n v="1085540"/>
    <s v="Finalizado (3/10)"/>
    <n v="70.191999999999993"/>
    <n v="17.547999999999998"/>
    <n v="87.74"/>
    <s v="Sessão Faturada"/>
    <n v="130260032740010"/>
    <n v="54854"/>
    <s v="Unidade Vieiralves"/>
    <n v="1085540"/>
    <m/>
  </r>
  <r>
    <x v="16"/>
    <x v="22"/>
    <s v="Cirilo de Paula Bezerra"/>
    <s v="Masculino"/>
    <x v="0"/>
    <x v="13"/>
    <s v="50000160 - Fisioterapia Ortopedica (R$ 49,72)"/>
    <s v="Fisioterapia Pélvica e Neurológica"/>
    <s v="42263120260225348910"/>
    <s v="Finalizado (4/10)"/>
    <n v="39.776000000000003"/>
    <n v="9.9440000000000008"/>
    <n v="49.72"/>
    <s v="Sessão Faturada"/>
    <s v="010033494000"/>
    <n v="50241"/>
    <s v="Unidade Vieiralves"/>
    <s v="42263120260225348910"/>
    <m/>
  </r>
  <r>
    <x v="16"/>
    <x v="23"/>
    <s v="Cirilo de Paula Bezerra"/>
    <s v="Masculino"/>
    <x v="0"/>
    <x v="13"/>
    <s v="50000713 - Fisioterapia Neurológica e Respiratória (R$ 35,49)"/>
    <s v="Fisioterapia Pélvica e Neurológica"/>
    <s v="42263120260225348777"/>
    <s v="Finalizado (5/10)"/>
    <n v="28.391999999999999"/>
    <n v="7.0979999999999999"/>
    <n v="35.49"/>
    <s v="Sessão Faturada"/>
    <s v="010033494000"/>
    <n v="50241"/>
    <s v="Unidade Vieiralves"/>
    <s v="42263120260225348777"/>
    <m/>
  </r>
  <r>
    <x v="16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4/10)"/>
    <n v="43.304000000000002"/>
    <n v="10.826000000000001"/>
    <n v="54.13"/>
    <s v="Sessão Faturada"/>
    <s v="010033494000"/>
    <n v="50241"/>
    <s v="Unidade Vieiralves"/>
    <s v="42263120260225348956"/>
    <m/>
  </r>
  <r>
    <x v="16"/>
    <x v="81"/>
    <s v="Paulo Henrique de Carvalho"/>
    <s v="Masculino"/>
    <x v="1"/>
    <x v="13"/>
    <s v="50000160 - Fisioterapia Ortopédica (R$ 20,00), 50001078 - Fisioterapia Neurológica (R$ 35,00)"/>
    <s v="Fisioterapia Pélvica e Neurológica"/>
    <n v="8809523"/>
    <s v="Finalizado (9/10)"/>
    <n v="44"/>
    <n v="11"/>
    <n v="55"/>
    <s v="Sessão Faturada"/>
    <s v="0901014133180075"/>
    <n v="59311"/>
    <s v="Unidade Vieiralves"/>
    <n v="8809523"/>
    <s v="Guia assinada!"/>
  </r>
  <r>
    <x v="16"/>
    <x v="81"/>
    <s v="Naomi Marie Suzuki Mendonça"/>
    <m/>
    <x v="5"/>
    <x v="13"/>
    <s v="98860020 - Fisioterapia Neurologica - 04/03/2026 (R$ 70,79)"/>
    <s v="Fisioterapia Pélvica e Neurológica"/>
    <n v="76265840"/>
    <s v="Finalizado (3/10)"/>
    <n v="56.631999999999998"/>
    <n v="14.157999999999999"/>
    <n v="70.790000000000006"/>
    <s v="Sessão Faturada"/>
    <s v="0101144014020111"/>
    <n v="56646"/>
    <s v="Unidade Vieiralves"/>
    <n v="76265840"/>
    <m/>
  </r>
  <r>
    <x v="16"/>
    <x v="13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2/10)"/>
    <n v="28"/>
    <n v="7"/>
    <n v="35"/>
    <s v="Sessão Faturada"/>
    <s v="0901001475800024"/>
    <n v="59069"/>
    <s v="Unidade Vieiralves"/>
    <n v="9164912"/>
    <m/>
  </r>
  <r>
    <x v="16"/>
    <x v="13"/>
    <s v="Maria Eduarda Santos Thomazzini"/>
    <s v="Feminino"/>
    <x v="2"/>
    <x v="13"/>
    <s v="20103522 - Fisioterapia - Pac Com Dependencia de Vida Diária (R$ 23,59)"/>
    <s v="Fisioterapia Pélvica e Neurológica"/>
    <n v="1699215496"/>
    <s v="Finalizado (8/9)"/>
    <n v="18.872"/>
    <n v="4.718"/>
    <n v="23.59"/>
    <s v="Sessão Faturada"/>
    <n v="813148600191030"/>
    <n v="45180"/>
    <s v="Unidade Vieiralves"/>
    <n v="1699215496"/>
    <m/>
  </r>
  <r>
    <x v="16"/>
    <x v="26"/>
    <s v="Irene Souza dos Santos"/>
    <s v="Feminino"/>
    <x v="1"/>
    <x v="13"/>
    <s v="50000160 - Fisioterapia Ortopédica (R$ 20,00), 98980327 - Taxa de Eletroterapia (Tens) (R$ 15,00)"/>
    <s v="Fisioterapia Pélvica e Neurológica"/>
    <n v="9035979"/>
    <s v="Finalizado (4/10)"/>
    <n v="28"/>
    <n v="7"/>
    <n v="35"/>
    <s v="Sessão Faturada"/>
    <n v="2001013584300100"/>
    <n v="55833"/>
    <s v="Unidade Vieiralves"/>
    <n v="9035979"/>
    <m/>
  </r>
  <r>
    <x v="16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4/8)"/>
    <n v="56.631999999999998"/>
    <n v="14.157999999999999"/>
    <n v="70.790000000000006"/>
    <s v="Sessão Faturada"/>
    <s v="0100568887030197"/>
    <n v="58133"/>
    <s v="Unidade Vieiralves"/>
    <n v="77542760"/>
    <m/>
  </r>
  <r>
    <x v="16"/>
    <x v="82"/>
    <s v="Ayumi de Senna Silva"/>
    <s v="Feminino"/>
    <x v="6"/>
    <x v="13"/>
    <s v="20103506 - Patologia Em Um Segmento da Coluna - 29/01/2026 (R$ 17,61)"/>
    <s v="Fisioterapia Pélvica e Neurológica"/>
    <n v="163655"/>
    <s v="Finalizado (10/10)"/>
    <n v="14.087999999999999"/>
    <n v="3.5219999999999998"/>
    <n v="17.61"/>
    <s v="Sessão Faturada"/>
    <s v="51588888463858150017"/>
    <n v="22238"/>
    <s v="Unidade Vieiralves"/>
    <n v="163655"/>
    <m/>
  </r>
  <r>
    <x v="16"/>
    <x v="87"/>
    <s v="Ayumi de Senna Silva"/>
    <s v="Feminino"/>
    <x v="6"/>
    <x v="13"/>
    <s v="20103360 - Fisioterapia Respiratória (R$ 16,74)"/>
    <s v="Fisioterapia Pélvica e Neurológica"/>
    <n v="164098"/>
    <s v="Não compareceu (5/6)"/>
    <n v="16.739999999999998"/>
    <n v="0"/>
    <n v="16.739999999999998"/>
    <s v="Sessão a Faturar"/>
    <s v="51588888463858150017"/>
    <n v="22238"/>
    <s v="Unidade Vieiralves"/>
    <n v="164098"/>
    <m/>
  </r>
  <r>
    <x v="16"/>
    <x v="84"/>
    <s v="Fernando da Silva Passos"/>
    <s v="Masculino"/>
    <x v="2"/>
    <x v="13"/>
    <s v="20103662 - Fisioterapia - Pos Operatorio Em Um Membro (R$ 14,99)"/>
    <s v="Fisioterapia Pélvica e Neurológica"/>
    <n v="1704019241"/>
    <s v="Finalizado (5/5)"/>
    <n v="11.992000000000001"/>
    <n v="2.9980000000000002"/>
    <n v="14.99"/>
    <s v="Sessão Faturada"/>
    <n v="894245300060000"/>
    <n v="55116"/>
    <s v="Unidade Vieiralves"/>
    <n v="1704019241"/>
    <m/>
  </r>
  <r>
    <x v="16"/>
    <x v="85"/>
    <s v="Fernando da Silva Passos"/>
    <s v="Masculino"/>
    <x v="2"/>
    <x v="13"/>
    <s v="20103522 - Fisioterapia - Pac Com Dependencia de Vida Diária (R$ 23,59)"/>
    <s v="Fisioterapia Pélvica e Neurológica"/>
    <n v="1704021332"/>
    <s v="Finalizado (5/5)"/>
    <n v="18.872"/>
    <n v="4.718"/>
    <n v="23.59"/>
    <s v="Sessão Faturada"/>
    <n v="894245300060000"/>
    <n v="55116"/>
    <s v="Unidade Vieiralves"/>
    <n v="1704021332"/>
    <m/>
  </r>
  <r>
    <x v="17"/>
    <x v="22"/>
    <s v="Cirilo de Paula Bezerra"/>
    <s v="Masculino"/>
    <x v="0"/>
    <x v="13"/>
    <s v="50000713 - Fisioterapia Neurológica e Respiratória (R$ 35,49)"/>
    <s v="Fisioterapia Pélvica e Neurológica"/>
    <s v="42263120260225348777"/>
    <s v="Não compareceu (6/10)"/>
    <n v="35.49"/>
    <n v="0"/>
    <n v="35.49"/>
    <s v="Sessão Faturada"/>
    <s v="010033494000"/>
    <n v="50241"/>
    <s v="Unidade Vieiralves"/>
    <s v="42263120260225348777"/>
    <m/>
  </r>
  <r>
    <x v="17"/>
    <x v="22"/>
    <s v="Marcelo Nogueira Dutra Monteiro"/>
    <s v="Masculino"/>
    <x v="1"/>
    <x v="13"/>
    <s v="50001078 - Fisioterapia Neurológica (R$ 35,00)"/>
    <s v="Fisioterapia Pélvica e Neurológica"/>
    <n v="9210531"/>
    <s v="Finalizado (2/10)"/>
    <n v="28"/>
    <n v="7"/>
    <n v="35"/>
    <s v="Sessão Faturada"/>
    <n v="2001014027620000"/>
    <n v="58817"/>
    <s v="Unidade Vieiralves"/>
    <n v="9210531"/>
    <m/>
  </r>
  <r>
    <x v="17"/>
    <x v="53"/>
    <s v="Rosa da Silva Freitas"/>
    <s v="Feminino"/>
    <x v="12"/>
    <x v="13"/>
    <s v="31602185 - Estimulação Elétrica Transcutânea (Tens) (R$ 49,00)"/>
    <s v="Fisioterapia Pélvica e Neurológica"/>
    <n v="10232089"/>
    <s v="Finalizado (8/10)"/>
    <n v="39.200000000000003"/>
    <n v="9.8000000000000007"/>
    <n v="49"/>
    <s v="Sessão Faturada"/>
    <n v="9.5125181212225997E+17"/>
    <n v="55746"/>
    <s v="Unidade Vieiralves"/>
    <n v="10232089"/>
    <m/>
  </r>
  <r>
    <x v="17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2/10)"/>
    <n v="9.7759999999999998"/>
    <n v="2.444"/>
    <n v="12.22"/>
    <s v="Sessão Faturada"/>
    <n v="774510000094010"/>
    <n v="59495"/>
    <s v="Unidade Vieiralves"/>
    <n v="1706991298"/>
    <m/>
  </r>
  <r>
    <x v="17"/>
    <x v="53"/>
    <s v="Rosa da Silva Freitas"/>
    <s v="Feminino"/>
    <x v="12"/>
    <x v="13"/>
    <s v="20103662 - Pos Operatorio Em Um Membro (R$ 14,99)"/>
    <s v="Fisioterapia Pélvica e Neurológica"/>
    <n v="169347"/>
    <s v="Finalizado (5/10)"/>
    <n v="11.992000000000001"/>
    <n v="2.9980000000000002"/>
    <n v="14.99"/>
    <s v="Sessão Faturada"/>
    <n v="9.5125181212225997E+17"/>
    <n v="55746"/>
    <s v="Unidade Vieiralves"/>
    <n v="169347"/>
    <m/>
  </r>
  <r>
    <x v="17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2/10)"/>
    <n v="18.872"/>
    <n v="4.718"/>
    <n v="23.59"/>
    <s v="Sessão Faturada"/>
    <n v="774510000094010"/>
    <n v="59495"/>
    <s v="Unidade Vieiralves"/>
    <n v="1707019628"/>
    <m/>
  </r>
  <r>
    <x v="17"/>
    <x v="13"/>
    <s v="André Viana Chaves"/>
    <s v="Masculino"/>
    <x v="2"/>
    <x v="13"/>
    <s v="50000144 - Avaliação de Fisioterapia (R$ 51,42)"/>
    <s v="Fisioterapia Pélvica e Neurológica"/>
    <n v="1709158413"/>
    <s v="Finalizado (1/1)"/>
    <n v="46.277999999999999"/>
    <n v="5.1420000000000003"/>
    <n v="51.42"/>
    <s v="Sessão Faturada"/>
    <n v="896489600019010"/>
    <n v="59551"/>
    <s v="Unidade Vieiralves"/>
    <n v="1709158413"/>
    <m/>
  </r>
  <r>
    <x v="17"/>
    <x v="14"/>
    <s v="André Viana Chaves"/>
    <s v="Masculino"/>
    <x v="2"/>
    <x v="13"/>
    <s v="20103662 - Fisioterapia - Pos Operatorio Em Um Membro (R$ 14,99)"/>
    <s v="Fisioterapia Pélvica e Neurológica"/>
    <n v="1709159061"/>
    <s v="Finalizado (1/5)"/>
    <n v="11.992000000000001"/>
    <n v="2.9980000000000002"/>
    <n v="14.99"/>
    <s v="Sessão Faturada"/>
    <n v="896489600019010"/>
    <n v="59551"/>
    <s v="Unidade Vieiralves"/>
    <n v="1709159061"/>
    <m/>
  </r>
  <r>
    <x v="17"/>
    <x v="6"/>
    <s v="André Viana Chaves"/>
    <s v="Masculino"/>
    <x v="2"/>
    <x v="13"/>
    <s v="20103115 - Atividade Reflexa Cinesioterápica (R$ 20,81)"/>
    <s v="Fisioterapia Pélvica e Neurológica"/>
    <n v="1709159778"/>
    <s v="Finalizado (1/2)"/>
    <n v="16.648"/>
    <n v="4.1619999999999999"/>
    <n v="20.81"/>
    <s v="Sessão Faturada"/>
    <n v="896489600019010"/>
    <n v="59551"/>
    <s v="Unidade Vieiralves"/>
    <n v="1709159778"/>
    <m/>
  </r>
  <r>
    <x v="17"/>
    <x v="26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3/10)"/>
    <n v="28"/>
    <n v="7"/>
    <n v="35"/>
    <s v="Sessão Faturada"/>
    <s v="0901001475800024"/>
    <n v="59069"/>
    <s v="Unidade Vieiralves"/>
    <n v="9164912"/>
    <m/>
  </r>
  <r>
    <x v="17"/>
    <x v="26"/>
    <s v="Maria Helena Maximino de Freitas"/>
    <s v="Feminino"/>
    <x v="1"/>
    <x v="13"/>
    <s v="50001078 - Fisioterapia Neurológica (R$ 35,00)"/>
    <s v="Fisioterapia Pélvica e Neurológica"/>
    <n v="8732864"/>
    <s v="Finalizado (9/10)"/>
    <n v="28"/>
    <n v="7"/>
    <n v="35"/>
    <s v="Sessão Faturada"/>
    <n v="1101013447190500"/>
    <n v="58939"/>
    <s v="Unidade Vieiralves"/>
    <n v="8732864"/>
    <s v="*GUIA ASSINADA*"/>
  </r>
  <r>
    <x v="17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3/7)"/>
    <n v="11.864000000000001"/>
    <n v="2.9660000000000002"/>
    <n v="14.83"/>
    <s v="Sessão Faturada"/>
    <n v="774438016047020"/>
    <n v="45558"/>
    <s v="Unidade Vieiralves"/>
    <n v="1705931508"/>
    <m/>
  </r>
  <r>
    <x v="17"/>
    <x v="84"/>
    <s v="Magda Rejane Nogueira Miranda"/>
    <m/>
    <x v="29"/>
    <x v="13"/>
    <s v="31602185 - Estimulação Elétrica Transcutanea (R$ 87,74)"/>
    <s v="Fisioterapia Pélvica e Neurológica"/>
    <n v="1085540"/>
    <s v="Finalizado (4/10)"/>
    <n v="70.191999999999993"/>
    <n v="17.547999999999998"/>
    <n v="87.74"/>
    <s v="Sessão Faturada"/>
    <n v="130260032740010"/>
    <n v="54854"/>
    <s v="Unidade Vieiralves"/>
    <n v="1085540"/>
    <m/>
  </r>
  <r>
    <x v="17"/>
    <x v="84"/>
    <s v="Fernando da Silva Passos"/>
    <s v="Masculino"/>
    <x v="2"/>
    <x v="13"/>
    <s v="20103662 - Fisioterapia - Pos Operatorio Em Um Membro (R$ 14,99)"/>
    <s v="Fisioterapia Pélvica e Neurológica"/>
    <n v="1709251254"/>
    <s v="Finalizado (1/7)"/>
    <n v="11.992000000000001"/>
    <n v="2.9980000000000002"/>
    <n v="14.99"/>
    <s v="Sessão a Faturar"/>
    <n v="894245300060000"/>
    <n v="55116"/>
    <s v="Unidade Vieiralves"/>
    <n v="1709251254"/>
    <m/>
  </r>
  <r>
    <x v="17"/>
    <x v="85"/>
    <s v="Fernando da Silva Passos"/>
    <s v="Masculino"/>
    <x v="2"/>
    <x v="13"/>
    <s v="20103522 - Fisioterapia - Pac Com Dependencia de Vida Diária (R$ 23,59)"/>
    <s v="Fisioterapia Pélvica e Neurológica"/>
    <n v="1709251782"/>
    <s v="Finalizado (1/7)"/>
    <n v="18.872"/>
    <n v="4.718"/>
    <n v="23.59"/>
    <s v="Sessão a Faturar"/>
    <n v="894245300060000"/>
    <n v="55116"/>
    <s v="Unidade Vieiralves"/>
    <n v="1709251782"/>
    <m/>
  </r>
  <r>
    <x v="18"/>
    <x v="81"/>
    <s v="Gilma do Socorro Ferreira de Paiva"/>
    <s v="Feminino"/>
    <x v="1"/>
    <x v="13"/>
    <s v="50000144 - Consulta de Fisioterapia (R$ 16,00)"/>
    <s v="Fisioterapia Pélvica e Neurológica"/>
    <n v="9267667"/>
    <s v="Finalizado (1/1)"/>
    <n v="14.4"/>
    <n v="1.6"/>
    <n v="16"/>
    <s v="Sessão Faturada"/>
    <s v="0801011513670017"/>
    <n v="56631"/>
    <s v="Unidade Vieiralves"/>
    <n v="9267667"/>
    <m/>
  </r>
  <r>
    <x v="18"/>
    <x v="81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7/10)"/>
    <n v="28"/>
    <n v="7"/>
    <n v="35"/>
    <s v="Sessão Faturada"/>
    <s v="0901011170770099"/>
    <n v="54606"/>
    <s v="Unidade Vieiralves"/>
    <n v="8826149"/>
    <m/>
  </r>
  <r>
    <x v="18"/>
    <x v="29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1/10)"/>
    <n v="28"/>
    <n v="7"/>
    <n v="35"/>
    <s v="Sessão Faturada"/>
    <s v="0801011513670017"/>
    <n v="56631"/>
    <s v="Unidade Vieiralves"/>
    <n v="9273997"/>
    <s v="GUIA ASSINADA"/>
  </r>
  <r>
    <x v="18"/>
    <x v="13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4/10)"/>
    <n v="28"/>
    <n v="7"/>
    <n v="35"/>
    <s v="Sessão Faturada"/>
    <s v="0901001475800024"/>
    <n v="59069"/>
    <s v="Unidade Vieiralves"/>
    <n v="9164912"/>
    <m/>
  </r>
  <r>
    <x v="18"/>
    <x v="26"/>
    <s v="Andrielly Lima de Almeida"/>
    <s v="Feminino"/>
    <x v="7"/>
    <x v="13"/>
    <s v="Part Convenio - 10 - Fisioterapia Ortopédica- Pacote (R$ 50,00)"/>
    <s v="Fisioterapia Pélvica e Neurológica"/>
    <n v="170911"/>
    <s v="Finalizado (1/10)"/>
    <n v="37.5"/>
    <n v="12.5"/>
    <n v="50"/>
    <s v="Pago"/>
    <s v="00"/>
    <n v="59563"/>
    <s v="Unidade Vieiralves"/>
    <n v="170911"/>
    <m/>
  </r>
  <r>
    <x v="18"/>
    <x v="26"/>
    <s v="Otávio Augusto Nogueira Waldmann"/>
    <m/>
    <x v="1"/>
    <x v="13"/>
    <s v="50001078 - Fisioterapia Neurológica (R$ 35,00)"/>
    <s v="Fisioterapia Pélvica e Neurológica"/>
    <n v="9143958"/>
    <s v="Finalizado (3/5)"/>
    <n v="28"/>
    <n v="7"/>
    <n v="35"/>
    <s v="Sessão Faturada"/>
    <n v="1901012850050200"/>
    <n v="58059"/>
    <s v="Unidade Vieiralves"/>
    <n v="9143958"/>
    <m/>
  </r>
  <r>
    <x v="18"/>
    <x v="82"/>
    <s v="Daniel Carvalho Castro"/>
    <s v="Masculino"/>
    <x v="2"/>
    <x v="13"/>
    <s v="20103492 - Fisioterapia - Patologia Em Dois Ou Mais Membros (R$ 14,83)"/>
    <s v="Fisioterapia Pélvica e Neurológica"/>
    <n v="1706513507"/>
    <s v="Finalizado (3/6)"/>
    <n v="11.864000000000001"/>
    <n v="2.9660000000000002"/>
    <n v="14.83"/>
    <s v="Sessão Faturada"/>
    <n v="960016866689030"/>
    <n v="58551"/>
    <s v="Unidade Vieiralves"/>
    <n v="1706513507"/>
    <m/>
  </r>
  <r>
    <x v="18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5/8)"/>
    <n v="56.631999999999998"/>
    <n v="14.157999999999999"/>
    <n v="70.790000000000006"/>
    <s v="Sessão Faturada"/>
    <s v="0100568887030197"/>
    <n v="58133"/>
    <s v="Unidade Vieiralves"/>
    <n v="77542760"/>
    <m/>
  </r>
  <r>
    <x v="18"/>
    <x v="24"/>
    <s v="Daniel Carvalho Castro"/>
    <s v="Masculino"/>
    <x v="2"/>
    <x v="13"/>
    <s v="20103115 - Atividade Reflexa Cinesioterápica (R$ 20,81)"/>
    <s v="Fisioterapia Pélvica e Neurológica"/>
    <n v="1706514398"/>
    <s v="Finalizado (3/5)"/>
    <n v="16.648"/>
    <n v="4.1619999999999999"/>
    <n v="20.81"/>
    <s v="Sessão Faturada"/>
    <n v="960016866689030"/>
    <n v="58551"/>
    <s v="Unidade Vieiralves"/>
    <n v="1706514398"/>
    <m/>
  </r>
  <r>
    <x v="18"/>
    <x v="8"/>
    <s v="Ayumi de Senna Silva"/>
    <s v="Feminino"/>
    <x v="6"/>
    <x v="13"/>
    <s v="20103506 - Patologia Em Um Segmento da Coluna - 29/01/2026 (R$ 17,61)"/>
    <s v="Fisioterapia Pélvica e Neurológica"/>
    <n v="171250"/>
    <s v="Finalizado (1/10)"/>
    <n v="14.087999999999999"/>
    <n v="3.5219999999999998"/>
    <n v="17.61"/>
    <s v="Sessão a Faturar"/>
    <s v="51588888463858150017"/>
    <n v="22238"/>
    <s v="Unidade Vieiralves"/>
    <n v="171250"/>
    <m/>
  </r>
  <r>
    <x v="18"/>
    <x v="8"/>
    <s v="Davi Luís Vinente Alcantara"/>
    <s v="Masculino"/>
    <x v="6"/>
    <x v="13"/>
    <s v="20103670 - Pos Operatorio Em Dois Ou Mais Membros (R$ 28,97)"/>
    <s v="Fisioterapia Pélvica e Neurológica"/>
    <n v="169883"/>
    <s v="Finalizado (4/5)"/>
    <n v="23.175999999999998"/>
    <n v="5.7939999999999996"/>
    <n v="28.97"/>
    <s v="Sessão a Faturar"/>
    <s v="54588888018315590104"/>
    <n v="57469"/>
    <s v="Unidade Vieiralves"/>
    <n v="169883"/>
    <m/>
  </r>
  <r>
    <x v="18"/>
    <x v="8"/>
    <s v="Davi Luís Vinente Alcantara"/>
    <s v="Masculino"/>
    <x v="6"/>
    <x v="13"/>
    <s v="20103476 - Patologia Neurologica (R$ 35,40)"/>
    <s v="Fisioterapia Pélvica e Neurológica"/>
    <n v="169884"/>
    <s v="Finalizado (4/5)"/>
    <n v="28.32"/>
    <n v="7.08"/>
    <n v="35.4"/>
    <s v="Sessão a Faturar"/>
    <s v="54588888018315590104"/>
    <n v="57469"/>
    <s v="Unidade Vieiralves"/>
    <n v="169884"/>
    <m/>
  </r>
  <r>
    <x v="18"/>
    <x v="9"/>
    <s v="Ayumi de Senna Silva"/>
    <s v="Feminino"/>
    <x v="6"/>
    <x v="13"/>
    <s v="20103360 - Fisioterapia Respiratória (R$ 16,74)"/>
    <s v="Fisioterapia Pélvica e Neurológica"/>
    <n v="164098"/>
    <s v="Finalizado (6/6)"/>
    <n v="13.391999999999999"/>
    <n v="3.3479999999999999"/>
    <n v="16.739999999999998"/>
    <s v="Sessão a Faturar"/>
    <s v="51588888463858150017"/>
    <n v="22238"/>
    <s v="Unidade Vieiralves"/>
    <n v="164098"/>
    <m/>
  </r>
  <r>
    <x v="18"/>
    <x v="10"/>
    <s v="Ayumi de Senna Silva"/>
    <s v="Feminino"/>
    <x v="6"/>
    <x v="13"/>
    <s v="20103476 - Patologia Neurologica (R$ 35,40)"/>
    <s v="Fisioterapia Pélvica e Neurológica"/>
    <n v="168647"/>
    <s v="Finalizado (3/10)"/>
    <n v="28.32"/>
    <n v="7.08"/>
    <n v="35.4"/>
    <s v="Sessão Faturada"/>
    <s v="51588888463858150017"/>
    <n v="22238"/>
    <s v="Unidade Vieiralves"/>
    <n v="168647"/>
    <m/>
  </r>
  <r>
    <x v="18"/>
    <x v="83"/>
    <s v="Vicente Gabriel Lima Melo"/>
    <s v="Masculino"/>
    <x v="6"/>
    <x v="13"/>
    <s v="20103476 - Patologia Neurologica (R$ 35,40)"/>
    <s v="Fisioterapia Pélvica e Neurológica"/>
    <n v="170387"/>
    <s v="Finalizado (3/10)"/>
    <n v="28.32"/>
    <n v="7.08"/>
    <n v="35.4"/>
    <s v="Sessão a Faturar"/>
    <s v="56788888488763750101"/>
    <n v="56312"/>
    <s v="Unidade Vieiralves"/>
    <n v="170387"/>
    <m/>
  </r>
  <r>
    <x v="18"/>
    <x v="83"/>
    <s v="Michele Alves de Souza"/>
    <s v="Feminino"/>
    <x v="2"/>
    <x v="13"/>
    <s v="20103522 - Fisioterapia - Pac Com Dependencia de Vida Diária (R$ 23,59)"/>
    <s v="Fisioterapia Pélvica e Neurológica"/>
    <n v="1707538887"/>
    <s v="Finalizado (2/3)"/>
    <n v="18.872"/>
    <n v="4.718"/>
    <n v="23.59"/>
    <s v="Sessão Faturada"/>
    <n v="953650003336010"/>
    <n v="18512"/>
    <s v="Unidade Vieiralves"/>
    <n v="1707538887"/>
    <m/>
  </r>
  <r>
    <x v="18"/>
    <x v="12"/>
    <s v="Vicente Gabriel Lima Melo"/>
    <s v="Masculino"/>
    <x v="6"/>
    <x v="13"/>
    <s v="20103484 - Patologia Em Um Membro (R$ 14,16)"/>
    <s v="Fisioterapia Pélvica e Neurológica"/>
    <n v="170389"/>
    <s v="Finalizado (3/10)"/>
    <n v="11.327999999999999"/>
    <n v="2.8319999999999999"/>
    <n v="14.16"/>
    <s v="Sessão a Faturar"/>
    <s v="56788888488763750101"/>
    <n v="56312"/>
    <s v="Unidade Vieiralves"/>
    <n v="170389"/>
    <m/>
  </r>
  <r>
    <x v="18"/>
    <x v="84"/>
    <s v="Ana Clara Froes Leite"/>
    <s v="Feminino"/>
    <x v="8"/>
    <x v="13"/>
    <s v="20103514 - Patologia Em Diferentes Segmentos da Coluna (R$ 14,83)"/>
    <s v="Fisioterapia Pélvica e Neurológica"/>
    <n v="1708921407"/>
    <s v="Finalizado (2/5)"/>
    <n v="11.864000000000001"/>
    <n v="2.9660000000000002"/>
    <n v="14.83"/>
    <s v="Sessão Faturada"/>
    <n v="954600022691040"/>
    <n v="47756"/>
    <s v="Unidade Vieiralves"/>
    <n v="1708921407"/>
    <m/>
  </r>
  <r>
    <x v="18"/>
    <x v="84"/>
    <s v="Magda Rejane Nogueira Miranda"/>
    <m/>
    <x v="29"/>
    <x v="13"/>
    <s v="50000160 - Fisioterapia Ortopedica/Neurológica (R$ 33,00)"/>
    <s v="Fisioterapia Pélvica e Neurológica"/>
    <n v="1085520"/>
    <s v="Finalizado (4/10)"/>
    <n v="26.4"/>
    <n v="6.6"/>
    <n v="33"/>
    <s v="Sessão Faturada"/>
    <n v="130260032740010"/>
    <n v="54854"/>
    <s v="Unidade Vieiralves"/>
    <n v="1085520"/>
    <m/>
  </r>
  <r>
    <x v="22"/>
    <x v="22"/>
    <s v="André Viana Chaves"/>
    <s v="Masculino"/>
    <x v="2"/>
    <x v="13"/>
    <s v="20103662 - Fisioterapia - Pos Operatorio Em Um Membro (R$ 14,99)"/>
    <s v="Fisioterapia Pélvica e Neurológica"/>
    <n v="1709159061"/>
    <s v="Finalizado (2/5)"/>
    <n v="11.992000000000001"/>
    <n v="2.9980000000000002"/>
    <n v="14.99"/>
    <s v="Sessão Faturada"/>
    <n v="896489600019010"/>
    <n v="59551"/>
    <s v="Unidade Vieiralves"/>
    <n v="1709159061"/>
    <m/>
  </r>
  <r>
    <x v="22"/>
    <x v="22"/>
    <s v="Cirilo de Paula Bezerra"/>
    <s v="Masculino"/>
    <x v="0"/>
    <x v="13"/>
    <s v="50000160 - Fisioterapia Ortopedica (R$ 49,72)"/>
    <s v="Fisioterapia Pélvica e Neurológica"/>
    <s v="42263120260225348910"/>
    <s v="Finalizado (5/10)"/>
    <n v="39.776000000000003"/>
    <n v="9.9440000000000008"/>
    <n v="49.72"/>
    <s v="Sessão Faturada"/>
    <s v="010033494000"/>
    <n v="50241"/>
    <s v="Unidade Vieiralves"/>
    <s v="42263120260225348910"/>
    <m/>
  </r>
  <r>
    <x v="22"/>
    <x v="23"/>
    <s v="Cirilo de Paula Bezerra"/>
    <s v="Masculino"/>
    <x v="0"/>
    <x v="13"/>
    <s v="50000713 - Fisioterapia Neurológica e Respiratória (R$ 35,49)"/>
    <s v="Fisioterapia Pélvica e Neurológica"/>
    <s v="42263120260225348777"/>
    <s v="Finalizado (7/10)"/>
    <n v="28.391999999999999"/>
    <n v="7.0979999999999999"/>
    <n v="35.49"/>
    <s v="Sessão Faturada"/>
    <s v="010033494000"/>
    <n v="50241"/>
    <s v="Unidade Vieiralves"/>
    <s v="42263120260225348777"/>
    <m/>
  </r>
  <r>
    <x v="22"/>
    <x v="88"/>
    <s v="André Viana Chaves"/>
    <s v="Masculino"/>
    <x v="2"/>
    <x v="13"/>
    <s v="20103115 - Atividade Reflexa Cinesioterápica (R$ 20,81)"/>
    <s v="Fisioterapia Pélvica e Neurológica"/>
    <n v="1709159778"/>
    <s v="Finalizado (2/2)"/>
    <n v="16.648"/>
    <n v="4.1619999999999999"/>
    <n v="20.81"/>
    <s v="Sessão Faturada"/>
    <n v="896489600019010"/>
    <n v="59551"/>
    <s v="Unidade Vieiralves"/>
    <n v="1709159778"/>
    <m/>
  </r>
  <r>
    <x v="22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5/10)"/>
    <n v="43.304000000000002"/>
    <n v="10.826000000000001"/>
    <n v="54.13"/>
    <s v="Sessão Faturada"/>
    <s v="010033494000"/>
    <n v="50241"/>
    <s v="Unidade Vieiralves"/>
    <s v="42263120260225348956"/>
    <m/>
  </r>
  <r>
    <x v="22"/>
    <x v="53"/>
    <s v="Rosa da Silva Freitas"/>
    <s v="Feminino"/>
    <x v="12"/>
    <x v="13"/>
    <s v="31602185 - Estimulação Elétrica Transcutânea (Tens) (R$ 49,00)"/>
    <s v="Fisioterapia Pélvica e Neurológica"/>
    <n v="10232089"/>
    <s v="Finalizado (9/10)"/>
    <n v="39.200000000000003"/>
    <n v="9.8000000000000007"/>
    <n v="49"/>
    <s v="Sessão Faturada"/>
    <n v="9.5125181212225997E+17"/>
    <n v="55746"/>
    <s v="Unidade Vieiralves"/>
    <n v="10232089"/>
    <m/>
  </r>
  <r>
    <x v="22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3/10)"/>
    <n v="9.7759999999999998"/>
    <n v="2.444"/>
    <n v="12.22"/>
    <s v="Sessão Faturada"/>
    <n v="774510000094010"/>
    <n v="59495"/>
    <s v="Unidade Vieiralves"/>
    <n v="1706991298"/>
    <m/>
  </r>
  <r>
    <x v="22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3/10)"/>
    <n v="18.872"/>
    <n v="4.718"/>
    <n v="23.59"/>
    <s v="Sessão Faturada"/>
    <n v="774510000094010"/>
    <n v="59495"/>
    <s v="Unidade Vieiralves"/>
    <n v="1707019628"/>
    <m/>
  </r>
  <r>
    <x v="22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5/10)"/>
    <n v="28"/>
    <n v="7"/>
    <n v="35"/>
    <s v="Sessão Faturada"/>
    <s v="0901001475800024"/>
    <n v="59069"/>
    <s v="Unidade Vieiralves"/>
    <n v="9164912"/>
    <m/>
  </r>
  <r>
    <x v="22"/>
    <x v="13"/>
    <s v="Maria Eduarda Santos Thomazzini"/>
    <s v="Feminino"/>
    <x v="2"/>
    <x v="13"/>
    <s v="20103522 - Fisioterapia - Pac Com Dependencia de Vida Diária (R$ 23,59)"/>
    <s v="Fisioterapia Pélvica e Neurológica"/>
    <n v="1699215496"/>
    <s v="Finalizado (9/9)"/>
    <n v="18.872"/>
    <n v="4.718"/>
    <n v="23.59"/>
    <s v="Sessão Faturada"/>
    <n v="813148600191030"/>
    <n v="45180"/>
    <s v="Unidade Vieiralves"/>
    <n v="1699215496"/>
    <m/>
  </r>
  <r>
    <x v="22"/>
    <x v="26"/>
    <s v="Irene Souza dos Santos"/>
    <s v="Feminino"/>
    <x v="1"/>
    <x v="13"/>
    <s v="50000160 - Fisioterapia Ortopédica (R$ 20,00), 98980327 - Taxa de Eletroterapia (Tens) (R$ 15,00)"/>
    <s v="Fisioterapia Pélvica e Neurológica"/>
    <n v="9035979"/>
    <s v="Finalizado (5/10)"/>
    <n v="28"/>
    <n v="7"/>
    <n v="35"/>
    <s v="Sessão Faturada"/>
    <n v="2001013584300100"/>
    <n v="55833"/>
    <s v="Unidade Vieiralves"/>
    <n v="9035979"/>
    <m/>
  </r>
  <r>
    <x v="22"/>
    <x v="8"/>
    <s v="Ana Clara Froes Leite"/>
    <s v="Feminino"/>
    <x v="8"/>
    <x v="13"/>
    <s v="20103514 - Patologia Em Diferentes Segmentos da Coluna (R$ 14,83)"/>
    <s v="Fisioterapia Pélvica e Neurológica"/>
    <n v="1708921407"/>
    <s v="Finalizado (3/5)"/>
    <n v="11.864000000000001"/>
    <n v="2.9660000000000002"/>
    <n v="14.83"/>
    <s v="Sessão Faturada"/>
    <n v="954600022691040"/>
    <n v="47756"/>
    <s v="Unidade Vieiralves"/>
    <n v="1708921407"/>
    <m/>
  </r>
  <r>
    <x v="22"/>
    <x v="83"/>
    <s v="Ayla Sofia Grijó dos Santos Tavares"/>
    <s v="Feminino"/>
    <x v="5"/>
    <x v="13"/>
    <s v="98860020 - Fisioterapia Neurologica - 04/03/2026 (R$ 70,79)"/>
    <s v="Fisioterapia Pélvica e Neurológica"/>
    <n v="77633240"/>
    <s v="Não compareceu (3/10)"/>
    <n v="70.790000000000006"/>
    <n v="0"/>
    <n v="70.790000000000006"/>
    <s v="Sessão Faturada"/>
    <s v="0309795521020160"/>
    <n v="56720"/>
    <s v="Unidade Vieiralves"/>
    <n v="77633240"/>
    <m/>
  </r>
  <r>
    <x v="22"/>
    <x v="84"/>
    <s v="Magda Rejane Nogueira Miranda"/>
    <m/>
    <x v="29"/>
    <x v="13"/>
    <s v="50000160 - Fisioterapia Ortopedica/Neurológica (R$ 33,00)"/>
    <s v="Fisioterapia Pélvica e Neurológica"/>
    <n v="1085520"/>
    <s v="Finalizado (5/10)"/>
    <n v="26.4"/>
    <n v="6.6"/>
    <n v="33"/>
    <s v="Sessão Faturada"/>
    <n v="130260032740010"/>
    <n v="54854"/>
    <s v="Unidade Vieiralves"/>
    <n v="1085520"/>
    <m/>
  </r>
  <r>
    <x v="22"/>
    <x v="84"/>
    <s v="Magda Rejane Nogueira Miranda"/>
    <m/>
    <x v="29"/>
    <x v="13"/>
    <s v="31602185 - Estimulação Elétrica Transcutanea (R$ 87,74)"/>
    <s v="Fisioterapia Pélvica e Neurológica"/>
    <n v="1085540"/>
    <s v="Finalizado (5/10)"/>
    <n v="70.191999999999993"/>
    <n v="17.547999999999998"/>
    <n v="87.74"/>
    <s v="Sessão Faturada"/>
    <n v="130260032740010"/>
    <n v="54854"/>
    <s v="Unidade Vieiralves"/>
    <n v="1085540"/>
    <m/>
  </r>
  <r>
    <x v="19"/>
    <x v="22"/>
    <s v="Marcelo Nogueira Dutra Monteiro"/>
    <s v="Masculino"/>
    <x v="1"/>
    <x v="13"/>
    <s v="50001078 - Fisioterapia Neurológica (R$ 35,00)"/>
    <s v="Fisioterapia Pélvica e Neurológica"/>
    <n v="9210531"/>
    <s v="Finalizado (3/10)"/>
    <n v="28"/>
    <n v="7"/>
    <n v="35"/>
    <s v="Sessão Faturada"/>
    <n v="2001014027620000"/>
    <n v="58817"/>
    <s v="Unidade Vieiralves"/>
    <n v="9210531"/>
    <m/>
  </r>
  <r>
    <x v="19"/>
    <x v="22"/>
    <s v="André Viana Chaves"/>
    <s v="Masculino"/>
    <x v="2"/>
    <x v="13"/>
    <s v="20103662 - Fisioterapia - Pos Operatorio Em Um Membro (R$ 14,99)"/>
    <s v="Fisioterapia Pélvica e Neurológica"/>
    <n v="1709159061"/>
    <s v="Finalizado (3/5)"/>
    <n v="11.992000000000001"/>
    <n v="2.9980000000000002"/>
    <n v="14.99"/>
    <s v="Sessão Faturada"/>
    <n v="896489600019010"/>
    <n v="59551"/>
    <s v="Unidade Vieiralves"/>
    <n v="1709159061"/>
    <m/>
  </r>
  <r>
    <x v="19"/>
    <x v="81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8/10)"/>
    <n v="28"/>
    <n v="7"/>
    <n v="35"/>
    <s v="Sessão Faturada"/>
    <s v="0901011170770099"/>
    <n v="54606"/>
    <s v="Unidade Vieiralves"/>
    <n v="8826149"/>
    <m/>
  </r>
  <r>
    <x v="19"/>
    <x v="26"/>
    <s v="Andrielly Lima de Almeida"/>
    <s v="Feminino"/>
    <x v="7"/>
    <x v="13"/>
    <s v="Part Convenio - 10 - Fisioterapia Ortopédica- Pacote (R$ 50,00)"/>
    <s v="Fisioterapia Pélvica e Neurológica"/>
    <n v="170911"/>
    <s v="Finalizado (2/10)"/>
    <n v="37.5"/>
    <n v="12.5"/>
    <n v="50"/>
    <s v="Pago"/>
    <s v="00"/>
    <n v="59563"/>
    <s v="Unidade Vieiralves"/>
    <n v="170911"/>
    <m/>
  </r>
  <r>
    <x v="19"/>
    <x v="26"/>
    <s v="Otávio Augusto Nogueira Waldmann"/>
    <m/>
    <x v="1"/>
    <x v="13"/>
    <s v="50001078 - Fisioterapia Neurológica (R$ 35,00)"/>
    <s v="Fisioterapia Pélvica e Neurológica"/>
    <n v="9143958"/>
    <s v="Finalizado (4/5)"/>
    <n v="28"/>
    <n v="7"/>
    <n v="35"/>
    <s v="Sessão Faturada"/>
    <n v="1901012850050200"/>
    <n v="58059"/>
    <s v="Unidade Vieiralves"/>
    <n v="9143958"/>
    <m/>
  </r>
  <r>
    <x v="19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4/7)"/>
    <n v="11.864000000000001"/>
    <n v="2.9660000000000002"/>
    <n v="14.83"/>
    <s v="Sessão Faturada"/>
    <n v="774438016047020"/>
    <n v="45558"/>
    <s v="Unidade Vieiralves"/>
    <n v="1705931508"/>
    <m/>
  </r>
  <r>
    <x v="19"/>
    <x v="82"/>
    <s v="Daniel Carvalho Castro"/>
    <s v="Masculino"/>
    <x v="2"/>
    <x v="13"/>
    <s v="20103492 - Fisioterapia - Patologia Em Dois Ou Mais Membros (R$ 14,83)"/>
    <s v="Fisioterapia Pélvica e Neurológica"/>
    <n v="1706513507"/>
    <s v="Finalizado (4/6)"/>
    <n v="11.864000000000001"/>
    <n v="2.9660000000000002"/>
    <n v="14.83"/>
    <s v="Sessão Faturada"/>
    <n v="960016866689030"/>
    <n v="58551"/>
    <s v="Unidade Vieiralves"/>
    <n v="1706513507"/>
    <m/>
  </r>
  <r>
    <x v="19"/>
    <x v="24"/>
    <s v="Daniel Carvalho Castro"/>
    <s v="Masculino"/>
    <x v="2"/>
    <x v="13"/>
    <s v="20103115 - Atividade Reflexa Cinesioterápica (R$ 20,81)"/>
    <s v="Fisioterapia Pélvica e Neurológica"/>
    <n v="1706514398"/>
    <s v="Finalizado (4/5)"/>
    <n v="16.648"/>
    <n v="4.1619999999999999"/>
    <n v="20.81"/>
    <s v="Sessão Faturada"/>
    <n v="960016866689030"/>
    <n v="58551"/>
    <s v="Unidade Vieiralves"/>
    <n v="1706514398"/>
    <m/>
  </r>
  <r>
    <x v="19"/>
    <x v="8"/>
    <s v="Davi Luís Vinente Alcantara"/>
    <s v="Masculino"/>
    <x v="6"/>
    <x v="13"/>
    <s v="20103670 - Pos Operatorio Em Dois Ou Mais Membros (R$ 28,97)"/>
    <s v="Fisioterapia Pélvica e Neurológica"/>
    <n v="169883"/>
    <s v="Finalizado (5/5)"/>
    <n v="23.175999999999998"/>
    <n v="5.7939999999999996"/>
    <n v="28.97"/>
    <s v="Sessão a Faturar"/>
    <s v="54588888018315590104"/>
    <n v="57469"/>
    <s v="Unidade Vieiralves"/>
    <n v="169883"/>
    <m/>
  </r>
  <r>
    <x v="19"/>
    <x v="8"/>
    <s v="Ayumi de Senna Silva"/>
    <s v="Feminino"/>
    <x v="6"/>
    <x v="13"/>
    <s v="20103506 - Patologia Em Um Segmento da Coluna - 29/01/2026 (R$ 17,61)"/>
    <s v="Fisioterapia Pélvica e Neurológica"/>
    <n v="171250"/>
    <s v="Finalizado (2/10)"/>
    <n v="14.087999999999999"/>
    <n v="3.5219999999999998"/>
    <n v="17.61"/>
    <s v="Sessão a Faturar"/>
    <s v="51588888463858150017"/>
    <n v="22238"/>
    <s v="Unidade Vieiralves"/>
    <n v="171250"/>
    <m/>
  </r>
  <r>
    <x v="19"/>
    <x v="34"/>
    <s v="Davi Luís Vinente Alcantara"/>
    <s v="Masculino"/>
    <x v="6"/>
    <x v="13"/>
    <s v="20103476 - Patologia Neurologica (R$ 35,40)"/>
    <s v="Fisioterapia Pélvica e Neurológica"/>
    <n v="169884"/>
    <s v="Finalizado (5/5)"/>
    <n v="28.32"/>
    <n v="7.08"/>
    <n v="35.4"/>
    <s v="Sessão a Faturar"/>
    <s v="54588888018315590104"/>
    <n v="57469"/>
    <s v="Unidade Vieiralves"/>
    <n v="169884"/>
    <m/>
  </r>
  <r>
    <x v="19"/>
    <x v="83"/>
    <s v="Vicente Gabriel Lima Melo"/>
    <s v="Masculino"/>
    <x v="6"/>
    <x v="13"/>
    <s v="20103476 - Patologia Neurologica (R$ 35,40)"/>
    <s v="Fisioterapia Pélvica e Neurológica"/>
    <n v="170387"/>
    <s v="Finalizado (4/10)"/>
    <n v="28.32"/>
    <n v="7.08"/>
    <n v="35.4"/>
    <s v="Sessão a Faturar"/>
    <s v="56788888488763750101"/>
    <n v="56312"/>
    <s v="Unidade Vieiralves"/>
    <n v="170387"/>
    <m/>
  </r>
  <r>
    <x v="19"/>
    <x v="83"/>
    <s v="Michele Alves de Souza"/>
    <s v="Feminino"/>
    <x v="2"/>
    <x v="13"/>
    <s v="20103522 - Fisioterapia - Pac Com Dependencia de Vida Diária (R$ 23,59)"/>
    <s v="Fisioterapia Pélvica e Neurológica"/>
    <n v="1707538887"/>
    <s v="Finalizado (3/3)"/>
    <n v="18.872"/>
    <n v="4.718"/>
    <n v="23.59"/>
    <s v="Sessão Faturada"/>
    <n v="953650003336010"/>
    <n v="18512"/>
    <s v="Unidade Vieiralves"/>
    <n v="1707538887"/>
    <m/>
  </r>
  <r>
    <x v="19"/>
    <x v="12"/>
    <s v="Vicente Gabriel Lima Melo"/>
    <s v="Masculino"/>
    <x v="6"/>
    <x v="13"/>
    <s v="20103484 - Patologia Em Um Membro (R$ 14,16)"/>
    <s v="Fisioterapia Pélvica e Neurológica"/>
    <n v="170389"/>
    <s v="Finalizado (4/10)"/>
    <n v="11.327999999999999"/>
    <n v="2.8319999999999999"/>
    <n v="14.16"/>
    <s v="Sessão a Faturar"/>
    <s v="56788888488763750101"/>
    <n v="56312"/>
    <s v="Unidade Vieiralves"/>
    <n v="170389"/>
    <m/>
  </r>
  <r>
    <x v="19"/>
    <x v="84"/>
    <s v="Aurora Calazans Binda Braulio Melo"/>
    <s v="Feminino"/>
    <x v="13"/>
    <x v="13"/>
    <s v="20103476 - Patologia Neurologica (R$ 28,22)"/>
    <s v="Fisioterapia Pélvica e Neurológica"/>
    <n v="13530711"/>
    <s v="Finalizado (4/10)"/>
    <n v="22.576000000000001"/>
    <n v="5.6440000000000001"/>
    <n v="28.22"/>
    <s v="Sessão Faturada"/>
    <s v="00010300020690030"/>
    <n v="54467"/>
    <s v="Unidade Vieiralves"/>
    <n v="13530711"/>
    <m/>
  </r>
  <r>
    <x v="19"/>
    <x v="84"/>
    <s v="Magda Rejane Nogueira Miranda"/>
    <m/>
    <x v="29"/>
    <x v="13"/>
    <s v="31602185 - Estimulação Elétrica Transcutanea (R$ 87,74)"/>
    <s v="Fisioterapia Pélvica e Neurológica"/>
    <n v="1085540"/>
    <s v="Finalizado (6/10)"/>
    <n v="70.191999999999993"/>
    <n v="17.547999999999998"/>
    <n v="87.74"/>
    <s v="Sessão Faturada"/>
    <n v="130260032740010"/>
    <n v="54854"/>
    <s v="Unidade Vieiralves"/>
    <n v="1085540"/>
    <m/>
  </r>
  <r>
    <x v="20"/>
    <x v="22"/>
    <s v="Marcelo Nogueira Dutra Monteiro"/>
    <s v="Masculino"/>
    <x v="1"/>
    <x v="13"/>
    <s v="50001078 - Fisioterapia Neurológica (R$ 35,00)"/>
    <s v="Fisioterapia Pélvica e Neurológica"/>
    <n v="9210531"/>
    <s v="Finalizado (4/10)"/>
    <n v="28"/>
    <n v="7"/>
    <n v="35"/>
    <s v="Sessão Faturada"/>
    <n v="2001014027620000"/>
    <n v="58817"/>
    <s v="Unidade Vieiralves"/>
    <n v="9210531"/>
    <m/>
  </r>
  <r>
    <x v="20"/>
    <x v="22"/>
    <s v="Cirilo de Paula Bezerra"/>
    <s v="Masculino"/>
    <x v="0"/>
    <x v="13"/>
    <s v="50000713 - Fisioterapia Neurológica e Respiratória (R$ 35,49)"/>
    <s v="Fisioterapia Pélvica e Neurológica"/>
    <s v="42263120260225348777"/>
    <s v="Finalizado (8/10)"/>
    <n v="28.391999999999999"/>
    <n v="7.0979999999999999"/>
    <n v="35.49"/>
    <s v="Sessão Faturada"/>
    <s v="010033494000"/>
    <n v="50241"/>
    <s v="Unidade Vieiralves"/>
    <s v="42263120260225348777"/>
    <m/>
  </r>
  <r>
    <x v="20"/>
    <x v="53"/>
    <s v="Maria Basilia Ladeira Luniere"/>
    <s v="Feminino"/>
    <x v="7"/>
    <x v="13"/>
    <s v="Vieiralves - 3 - Fisioterapia Respiratória - Pacote (R$ 90,00)"/>
    <s v="Fisioterapia Pélvica e Neurológica"/>
    <n v="170687"/>
    <s v="Finalizado (1/10)"/>
    <n v="70.2"/>
    <n v="19.8"/>
    <n v="90"/>
    <s v="Pago"/>
    <s v="00"/>
    <n v="58820"/>
    <s v="Unidade Vieiralves"/>
    <n v="170687"/>
    <m/>
  </r>
  <r>
    <x v="20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6/10)"/>
    <n v="28"/>
    <n v="7"/>
    <n v="35"/>
    <s v="Sessão Faturada"/>
    <s v="0901001475800024"/>
    <n v="59069"/>
    <s v="Unidade Vieiralves"/>
    <n v="9164912"/>
    <m/>
  </r>
  <r>
    <x v="20"/>
    <x v="26"/>
    <s v="Irene Souza dos Santos"/>
    <s v="Feminino"/>
    <x v="1"/>
    <x v="13"/>
    <s v="50000160 - Fisioterapia Ortopédica (R$ 20,00), 98980327 - Taxa de Eletroterapia (Tens) (R$ 15,00)"/>
    <s v="Fisioterapia Pélvica e Neurológica"/>
    <n v="9035979"/>
    <s v="Finalizado (6/10)"/>
    <n v="28"/>
    <n v="7"/>
    <n v="35"/>
    <s v="Sessão Faturada"/>
    <n v="2001013584300100"/>
    <n v="55833"/>
    <s v="Unidade Vieiralves"/>
    <n v="9035979"/>
    <m/>
  </r>
  <r>
    <x v="20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6/8)"/>
    <n v="56.631999999999998"/>
    <n v="14.157999999999999"/>
    <n v="70.790000000000006"/>
    <s v="Sessão Faturada"/>
    <s v="0100568887030197"/>
    <n v="58133"/>
    <s v="Unidade Vieiralves"/>
    <n v="77542760"/>
    <m/>
  </r>
  <r>
    <x v="20"/>
    <x v="82"/>
    <s v="Maria Helena Maximino de Freitas"/>
    <s v="Feminino"/>
    <x v="1"/>
    <x v="13"/>
    <s v="50001078 - Fisioterapia Neurológica (R$ 35,00)"/>
    <s v="Fisioterapia Pélvica e Neurológica"/>
    <n v="8732864"/>
    <s v="Finalizado (10/10)"/>
    <n v="28"/>
    <n v="7"/>
    <n v="35"/>
    <s v="Sessão Faturada"/>
    <n v="1101013447190500"/>
    <n v="58939"/>
    <s v="Unidade Vieiralves"/>
    <n v="8732864"/>
    <s v="*GUIA ASSINADA*"/>
  </r>
  <r>
    <x v="20"/>
    <x v="8"/>
    <s v="Aurora Calazans Binda Braulio Melo"/>
    <s v="Feminino"/>
    <x v="13"/>
    <x v="13"/>
    <s v="20103476 - Patologia Neurologica (R$ 28,22)"/>
    <s v="Fisioterapia Pélvica e Neurológica"/>
    <n v="13530711"/>
    <s v="Finalizado (5/10)"/>
    <n v="22.576000000000001"/>
    <n v="5.6440000000000001"/>
    <n v="28.22"/>
    <s v="Sessão Faturada"/>
    <s v="00010300020690030"/>
    <n v="54467"/>
    <s v="Unidade Vieiralves"/>
    <n v="13530711"/>
    <m/>
  </r>
  <r>
    <x v="20"/>
    <x v="84"/>
    <s v="Fernando da Silva Passos"/>
    <s v="Masculino"/>
    <x v="2"/>
    <x v="13"/>
    <s v="20103662 - Fisioterapia - Pos Operatorio Em Um Membro (R$ 14,99)"/>
    <s v="Fisioterapia Pélvica e Neurológica"/>
    <n v="1709251254"/>
    <s v="Finalizado (2/7)"/>
    <n v="11.992000000000001"/>
    <n v="2.9980000000000002"/>
    <n v="14.99"/>
    <s v="Sessão a Faturar"/>
    <n v="894245300060000"/>
    <n v="55116"/>
    <s v="Unidade Vieiralves"/>
    <n v="1709251254"/>
    <m/>
  </r>
  <r>
    <x v="20"/>
    <x v="85"/>
    <s v="Fernando da Silva Passos"/>
    <s v="Masculino"/>
    <x v="2"/>
    <x v="13"/>
    <s v="20103522 - Fisioterapia - Pac Com Dependencia de Vida Diária (R$ 23,59)"/>
    <s v="Fisioterapia Pélvica e Neurológica"/>
    <n v="1709251782"/>
    <s v="Finalizado (2/7)"/>
    <n v="18.872"/>
    <n v="4.718"/>
    <n v="23.59"/>
    <s v="Sessão a Faturar"/>
    <n v="894245300060000"/>
    <n v="55116"/>
    <s v="Unidade Vieiralves"/>
    <n v="1709251782"/>
    <m/>
  </r>
  <r>
    <x v="0"/>
    <x v="22"/>
    <s v="André Viana Chaves"/>
    <s v="Masculino"/>
    <x v="2"/>
    <x v="13"/>
    <s v="20103662 - Fisioterapia - Pos Operatorio Em Um Membro (R$ 14,99)"/>
    <s v="Fisioterapia Pélvica e Neurológica"/>
    <n v="1709159061"/>
    <s v="Finalizado (4/5)"/>
    <n v="11.992000000000001"/>
    <n v="2.9980000000000002"/>
    <n v="14.99"/>
    <s v="Sessão Faturada"/>
    <n v="896489600019010"/>
    <n v="59551"/>
    <s v="Unidade Vieiralves"/>
    <n v="1709159061"/>
    <m/>
  </r>
  <r>
    <x v="0"/>
    <x v="22"/>
    <s v="Cirilo de Paula Bezerra"/>
    <s v="Masculino"/>
    <x v="0"/>
    <x v="13"/>
    <s v="50000160 - Fisioterapia Ortopedica (R$ 49,72)"/>
    <s v="Fisioterapia Pélvica e Neurológica"/>
    <s v="42263120260225348910"/>
    <s v="Não compareceu (6/10)"/>
    <n v="49.72"/>
    <n v="0"/>
    <n v="49.72"/>
    <s v="Sessão Faturada"/>
    <s v="010033494000"/>
    <n v="50241"/>
    <s v="Unidade Vieiralves"/>
    <s v="42263120260225348910"/>
    <m/>
  </r>
  <r>
    <x v="0"/>
    <x v="53"/>
    <s v="Rosa da Silva Freitas"/>
    <s v="Feminino"/>
    <x v="12"/>
    <x v="13"/>
    <s v="20103662 - Pos Operatorio Em Um Membro (R$ 14,99)"/>
    <s v="Fisioterapia Pélvica e Neurológica"/>
    <n v="169347"/>
    <s v="Finalizado (6/10)"/>
    <n v="11.992000000000001"/>
    <n v="2.9980000000000002"/>
    <n v="14.99"/>
    <s v="Sessão Faturada"/>
    <n v="9.5125181212225997E+17"/>
    <n v="55746"/>
    <s v="Unidade Vieiralves"/>
    <n v="169347"/>
    <m/>
  </r>
  <r>
    <x v="0"/>
    <x v="53"/>
    <s v="Rosa da Silva Freitas"/>
    <s v="Feminino"/>
    <x v="12"/>
    <x v="13"/>
    <s v="31602185 - Estimulação Elétrica Transcutânea (Tens) (R$ 49,00)"/>
    <s v="Fisioterapia Pélvica e Neurológica"/>
    <n v="10232089"/>
    <s v="Finalizado (10/10)"/>
    <n v="39.200000000000003"/>
    <n v="9.8000000000000007"/>
    <n v="49"/>
    <s v="Sessão Faturada"/>
    <n v="9.5125181212225997E+17"/>
    <n v="55746"/>
    <s v="Unidade Vieiralves"/>
    <n v="10232089"/>
    <m/>
  </r>
  <r>
    <x v="0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7/10)"/>
    <n v="28"/>
    <n v="7"/>
    <n v="35"/>
    <s v="Sessão Faturada"/>
    <s v="0901001475800024"/>
    <n v="59069"/>
    <s v="Unidade Vieiralves"/>
    <n v="9164912"/>
    <m/>
  </r>
  <r>
    <x v="0"/>
    <x v="81"/>
    <s v="Fernando Liborio Caranha Lima"/>
    <s v="Masculino"/>
    <x v="5"/>
    <x v="13"/>
    <s v="98860020 - Fisioterapia Complexidade 2 - 04/03/2026 (R$ 70,79)"/>
    <s v="Fisioterapia Pélvica e Neurológica"/>
    <n v="77496000"/>
    <s v="Finalizado (2/10)"/>
    <n v="56.631999999999998"/>
    <n v="14.157999999999999"/>
    <n v="70.790000000000006"/>
    <s v="Sessão Faturada"/>
    <s v="0100791349050357"/>
    <n v="58089"/>
    <s v="Unidade Vieiralves"/>
    <n v="77496000"/>
    <m/>
  </r>
  <r>
    <x v="0"/>
    <x v="26"/>
    <s v="Andrielly Lima de Almeida"/>
    <s v="Feminino"/>
    <x v="7"/>
    <x v="13"/>
    <s v="Part Convenio - 10 - Fisioterapia Ortopédica- Pacote (R$ 50,00)"/>
    <s v="Fisioterapia Pélvica e Neurológica"/>
    <n v="170911"/>
    <s v="Finalizado (3/10)"/>
    <n v="37.5"/>
    <n v="12.5"/>
    <n v="50"/>
    <s v="Pago"/>
    <s v="00"/>
    <n v="59563"/>
    <s v="Unidade Vieiralves"/>
    <n v="170911"/>
    <m/>
  </r>
  <r>
    <x v="0"/>
    <x v="26"/>
    <s v="Marcos Vinícius Rocha Barbosa"/>
    <m/>
    <x v="8"/>
    <x v="13"/>
    <s v="20103522 - Fisioterapia - Pac Com Dependencia de Vida Diária (R$ 23,59)"/>
    <s v="Fisioterapia Pélvica e Neurológica"/>
    <n v="1712955426"/>
    <s v="Finalizado (1/10)"/>
    <n v="18.872"/>
    <n v="4.718"/>
    <n v="23.59"/>
    <s v="Sessão a Faturar"/>
    <n v="954600005150030"/>
    <n v="59421"/>
    <s v="Unidade Vieiralves"/>
    <n v="1712955426"/>
    <m/>
  </r>
  <r>
    <x v="0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5/7)"/>
    <n v="11.864000000000001"/>
    <n v="2.9660000000000002"/>
    <n v="14.83"/>
    <s v="Sessão Faturada"/>
    <n v="774438016047020"/>
    <n v="45558"/>
    <s v="Unidade Vieiralves"/>
    <n v="1705931508"/>
    <m/>
  </r>
  <r>
    <x v="0"/>
    <x v="83"/>
    <s v="Vicente Gabriel Lima Melo"/>
    <s v="Masculino"/>
    <x v="6"/>
    <x v="13"/>
    <s v="20103484 - Patologia Em Um Membro (R$ 14,16)"/>
    <s v="Fisioterapia Pélvica e Neurológica"/>
    <n v="170389"/>
    <s v="Finalizado (5/10)"/>
    <n v="11.327999999999999"/>
    <n v="2.8319999999999999"/>
    <n v="14.16"/>
    <s v="Sessão a Faturar"/>
    <s v="56788888488763750101"/>
    <n v="56312"/>
    <s v="Unidade Vieiralves"/>
    <n v="170389"/>
    <m/>
  </r>
  <r>
    <x v="0"/>
    <x v="83"/>
    <s v="Marcelo Nogueira Dutra Monteiro"/>
    <s v="Masculino"/>
    <x v="1"/>
    <x v="13"/>
    <s v="50001078 - Fisioterapia Neurológica (R$ 35,00)"/>
    <s v="Fisioterapia Pélvica e Neurológica"/>
    <n v="9210531"/>
    <s v="Finalizado (5/10)"/>
    <n v="28"/>
    <n v="7"/>
    <n v="35"/>
    <s v="Sessão Faturada"/>
    <n v="2001014027620000"/>
    <n v="58817"/>
    <s v="Unidade Vieiralves"/>
    <n v="9210531"/>
    <m/>
  </r>
  <r>
    <x v="0"/>
    <x v="12"/>
    <s v="Vicente Gabriel Lima Melo"/>
    <s v="Masculino"/>
    <x v="6"/>
    <x v="13"/>
    <s v="20103476 - Patologia Neurologica (R$ 35,40)"/>
    <s v="Fisioterapia Pélvica e Neurológica"/>
    <n v="170387"/>
    <s v="Finalizado (5/10)"/>
    <n v="28.32"/>
    <n v="7.08"/>
    <n v="35.4"/>
    <s v="Sessão a Faturar"/>
    <s v="56788888488763750101"/>
    <n v="56312"/>
    <s v="Unidade Vieiralves"/>
    <n v="170387"/>
    <m/>
  </r>
  <r>
    <x v="0"/>
    <x v="84"/>
    <s v="Fernando da Silva Passos"/>
    <s v="Masculino"/>
    <x v="2"/>
    <x v="13"/>
    <s v="20103522 - Fisioterapia - Pac Com Dependencia de Vida Diária (R$ 23,59)"/>
    <s v="Fisioterapia Pélvica e Neurológica"/>
    <n v="1709251782"/>
    <s v="Finalizado (3/7)"/>
    <n v="18.872"/>
    <n v="4.718"/>
    <n v="23.59"/>
    <s v="Sessão a Faturar"/>
    <n v="894245300060000"/>
    <n v="55116"/>
    <s v="Unidade Vieiralves"/>
    <n v="1709251782"/>
    <m/>
  </r>
  <r>
    <x v="0"/>
    <x v="85"/>
    <s v="Fernando da Silva Passos"/>
    <s v="Masculino"/>
    <x v="2"/>
    <x v="13"/>
    <s v="20103662 - Fisioterapia - Pos Operatorio Em Um Membro (R$ 14,99)"/>
    <s v="Fisioterapia Pélvica e Neurológica"/>
    <n v="1709251254"/>
    <s v="Finalizado (3/7)"/>
    <n v="11.992000000000001"/>
    <n v="2.9980000000000002"/>
    <n v="14.99"/>
    <s v="Sessão a Faturar"/>
    <n v="894245300060000"/>
    <n v="55116"/>
    <s v="Unidade Vieiralves"/>
    <n v="1709251254"/>
    <m/>
  </r>
  <r>
    <x v="1"/>
    <x v="22"/>
    <s v="Marlucia Rabelo de Souza"/>
    <m/>
    <x v="8"/>
    <x v="13"/>
    <s v="20103468 - Parkinson (R$ 12,22)"/>
    <s v="Fisioterapia Pélvica e Neurológica"/>
    <n v="1713475776"/>
    <s v="Finalizado (1/10)"/>
    <n v="9.7759999999999998"/>
    <n v="2.444"/>
    <n v="12.22"/>
    <s v="Sessão a Faturar"/>
    <n v="954600000671000"/>
    <n v="109"/>
    <s v="Unidade Vieiralves"/>
    <n v="1713475776"/>
    <m/>
  </r>
  <r>
    <x v="1"/>
    <x v="53"/>
    <s v="Bryan Maranhão Lima"/>
    <s v="Masculino"/>
    <x v="7"/>
    <x v="13"/>
    <s v="Vieiralves - 2 - Fisioterapia Neurológica - Pacote (R$ 45,00)"/>
    <s v="Fisioterapia Pélvica e Neurológica"/>
    <m/>
    <s v="Finalizado (3/10)"/>
    <n v="33.75"/>
    <n v="11.25"/>
    <n v="45"/>
    <s v="Pago"/>
    <s v="00"/>
    <n v="59598"/>
    <s v="Unidade Vieiralves"/>
    <m/>
    <m/>
  </r>
  <r>
    <x v="1"/>
    <x v="81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2/10)"/>
    <n v="28"/>
    <n v="7"/>
    <n v="35"/>
    <s v="Sessão Faturada"/>
    <s v="0801011513670017"/>
    <n v="56631"/>
    <s v="Unidade Vieiralves"/>
    <n v="9273997"/>
    <s v="GUIA ASSINADA"/>
  </r>
  <r>
    <x v="1"/>
    <x v="81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9/10)"/>
    <n v="28"/>
    <n v="7"/>
    <n v="35"/>
    <s v="Sessão Faturada"/>
    <s v="0901011170770099"/>
    <n v="54606"/>
    <s v="Unidade Vieiralves"/>
    <n v="8826149"/>
    <m/>
  </r>
  <r>
    <x v="1"/>
    <x v="13"/>
    <s v="Maria Basilia Ladeira Luniere"/>
    <s v="Feminino"/>
    <x v="7"/>
    <x v="13"/>
    <s v="Vieiralves - 3 - Fisioterapia Respiratória - Pacote (R$ 90,00)"/>
    <s v="Fisioterapia Pélvica e Neurológica"/>
    <n v="170687"/>
    <s v="Finalizado (2/10)"/>
    <n v="70.2"/>
    <n v="19.8"/>
    <n v="90"/>
    <s v="Pago"/>
    <s v="00"/>
    <n v="58820"/>
    <s v="Unidade Vieiralves"/>
    <n v="170687"/>
    <m/>
  </r>
  <r>
    <x v="1"/>
    <x v="26"/>
    <s v="Daniel Carvalho Castro"/>
    <s v="Masculino"/>
    <x v="2"/>
    <x v="13"/>
    <s v="20103492 - Fisioterapia - Patologia Em Dois Ou Mais Membros (R$ 14,83)"/>
    <s v="Fisioterapia Pélvica e Neurológica"/>
    <n v="1706513507"/>
    <s v="Finalizado (5/6)"/>
    <n v="11.864000000000001"/>
    <n v="2.9660000000000002"/>
    <n v="14.83"/>
    <s v="Sessão Faturada"/>
    <n v="960016866689030"/>
    <n v="58551"/>
    <s v="Unidade Vieiralves"/>
    <n v="1706513507"/>
    <m/>
  </r>
  <r>
    <x v="1"/>
    <x v="15"/>
    <s v="Daniel Carvalho Castro"/>
    <s v="Masculino"/>
    <x v="2"/>
    <x v="13"/>
    <s v="20103115 - Atividade Reflexa Cinesioterápica (R$ 20,81)"/>
    <s v="Fisioterapia Pélvica e Neurológica"/>
    <n v="1706514398"/>
    <s v="Finalizado (5/5)"/>
    <n v="16.648"/>
    <n v="4.1619999999999999"/>
    <n v="20.81"/>
    <s v="Sessão Faturada"/>
    <n v="960016866689030"/>
    <n v="58551"/>
    <s v="Unidade Vieiralves"/>
    <n v="1706514398"/>
    <m/>
  </r>
  <r>
    <x v="1"/>
    <x v="82"/>
    <s v="Aurora Calazans Binda Braulio Melo"/>
    <s v="Feminino"/>
    <x v="13"/>
    <x v="13"/>
    <s v="20103476 - Patologia Neurologica (R$ 28,22)"/>
    <s v="Fisioterapia Pélvica e Neurológica"/>
    <n v="13530711"/>
    <s v="Finalizado (6/10)"/>
    <n v="22.576000000000001"/>
    <n v="5.6440000000000001"/>
    <n v="28.22"/>
    <s v="Sessão Faturada"/>
    <s v="00010300020690030"/>
    <n v="54467"/>
    <s v="Unidade Vieiralves"/>
    <n v="13530711"/>
    <m/>
  </r>
  <r>
    <x v="1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7/8)"/>
    <n v="56.631999999999998"/>
    <n v="14.157999999999999"/>
    <n v="70.790000000000006"/>
    <s v="Sessão Faturada"/>
    <s v="0100568887030197"/>
    <n v="58133"/>
    <s v="Unidade Vieiralves"/>
    <n v="77542760"/>
    <m/>
  </r>
  <r>
    <x v="1"/>
    <x v="8"/>
    <s v="Davi Luís Vinente Alcantara"/>
    <s v="Masculino"/>
    <x v="6"/>
    <x v="13"/>
    <s v="20103476 - Patologia Neurologica (R$ 35,40)"/>
    <s v="Fisioterapia Pélvica e Neurológica"/>
    <n v="172631"/>
    <s v="Finalizado (1/10)"/>
    <n v="28.32"/>
    <n v="7.08"/>
    <n v="35.4"/>
    <s v="Sessão a Faturar"/>
    <s v="54588888018315590104"/>
    <n v="57469"/>
    <s v="Unidade Vieiralves"/>
    <n v="172631"/>
    <m/>
  </r>
  <r>
    <x v="1"/>
    <x v="34"/>
    <s v="Davi Luís Vinente Alcantara"/>
    <s v="Masculino"/>
    <x v="6"/>
    <x v="13"/>
    <s v="20103670 - Pos Operatorio Em Dois Ou Mais Membros (R$ 28,97)"/>
    <s v="Fisioterapia Pélvica e Neurológica"/>
    <n v="172701"/>
    <s v="Finalizado (1/10)"/>
    <n v="23.175999999999998"/>
    <n v="5.7939999999999996"/>
    <n v="28.97"/>
    <s v="Sessão a Faturar"/>
    <s v="54588888018315590104"/>
    <n v="57469"/>
    <s v="Unidade Vieiralves"/>
    <n v="172701"/>
    <m/>
  </r>
  <r>
    <x v="1"/>
    <x v="83"/>
    <s v="Michele Alves de Souza"/>
    <s v="Feminino"/>
    <x v="2"/>
    <x v="13"/>
    <s v="20103522 - Fisioterapia - Pac Com Dependencia de Vida Diária (R$ 23,59)"/>
    <s v="Fisioterapia Pélvica e Neurológica"/>
    <n v="1713644891"/>
    <s v="Finalizado (1/10)"/>
    <n v="18.872"/>
    <n v="4.718"/>
    <n v="23.59"/>
    <s v="Sessão a Faturar"/>
    <n v="953650003336010"/>
    <n v="18512"/>
    <s v="Unidade Vieiralves"/>
    <n v="1713644891"/>
    <m/>
  </r>
  <r>
    <x v="1"/>
    <x v="83"/>
    <s v="Igor Kalil Brito de Menezes"/>
    <s v="Masculino"/>
    <x v="8"/>
    <x v="13"/>
    <s v="50000144 - Consulta de Fisioterapia (R$ 51,42)"/>
    <s v="Fisioterapia Pélvica e Neurológica"/>
    <n v="1713641124"/>
    <s v="Finalizado (1/1)"/>
    <n v="46.277999999999999"/>
    <n v="5.1420000000000003"/>
    <n v="51.42"/>
    <s v="Sessão Faturada"/>
    <n v="954170010804010"/>
    <n v="59613"/>
    <s v="Unidade Vieiralves"/>
    <n v="1713641124"/>
    <m/>
  </r>
  <r>
    <x v="1"/>
    <x v="12"/>
    <s v="Igor Kalil Brito de Menezes"/>
    <s v="Masculino"/>
    <x v="8"/>
    <x v="13"/>
    <s v="20103514 - Patologia Em Diferentes Segmentos da Coluna (R$ 14,83)"/>
    <s v="Fisioterapia Pélvica e Neurológica"/>
    <n v="1713642190"/>
    <s v="Finalizado (1/10)"/>
    <n v="11.864000000000001"/>
    <n v="2.9660000000000002"/>
    <n v="14.83"/>
    <s v="Sessão a Faturar"/>
    <n v="954170010804010"/>
    <n v="59613"/>
    <s v="Unidade Vieiralves"/>
    <n v="1713642190"/>
    <m/>
  </r>
  <r>
    <x v="1"/>
    <x v="84"/>
    <s v="Magda Rejane Nogueira Miranda"/>
    <m/>
    <x v="29"/>
    <x v="13"/>
    <s v="31602185 - Estimulação Elétrica Transcutanea (R$ 87,74)"/>
    <s v="Fisioterapia Pélvica e Neurológica"/>
    <n v="1085540"/>
    <s v="Finalizado (7/10)"/>
    <n v="70.191999999999993"/>
    <n v="17.547999999999998"/>
    <n v="87.74"/>
    <s v="Sessão Faturada"/>
    <n v="130260032740010"/>
    <n v="54854"/>
    <s v="Unidade Vieiralves"/>
    <n v="1085540"/>
    <m/>
  </r>
  <r>
    <x v="1"/>
    <x v="84"/>
    <s v="Magda Rejane Nogueira Miranda"/>
    <m/>
    <x v="29"/>
    <x v="13"/>
    <s v="50000160 - Fisioterapia Ortopedica/Neurológica (R$ 33,00)"/>
    <s v="Fisioterapia Pélvica e Neurológica"/>
    <n v="1085520"/>
    <s v="Finalizado (6/10)"/>
    <n v="26.4"/>
    <n v="6.6"/>
    <n v="33"/>
    <s v="Sessão Faturada"/>
    <n v="130260032740010"/>
    <n v="54854"/>
    <s v="Unidade Vieiralves"/>
    <n v="1085520"/>
    <m/>
  </r>
  <r>
    <x v="2"/>
    <x v="22"/>
    <s v="André Viana Chaves"/>
    <s v="Masculino"/>
    <x v="2"/>
    <x v="13"/>
    <s v="20103662 - Fisioterapia - Pos Operatorio Em Um Membro (R$ 14,99)"/>
    <s v="Fisioterapia Pélvica e Neurológica"/>
    <n v="1709159061"/>
    <s v="Finalizado (5/5)"/>
    <n v="11.992000000000001"/>
    <n v="2.9980000000000002"/>
    <n v="14.99"/>
    <s v="Sessão Faturada"/>
    <n v="896489600019010"/>
    <n v="59551"/>
    <s v="Unidade Vieiralves"/>
    <n v="1709159061"/>
    <m/>
  </r>
  <r>
    <x v="2"/>
    <x v="22"/>
    <s v="Marlucia Rabelo de Souza"/>
    <m/>
    <x v="8"/>
    <x v="13"/>
    <s v="20103468 - Parkinson (R$ 12,22)"/>
    <s v="Fisioterapia Pélvica e Neurológica"/>
    <n v="1713475776"/>
    <s v="Finalizado (2/10)"/>
    <n v="9.7759999999999998"/>
    <n v="2.444"/>
    <n v="12.22"/>
    <s v="Sessão a Faturar"/>
    <n v="954600000671000"/>
    <n v="109"/>
    <s v="Unidade Vieiralves"/>
    <n v="1713475776"/>
    <m/>
  </r>
  <r>
    <x v="2"/>
    <x v="53"/>
    <s v="Rosa da Silva Freitas"/>
    <s v="Feminino"/>
    <x v="12"/>
    <x v="13"/>
    <s v="20103662 - Pos Operatorio Em Um Membro (R$ 14,99)"/>
    <s v="Fisioterapia Pélvica e Neurológica"/>
    <n v="169347"/>
    <s v="Finalizado (7/10)"/>
    <n v="11.992000000000001"/>
    <n v="2.9980000000000002"/>
    <n v="14.99"/>
    <s v="Sessão Faturada"/>
    <n v="9.5125181212225997E+17"/>
    <n v="55746"/>
    <s v="Unidade Vieiralves"/>
    <n v="169347"/>
    <m/>
  </r>
  <r>
    <x v="2"/>
    <x v="53"/>
    <s v="Marcelo Nogueira Dutra Monteiro"/>
    <s v="Masculino"/>
    <x v="1"/>
    <x v="13"/>
    <s v="50001078 - Fisioterapia Neurológica (R$ 35,00)"/>
    <s v="Fisioterapia Pélvica e Neurológica"/>
    <n v="9210531"/>
    <s v="Finalizado (6/10)"/>
    <n v="28"/>
    <n v="7"/>
    <n v="35"/>
    <s v="Sessão Faturada"/>
    <n v="2001014027620000"/>
    <n v="58817"/>
    <s v="Unidade Vieiralves"/>
    <n v="9210531"/>
    <m/>
  </r>
  <r>
    <x v="2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8/10)"/>
    <n v="28"/>
    <n v="7"/>
    <n v="35"/>
    <s v="Sessão Faturada"/>
    <s v="0901001475800024"/>
    <n v="59069"/>
    <s v="Unidade Vieiralves"/>
    <n v="9164912"/>
    <m/>
  </r>
  <r>
    <x v="2"/>
    <x v="81"/>
    <s v="Eduarda Silva Castilho"/>
    <s v="Feminino"/>
    <x v="2"/>
    <x v="13"/>
    <s v="20103670 - Fisioterapia - Pos Operatorio Em Dois Ou Mais Membros (R$ 19,30)"/>
    <s v="Fisioterapia Pélvica e Neurológica"/>
    <n v="1710848333"/>
    <s v="Finalizado (4/10)"/>
    <n v="15.44"/>
    <n v="3.86"/>
    <n v="19.3"/>
    <s v="Sessão a Faturar"/>
    <n v="771015041130020"/>
    <n v="45879"/>
    <s v="Unidade Vieiralves"/>
    <n v="1710848333"/>
    <m/>
  </r>
  <r>
    <x v="2"/>
    <x v="26"/>
    <s v="Andrielly Lima de Almeida"/>
    <s v="Feminino"/>
    <x v="7"/>
    <x v="13"/>
    <s v="Part Convenio - 10 - Fisioterapia Ortopédica- Pacote (R$ 50,00)"/>
    <s v="Fisioterapia Pélvica e Neurológica"/>
    <n v="170911"/>
    <s v="Finalizado (4/10)"/>
    <n v="37.5"/>
    <n v="12.5"/>
    <n v="50"/>
    <s v="Pago"/>
    <s v="00"/>
    <n v="59563"/>
    <s v="Unidade Vieiralves"/>
    <n v="170911"/>
    <m/>
  </r>
  <r>
    <x v="2"/>
    <x v="26"/>
    <s v="Marcos Vinícius Rocha Barbosa"/>
    <m/>
    <x v="8"/>
    <x v="13"/>
    <s v="20103522 - Fisioterapia - Pac Com Dependencia de Vida Diária (R$ 23,59)"/>
    <s v="Fisioterapia Pélvica e Neurológica"/>
    <n v="1712955426"/>
    <s v="Finalizado (2/10)"/>
    <n v="18.872"/>
    <n v="4.718"/>
    <n v="23.59"/>
    <s v="Sessão a Faturar"/>
    <n v="954600005150030"/>
    <n v="59421"/>
    <s v="Unidade Vieiralves"/>
    <n v="1712955426"/>
    <m/>
  </r>
  <r>
    <x v="2"/>
    <x v="82"/>
    <s v="Milena Horta Feitoza"/>
    <s v="Feminino"/>
    <x v="1"/>
    <x v="13"/>
    <s v="50000160 - Fisioterapia Ortopédica (R$ 20,00), 98980327 - Taxa de Eletroterapia (Tens) (R$ 15,00)"/>
    <s v="Fisioterapia Pélvica e Neurológica"/>
    <n v="9400466"/>
    <s v="Finalizado (1/10)"/>
    <n v="28"/>
    <n v="7"/>
    <n v="35"/>
    <s v="Sessão a Faturar"/>
    <n v="1901004652740100"/>
    <n v="56161"/>
    <s v="Unidade Vieiralves"/>
    <n v="9400466"/>
    <m/>
  </r>
  <r>
    <x v="2"/>
    <x v="8"/>
    <s v="Igor Kalil Brito de Menezes"/>
    <s v="Masculino"/>
    <x v="8"/>
    <x v="13"/>
    <s v="20103514 - Patologia Em Diferentes Segmentos da Coluna (R$ 14,83)"/>
    <s v="Fisioterapia Pélvica e Neurológica"/>
    <n v="1713642190"/>
    <s v="Finalizado (2/10)"/>
    <n v="11.864000000000001"/>
    <n v="2.9660000000000002"/>
    <n v="14.83"/>
    <s v="Sessão a Faturar"/>
    <n v="954170010804010"/>
    <n v="59613"/>
    <s v="Unidade Vieiralves"/>
    <n v="1713642190"/>
    <m/>
  </r>
  <r>
    <x v="2"/>
    <x v="8"/>
    <s v="Margarida Teixeira do Nascimento"/>
    <s v="Feminino"/>
    <x v="2"/>
    <x v="13"/>
    <s v="50000144 - Avaliação de Fisioterapia (R$ 51,42)"/>
    <s v="Fisioterapia Pélvica e Neurológica"/>
    <n v="1714235297"/>
    <s v="Finalizado (1/1)"/>
    <n v="46.277999999999999"/>
    <n v="5.1420000000000003"/>
    <n v="51.42"/>
    <s v="Sessão Faturada"/>
    <n v="952480013519000"/>
    <n v="59668"/>
    <s v="Unidade Vieiralves"/>
    <n v="1714235297"/>
    <m/>
  </r>
  <r>
    <x v="2"/>
    <x v="8"/>
    <s v="Margarida Teixeira do Nascimento"/>
    <s v="Feminino"/>
    <x v="2"/>
    <x v="13"/>
    <s v="20103514 - Fisioterapia - Patologia Em Diferentes Segmentos da Coluna (R$ 14,83)"/>
    <s v="Fisioterapia Pélvica e Neurológica"/>
    <n v="1714236069"/>
    <s v="Finalizado (1/10)"/>
    <n v="11.864000000000001"/>
    <n v="2.9660000000000002"/>
    <n v="14.83"/>
    <s v="Sessão a Faturar"/>
    <n v="952480013519000"/>
    <n v="59668"/>
    <s v="Unidade Vieiralves"/>
    <n v="1714236069"/>
    <m/>
  </r>
  <r>
    <x v="2"/>
    <x v="8"/>
    <s v="Margarida Teixeira do Nascimento"/>
    <s v="Feminino"/>
    <x v="2"/>
    <x v="13"/>
    <s v="20103522 - Fisioterapia - Pac Com Dependencia de Vida Diária (R$ 23,59)"/>
    <s v="Fisioterapia Pélvica e Neurológica"/>
    <n v="1714237206"/>
    <s v="Finalizado (1/10)"/>
    <n v="18.872"/>
    <n v="4.718"/>
    <n v="23.59"/>
    <s v="Sessão a Faturar"/>
    <n v="952480013519000"/>
    <n v="59668"/>
    <s v="Unidade Vieiralves"/>
    <n v="1714237206"/>
    <m/>
  </r>
  <r>
    <x v="2"/>
    <x v="83"/>
    <s v="Ayla Sofia Grijó dos Santos Tavares"/>
    <s v="Feminino"/>
    <x v="5"/>
    <x v="13"/>
    <s v="98860020 - Fisioterapia Neurologica - 04/03/2026 (R$ 70,79)"/>
    <s v="Fisioterapia Pélvica e Neurológica"/>
    <n v="77633240"/>
    <s v="Finalizado (4/10)"/>
    <n v="56.631999999999998"/>
    <n v="14.157999999999999"/>
    <n v="70.790000000000006"/>
    <s v="Sessão Faturada"/>
    <s v="0309795521020160"/>
    <n v="56720"/>
    <s v="Unidade Vieiralves"/>
    <n v="77633240"/>
    <m/>
  </r>
  <r>
    <x v="2"/>
    <x v="84"/>
    <s v="Sâmara Regina Rodrigues Santiago"/>
    <s v="Feminino"/>
    <x v="6"/>
    <x v="13"/>
    <s v="20103360 - Fisioterapia Respiratória (R$ 16,74)"/>
    <s v="Fisioterapia Pélvica e Neurológica"/>
    <n v="172226"/>
    <s v="Finalizado (1/10)"/>
    <n v="13.391999999999999"/>
    <n v="3.3479999999999999"/>
    <n v="16.739999999999998"/>
    <s v="Sessão a Faturar"/>
    <s v="54588888019468180024"/>
    <n v="59615"/>
    <s v="Unidade Vieiralves"/>
    <n v="172226"/>
    <m/>
  </r>
  <r>
    <x v="2"/>
    <x v="84"/>
    <s v="Sâmara Regina Rodrigues Santiago"/>
    <s v="Feminino"/>
    <x v="6"/>
    <x v="13"/>
    <s v="50000144 - Avaliação de Fisioterapia (R$ 56,52)"/>
    <s v="Fisioterapia Pélvica e Neurológica"/>
    <n v="7700047287"/>
    <s v="Finalizado (1/1)"/>
    <n v="50.868000000000002"/>
    <n v="5.6520000000000001"/>
    <n v="56.52"/>
    <s v="Sessão Faturada"/>
    <s v="54588888019468180024"/>
    <n v="59615"/>
    <s v="Unidade Vieiralves"/>
    <n v="7700047287"/>
    <m/>
  </r>
  <r>
    <x v="3"/>
    <x v="53"/>
    <s v="André Viana Chaves"/>
    <s v="Masculino"/>
    <x v="2"/>
    <x v="13"/>
    <s v="20103662 - Fisioterapia - Pos Operatorio Em Um Membro (R$ 14,99)"/>
    <s v="Fisioterapia Pélvica e Neurológica"/>
    <n v="1714648161"/>
    <s v="Finalizado (1/1)"/>
    <n v="11.992000000000001"/>
    <n v="2.9980000000000002"/>
    <n v="14.99"/>
    <s v="Sessão a Faturar"/>
    <n v="896489600019010"/>
    <n v="59551"/>
    <s v="Unidade Vieiralves"/>
    <n v="1714648161"/>
    <m/>
  </r>
  <r>
    <x v="3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4/10)"/>
    <n v="9.7759999999999998"/>
    <n v="2.444"/>
    <n v="12.22"/>
    <s v="Sessão Faturada"/>
    <n v="774510000094010"/>
    <n v="59495"/>
    <s v="Unidade Vieiralves"/>
    <n v="1706991298"/>
    <m/>
  </r>
  <r>
    <x v="3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4/10)"/>
    <n v="18.872"/>
    <n v="4.718"/>
    <n v="23.59"/>
    <s v="Sessão Faturada"/>
    <n v="774510000094010"/>
    <n v="59495"/>
    <s v="Unidade Vieiralves"/>
    <n v="1707019628"/>
    <m/>
  </r>
  <r>
    <x v="3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9/10)"/>
    <n v="28"/>
    <n v="7"/>
    <n v="35"/>
    <s v="Sessão Faturada"/>
    <s v="0901001475800024"/>
    <n v="59069"/>
    <s v="Unidade Vieiralves"/>
    <n v="9164912"/>
    <m/>
  </r>
  <r>
    <x v="3"/>
    <x v="26"/>
    <s v="Otávio Augusto Nogueira Waldmann"/>
    <m/>
    <x v="1"/>
    <x v="13"/>
    <s v="50001078 - Fisioterapia Neurológica (R$ 35,00)"/>
    <s v="Fisioterapia Pélvica e Neurológica"/>
    <n v="9143958"/>
    <s v="Finalizado (5/5)"/>
    <n v="28"/>
    <n v="7"/>
    <n v="35"/>
    <s v="Sessão Faturada"/>
    <n v="1901012850050200"/>
    <n v="58059"/>
    <s v="Unidade Vieiralves"/>
    <n v="9143958"/>
    <m/>
  </r>
  <r>
    <x v="3"/>
    <x v="82"/>
    <s v="Aurora Calazans Binda Braulio Melo"/>
    <s v="Feminino"/>
    <x v="13"/>
    <x v="13"/>
    <s v="20103476 - Patologia Neurologica (R$ 28,22)"/>
    <s v="Fisioterapia Pélvica e Neurológica"/>
    <n v="13530711"/>
    <s v="Finalizado (7/10)"/>
    <n v="22.576000000000001"/>
    <n v="5.6440000000000001"/>
    <n v="28.22"/>
    <s v="Sessão Faturada"/>
    <s v="00010300020690030"/>
    <n v="54467"/>
    <s v="Unidade Vieiralves"/>
    <n v="13530711"/>
    <m/>
  </r>
  <r>
    <x v="3"/>
    <x v="8"/>
    <s v="Davi Luís Vinente Alcantara"/>
    <s v="Masculino"/>
    <x v="6"/>
    <x v="13"/>
    <s v="20103476 - Patologia Neurologica (R$ 35,40)"/>
    <s v="Fisioterapia Pélvica e Neurológica"/>
    <n v="172631"/>
    <s v="Finalizado (2/10)"/>
    <n v="28.32"/>
    <n v="7.08"/>
    <n v="35.4"/>
    <s v="Sessão a Faturar"/>
    <s v="54588888018315590104"/>
    <n v="57469"/>
    <s v="Unidade Vieiralves"/>
    <n v="172631"/>
    <m/>
  </r>
  <r>
    <x v="3"/>
    <x v="34"/>
    <s v="Davi Luís Vinente Alcantara"/>
    <s v="Masculino"/>
    <x v="6"/>
    <x v="13"/>
    <s v="20103670 - Pos Operatorio Em Dois Ou Mais Membros (R$ 28,97)"/>
    <s v="Fisioterapia Pélvica e Neurológica"/>
    <n v="172701"/>
    <s v="Finalizado (2/10)"/>
    <n v="23.175999999999998"/>
    <n v="5.7939999999999996"/>
    <n v="28.97"/>
    <s v="Sessão a Faturar"/>
    <s v="54588888018315590104"/>
    <n v="57469"/>
    <s v="Unidade Vieiralves"/>
    <n v="172701"/>
    <m/>
  </r>
  <r>
    <x v="3"/>
    <x v="83"/>
    <s v="Vicente Gabriel Lima Melo"/>
    <s v="Masculino"/>
    <x v="6"/>
    <x v="13"/>
    <s v="20103484 - Patologia Em Um Membro (R$ 14,16)"/>
    <s v="Fisioterapia Pélvica e Neurológica"/>
    <n v="170389"/>
    <s v="Finalizado (6/10)"/>
    <n v="11.327999999999999"/>
    <n v="2.8319999999999999"/>
    <n v="14.16"/>
    <s v="Sessão a Faturar"/>
    <s v="56788888488763750101"/>
    <n v="56312"/>
    <s v="Unidade Vieiralves"/>
    <n v="170389"/>
    <m/>
  </r>
  <r>
    <x v="3"/>
    <x v="83"/>
    <s v="Michele Alves de Souza"/>
    <s v="Feminino"/>
    <x v="2"/>
    <x v="13"/>
    <s v="20103522 - Fisioterapia - Pac Com Dependencia de Vida Diária (R$ 23,59)"/>
    <s v="Fisioterapia Pélvica e Neurológica"/>
    <n v="1713644891"/>
    <s v="Finalizado (2/10)"/>
    <n v="18.872"/>
    <n v="4.718"/>
    <n v="23.59"/>
    <s v="Sessão a Faturar"/>
    <n v="953650003336010"/>
    <n v="18512"/>
    <s v="Unidade Vieiralves"/>
    <n v="1713644891"/>
    <m/>
  </r>
  <r>
    <x v="3"/>
    <x v="12"/>
    <s v="Vicente Gabriel Lima Melo"/>
    <s v="Masculino"/>
    <x v="6"/>
    <x v="13"/>
    <s v="20103476 - Patologia Neurologica (R$ 35,40)"/>
    <s v="Fisioterapia Pélvica e Neurológica"/>
    <n v="170387"/>
    <s v="Finalizado (6/10)"/>
    <n v="28.32"/>
    <n v="7.08"/>
    <n v="35.4"/>
    <s v="Sessão a Faturar"/>
    <s v="56788888488763750101"/>
    <n v="56312"/>
    <s v="Unidade Vieiralves"/>
    <n v="170387"/>
    <m/>
  </r>
  <r>
    <x v="3"/>
    <x v="84"/>
    <s v="Igor Kalil Brito de Menezes"/>
    <s v="Masculino"/>
    <x v="8"/>
    <x v="13"/>
    <s v="20103514 - Patologia Em Diferentes Segmentos da Coluna (R$ 14,83)"/>
    <s v="Fisioterapia Pélvica e Neurológica"/>
    <n v="1713642190"/>
    <s v="Finalizado (3/10)"/>
    <n v="11.864000000000001"/>
    <n v="2.9660000000000002"/>
    <n v="14.83"/>
    <s v="Sessão a Faturar"/>
    <n v="954170010804010"/>
    <n v="59613"/>
    <s v="Unidade Vieiralves"/>
    <n v="1713642190"/>
    <m/>
  </r>
  <r>
    <x v="4"/>
    <x v="22"/>
    <s v="Marcelo Nogueira Dutra Monteiro"/>
    <s v="Masculino"/>
    <x v="1"/>
    <x v="13"/>
    <s v="50001078 - Fisioterapia Neurológica (R$ 35,00)"/>
    <s v="Fisioterapia Pélvica e Neurológica"/>
    <n v="9210531"/>
    <s v="Finalizado (7/10)"/>
    <n v="28"/>
    <n v="7"/>
    <n v="35"/>
    <s v="Sessão Faturada"/>
    <n v="2001014027620000"/>
    <n v="58817"/>
    <s v="Unidade Vieiralves"/>
    <n v="9210531"/>
    <m/>
  </r>
  <r>
    <x v="4"/>
    <x v="53"/>
    <s v="Milena Horta Feitoza"/>
    <s v="Feminino"/>
    <x v="1"/>
    <x v="13"/>
    <s v="50000160 - Fisioterapia Ortopédica (R$ 20,00), 98980327 - Taxa de Eletroterapia (Tens) (R$ 15,00)"/>
    <s v="Fisioterapia Pélvica e Neurológica"/>
    <n v="9400466"/>
    <s v="Finalizado (2/10)"/>
    <n v="28"/>
    <n v="7"/>
    <n v="35"/>
    <s v="Sessão a Faturar"/>
    <n v="1901004652740100"/>
    <n v="56161"/>
    <s v="Unidade Vieiralves"/>
    <n v="9400466"/>
    <m/>
  </r>
  <r>
    <x v="4"/>
    <x v="53"/>
    <s v="Creuza Roberto de Lima"/>
    <s v="Feminino"/>
    <x v="1"/>
    <x v="13"/>
    <s v="50000160 - Fisioterapia Ortopédica (R$ 20,00), 98980327 - Taxa de Eletroterapia (Tens) (R$ 15,00)"/>
    <s v="Fisioterapia Pélvica e Neurológica"/>
    <n v="8826149"/>
    <s v="Finalizado (10/10)"/>
    <n v="28"/>
    <n v="7"/>
    <n v="35"/>
    <s v="Sessão Faturada"/>
    <s v="0901011170770099"/>
    <n v="54606"/>
    <s v="Unidade Vieiralves"/>
    <n v="8826149"/>
    <m/>
  </r>
  <r>
    <x v="4"/>
    <x v="81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3/10)"/>
    <n v="28"/>
    <n v="7"/>
    <n v="35"/>
    <s v="Sessão Faturada"/>
    <s v="0801011513670017"/>
    <n v="56631"/>
    <s v="Unidade Vieiralves"/>
    <n v="9273997"/>
    <s v="GUIA ASSINADA"/>
  </r>
  <r>
    <x v="4"/>
    <x v="81"/>
    <s v="Maria Basilia Ladeira Luniere"/>
    <s v="Feminino"/>
    <x v="7"/>
    <x v="13"/>
    <s v="Vieiralves - 3 - Fisioterapia Respiratória - Pacote (R$ 90,00)"/>
    <s v="Fisioterapia Pélvica e Neurológica"/>
    <n v="170687"/>
    <s v="Finalizado (3/10)"/>
    <n v="70.2"/>
    <n v="19.8"/>
    <n v="90"/>
    <s v="Pago"/>
    <s v="00"/>
    <n v="58820"/>
    <s v="Unidade Vieiralves"/>
    <n v="170687"/>
    <m/>
  </r>
  <r>
    <x v="4"/>
    <x v="13"/>
    <s v="Naomi Marie Suzuki Mendonça"/>
    <m/>
    <x v="5"/>
    <x v="13"/>
    <s v="98860020 - Fisioterapia Neurologica - 04/03/2026 (R$ 70,79)"/>
    <s v="Fisioterapia Pélvica e Neurológica"/>
    <n v="76265840"/>
    <s v="Não compareceu (4/10)"/>
    <n v="70.790000000000006"/>
    <n v="0"/>
    <n v="70.790000000000006"/>
    <s v="Sessão Faturada"/>
    <s v="0101144014020111"/>
    <n v="56646"/>
    <s v="Unidade Vieiralves"/>
    <n v="76265840"/>
    <m/>
  </r>
  <r>
    <x v="4"/>
    <x v="13"/>
    <s v="Maria Helena Maximino de Freitas"/>
    <s v="Feminino"/>
    <x v="1"/>
    <x v="13"/>
    <s v="50001078 - Fisioterapia Neurológica (R$ 35,00)"/>
    <s v="Fisioterapia Pélvica e Neurológica"/>
    <n v="9345564"/>
    <s v="Finalizado (1/10)"/>
    <n v="28"/>
    <n v="7"/>
    <n v="35"/>
    <s v="Sessão a Faturar"/>
    <n v="1101013447190500"/>
    <n v="58939"/>
    <s v="Unidade Vieiralves"/>
    <n v="9345564"/>
    <m/>
  </r>
  <r>
    <x v="4"/>
    <x v="26"/>
    <s v="André Lucas Guimarães do Nascimento Lemos"/>
    <s v="Masculino"/>
    <x v="1"/>
    <x v="13"/>
    <s v="50000160 - Fisioterapia Ortopédica (R$ 20,00), 98980327 - Taxa de Eletroterapia (Tens) (R$ 15,00)"/>
    <s v="Fisioterapia Pélvica e Neurológica"/>
    <n v="9467955"/>
    <s v="Finalizado (1/10)"/>
    <n v="28"/>
    <n v="7"/>
    <n v="35"/>
    <s v="Sessão a Faturar"/>
    <s v="0901004027170200"/>
    <n v="54847"/>
    <s v="Unidade Vieiralves"/>
    <n v="9467955"/>
    <m/>
  </r>
  <r>
    <x v="4"/>
    <x v="82"/>
    <s v="Irene Souza dos Santos"/>
    <s v="Feminino"/>
    <x v="1"/>
    <x v="13"/>
    <s v="50000160 - Fisioterapia Ortopédica (R$ 20,00), 98980327 - Taxa de Eletroterapia (Tens) (R$ 15,00)"/>
    <s v="Fisioterapia Pélvica e Neurológica"/>
    <n v="9035979"/>
    <s v="Finalizado (7/10)"/>
    <n v="28"/>
    <n v="7"/>
    <n v="35"/>
    <s v="Sessão Faturada"/>
    <n v="2001013584300100"/>
    <n v="55833"/>
    <s v="Unidade Vieiralves"/>
    <n v="9035979"/>
    <m/>
  </r>
  <r>
    <x v="4"/>
    <x v="8"/>
    <s v="Margarida Teixeira do Nascimento"/>
    <s v="Feminino"/>
    <x v="2"/>
    <x v="13"/>
    <s v="20103514 - Fisioterapia - Patologia Em Diferentes Segmentos da Coluna (R$ 14,83)"/>
    <s v="Fisioterapia Pélvica e Neurológica"/>
    <n v="1714236069"/>
    <s v="Finalizado (2/10)"/>
    <n v="11.864000000000001"/>
    <n v="2.9660000000000002"/>
    <n v="14.83"/>
    <s v="Sessão a Faturar"/>
    <n v="952480013519000"/>
    <n v="59668"/>
    <s v="Unidade Vieiralves"/>
    <n v="1714236069"/>
    <m/>
  </r>
  <r>
    <x v="4"/>
    <x v="34"/>
    <s v="Margarida Teixeira do Nascimento"/>
    <s v="Feminino"/>
    <x v="2"/>
    <x v="13"/>
    <s v="20103522 - Fisioterapia - Pac Com Dependencia de Vida Diária (R$ 23,59)"/>
    <s v="Fisioterapia Pélvica e Neurológica"/>
    <n v="1714237206"/>
    <s v="Finalizado (2/10)"/>
    <n v="18.872"/>
    <n v="4.718"/>
    <n v="23.59"/>
    <s v="Sessão a Faturar"/>
    <n v="952480013519000"/>
    <n v="59668"/>
    <s v="Unidade Vieiralves"/>
    <n v="1714237206"/>
    <m/>
  </r>
  <r>
    <x v="5"/>
    <x v="22"/>
    <s v="Cirilo de Paula Bezerra"/>
    <s v="Masculino"/>
    <x v="0"/>
    <x v="13"/>
    <s v="50000160 - Fisioterapia Ortopedica (R$ 49,72)"/>
    <s v="Fisioterapia Pélvica e Neurológica"/>
    <s v="42263120260225348910"/>
    <s v="Finalizado (7/10)"/>
    <n v="39.776000000000003"/>
    <n v="9.9440000000000008"/>
    <n v="49.72"/>
    <s v="Sessão Faturada"/>
    <s v="010033494000"/>
    <n v="50241"/>
    <s v="Unidade Vieiralves"/>
    <s v="42263120260225348910"/>
    <m/>
  </r>
  <r>
    <x v="5"/>
    <x v="23"/>
    <s v="Cirilo de Paula Bezerra"/>
    <s v="Masculino"/>
    <x v="0"/>
    <x v="13"/>
    <s v="50000713 - Fisioterapia Neurológica e Respiratória (R$ 35,49)"/>
    <s v="Fisioterapia Pélvica e Neurológica"/>
    <s v="42263120260225348777"/>
    <s v="Finalizado (9/10)"/>
    <n v="28.391999999999999"/>
    <n v="7.0979999999999999"/>
    <n v="35.49"/>
    <s v="Sessão Faturada"/>
    <s v="010033494000"/>
    <n v="50241"/>
    <s v="Unidade Vieiralves"/>
    <s v="42263120260225348777"/>
    <m/>
  </r>
  <r>
    <x v="5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6/10)"/>
    <n v="43.304000000000002"/>
    <n v="10.826000000000001"/>
    <n v="54.13"/>
    <s v="Sessão Faturada"/>
    <s v="010033494000"/>
    <n v="50241"/>
    <s v="Unidade Vieiralves"/>
    <s v="42263120260225348956"/>
    <m/>
  </r>
  <r>
    <x v="5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6/10)"/>
    <n v="9.7759999999999998"/>
    <n v="2.444"/>
    <n v="12.22"/>
    <s v="Sessão Faturada"/>
    <n v="774510000094010"/>
    <n v="59495"/>
    <s v="Unidade Vieiralves"/>
    <n v="1706991298"/>
    <m/>
  </r>
  <r>
    <x v="5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6/10)"/>
    <n v="18.872"/>
    <n v="4.718"/>
    <n v="23.59"/>
    <s v="Sessão Faturada"/>
    <n v="774510000094010"/>
    <n v="59495"/>
    <s v="Unidade Vieiralves"/>
    <n v="1707019628"/>
    <m/>
  </r>
  <r>
    <x v="5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164912"/>
    <s v="Finalizado (10/10)"/>
    <n v="28"/>
    <n v="7"/>
    <n v="35"/>
    <s v="Sessão Faturada"/>
    <s v="0901001475800024"/>
    <n v="59069"/>
    <s v="Unidade Vieiralves"/>
    <n v="9164912"/>
    <m/>
  </r>
  <r>
    <x v="5"/>
    <x v="81"/>
    <s v="Milena Horta Feitoza"/>
    <s v="Feminino"/>
    <x v="1"/>
    <x v="13"/>
    <s v="50000160 - Fisioterapia Ortopédica (R$ 20,00), 98980327 - Taxa de Eletroterapia (Tens) (R$ 15,00)"/>
    <s v="Fisioterapia Pélvica e Neurológica"/>
    <n v="9400466"/>
    <s v="Finalizado (3/10)"/>
    <n v="28"/>
    <n v="7"/>
    <n v="35"/>
    <s v="Sessão a Faturar"/>
    <n v="1901004652740100"/>
    <n v="56161"/>
    <s v="Unidade Vieiralves"/>
    <n v="9400466"/>
    <m/>
  </r>
  <r>
    <x v="5"/>
    <x v="13"/>
    <s v="Fernando Liborio Caranha Lima"/>
    <s v="Masculino"/>
    <x v="5"/>
    <x v="13"/>
    <s v="98860020 - Fisioterapia Complexidade 2 - 04/03/2026 (R$ 70,79)"/>
    <s v="Fisioterapia Pélvica e Neurológica"/>
    <n v="77496000"/>
    <s v="Finalizado (3/10)"/>
    <n v="56.631999999999998"/>
    <n v="14.157999999999999"/>
    <n v="70.790000000000006"/>
    <s v="Sessão Faturada"/>
    <s v="0100791349050357"/>
    <n v="58089"/>
    <s v="Unidade Vieiralves"/>
    <n v="77496000"/>
    <m/>
  </r>
  <r>
    <x v="5"/>
    <x v="13"/>
    <s v="Marcelo Nogueira Dutra Monteiro"/>
    <s v="Masculino"/>
    <x v="1"/>
    <x v="13"/>
    <s v="50001078 - Fisioterapia Neurológica (R$ 35,00)"/>
    <s v="Fisioterapia Pélvica e Neurológica"/>
    <n v="9210531"/>
    <s v="Finalizado (8/10)"/>
    <n v="28"/>
    <n v="7"/>
    <n v="35"/>
    <s v="Sessão Faturada"/>
    <n v="2001014027620000"/>
    <n v="58817"/>
    <s v="Unidade Vieiralves"/>
    <n v="9210531"/>
    <m/>
  </r>
  <r>
    <x v="5"/>
    <x v="26"/>
    <s v="Maria Helena Maximino de Freitas"/>
    <s v="Feminino"/>
    <x v="1"/>
    <x v="13"/>
    <s v="50001078 - Fisioterapia Neurológica (R$ 35,00)"/>
    <s v="Fisioterapia Pélvica e Neurológica"/>
    <n v="9345564"/>
    <s v="Finalizado (2/10)"/>
    <n v="28"/>
    <n v="7"/>
    <n v="35"/>
    <s v="Sessão a Faturar"/>
    <n v="1101013447190500"/>
    <n v="58939"/>
    <s v="Unidade Vieiralves"/>
    <n v="9345564"/>
    <m/>
  </r>
  <r>
    <x v="5"/>
    <x v="26"/>
    <s v="André Lucas Guimarães do Nascimento Lemos"/>
    <s v="Masculino"/>
    <x v="1"/>
    <x v="13"/>
    <s v="50000160 - Fisioterapia Ortopédica (R$ 20,00), 98980327 - Taxa de Eletroterapia (Tens) (R$ 15,00)"/>
    <s v="Fisioterapia Pélvica e Neurológica"/>
    <n v="9467955"/>
    <s v="Finalizado (2/10)"/>
    <n v="28"/>
    <n v="7"/>
    <n v="35"/>
    <s v="Sessão a Faturar"/>
    <s v="0901004027170200"/>
    <n v="54847"/>
    <s v="Unidade Vieiralves"/>
    <n v="9467955"/>
    <m/>
  </r>
  <r>
    <x v="5"/>
    <x v="82"/>
    <s v="Ayla Zoeh Nogueira Prudente"/>
    <s v="Feminino"/>
    <x v="5"/>
    <x v="13"/>
    <s v="98860020 - Fisioterapia Complexidade 2 - 04/03/2026 (R$ 70,79)"/>
    <s v="Fisioterapia Pélvica e Neurológica"/>
    <n v="77542760"/>
    <s v="Finalizado (8/8)"/>
    <n v="56.631999999999998"/>
    <n v="14.157999999999999"/>
    <n v="70.790000000000006"/>
    <s v="Sessão Faturada"/>
    <s v="0100568887030197"/>
    <n v="58133"/>
    <s v="Unidade Vieiralves"/>
    <n v="77542760"/>
    <m/>
  </r>
  <r>
    <x v="5"/>
    <x v="8"/>
    <s v="Igor Kalil Brito de Menezes"/>
    <s v="Masculino"/>
    <x v="8"/>
    <x v="13"/>
    <s v="20103514 - Patologia Em Diferentes Segmentos da Coluna (R$ 14,83)"/>
    <s v="Fisioterapia Pélvica e Neurológica"/>
    <n v="1713642190"/>
    <s v="Finalizado (4/10)"/>
    <n v="11.864000000000001"/>
    <n v="2.9660000000000002"/>
    <n v="14.83"/>
    <s v="Sessão a Faturar"/>
    <n v="954170010804010"/>
    <n v="59613"/>
    <s v="Unidade Vieiralves"/>
    <n v="1713642190"/>
    <m/>
  </r>
  <r>
    <x v="5"/>
    <x v="83"/>
    <s v="Fernando da Silva Passos"/>
    <s v="Masculino"/>
    <x v="2"/>
    <x v="13"/>
    <s v="20103522 - Fisioterapia - Pac Com Dependencia de Vida Diária (R$ 23,59)"/>
    <s v="Fisioterapia Pélvica e Neurológica"/>
    <n v="1709251782"/>
    <s v="Finalizado (4/7)"/>
    <n v="18.872"/>
    <n v="4.718"/>
    <n v="23.59"/>
    <s v="Sessão a Faturar"/>
    <n v="894245300060000"/>
    <n v="55116"/>
    <s v="Unidade Vieiralves"/>
    <n v="1709251782"/>
    <m/>
  </r>
  <r>
    <x v="5"/>
    <x v="83"/>
    <s v="Vicente Gabriel Lima Melo"/>
    <s v="Masculino"/>
    <x v="6"/>
    <x v="13"/>
    <s v="20103484 - Patologia Em Um Membro (R$ 14,16)"/>
    <s v="Fisioterapia Pélvica e Neurológica"/>
    <n v="170389"/>
    <s v="Finalizado (7/10)"/>
    <n v="11.327999999999999"/>
    <n v="2.8319999999999999"/>
    <n v="14.16"/>
    <s v="Sessão a Faturar"/>
    <s v="56788888488763750101"/>
    <n v="56312"/>
    <s v="Unidade Vieiralves"/>
    <n v="170389"/>
    <m/>
  </r>
  <r>
    <x v="5"/>
    <x v="12"/>
    <s v="Fernando da Silva Passos"/>
    <s v="Masculino"/>
    <x v="2"/>
    <x v="13"/>
    <s v="20103662 - Fisioterapia - Pos Operatorio Em Um Membro (R$ 14,99)"/>
    <s v="Fisioterapia Pélvica e Neurológica"/>
    <n v="1709251254"/>
    <s v="Finalizado (4/7)"/>
    <n v="11.992000000000001"/>
    <n v="2.9980000000000002"/>
    <n v="14.99"/>
    <s v="Sessão a Faturar"/>
    <n v="894245300060000"/>
    <n v="55116"/>
    <s v="Unidade Vieiralves"/>
    <n v="1709251254"/>
    <m/>
  </r>
  <r>
    <x v="5"/>
    <x v="12"/>
    <s v="Vicente Gabriel Lima Melo"/>
    <s v="Masculino"/>
    <x v="6"/>
    <x v="13"/>
    <s v="20103476 - Patologia Neurologica (R$ 35,40)"/>
    <s v="Fisioterapia Pélvica e Neurológica"/>
    <n v="170387"/>
    <s v="Finalizado (7/10)"/>
    <n v="28.32"/>
    <n v="7.08"/>
    <n v="35.4"/>
    <s v="Sessão a Faturar"/>
    <s v="56788888488763750101"/>
    <n v="56312"/>
    <s v="Unidade Vieiralves"/>
    <n v="170387"/>
    <m/>
  </r>
  <r>
    <x v="5"/>
    <x v="84"/>
    <s v="Sâmara Regina Rodrigues Santiago"/>
    <s v="Feminino"/>
    <x v="6"/>
    <x v="13"/>
    <s v="20103360 - Fisioterapia Respiratória (R$ 16,74)"/>
    <s v="Fisioterapia Pélvica e Neurológica"/>
    <n v="172226"/>
    <s v="Finalizado (3/10)"/>
    <n v="13.391999999999999"/>
    <n v="3.3479999999999999"/>
    <n v="16.739999999999998"/>
    <s v="Sessão a Faturar"/>
    <s v="54588888019468180024"/>
    <n v="59615"/>
    <s v="Unidade Vieiralves"/>
    <n v="172226"/>
    <m/>
  </r>
  <r>
    <x v="6"/>
    <x v="22"/>
    <s v="Marlucia Rabelo de Souza"/>
    <m/>
    <x v="8"/>
    <x v="13"/>
    <s v="20103468 - Parkinson (R$ 12,22)"/>
    <s v="Fisioterapia Pélvica e Neurológica"/>
    <n v="1713475776"/>
    <s v="Finalizado (3/10)"/>
    <n v="9.7759999999999998"/>
    <n v="2.444"/>
    <n v="12.22"/>
    <s v="Sessão a Faturar"/>
    <n v="954600000671000"/>
    <n v="109"/>
    <s v="Unidade Vieiralves"/>
    <n v="1713475776"/>
    <m/>
  </r>
  <r>
    <x v="6"/>
    <x v="53"/>
    <s v="Bryan Maranhão Lima"/>
    <s v="Masculino"/>
    <x v="7"/>
    <x v="13"/>
    <s v="Vieiralves - 2 - Fisioterapia Neurológica - Pacote (R$ 45,00)"/>
    <s v="Fisioterapia Pélvica e Neurológica"/>
    <m/>
    <s v="Finalizado (4/10)"/>
    <n v="33.75"/>
    <n v="11.25"/>
    <n v="45"/>
    <s v="Pago"/>
    <s v="00"/>
    <n v="59598"/>
    <s v="Unidade Vieiralves"/>
    <m/>
    <m/>
  </r>
  <r>
    <x v="6"/>
    <x v="81"/>
    <s v="João Moisés Oliveira"/>
    <s v="Masculino"/>
    <x v="1"/>
    <x v="13"/>
    <s v="50000144 - Consulta de Fisioterapia (R$ 16,00)"/>
    <s v="Fisioterapia Pélvica e Neurológica"/>
    <n v="9519979"/>
    <s v="Finalizado (1/1)"/>
    <n v="14.4"/>
    <n v="1.6"/>
    <n v="16"/>
    <s v="Sessão Faturada"/>
    <n v="1101013633170200"/>
    <n v="59707"/>
    <s v="Unidade Vieiralves"/>
    <n v="9519979"/>
    <m/>
  </r>
  <r>
    <x v="6"/>
    <x v="81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4/10)"/>
    <n v="28"/>
    <n v="7"/>
    <n v="35"/>
    <s v="Sessão Faturada"/>
    <s v="0801011513670017"/>
    <n v="56631"/>
    <s v="Unidade Vieiralves"/>
    <n v="9273997"/>
    <s v="GUIA ASSINADA"/>
  </r>
  <r>
    <x v="6"/>
    <x v="81"/>
    <s v="João Moisés Oliveira"/>
    <s v="Masculino"/>
    <x v="1"/>
    <x v="13"/>
    <s v="50001078 - Fisioterapia Neurológica (R$ 35,00)"/>
    <s v="Fisioterapia Pélvica e Neurológica"/>
    <n v="9521838"/>
    <s v="Finalizado (1/10)"/>
    <n v="28"/>
    <n v="7"/>
    <n v="35"/>
    <s v="Sessão a Faturar"/>
    <n v="1101013633170200"/>
    <n v="59707"/>
    <s v="Unidade Vieiralves"/>
    <n v="9521838"/>
    <m/>
  </r>
  <r>
    <x v="6"/>
    <x v="13"/>
    <s v="Maria Basilia Ladeira Luniere"/>
    <s v="Feminino"/>
    <x v="7"/>
    <x v="13"/>
    <s v="Vieiralves - 3 - Fisioterapia Respiratória - Pacote (R$ 90,00)"/>
    <s v="Fisioterapia Pélvica e Neurológica"/>
    <n v="170687"/>
    <s v="Finalizado (4/10)"/>
    <n v="70.2"/>
    <n v="19.8"/>
    <n v="90"/>
    <s v="Pago"/>
    <s v="00"/>
    <n v="58820"/>
    <s v="Unidade Vieiralves"/>
    <n v="170687"/>
    <m/>
  </r>
  <r>
    <x v="6"/>
    <x v="26"/>
    <s v="Raimunda Sidney de Souza Cavalcanti"/>
    <s v="Feminino"/>
    <x v="1"/>
    <x v="13"/>
    <s v="50000160 - Fisioterapia Ortopédica (R$ 20,00), 98980327 - Taxa de Eletroterapia (Tens) (R$ 15,00)"/>
    <s v="Fisioterapia Pélvica e Neurológica"/>
    <n v="9524346"/>
    <s v="Finalizado (1/10)"/>
    <n v="28"/>
    <n v="7"/>
    <n v="35"/>
    <s v="Sessão a Faturar"/>
    <n v="901002717130010"/>
    <n v="54607"/>
    <s v="Unidade Vieiralves"/>
    <n v="9524346"/>
    <m/>
  </r>
  <r>
    <x v="6"/>
    <x v="26"/>
    <s v="Saulo Franca Costa"/>
    <m/>
    <x v="1"/>
    <x v="13"/>
    <s v="50000144 - Consulta de Fisioterapia (R$ 16,00)"/>
    <s v="Fisioterapia Pélvica e Neurológica"/>
    <n v="9523236"/>
    <s v="Finalizado (1/1)"/>
    <n v="14.4"/>
    <n v="1.6"/>
    <n v="16"/>
    <s v="Sessão Faturada"/>
    <s v="0901013598180192"/>
    <n v="59743"/>
    <s v="Unidade Vieiralves"/>
    <n v="9523236"/>
    <m/>
  </r>
  <r>
    <x v="6"/>
    <x v="82"/>
    <s v="Daniel Carvalho Castro"/>
    <s v="Masculino"/>
    <x v="2"/>
    <x v="13"/>
    <s v="20103492 - Fisioterapia - Patologia Em Dois Ou Mais Membros (R$ 14,83)"/>
    <s v="Fisioterapia Pélvica e Neurológica"/>
    <n v="1706513507"/>
    <s v="Finalizado (6/6)"/>
    <n v="11.864000000000001"/>
    <n v="2.9660000000000002"/>
    <n v="14.83"/>
    <s v="Sessão Faturada"/>
    <n v="960016866689030"/>
    <n v="58551"/>
    <s v="Unidade Vieiralves"/>
    <n v="1706513507"/>
    <m/>
  </r>
  <r>
    <x v="6"/>
    <x v="8"/>
    <s v="Aurora Calazans Binda Braulio Melo"/>
    <s v="Feminino"/>
    <x v="13"/>
    <x v="13"/>
    <s v="20103476 - Patologia Neurologica (R$ 28,22)"/>
    <s v="Fisioterapia Pélvica e Neurológica"/>
    <n v="13530711"/>
    <s v="Finalizado (8/10)"/>
    <n v="22.576000000000001"/>
    <n v="5.6440000000000001"/>
    <n v="28.22"/>
    <s v="Sessão Faturada"/>
    <s v="00010300020690030"/>
    <n v="54467"/>
    <s v="Unidade Vieiralves"/>
    <n v="13530711"/>
    <m/>
  </r>
  <r>
    <x v="6"/>
    <x v="8"/>
    <s v="Margarida Teixeira do Nascimento"/>
    <s v="Feminino"/>
    <x v="2"/>
    <x v="13"/>
    <s v="20103514 - Fisioterapia - Patologia Em Diferentes Segmentos da Coluna (R$ 14,83)"/>
    <s v="Fisioterapia Pélvica e Neurológica"/>
    <n v="1714236069"/>
    <s v="Finalizado (3/10)"/>
    <n v="11.864000000000001"/>
    <n v="2.9660000000000002"/>
    <n v="14.83"/>
    <s v="Sessão a Faturar"/>
    <n v="952480013519000"/>
    <n v="59668"/>
    <s v="Unidade Vieiralves"/>
    <n v="1714236069"/>
    <m/>
  </r>
  <r>
    <x v="6"/>
    <x v="34"/>
    <s v="Margarida Teixeira do Nascimento"/>
    <s v="Feminino"/>
    <x v="2"/>
    <x v="13"/>
    <s v="20103522 - Fisioterapia - Pac Com Dependencia de Vida Diária (R$ 23,59)"/>
    <s v="Fisioterapia Pélvica e Neurológica"/>
    <n v="1714237206"/>
    <s v="Finalizado (3/10)"/>
    <n v="18.872"/>
    <n v="4.718"/>
    <n v="23.59"/>
    <s v="Sessão a Faturar"/>
    <n v="952480013519000"/>
    <n v="59668"/>
    <s v="Unidade Vieiralves"/>
    <n v="1714237206"/>
    <m/>
  </r>
  <r>
    <x v="6"/>
    <x v="83"/>
    <s v="Michele Alves de Souza"/>
    <s v="Feminino"/>
    <x v="2"/>
    <x v="13"/>
    <s v="20103522 - Fisioterapia - Pac Com Dependencia de Vida Diária (R$ 23,59)"/>
    <s v="Fisioterapia Pélvica e Neurológica"/>
    <n v="1713644891"/>
    <s v="Finalizado (3/10)"/>
    <n v="18.872"/>
    <n v="4.718"/>
    <n v="23.59"/>
    <s v="Sessão a Faturar"/>
    <n v="953650003336010"/>
    <n v="18512"/>
    <s v="Unidade Vieiralves"/>
    <n v="1713644891"/>
    <m/>
  </r>
  <r>
    <x v="6"/>
    <x v="83"/>
    <s v="Igor Kalil Brito de Menezes"/>
    <s v="Masculino"/>
    <x v="8"/>
    <x v="13"/>
    <s v="20103514 - Patologia Em Diferentes Segmentos da Coluna (R$ 14,83)"/>
    <s v="Fisioterapia Pélvica e Neurológica"/>
    <n v="1713642190"/>
    <s v="Finalizado (5/10)"/>
    <n v="11.864000000000001"/>
    <n v="2.9660000000000002"/>
    <n v="14.83"/>
    <s v="Sessão a Faturar"/>
    <n v="954170010804010"/>
    <n v="59613"/>
    <s v="Unidade Vieiralves"/>
    <n v="1713642190"/>
    <m/>
  </r>
  <r>
    <x v="6"/>
    <x v="84"/>
    <s v="Sâmara Regina Rodrigues Santiago"/>
    <s v="Feminino"/>
    <x v="6"/>
    <x v="13"/>
    <s v="20103360 - Fisioterapia Respiratória (R$ 16,74)"/>
    <s v="Fisioterapia Pélvica e Neurológica"/>
    <n v="172226"/>
    <s v="Finalizado (4/10)"/>
    <n v="13.391999999999999"/>
    <n v="3.3479999999999999"/>
    <n v="16.739999999999998"/>
    <s v="Sessão a Faturar"/>
    <s v="54588888019468180024"/>
    <n v="59615"/>
    <s v="Unidade Vieiralves"/>
    <n v="172226"/>
    <m/>
  </r>
  <r>
    <x v="6"/>
    <x v="84"/>
    <s v="Magda Rejane Nogueira Miranda"/>
    <m/>
    <x v="29"/>
    <x v="13"/>
    <s v="50000160 - Fisioterapia Ortopedica/Neurológica (R$ 33,00)"/>
    <s v="Fisioterapia Pélvica e Neurológica"/>
    <n v="1085520"/>
    <s v="Finalizado (7/10)"/>
    <n v="26.4"/>
    <n v="6.6"/>
    <n v="33"/>
    <s v="Sessão Faturada"/>
    <n v="130260032740010"/>
    <n v="54854"/>
    <s v="Unidade Vieiralves"/>
    <n v="1085520"/>
    <m/>
  </r>
  <r>
    <x v="6"/>
    <x v="85"/>
    <s v="Magda Rejane Nogueira Miranda"/>
    <m/>
    <x v="29"/>
    <x v="13"/>
    <s v="31602185 - Estimulação Elétrica Transcutanea (R$ 87,74)"/>
    <s v="Fisioterapia Pélvica e Neurológica"/>
    <n v="1085540"/>
    <s v="Finalizado (8/10)"/>
    <n v="70.191999999999993"/>
    <n v="17.547999999999998"/>
    <n v="87.74"/>
    <s v="Sessão Faturada"/>
    <n v="130260032740010"/>
    <n v="54854"/>
    <s v="Unidade Vieiralves"/>
    <n v="1085540"/>
    <m/>
  </r>
  <r>
    <x v="7"/>
    <x v="22"/>
    <s v="Candida Maria Tinôco Moraes de Oliveira"/>
    <s v="Feminino"/>
    <x v="2"/>
    <x v="13"/>
    <s v="20103220 - Fisioterapia Respiratória (R$ 12,22)"/>
    <s v="Fisioterapia Pélvica e Neurológica"/>
    <n v="1706991298"/>
    <s v="Finalizado (7/10)"/>
    <n v="9.7759999999999998"/>
    <n v="2.444"/>
    <n v="12.22"/>
    <s v="Sessão Faturada"/>
    <n v="774510000094010"/>
    <n v="59495"/>
    <s v="Unidade Vieiralves"/>
    <n v="1706991298"/>
    <m/>
  </r>
  <r>
    <x v="7"/>
    <x v="22"/>
    <s v="Marlucia Rabelo de Souza"/>
    <m/>
    <x v="8"/>
    <x v="13"/>
    <s v="20103468 - Parkinson (R$ 12,22)"/>
    <s v="Fisioterapia Pélvica e Neurológica"/>
    <n v="1713475776"/>
    <s v="Finalizado (4/10)"/>
    <n v="9.7759999999999998"/>
    <n v="2.444"/>
    <n v="12.22"/>
    <s v="Sessão a Faturar"/>
    <n v="954600000671000"/>
    <n v="109"/>
    <s v="Unidade Vieiralves"/>
    <n v="1713475776"/>
    <m/>
  </r>
  <r>
    <x v="7"/>
    <x v="88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7/10)"/>
    <n v="18.872"/>
    <n v="4.718"/>
    <n v="23.59"/>
    <s v="Sessão Faturada"/>
    <n v="774510000094010"/>
    <n v="59495"/>
    <s v="Unidade Vieiralves"/>
    <n v="1707019628"/>
    <m/>
  </r>
  <r>
    <x v="7"/>
    <x v="53"/>
    <s v="Rosa da Silva Freitas"/>
    <s v="Feminino"/>
    <x v="12"/>
    <x v="13"/>
    <s v="20103662 - Pos Operatorio Em Um Membro (R$ 14,99)"/>
    <s v="Fisioterapia Pélvica e Neurológica"/>
    <n v="169347"/>
    <s v="Finalizado (8/10)"/>
    <n v="11.992000000000001"/>
    <n v="2.9980000000000002"/>
    <n v="14.99"/>
    <s v="Sessão Faturada"/>
    <n v="9.5125181212225997E+17"/>
    <n v="55746"/>
    <s v="Unidade Vieiralves"/>
    <n v="169347"/>
    <m/>
  </r>
  <r>
    <x v="7"/>
    <x v="53"/>
    <s v="Milena Horta Feitoza"/>
    <s v="Feminino"/>
    <x v="1"/>
    <x v="13"/>
    <s v="50000160 - Fisioterapia Ortopédica (R$ 20,00), 98980327 - Taxa de Eletroterapia (Tens) (R$ 15,00)"/>
    <s v="Fisioterapia Pélvica e Neurológica"/>
    <n v="9400466"/>
    <s v="Finalizado (4/10)"/>
    <n v="28"/>
    <n v="7"/>
    <n v="35"/>
    <s v="Sessão a Faturar"/>
    <n v="1901004652740100"/>
    <n v="56161"/>
    <s v="Unidade Vieiralves"/>
    <n v="9400466"/>
    <m/>
  </r>
  <r>
    <x v="7"/>
    <x v="81"/>
    <s v="Marcelo Nogueira Dutra Monteiro"/>
    <s v="Masculino"/>
    <x v="1"/>
    <x v="13"/>
    <s v="50001078 - Fisioterapia Neurológica (R$ 35,00)"/>
    <s v="Fisioterapia Pélvica e Neurológica"/>
    <n v="9210531"/>
    <s v="Finalizado (9/10)"/>
    <n v="28"/>
    <n v="7"/>
    <n v="35"/>
    <s v="Sessão Faturada"/>
    <n v="2001014027620000"/>
    <n v="58817"/>
    <s v="Unidade Vieiralves"/>
    <n v="9210531"/>
    <m/>
  </r>
  <r>
    <x v="7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500253"/>
    <s v="Finalizado (1/10)"/>
    <n v="28"/>
    <n v="7"/>
    <n v="35"/>
    <s v="Sessão a Faturar"/>
    <s v="0901001475800024"/>
    <n v="59069"/>
    <s v="Unidade Vieiralves"/>
    <n v="9500253"/>
    <m/>
  </r>
  <r>
    <x v="7"/>
    <x v="13"/>
    <s v="Paulo Pereira da Costa"/>
    <s v="Masculino"/>
    <x v="6"/>
    <x v="13"/>
    <s v="20103360 - Fisioterapia Respiratória (R$ 16,74)"/>
    <s v="Fisioterapia Pélvica e Neurológica"/>
    <n v="170164"/>
    <s v="Não compareceu (6/8)"/>
    <n v="16.739999999999998"/>
    <n v="0"/>
    <n v="16.739999999999998"/>
    <s v="Sessão a Faturar"/>
    <s v="54588888018315470010"/>
    <n v="59048"/>
    <s v="Unidade Vieiralves"/>
    <n v="170164"/>
    <m/>
  </r>
  <r>
    <x v="7"/>
    <x v="26"/>
    <s v="Maria Helena Maximino de Freitas"/>
    <s v="Feminino"/>
    <x v="1"/>
    <x v="13"/>
    <s v="50001078 - Fisioterapia Neurológica (R$ 35,00)"/>
    <s v="Fisioterapia Pélvica e Neurológica"/>
    <n v="9345564"/>
    <s v="Finalizado (3/10)"/>
    <n v="28"/>
    <n v="7"/>
    <n v="35"/>
    <s v="Sessão a Faturar"/>
    <n v="1101013447190500"/>
    <n v="58939"/>
    <s v="Unidade Vieiralves"/>
    <n v="9345564"/>
    <m/>
  </r>
  <r>
    <x v="7"/>
    <x v="82"/>
    <s v="Andrielly Lima de Almeida"/>
    <s v="Feminino"/>
    <x v="7"/>
    <x v="13"/>
    <s v="Part Convenio - 10 - Fisioterapia Ortopédica- Pacote (R$ 50,00)"/>
    <s v="Fisioterapia Pélvica e Neurológica"/>
    <n v="170911"/>
    <s v="Finalizado (5/10)"/>
    <n v="37.5"/>
    <n v="12.5"/>
    <n v="50"/>
    <s v="Pago"/>
    <s v="00"/>
    <n v="59563"/>
    <s v="Unidade Vieiralves"/>
    <n v="170911"/>
    <m/>
  </r>
  <r>
    <x v="7"/>
    <x v="8"/>
    <s v="Davi Luís Vinente Alcantara"/>
    <s v="Masculino"/>
    <x v="6"/>
    <x v="13"/>
    <s v="20103476 - Patologia Neurologica (R$ 35,40)"/>
    <s v="Fisioterapia Pélvica e Neurológica"/>
    <n v="172631"/>
    <s v="Finalizado (3/10)"/>
    <n v="28.32"/>
    <n v="7.08"/>
    <n v="35.4"/>
    <s v="Sessão a Faturar"/>
    <s v="54588888018315590104"/>
    <n v="57469"/>
    <s v="Unidade Vieiralves"/>
    <n v="172631"/>
    <m/>
  </r>
  <r>
    <x v="7"/>
    <x v="34"/>
    <s v="Davi Luís Vinente Alcantara"/>
    <s v="Masculino"/>
    <x v="6"/>
    <x v="13"/>
    <s v="20103670 - Pos Operatorio Em Dois Ou Mais Membros (R$ 28,97)"/>
    <s v="Fisioterapia Pélvica e Neurológica"/>
    <n v="172701"/>
    <s v="Finalizado (3/10)"/>
    <n v="23.175999999999998"/>
    <n v="5.7939999999999996"/>
    <n v="28.97"/>
    <s v="Sessão a Faturar"/>
    <s v="54588888018315590104"/>
    <n v="57469"/>
    <s v="Unidade Vieiralves"/>
    <n v="172701"/>
    <m/>
  </r>
  <r>
    <x v="7"/>
    <x v="83"/>
    <s v="Igor Kalil Brito de Menezes"/>
    <s v="Masculino"/>
    <x v="8"/>
    <x v="13"/>
    <s v="20103514 - Patologia Em Diferentes Segmentos da Coluna (R$ 14,83)"/>
    <s v="Fisioterapia Pélvica e Neurológica"/>
    <n v="1713642190"/>
    <s v="Finalizado (6/10)"/>
    <n v="11.864000000000001"/>
    <n v="2.9660000000000002"/>
    <n v="14.83"/>
    <s v="Sessão a Faturar"/>
    <n v="954170010804010"/>
    <n v="59613"/>
    <s v="Unidade Vieiralves"/>
    <n v="1713642190"/>
    <m/>
  </r>
  <r>
    <x v="7"/>
    <x v="84"/>
    <s v="Sâmara Regina Rodrigues Santiago"/>
    <s v="Feminino"/>
    <x v="6"/>
    <x v="13"/>
    <s v="20103360 - Fisioterapia Respiratória (R$ 16,74)"/>
    <s v="Fisioterapia Pélvica e Neurológica"/>
    <n v="172226"/>
    <s v="Finalizado (5/10)"/>
    <n v="13.391999999999999"/>
    <n v="3.3479999999999999"/>
    <n v="16.739999999999998"/>
    <s v="Sessão a Faturar"/>
    <s v="54588888019468180024"/>
    <n v="59615"/>
    <s v="Unidade Vieiralves"/>
    <n v="172226"/>
    <m/>
  </r>
  <r>
    <x v="8"/>
    <x v="22"/>
    <s v="Saulo Franca Costa"/>
    <m/>
    <x v="1"/>
    <x v="13"/>
    <s v="50001078 - Fisioterapia Neurológica (R$ 35,00)"/>
    <s v="Fisioterapia Pélvica e Neurológica"/>
    <n v="9523589"/>
    <s v="Finalizado (1/10)"/>
    <n v="28"/>
    <n v="7"/>
    <n v="35"/>
    <s v="Sessão a Faturar"/>
    <s v="0901013598180192"/>
    <n v="59743"/>
    <s v="Unidade Vieiralves"/>
    <n v="9523589"/>
    <m/>
  </r>
  <r>
    <x v="8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8/10)"/>
    <n v="9.7759999999999998"/>
    <n v="2.444"/>
    <n v="12.22"/>
    <s v="Sessão Faturada"/>
    <n v="774510000094010"/>
    <n v="59495"/>
    <s v="Unidade Vieiralves"/>
    <n v="1706991298"/>
    <m/>
  </r>
  <r>
    <x v="8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8/10)"/>
    <n v="18.872"/>
    <n v="4.718"/>
    <n v="23.59"/>
    <s v="Sessão Faturada"/>
    <n v="774510000094010"/>
    <n v="59495"/>
    <s v="Unidade Vieiralves"/>
    <n v="1707019628"/>
    <m/>
  </r>
  <r>
    <x v="8"/>
    <x v="81"/>
    <s v="Maria Das Graças Pereira Bastos"/>
    <s v="Feminino"/>
    <x v="1"/>
    <x v="13"/>
    <s v="50000160 - Fisioterapia Ortopédica (R$ 20,00), 98980327 - Taxa de Eletroterapia (Tens) (R$ 15,00)"/>
    <s v="Fisioterapia Pélvica e Neurológica"/>
    <n v="9500253"/>
    <s v="Finalizado (2/10)"/>
    <n v="28"/>
    <n v="7"/>
    <n v="35"/>
    <s v="Sessão a Faturar"/>
    <s v="0901001475800024"/>
    <n v="59069"/>
    <s v="Unidade Vieiralves"/>
    <n v="9500253"/>
    <m/>
  </r>
  <r>
    <x v="8"/>
    <x v="13"/>
    <s v="Paulo Pereira da Costa"/>
    <s v="Masculino"/>
    <x v="6"/>
    <x v="13"/>
    <s v="20103360 - Fisioterapia Respiratória (R$ 16,74)"/>
    <s v="Fisioterapia Pélvica e Neurológica"/>
    <n v="170164"/>
    <s v="Não compareceu (7/8)"/>
    <n v="16.739999999999998"/>
    <n v="0"/>
    <n v="16.739999999999998"/>
    <s v="Sessão a Faturar"/>
    <s v="54588888018315470010"/>
    <n v="59048"/>
    <s v="Unidade Vieiralves"/>
    <n v="170164"/>
    <m/>
  </r>
  <r>
    <x v="8"/>
    <x v="13"/>
    <s v="João Moisés Oliveira"/>
    <s v="Masculino"/>
    <x v="1"/>
    <x v="13"/>
    <s v="50001078 - Fisioterapia Neurológica (R$ 35,00)"/>
    <s v="Fisioterapia Pélvica e Neurológica"/>
    <n v="9521838"/>
    <s v="Finalizado (2/10)"/>
    <n v="28"/>
    <n v="7"/>
    <n v="35"/>
    <s v="Sessão a Faturar"/>
    <n v="1101013633170200"/>
    <n v="59707"/>
    <s v="Unidade Vieiralves"/>
    <n v="9521838"/>
    <m/>
  </r>
  <r>
    <x v="8"/>
    <x v="26"/>
    <s v="Magda Rejane Nogueira Miranda"/>
    <m/>
    <x v="29"/>
    <x v="13"/>
    <s v="50000160 - Fisioterapia Ortopedica/Neurológica (R$ 33,00)"/>
    <s v="Fisioterapia Pélvica e Neurológica"/>
    <n v="1085520"/>
    <s v="Finalizado (8/10)"/>
    <n v="26.4"/>
    <n v="6.6"/>
    <n v="33"/>
    <s v="Sessão Faturada"/>
    <n v="130260032740010"/>
    <n v="54854"/>
    <s v="Unidade Vieiralves"/>
    <n v="1085520"/>
    <m/>
  </r>
  <r>
    <x v="8"/>
    <x v="26"/>
    <s v="Ednelza Vieira da Silva"/>
    <s v="Feminino"/>
    <x v="10"/>
    <x v="13"/>
    <s v="50000160 - Fisioterapia Ortopédica (R$ 15,00)"/>
    <s v="Fisioterapia Pélvica e Neurológica"/>
    <s v="08337226032645195001"/>
    <s v="Finalizado (1/10)"/>
    <n v="12"/>
    <n v="3"/>
    <n v="15"/>
    <s v="Sessão a Faturar"/>
    <s v="00010064272004007"/>
    <n v="46675"/>
    <s v="Unidade Vieiralves"/>
    <s v="08337226032645195001"/>
    <m/>
  </r>
  <r>
    <x v="8"/>
    <x v="15"/>
    <s v="Magda Rejane Nogueira Miranda"/>
    <m/>
    <x v="29"/>
    <x v="13"/>
    <s v="31602185 - Estimulação Elétrica Transcutanea (R$ 87,74)"/>
    <s v="Fisioterapia Pélvica e Neurológica"/>
    <n v="1085540"/>
    <s v="Finalizado (9/10)"/>
    <n v="70.191999999999993"/>
    <n v="17.547999999999998"/>
    <n v="87.74"/>
    <s v="Sessão Faturada"/>
    <n v="130260032740010"/>
    <n v="54854"/>
    <s v="Unidade Vieiralves"/>
    <n v="1085540"/>
    <m/>
  </r>
  <r>
    <x v="8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6/7)"/>
    <n v="11.864000000000001"/>
    <n v="2.9660000000000002"/>
    <n v="14.83"/>
    <s v="Sessão Faturada"/>
    <n v="774438016047020"/>
    <n v="45558"/>
    <s v="Unidade Vieiralves"/>
    <n v="1705931508"/>
    <m/>
  </r>
  <r>
    <x v="8"/>
    <x v="82"/>
    <s v="Aurora Calazans Binda Braulio Melo"/>
    <s v="Feminino"/>
    <x v="13"/>
    <x v="13"/>
    <s v="20103476 - Patologia Neurologica (R$ 28,22)"/>
    <s v="Fisioterapia Pélvica e Neurológica"/>
    <n v="13530711"/>
    <s v="Finalizado (9/10)"/>
    <n v="22.576000000000001"/>
    <n v="5.6440000000000001"/>
    <n v="28.22"/>
    <s v="Sessão Faturada"/>
    <s v="00010300020690030"/>
    <n v="54467"/>
    <s v="Unidade Vieiralves"/>
    <n v="13530711"/>
    <m/>
  </r>
  <r>
    <x v="8"/>
    <x v="8"/>
    <s v="Ayumi de Senna Silva"/>
    <s v="Feminino"/>
    <x v="6"/>
    <x v="13"/>
    <s v="20103506 - Patologia Em Um Segmento da Coluna - 29/01/2026 (R$ 17,61)"/>
    <s v="Fisioterapia Pélvica e Neurológica"/>
    <n v="171250"/>
    <s v="Finalizado (3/10)"/>
    <n v="14.087999999999999"/>
    <n v="3.5219999999999998"/>
    <n v="17.61"/>
    <s v="Sessão a Faturar"/>
    <s v="51588888463858150017"/>
    <n v="22238"/>
    <s v="Unidade Vieiralves"/>
    <n v="171250"/>
    <m/>
  </r>
  <r>
    <x v="8"/>
    <x v="9"/>
    <s v="Ayumi de Senna Silva"/>
    <s v="Feminino"/>
    <x v="6"/>
    <x v="13"/>
    <s v="20103360 - Fisioterapia Respiratória (R$ 16,74)"/>
    <s v="Fisioterapia Pélvica e Neurológica"/>
    <n v="173091"/>
    <s v="Finalizado (1/1)"/>
    <n v="13.391999999999999"/>
    <n v="3.3479999999999999"/>
    <n v="16.739999999999998"/>
    <s v="Sessão a Faturar"/>
    <s v="51588888463858150017"/>
    <n v="22238"/>
    <s v="Unidade Vieiralves"/>
    <n v="173091"/>
    <s v="Guia assinada!"/>
  </r>
  <r>
    <x v="8"/>
    <x v="10"/>
    <s v="Ayumi de Senna Silva"/>
    <s v="Feminino"/>
    <x v="6"/>
    <x v="13"/>
    <s v="20103476 - Patologia Neurologica (R$ 35,40)"/>
    <s v="Fisioterapia Pélvica e Neurológica"/>
    <n v="168647"/>
    <s v="Finalizado (4/10)"/>
    <n v="28.32"/>
    <n v="7.08"/>
    <n v="35.4"/>
    <s v="Sessão Faturada"/>
    <s v="51588888463858150017"/>
    <n v="22238"/>
    <s v="Unidade Vieiralves"/>
    <n v="168647"/>
    <m/>
  </r>
  <r>
    <x v="8"/>
    <x v="83"/>
    <s v="Michele Alves de Souza"/>
    <s v="Feminino"/>
    <x v="2"/>
    <x v="13"/>
    <s v="20103522 - Fisioterapia - Pac Com Dependencia de Vida Diária (R$ 23,59)"/>
    <s v="Fisioterapia Pélvica e Neurológica"/>
    <n v="1713644891"/>
    <s v="Finalizado (4/10)"/>
    <n v="18.872"/>
    <n v="4.718"/>
    <n v="23.59"/>
    <s v="Sessão a Faturar"/>
    <n v="953650003336010"/>
    <n v="18512"/>
    <s v="Unidade Vieiralves"/>
    <n v="1713644891"/>
    <m/>
  </r>
  <r>
    <x v="8"/>
    <x v="83"/>
    <s v="Igor Kalil Brito de Menezes"/>
    <s v="Masculino"/>
    <x v="8"/>
    <x v="13"/>
    <s v="20103514 - Patologia Em Diferentes Segmentos da Coluna (R$ 14,83)"/>
    <s v="Fisioterapia Pélvica e Neurológica"/>
    <n v="1713642190"/>
    <s v="Finalizado (7/10)"/>
    <n v="11.864000000000001"/>
    <n v="2.9660000000000002"/>
    <n v="14.83"/>
    <s v="Sessão a Faturar"/>
    <n v="954170010804010"/>
    <n v="59613"/>
    <s v="Unidade Vieiralves"/>
    <n v="1713642190"/>
    <m/>
  </r>
  <r>
    <x v="8"/>
    <x v="84"/>
    <s v="Sâmara Regina Rodrigues Santiago"/>
    <s v="Feminino"/>
    <x v="6"/>
    <x v="13"/>
    <s v="20103360 - Fisioterapia Respiratória (R$ 16,74)"/>
    <s v="Fisioterapia Pélvica e Neurológica"/>
    <n v="172226"/>
    <s v="Finalizado (6/10)"/>
    <n v="13.391999999999999"/>
    <n v="3.3479999999999999"/>
    <n v="16.739999999999998"/>
    <s v="Sessão a Faturar"/>
    <s v="54588888019468180024"/>
    <n v="59615"/>
    <s v="Unidade Vieiralves"/>
    <n v="172226"/>
    <m/>
  </r>
  <r>
    <x v="8"/>
    <x v="84"/>
    <s v="Vicente Gabriel Lima Melo"/>
    <s v="Masculino"/>
    <x v="6"/>
    <x v="13"/>
    <s v="20103484 - Patologia Em Um Membro (R$ 14,16)"/>
    <s v="Fisioterapia Pélvica e Neurológica"/>
    <n v="170389"/>
    <s v="Finalizado (8/10)"/>
    <n v="11.327999999999999"/>
    <n v="2.8319999999999999"/>
    <n v="14.16"/>
    <s v="Sessão a Faturar"/>
    <s v="56788888488763750101"/>
    <n v="56312"/>
    <s v="Unidade Vieiralves"/>
    <n v="170389"/>
    <m/>
  </r>
  <r>
    <x v="8"/>
    <x v="85"/>
    <s v="Vicente Gabriel Lima Melo"/>
    <s v="Masculino"/>
    <x v="6"/>
    <x v="13"/>
    <s v="20103476 - Patologia Neurologica (R$ 35,40)"/>
    <s v="Fisioterapia Pélvica e Neurológica"/>
    <n v="170387"/>
    <s v="Finalizado (8/10)"/>
    <n v="28.32"/>
    <n v="7.08"/>
    <n v="35.4"/>
    <s v="Sessão a Faturar"/>
    <s v="56788888488763750101"/>
    <n v="56312"/>
    <s v="Unidade Vieiralves"/>
    <n v="170387"/>
    <m/>
  </r>
  <r>
    <x v="9"/>
    <x v="22"/>
    <s v="Marcelo Nogueira Dutra Monteiro"/>
    <s v="Masculino"/>
    <x v="1"/>
    <x v="13"/>
    <s v="50001078 - Fisioterapia Neurológica (R$ 35,00)"/>
    <s v="Fisioterapia Pélvica e Neurológica"/>
    <n v="9210531"/>
    <s v="Finalizado (10/10)"/>
    <n v="28"/>
    <n v="7"/>
    <n v="35"/>
    <s v="Sessão Faturada"/>
    <n v="2001014027620000"/>
    <n v="58817"/>
    <s v="Unidade Vieiralves"/>
    <n v="9210531"/>
    <m/>
  </r>
  <r>
    <x v="9"/>
    <x v="53"/>
    <s v="Cirilo de Paula Bezerra"/>
    <s v="Masculino"/>
    <x v="0"/>
    <x v="13"/>
    <s v="50000160 - Fisioterapia Ortopedica (R$ 49,72)"/>
    <s v="Fisioterapia Pélvica e Neurológica"/>
    <s v="42263120260225348910"/>
    <s v="Não compareceu (8/10)"/>
    <n v="49.72"/>
    <n v="0"/>
    <n v="49.72"/>
    <s v="Sessão Faturada"/>
    <s v="010033494000"/>
    <n v="50241"/>
    <s v="Unidade Vieiralves"/>
    <s v="42263120260225348910"/>
    <m/>
  </r>
  <r>
    <x v="9"/>
    <x v="80"/>
    <s v="Cirilo de Paula Bezerra"/>
    <s v="Masculino"/>
    <x v="0"/>
    <x v="13"/>
    <s v="50000713 - Fisioterapia Neurológica e Respiratória (R$ 35,49)"/>
    <s v="Fisioterapia Pélvica e Neurológica"/>
    <s v="42263120260225348777"/>
    <s v="Não compareceu (10/10)"/>
    <n v="35.49"/>
    <n v="0"/>
    <n v="35.49"/>
    <s v="Sessão Faturada"/>
    <s v="010033494000"/>
    <n v="50241"/>
    <s v="Unidade Vieiralves"/>
    <s v="42263120260225348777"/>
    <m/>
  </r>
  <r>
    <x v="9"/>
    <x v="56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Não compareceu (7/10)"/>
    <n v="54.13"/>
    <n v="0"/>
    <n v="54.13"/>
    <s v="Sessão Faturada"/>
    <s v="010033494000"/>
    <n v="50241"/>
    <s v="Unidade Vieiralves"/>
    <s v="42263120260225348956"/>
    <m/>
  </r>
  <r>
    <x v="9"/>
    <x v="81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5/10)"/>
    <n v="28"/>
    <n v="7"/>
    <n v="35"/>
    <s v="Sessão Faturada"/>
    <s v="0801011513670017"/>
    <n v="56631"/>
    <s v="Unidade Vieiralves"/>
    <n v="9273997"/>
    <s v="GUIA ASSINADA"/>
  </r>
  <r>
    <x v="9"/>
    <x v="13"/>
    <s v="Paulo Pereira da Costa"/>
    <s v="Masculino"/>
    <x v="6"/>
    <x v="13"/>
    <s v="20103360 - Fisioterapia Respiratória (R$ 16,74)"/>
    <s v="Fisioterapia Pélvica e Neurológica"/>
    <n v="170164"/>
    <s v="Não compareceu (8/8)"/>
    <n v="16.739999999999998"/>
    <n v="0"/>
    <n v="16.739999999999998"/>
    <s v="Sessão a Faturar"/>
    <s v="54588888018315470010"/>
    <n v="59048"/>
    <s v="Unidade Vieiralves"/>
    <n v="170164"/>
    <m/>
  </r>
  <r>
    <x v="9"/>
    <x v="26"/>
    <s v="Maria Helena Maximino de Freitas"/>
    <s v="Feminino"/>
    <x v="1"/>
    <x v="13"/>
    <s v="50001078 - Fisioterapia Neurológica (R$ 35,00)"/>
    <s v="Fisioterapia Pélvica e Neurológica"/>
    <n v="9345564"/>
    <s v="Finalizado (4/10)"/>
    <n v="28"/>
    <n v="7"/>
    <n v="35"/>
    <s v="Sessão a Faturar"/>
    <n v="1101013447190500"/>
    <n v="58939"/>
    <s v="Unidade Vieiralves"/>
    <n v="9345564"/>
    <m/>
  </r>
  <r>
    <x v="9"/>
    <x v="26"/>
    <s v="André Lucas Guimarães do Nascimento Lemos"/>
    <s v="Masculino"/>
    <x v="1"/>
    <x v="13"/>
    <s v="50000160 - Fisioterapia Ortopédica (R$ 20,00), 98980327 - Taxa de Eletroterapia (Tens) (R$ 15,00)"/>
    <s v="Fisioterapia Pélvica e Neurológica"/>
    <n v="9467955"/>
    <s v="Finalizado (3/10)"/>
    <n v="28"/>
    <n v="7"/>
    <n v="35"/>
    <s v="Sessão a Faturar"/>
    <s v="0901004027170200"/>
    <n v="54847"/>
    <s v="Unidade Vieiralves"/>
    <n v="9467955"/>
    <m/>
  </r>
  <r>
    <x v="9"/>
    <x v="82"/>
    <s v="Ednelza Vieira da Silva"/>
    <s v="Feminino"/>
    <x v="10"/>
    <x v="13"/>
    <s v="50000160 - Fisioterapia Ortopédica (R$ 15,00)"/>
    <s v="Fisioterapia Pélvica e Neurológica"/>
    <s v="08337226032645195001"/>
    <s v="Finalizado (2/10)"/>
    <n v="12"/>
    <n v="3"/>
    <n v="15"/>
    <s v="Sessão a Faturar"/>
    <s v="00010064272004007"/>
    <n v="46675"/>
    <s v="Unidade Vieiralves"/>
    <s v="08337226032645195001"/>
    <m/>
  </r>
  <r>
    <x v="9"/>
    <x v="82"/>
    <s v="Andrielly Lima de Almeida"/>
    <s v="Feminino"/>
    <x v="7"/>
    <x v="13"/>
    <s v="Part Convenio - 10 - Fisioterapia Ortopédica- Pacote (R$ 50,00)"/>
    <s v="Fisioterapia Pélvica e Neurológica"/>
    <n v="170911"/>
    <s v="Finalizado (6/10)"/>
    <n v="37.5"/>
    <n v="12.5"/>
    <n v="50"/>
    <s v="Pago"/>
    <s v="00"/>
    <n v="59563"/>
    <s v="Unidade Vieiralves"/>
    <n v="170911"/>
    <m/>
  </r>
  <r>
    <x v="9"/>
    <x v="8"/>
    <s v="Maria da Conceição Grandal Oliveira"/>
    <s v="Feminino"/>
    <x v="21"/>
    <x v="13"/>
    <s v="20103492 - Fisioterapia Em Dois Ou Mais Membros (R$ 49,20), 20103506 - Fisioterapia Em Um Segmento da Coluna (R$ 34,74)"/>
    <s v="Fisioterapia Pélvica e Neurológica"/>
    <n v="173230"/>
    <s v="Finalizado (1/10)"/>
    <n v="67.152000000000001"/>
    <n v="16.788"/>
    <n v="83.94"/>
    <s v="Sessão a Faturar"/>
    <n v="10519601"/>
    <n v="59789"/>
    <s v="Unidade Vieiralves"/>
    <n v="173230"/>
    <m/>
  </r>
  <r>
    <x v="9"/>
    <x v="84"/>
    <s v="Fernando da Silva Passos"/>
    <s v="Masculino"/>
    <x v="2"/>
    <x v="13"/>
    <s v="20103522 - Fisioterapia - Pac Com Dependencia de Vida Diária (R$ 23,59)"/>
    <s v="Fisioterapia Pélvica e Neurológica"/>
    <n v="1709251782"/>
    <s v="Finalizado (5/7)"/>
    <n v="18.872"/>
    <n v="4.718"/>
    <n v="23.59"/>
    <s v="Sessão a Faturar"/>
    <n v="894245300060000"/>
    <n v="55116"/>
    <s v="Unidade Vieiralves"/>
    <n v="1709251782"/>
    <m/>
  </r>
  <r>
    <x v="9"/>
    <x v="84"/>
    <s v="Fernando da Silva Passos"/>
    <s v="Masculino"/>
    <x v="2"/>
    <x v="13"/>
    <s v="20103662 - Fisioterapia - Pos Operatorio Em Um Membro (R$ 14,99)"/>
    <s v="Fisioterapia Pélvica e Neurológica"/>
    <n v="1709251254"/>
    <s v="Finalizado (5/7)"/>
    <n v="11.992000000000001"/>
    <n v="2.9980000000000002"/>
    <n v="14.99"/>
    <s v="Sessão a Faturar"/>
    <n v="894245300060000"/>
    <n v="55116"/>
    <s v="Unidade Vieiralves"/>
    <n v="1709251254"/>
    <m/>
  </r>
  <r>
    <x v="9"/>
    <x v="84"/>
    <s v="Sâmara Regina Rodrigues Santiago"/>
    <s v="Feminino"/>
    <x v="6"/>
    <x v="13"/>
    <s v="20103360 - Fisioterapia Respiratória (R$ 16,74)"/>
    <s v="Fisioterapia Pélvica e Neurológica"/>
    <n v="172226"/>
    <s v="Finalizado (7/10)"/>
    <n v="13.391999999999999"/>
    <n v="3.3479999999999999"/>
    <n v="16.739999999999998"/>
    <s v="Sessão a Faturar"/>
    <s v="54588888019468180024"/>
    <n v="59615"/>
    <s v="Unidade Vieiralves"/>
    <n v="172226"/>
    <m/>
  </r>
  <r>
    <x v="10"/>
    <x v="22"/>
    <s v="Cirilo de Paula Bezerra"/>
    <s v="Masculino"/>
    <x v="0"/>
    <x v="13"/>
    <s v="50000160 - Fisioterapia Ortopedica (R$ 49,72)"/>
    <s v="Fisioterapia Pélvica e Neurológica"/>
    <s v="42263120260225348910"/>
    <s v="Finalizado (9/10)"/>
    <n v="39.776000000000003"/>
    <n v="9.9440000000000008"/>
    <n v="49.72"/>
    <s v="Sessão Faturada"/>
    <s v="010033494000"/>
    <n v="50241"/>
    <s v="Unidade Vieiralves"/>
    <s v="42263120260225348910"/>
    <m/>
  </r>
  <r>
    <x v="10"/>
    <x v="23"/>
    <s v="Cirilo de Paula Bezerra"/>
    <s v="Masculino"/>
    <x v="0"/>
    <x v="13"/>
    <s v="50000713 - Fisioterapia Neurológica e Respiratória (R$ 35,49)"/>
    <s v="Fisioterapia Pélvica e Neurológica"/>
    <s v="42263120260401610267"/>
    <s v="Finalizado (1/10)"/>
    <n v="28.391999999999999"/>
    <n v="7.0979999999999999"/>
    <n v="35.49"/>
    <s v="Sessão a Faturar"/>
    <s v="010033494000"/>
    <n v="50241"/>
    <s v="Unidade Vieiralves"/>
    <s v="42263120260401610267"/>
    <m/>
  </r>
  <r>
    <x v="10"/>
    <x v="0"/>
    <s v="Cirilo de Paula Bezerra"/>
    <s v="Masculino"/>
    <x v="0"/>
    <x v="13"/>
    <s v="31602185 - Estimulação Elétrica Transcutânea Fisioterapia (Novo - 01/12) (R$ 54,13)"/>
    <s v="Fisioterapia Pélvica e Neurológica"/>
    <s v="42263120260225348956"/>
    <s v="Finalizado (8/10)"/>
    <n v="43.304000000000002"/>
    <n v="10.826000000000001"/>
    <n v="54.13"/>
    <s v="Sessão Faturada"/>
    <s v="010033494000"/>
    <n v="50241"/>
    <s v="Unidade Vieiralves"/>
    <s v="42263120260225348956"/>
    <m/>
  </r>
  <r>
    <x v="10"/>
    <x v="53"/>
    <s v="Marcelo Nogueira Dutra Monteiro"/>
    <s v="Masculino"/>
    <x v="1"/>
    <x v="13"/>
    <s v="50001078 - Fisioterapia Neurológica (R$ 35,00)"/>
    <s v="Fisioterapia Pélvica e Neurológica"/>
    <n v="9588434"/>
    <s v="Finalizado (1/10)"/>
    <n v="28"/>
    <n v="7"/>
    <n v="35"/>
    <s v="Sessão a Faturar"/>
    <n v="2001014027620000"/>
    <n v="58817"/>
    <s v="Unidade Vieiralves"/>
    <n v="9588434"/>
    <m/>
  </r>
  <r>
    <x v="10"/>
    <x v="53"/>
    <s v="Candida Maria Tinôco Moraes de Oliveira"/>
    <s v="Feminino"/>
    <x v="2"/>
    <x v="13"/>
    <s v="20103220 - Fisioterapia Respiratória (R$ 12,22)"/>
    <s v="Fisioterapia Pélvica e Neurológica"/>
    <n v="1706991298"/>
    <s v="Finalizado (9/10)"/>
    <n v="9.7759999999999998"/>
    <n v="2.444"/>
    <n v="12.22"/>
    <s v="Sessão Faturada"/>
    <n v="774510000094010"/>
    <n v="59495"/>
    <s v="Unidade Vieiralves"/>
    <n v="1706991298"/>
    <m/>
  </r>
  <r>
    <x v="10"/>
    <x v="2"/>
    <s v="Candida Maria Tinôco Moraes de Oliveira"/>
    <s v="Feminino"/>
    <x v="2"/>
    <x v="13"/>
    <s v="20103522 - Fisioterapia - Pac Com Dependencia de Vida Diária (R$ 23,59)"/>
    <s v="Fisioterapia Pélvica e Neurológica"/>
    <n v="1707019628"/>
    <s v="Finalizado (9/10)"/>
    <n v="18.872"/>
    <n v="4.718"/>
    <n v="23.59"/>
    <s v="Sessão Faturada"/>
    <n v="774510000094010"/>
    <n v="59495"/>
    <s v="Unidade Vieiralves"/>
    <n v="1707019628"/>
    <m/>
  </r>
  <r>
    <x v="10"/>
    <x v="81"/>
    <s v="Milena Horta Feitoza"/>
    <s v="Feminino"/>
    <x v="1"/>
    <x v="13"/>
    <s v="50000160 - Fisioterapia Ortopédica (R$ 20,00), 98980327 - Taxa de Eletroterapia (Tens) (R$ 15,00)"/>
    <s v="Fisioterapia Pélvica e Neurológica"/>
    <n v="9400466"/>
    <s v="Finalizado (5/10)"/>
    <n v="28"/>
    <n v="7"/>
    <n v="35"/>
    <s v="Sessão a Faturar"/>
    <n v="1901004652740100"/>
    <n v="56161"/>
    <s v="Unidade Vieiralves"/>
    <n v="9400466"/>
    <m/>
  </r>
  <r>
    <x v="10"/>
    <x v="13"/>
    <s v="Ivy Manoelly de Moraes Melo"/>
    <s v="Feminino"/>
    <x v="2"/>
    <x v="13"/>
    <s v="20103492 - Fisioterapia - Patologia Em Dois Ou Mais Membros (R$ 14,83)"/>
    <s v="Fisioterapia Pélvica e Neurológica"/>
    <n v="1719118933"/>
    <s v="Finalizado (1/10)"/>
    <n v="11.864000000000001"/>
    <n v="2.9660000000000002"/>
    <n v="14.83"/>
    <s v="Sessão a Faturar"/>
    <n v="774063009652010"/>
    <n v="58085"/>
    <s v="Unidade Vieiralves"/>
    <n v="1719118933"/>
    <m/>
  </r>
  <r>
    <x v="10"/>
    <x v="13"/>
    <s v="Maria Das Graças Pereira Bastos"/>
    <s v="Feminino"/>
    <x v="1"/>
    <x v="13"/>
    <s v="50000160 - Fisioterapia Ortopédica (R$ 20,00), 98980327 - Taxa de Eletroterapia (Tens) (R$ 15,00)"/>
    <s v="Fisioterapia Pélvica e Neurológica"/>
    <n v="9500253"/>
    <s v="Finalizado (3/10)"/>
    <n v="28"/>
    <n v="7"/>
    <n v="35"/>
    <s v="Sessão a Faturar"/>
    <s v="0901001475800024"/>
    <n v="59069"/>
    <s v="Unidade Vieiralves"/>
    <n v="9500253"/>
    <m/>
  </r>
  <r>
    <x v="10"/>
    <x v="26"/>
    <s v="Maria Helena Maximino de Freitas"/>
    <s v="Feminino"/>
    <x v="1"/>
    <x v="13"/>
    <s v="50001078 - Fisioterapia Neurológica (R$ 35,00)"/>
    <s v="Fisioterapia Pélvica e Neurológica"/>
    <n v="9345564"/>
    <s v="Finalizado (5/10)"/>
    <n v="28"/>
    <n v="7"/>
    <n v="35"/>
    <s v="Sessão a Faturar"/>
    <n v="1101013447190500"/>
    <n v="58939"/>
    <s v="Unidade Vieiralves"/>
    <n v="9345564"/>
    <m/>
  </r>
  <r>
    <x v="10"/>
    <x v="26"/>
    <s v="Andrielly Lima de Almeida"/>
    <s v="Feminino"/>
    <x v="7"/>
    <x v="13"/>
    <s v="Part Convenio - 10 - Fisioterapia Ortopédica- Pacote (R$ 50,00)"/>
    <s v="Fisioterapia Pélvica e Neurológica"/>
    <n v="170911"/>
    <s v="Finalizado (7/10)"/>
    <n v="37.5"/>
    <n v="12.5"/>
    <n v="50"/>
    <s v="Pago"/>
    <s v="00"/>
    <n v="59563"/>
    <s v="Unidade Vieiralves"/>
    <n v="170911"/>
    <m/>
  </r>
  <r>
    <x v="10"/>
    <x v="82"/>
    <s v="Alice Rocha Valerio"/>
    <s v="Feminino"/>
    <x v="2"/>
    <x v="13"/>
    <s v="20103492 - Fisioterapia - Patologia Em Dois Ou Mais Membros (R$ 14,83)"/>
    <s v="Fisioterapia Pélvica e Neurológica"/>
    <n v="1705931508"/>
    <s v="Finalizado (7/7)"/>
    <n v="11.864000000000001"/>
    <n v="2.9660000000000002"/>
    <n v="14.83"/>
    <s v="Sessão Faturada"/>
    <n v="774438016047020"/>
    <n v="45558"/>
    <s v="Unidade Vieiralves"/>
    <n v="1705931508"/>
    <m/>
  </r>
  <r>
    <x v="10"/>
    <x v="8"/>
    <s v="Laercio Sampaio de Souza"/>
    <s v="Masculino"/>
    <x v="2"/>
    <x v="13"/>
    <s v="20103484 - Fisioterapia - Patologia Em Um Membro (R$ 12,22)"/>
    <s v="Fisioterapia Pélvica e Neurológica"/>
    <n v="1711911045"/>
    <s v="Finalizado (6/10)"/>
    <n v="9.7759999999999998"/>
    <n v="2.444"/>
    <n v="12.22"/>
    <s v="Sessão a Faturar"/>
    <n v="812512800043000"/>
    <n v="19903"/>
    <s v="Unidade Vieiralves"/>
    <n v="1711911045"/>
    <m/>
  </r>
  <r>
    <x v="10"/>
    <x v="83"/>
    <s v="Sâmara Regina Rodrigues Santiago"/>
    <s v="Feminino"/>
    <x v="6"/>
    <x v="13"/>
    <s v="20103360 - Fisioterapia Respiratória (R$ 16,74)"/>
    <s v="Fisioterapia Pélvica e Neurológica"/>
    <n v="172226"/>
    <s v="Finalizado (9/10)"/>
    <n v="13.391999999999999"/>
    <n v="3.3479999999999999"/>
    <n v="16.739999999999998"/>
    <s v="Sessão a Faturar"/>
    <s v="54588888019468180024"/>
    <n v="59615"/>
    <s v="Unidade Vieiralves"/>
    <n v="172226"/>
    <m/>
  </r>
  <r>
    <x v="10"/>
    <x v="83"/>
    <s v="Mabelle Maricaua de Castro"/>
    <s v="Feminino"/>
    <x v="10"/>
    <x v="13"/>
    <s v="50000160 - Fisioterapia Ortopédica (R$ 15,00)"/>
    <s v="Fisioterapia Pélvica e Neurológica"/>
    <s v="08337230032645581501"/>
    <s v="Finalizado (1/10)"/>
    <n v="12"/>
    <n v="3"/>
    <n v="15"/>
    <s v="Sessão a Faturar"/>
    <s v="00010064270434004"/>
    <n v="54111"/>
    <s v="Unidade Vieiralves"/>
    <s v="08337230032645581501"/>
    <m/>
  </r>
  <r>
    <x v="10"/>
    <x v="84"/>
    <s v="Magda Rejane Nogueira Miranda"/>
    <m/>
    <x v="29"/>
    <x v="13"/>
    <s v="50000160 - Fisioterapia Ortopedica/Neurológica (R$ 33,00)"/>
    <s v="Fisioterapia Pélvica e Neurológica"/>
    <n v="1085520"/>
    <s v="Finalizado (9/10)"/>
    <n v="26.4"/>
    <n v="6.6"/>
    <n v="33"/>
    <s v="Sessão Faturada"/>
    <n v="130260032740010"/>
    <n v="54854"/>
    <s v="Unidade Vieiralves"/>
    <n v="1085520"/>
    <m/>
  </r>
  <r>
    <x v="10"/>
    <x v="85"/>
    <s v="Magda Rejane Nogueira Miranda"/>
    <m/>
    <x v="29"/>
    <x v="13"/>
    <s v="31602185 - Estimulação Elétrica Transcutanea (R$ 87,74)"/>
    <s v="Fisioterapia Pélvica e Neurológica"/>
    <n v="1085540"/>
    <s v="Finalizado (10/10)"/>
    <n v="70.191999999999993"/>
    <n v="17.547999999999998"/>
    <n v="87.74"/>
    <s v="Sessão Faturada"/>
    <n v="130260032740010"/>
    <n v="54854"/>
    <s v="Unidade Vieiralves"/>
    <n v="1085540"/>
    <m/>
  </r>
  <r>
    <x v="11"/>
    <x v="22"/>
    <s v="Grasielle da Silva e Silva"/>
    <s v="Feminino"/>
    <x v="2"/>
    <x v="13"/>
    <s v="50000144 - Avaliação de Fisioterapia (R$ 51,42)"/>
    <s v="Fisioterapia Pélvica e Neurológica"/>
    <n v="1719565995"/>
    <s v="Finalizado (1/1)"/>
    <n v="46.277999999999999"/>
    <n v="5.1420000000000003"/>
    <n v="51.42"/>
    <s v="Sessão Faturada"/>
    <n v="960019442828000"/>
    <n v="59821"/>
    <s v="Unidade Vieiralves"/>
    <n v="1719565995"/>
    <m/>
  </r>
  <r>
    <x v="11"/>
    <x v="88"/>
    <s v="Grasielle da Silva e Silva"/>
    <s v="Feminino"/>
    <x v="2"/>
    <x v="13"/>
    <s v="20103220 - Fisioterapia Respiratória (R$ 12,22)"/>
    <s v="Fisioterapia Pélvica e Neurológica"/>
    <n v="1719567379"/>
    <s v="Finalizado (1/10)"/>
    <n v="9.7759999999999998"/>
    <n v="2.444"/>
    <n v="12.22"/>
    <s v="Sessão a Faturar"/>
    <n v="960019442828000"/>
    <n v="59821"/>
    <s v="Unidade Vieiralves"/>
    <n v="1719567379"/>
    <m/>
  </r>
  <r>
    <x v="11"/>
    <x v="53"/>
    <s v="Theodoro Alves Malcher"/>
    <s v="Masculino"/>
    <x v="7"/>
    <x v="13"/>
    <s v="Vieiralves - 21 - Fisioterapia Respiratória - Sessão Avulsa (R$ 100,00)"/>
    <s v="Fisioterapia Pélvica e Neurológica"/>
    <m/>
    <s v="Finalizado (1/1)"/>
    <n v="78"/>
    <n v="22"/>
    <n v="100"/>
    <s v="Pago"/>
    <s v="00"/>
    <n v="59346"/>
    <s v="Unidade Vieiralves"/>
    <m/>
    <m/>
  </r>
  <r>
    <x v="11"/>
    <x v="81"/>
    <s v="Gilma do Socorro Ferreira de Paiva"/>
    <s v="Feminino"/>
    <x v="1"/>
    <x v="13"/>
    <s v="50000160 - Fisioterapia Ortopédica (R$ 20,00), 98980327 - Taxa de Eletroterapia (Tens) (R$ 15,00)"/>
    <s v="Fisioterapia Pélvica e Neurológica"/>
    <n v="9273997"/>
    <s v="Finalizado (6/10)"/>
    <n v="28"/>
    <n v="7"/>
    <n v="35"/>
    <s v="Sessão Faturada"/>
    <s v="0801011513670017"/>
    <n v="56631"/>
    <s v="Unidade Vieiralves"/>
    <n v="9273997"/>
    <s v="GUIA ASSINADA"/>
  </r>
  <r>
    <x v="11"/>
    <x v="81"/>
    <s v="Ivy Manoelly de Moraes Melo"/>
    <s v="Feminino"/>
    <x v="2"/>
    <x v="13"/>
    <s v="20103492 - Fisioterapia - Patologia Em Dois Ou Mais Membros (R$ 14,83)"/>
    <s v="Fisioterapia Pélvica e Neurológica"/>
    <n v="1719118933"/>
    <s v="Finalizado (2/10)"/>
    <n v="11.864000000000001"/>
    <n v="2.9660000000000002"/>
    <n v="14.83"/>
    <s v="Sessão a Faturar"/>
    <n v="774063009652010"/>
    <n v="58085"/>
    <s v="Unidade Vieiralves"/>
    <n v="1719118933"/>
    <m/>
  </r>
  <r>
    <x v="11"/>
    <x v="13"/>
    <s v="João Moisés Oliveira"/>
    <s v="Masculino"/>
    <x v="1"/>
    <x v="13"/>
    <s v="50001078 - Fisioterapia Neurológica (R$ 35,00)"/>
    <s v="Fisioterapia Pélvica e Neurológica"/>
    <n v="9521838"/>
    <s v="Finalizado (3/10)"/>
    <n v="28"/>
    <n v="7"/>
    <n v="35"/>
    <s v="Sessão a Faturar"/>
    <n v="1101013633170200"/>
    <n v="59707"/>
    <s v="Unidade Vieiralves"/>
    <n v="9521838"/>
    <m/>
  </r>
  <r>
    <x v="11"/>
    <x v="13"/>
    <s v="Maria Basilia Ladeira Luniere"/>
    <s v="Feminino"/>
    <x v="7"/>
    <x v="13"/>
    <s v="Vieiralves - 3 - Fisioterapia Respiratória - Pacote (R$ 90,00)"/>
    <s v="Fisioterapia Pélvica e Neurológica"/>
    <n v="170687"/>
    <s v="Finalizado (5/10)"/>
    <n v="70.2"/>
    <n v="19.8"/>
    <n v="90"/>
    <s v="Pago"/>
    <s v="00"/>
    <n v="58820"/>
    <s v="Unidade Vieiralves"/>
    <n v="170687"/>
    <m/>
  </r>
  <r>
    <x v="11"/>
    <x v="26"/>
    <s v="Margarida Teixeira do Nascimento"/>
    <s v="Feminino"/>
    <x v="2"/>
    <x v="13"/>
    <s v="20103514 - Fisioterapia - Patologia Em Diferentes Segmentos da Coluna (R$ 14,83)"/>
    <s v="Fisioterapia Pélvica e Neurológica"/>
    <n v="1714236069"/>
    <s v="Finalizado (4/10)"/>
    <n v="11.864000000000001"/>
    <n v="2.9660000000000002"/>
    <n v="14.83"/>
    <s v="Sessão a Faturar"/>
    <n v="952480013519000"/>
    <n v="59668"/>
    <s v="Unidade Vieiralves"/>
    <n v="1714236069"/>
    <m/>
  </r>
  <r>
    <x v="11"/>
    <x v="26"/>
    <s v="Ednelza Vieira da Silva"/>
    <s v="Feminino"/>
    <x v="10"/>
    <x v="13"/>
    <s v="50000160 - Fisioterapia Ortopédica (R$ 15,00)"/>
    <s v="Fisioterapia Pélvica e Neurológica"/>
    <s v="08337226032645195001"/>
    <s v="Finalizado (3/10)"/>
    <n v="12"/>
    <n v="3"/>
    <n v="15"/>
    <s v="Sessão a Faturar"/>
    <s v="00010064272004007"/>
    <n v="46675"/>
    <s v="Unidade Vieiralves"/>
    <s v="08337226032645195001"/>
    <m/>
  </r>
  <r>
    <x v="11"/>
    <x v="15"/>
    <s v="Margarida Teixeira do Nascimento"/>
    <s v="Feminino"/>
    <x v="2"/>
    <x v="13"/>
    <s v="20103522 - Fisioterapia - Pac Com Dependencia de Vida Diária (R$ 23,59)"/>
    <s v="Fisioterapia Pélvica e Neurológica"/>
    <n v="1714237206"/>
    <s v="Finalizado (4/10)"/>
    <n v="18.872"/>
    <n v="4.718"/>
    <n v="23.59"/>
    <s v="Sessão a Faturar"/>
    <n v="952480013519000"/>
    <n v="59668"/>
    <s v="Unidade Vieiralves"/>
    <n v="1714237206"/>
    <m/>
  </r>
  <r>
    <x v="11"/>
    <x v="82"/>
    <s v="Saulo Franca Costa"/>
    <m/>
    <x v="1"/>
    <x v="13"/>
    <s v="50001078 - Fisioterapia Neurológica (R$ 35,00)"/>
    <s v="Fisioterapia Pélvica e Neurológica"/>
    <n v="9523589"/>
    <s v="Finalizado (2/10)"/>
    <n v="28"/>
    <n v="7"/>
    <n v="35"/>
    <s v="Sessão a Faturar"/>
    <s v="0901013598180192"/>
    <n v="59743"/>
    <s v="Unidade Vieiralves"/>
    <n v="9523589"/>
    <m/>
  </r>
  <r>
    <x v="11"/>
    <x v="82"/>
    <s v="Raimunda Sidney de Souza Cavalcanti"/>
    <s v="Feminino"/>
    <x v="1"/>
    <x v="13"/>
    <s v="50000160 - Fisioterapia Ortopédica (R$ 20,00), 98980327 - Taxa de Eletroterapia (Tens) (R$ 15,00)"/>
    <s v="Fisioterapia Pélvica e Neurológica"/>
    <n v="9524346"/>
    <s v="Finalizado (3/10)"/>
    <n v="28"/>
    <n v="7"/>
    <n v="35"/>
    <s v="Sessão a Faturar"/>
    <n v="901002717130010"/>
    <n v="54607"/>
    <s v="Unidade Vieiralves"/>
    <n v="9524346"/>
    <m/>
  </r>
  <r>
    <x v="11"/>
    <x v="8"/>
    <s v="Davi Luís Vinente Alcantara"/>
    <s v="Masculino"/>
    <x v="6"/>
    <x v="13"/>
    <s v="20103670 - Pos Operatorio Em Dois Ou Mais Membros (R$ 28,97)"/>
    <s v="Fisioterapia Pélvica e Neurológica"/>
    <n v="172701"/>
    <s v="Finalizado (4/10)"/>
    <n v="23.175999999999998"/>
    <n v="5.7939999999999996"/>
    <n v="28.97"/>
    <s v="Sessão a Faturar"/>
    <s v="54588888018315590104"/>
    <n v="57469"/>
    <s v="Unidade Vieiralves"/>
    <n v="172701"/>
    <m/>
  </r>
  <r>
    <x v="11"/>
    <x v="8"/>
    <s v="Davi Luís Vinente Alcantara"/>
    <s v="Masculino"/>
    <x v="6"/>
    <x v="13"/>
    <s v="20103476 - Patologia Neurologica (R$ 35,40)"/>
    <s v="Fisioterapia Pélvica e Neurológica"/>
    <n v="172631"/>
    <s v="Finalizado (4/10)"/>
    <n v="28.32"/>
    <n v="7.08"/>
    <n v="35.4"/>
    <s v="Sessão a Faturar"/>
    <s v="54588888018315590104"/>
    <n v="57469"/>
    <s v="Unidade Vieiralves"/>
    <n v="172631"/>
    <m/>
  </r>
  <r>
    <x v="11"/>
    <x v="83"/>
    <s v="Vicente Gabriel Lima Melo"/>
    <s v="Masculino"/>
    <x v="6"/>
    <x v="13"/>
    <s v="20103484 - Patologia Em Um Membro (R$ 14,16)"/>
    <s v="Fisioterapia Pélvica e Neurológica"/>
    <n v="170389"/>
    <s v="Finalizado (9/10)"/>
    <n v="11.327999999999999"/>
    <n v="2.8319999999999999"/>
    <n v="14.16"/>
    <s v="Sessão a Faturar"/>
    <s v="56788888488763750101"/>
    <n v="56312"/>
    <s v="Unidade Vieiralves"/>
    <n v="170389"/>
    <m/>
  </r>
  <r>
    <x v="11"/>
    <x v="83"/>
    <s v="Michele Alves de Souza"/>
    <s v="Feminino"/>
    <x v="2"/>
    <x v="13"/>
    <s v="20103522 - Fisioterapia - Pac Com Dependencia de Vida Diária (R$ 23,59)"/>
    <s v="Fisioterapia Pélvica e Neurológica"/>
    <n v="1713644891"/>
    <s v="Finalizado (5/10)"/>
    <n v="18.872"/>
    <n v="4.718"/>
    <n v="23.59"/>
    <s v="Sessão a Faturar"/>
    <n v="953650003336010"/>
    <n v="18512"/>
    <s v="Unidade Vieiralves"/>
    <n v="1713644891"/>
    <m/>
  </r>
  <r>
    <x v="11"/>
    <x v="12"/>
    <s v="Vicente Gabriel Lima Melo"/>
    <s v="Masculino"/>
    <x v="6"/>
    <x v="13"/>
    <s v="20103476 - Patologia Neurologica (R$ 35,40)"/>
    <s v="Fisioterapia Pélvica e Neurológica"/>
    <n v="170387"/>
    <s v="Finalizado (9/10)"/>
    <n v="28.32"/>
    <n v="7.08"/>
    <n v="35.4"/>
    <s v="Sessão a Faturar"/>
    <s v="56788888488763750101"/>
    <n v="56312"/>
    <s v="Unidade Vieiralves"/>
    <n v="170387"/>
    <m/>
  </r>
  <r>
    <x v="11"/>
    <x v="84"/>
    <s v="Sâmara Regina Rodrigues Santiago"/>
    <s v="Feminino"/>
    <x v="6"/>
    <x v="13"/>
    <s v="20103360 - Fisioterapia Respiratória (R$ 16,74)"/>
    <s v="Fisioterapia Pélvica e Neurológica"/>
    <n v="172226"/>
    <s v="Finalizado (10/10)"/>
    <n v="13.391999999999999"/>
    <n v="3.3479999999999999"/>
    <n v="16.739999999999998"/>
    <s v="Sessão a Faturar"/>
    <s v="54588888019468180024"/>
    <n v="59615"/>
    <s v="Unidade Vieiralves"/>
    <n v="172226"/>
    <m/>
  </r>
  <r>
    <x v="12"/>
    <x v="0"/>
    <s v="Joeline Dutra da Silva"/>
    <s v="Feminino"/>
    <x v="1"/>
    <x v="14"/>
    <s v="50000160 - Fisioterapia Ortopédica (R$ 20,00), 98980327 - Taxa de Eletroterapia (Tens) (R$ 15,00)"/>
    <s v="Fisioterapia"/>
    <n v="8851194"/>
    <s v="Finalizado (8/10)"/>
    <n v="30.8"/>
    <n v="4.2"/>
    <n v="35"/>
    <s v="Sessão Faturada"/>
    <n v="1101013081410400"/>
    <n v="56667"/>
    <s v="Unidade Vieiralves"/>
    <n v="8851194"/>
    <m/>
  </r>
  <r>
    <x v="12"/>
    <x v="0"/>
    <s v="Elane Sales de Lima"/>
    <m/>
    <x v="2"/>
    <x v="14"/>
    <s v="20103484 - Fisioterapia - Patologia Em Um Membro (R$ 12,22)"/>
    <s v="Fisioterapia"/>
    <n v="1704837657"/>
    <s v="Finalizado (2/5)"/>
    <n v="10.7536"/>
    <n v="1.4663999999999999"/>
    <n v="12.22"/>
    <s v="Sessão Faturada"/>
    <n v="773539032034010"/>
    <n v="58812"/>
    <s v="Unidade Vieiralves"/>
    <n v="1704837657"/>
    <m/>
  </r>
  <r>
    <x v="12"/>
    <x v="0"/>
    <s v="Israel Antonio Passos dos Santos"/>
    <s v="Masculino"/>
    <x v="2"/>
    <x v="14"/>
    <s v="50000144 - Avaliação de Fisioterapia (R$ 51,42)"/>
    <s v="Fisioterapia"/>
    <n v="1705822760"/>
    <s v="Finalizado (1/1)"/>
    <n v="46.277999999999999"/>
    <n v="5.1420000000000003"/>
    <n v="51.42"/>
    <s v="Sessão Faturada"/>
    <n v="610857200001010"/>
    <n v="59467"/>
    <s v="Unidade Vieiralves"/>
    <n v="1705822760"/>
    <m/>
  </r>
  <r>
    <x v="12"/>
    <x v="0"/>
    <s v="Rosalinda Pereira Brito"/>
    <s v="Feminino"/>
    <x v="2"/>
    <x v="14"/>
    <s v="20103484 - Fisioterapia - Patologia Em Um Membro (R$ 12,22)"/>
    <s v="Fisioterapia"/>
    <n v="1705795662"/>
    <s v="Finalizado (1/10)"/>
    <n v="10.7536"/>
    <n v="1.4663999999999999"/>
    <n v="12.22"/>
    <s v="Sessão Faturada"/>
    <s v="010544100907015"/>
    <n v="13886"/>
    <s v="Unidade Vieiralves"/>
    <n v="1705795662"/>
    <m/>
  </r>
  <r>
    <x v="12"/>
    <x v="1"/>
    <s v="Israel Antonio Passos dos Santos"/>
    <s v="Masculino"/>
    <x v="2"/>
    <x v="14"/>
    <s v="20103484 - Fisioterapia - Patologia Em Um Membro (R$ 12,22)"/>
    <s v="Fisioterapia"/>
    <n v="1705823749"/>
    <s v="Finalizado (1/4)"/>
    <n v="10.7536"/>
    <n v="1.4663999999999999"/>
    <n v="12.22"/>
    <s v="Sessão Faturada"/>
    <n v="610857200001010"/>
    <n v="59467"/>
    <s v="Unidade Vieiralves"/>
    <n v="1705823749"/>
    <m/>
  </r>
  <r>
    <x v="12"/>
    <x v="1"/>
    <s v="Rosalinda Pereira Brito"/>
    <s v="Feminino"/>
    <x v="2"/>
    <x v="14"/>
    <s v="20103115 - Atividade Reflexa Cinesioterápica (R$ 20,81)"/>
    <s v="Fisioterapia"/>
    <n v="1705797070"/>
    <s v="Finalizado (1/3)"/>
    <n v="18.312799999999999"/>
    <n v="2.4971999999999999"/>
    <n v="20.81"/>
    <s v="Sessão Faturada"/>
    <s v="010544100907015"/>
    <n v="13886"/>
    <s v="Unidade Vieiralves"/>
    <n v="1705797070"/>
    <m/>
  </r>
  <r>
    <x v="12"/>
    <x v="1"/>
    <s v="Elane Sales de Lima"/>
    <m/>
    <x v="2"/>
    <x v="14"/>
    <s v="20103115 - Atividade Reflexa Cinesioterápica (R$ 20,81)"/>
    <s v="Fisioterapia"/>
    <n v="1704838447"/>
    <s v="Finalizado (2/5)"/>
    <n v="18.312799999999999"/>
    <n v="2.4971999999999999"/>
    <n v="20.81"/>
    <s v="Sessão Faturada"/>
    <n v="773539032034010"/>
    <n v="58812"/>
    <s v="Unidade Vieiralves"/>
    <n v="1704838447"/>
    <m/>
  </r>
  <r>
    <x v="12"/>
    <x v="2"/>
    <s v="Gabriele Nogueira de Oliveira"/>
    <s v="Feminino"/>
    <x v="2"/>
    <x v="14"/>
    <s v="20103662 - Fisioterapia - Pos Operatorio Em Um Membro (R$ 14,99)"/>
    <s v="Fisioterapia"/>
    <n v="1704967107"/>
    <s v="Finalizado (2/5)"/>
    <n v="13.1912"/>
    <n v="1.7988"/>
    <n v="14.99"/>
    <s v="Sessão Faturada"/>
    <n v="894937200604000"/>
    <n v="51083"/>
    <s v="Unidade Vieiralves"/>
    <n v="1704967107"/>
    <m/>
  </r>
  <r>
    <x v="12"/>
    <x v="2"/>
    <s v="Fabíola Graziele Martins de Lima"/>
    <s v="Feminino"/>
    <x v="8"/>
    <x v="14"/>
    <s v="20103484 - Patologia Em Um Membro (R$ 12,22)"/>
    <s v="Fisioterapia"/>
    <n v="1702816914"/>
    <s v="Finalizado (5/5)"/>
    <n v="10.7536"/>
    <n v="1.4663999999999999"/>
    <n v="12.22"/>
    <s v="Sessão Faturada"/>
    <n v="954590029556010"/>
    <n v="59043"/>
    <s v="Unidade Vieiralves"/>
    <n v="1702816914"/>
    <m/>
  </r>
  <r>
    <x v="12"/>
    <x v="3"/>
    <s v="Fabíola Graziele Martins de Lima"/>
    <s v="Feminino"/>
    <x v="8"/>
    <x v="14"/>
    <s v="20103115 - Atividade Reflexa Cinesioterápica (R$ 20,81)"/>
    <s v="Fisioterapia"/>
    <n v="1702818429"/>
    <s v="Finalizado (5/5)"/>
    <n v="18.312799999999999"/>
    <n v="2.4971999999999999"/>
    <n v="20.81"/>
    <s v="Sessão Faturada"/>
    <n v="954590029556010"/>
    <n v="59043"/>
    <s v="Unidade Vieiralves"/>
    <n v="1702818429"/>
    <m/>
  </r>
  <r>
    <x v="12"/>
    <x v="3"/>
    <s v="Gabriele Nogueira de Oliveira"/>
    <s v="Feminino"/>
    <x v="2"/>
    <x v="14"/>
    <s v="20103115 - Atividade Reflexa Cinesioterápica (R$ 20,81)"/>
    <s v="Fisioterapia"/>
    <n v="1704967468"/>
    <s v="Finalizado (2/5)"/>
    <n v="18.312799999999999"/>
    <n v="2.4971999999999999"/>
    <n v="20.81"/>
    <s v="Sessão Faturada"/>
    <n v="894937200604000"/>
    <n v="51083"/>
    <s v="Unidade Vieiralves"/>
    <n v="1704967468"/>
    <m/>
  </r>
  <r>
    <x v="12"/>
    <x v="4"/>
    <s v="Thaisa Cadais Semen"/>
    <s v="Feminino"/>
    <x v="11"/>
    <x v="14"/>
    <s v="20103484 - Fisioterapia - Patologia Em Um Membro (R$ 80,33)"/>
    <s v="Fisioterapia"/>
    <n v="1320"/>
    <s v="Finalizado (9/10)"/>
    <n v="70.690399999999997"/>
    <n v="9.6395999999999997"/>
    <n v="80.33"/>
    <s v="Sessão Faturada"/>
    <s v="01689"/>
    <n v="22428"/>
    <s v="Unidade Vieiralves"/>
    <n v="1320"/>
    <m/>
  </r>
  <r>
    <x v="12"/>
    <x v="4"/>
    <s v="Neurizete Freire da Costa"/>
    <m/>
    <x v="2"/>
    <x v="14"/>
    <s v="20103662 - Fisioterapia - Pos Operatorio Em Um Membro (R$ 14,99)"/>
    <s v="Fisioterapia"/>
    <n v="1703922863"/>
    <s v="Finalizado (4/5)"/>
    <n v="13.1912"/>
    <n v="1.7988"/>
    <n v="14.99"/>
    <s v="Sessão Faturada"/>
    <n v="771015042579000"/>
    <n v="59118"/>
    <s v="Unidade Vieiralves"/>
    <n v="1703922863"/>
    <m/>
  </r>
  <r>
    <x v="12"/>
    <x v="4"/>
    <s v="Vitoria Laredo Bulgarelli"/>
    <s v="Feminino"/>
    <x v="12"/>
    <x v="14"/>
    <s v="20103514 - Patol. Em Diferentes Segmentos da Coluna (R$ 14,83)"/>
    <s v="Fisioterapia"/>
    <n v="169445"/>
    <s v="Finalizado (2/3)"/>
    <n v="13.0504"/>
    <n v="1.7796000000000001"/>
    <n v="14.83"/>
    <s v="Sessão a Faturar"/>
    <n v="9.5125289242221005E+17"/>
    <n v="57323"/>
    <s v="Unidade Vieiralves"/>
    <n v="169445"/>
    <m/>
  </r>
  <r>
    <x v="12"/>
    <x v="5"/>
    <s v="Neurizete Freire da Costa"/>
    <m/>
    <x v="2"/>
    <x v="14"/>
    <s v="20103115 - Atividade Reflexa Cinesioterápica (R$ 20,81)"/>
    <s v="Fisioterapia"/>
    <n v="1703924062"/>
    <s v="Finalizado (4/5)"/>
    <n v="18.312799999999999"/>
    <n v="2.4971999999999999"/>
    <n v="20.81"/>
    <s v="Sessão Faturada"/>
    <n v="771015042579000"/>
    <n v="59118"/>
    <s v="Unidade Vieiralves"/>
    <n v="1703924062"/>
    <m/>
  </r>
  <r>
    <x v="12"/>
    <x v="5"/>
    <s v="Vitoria Laredo Bulgarelli"/>
    <s v="Feminino"/>
    <x v="12"/>
    <x v="14"/>
    <s v="31602185 - Estimulação Elétrica Transcutânea (Tens) (R$ 49,00)"/>
    <s v="Fisioterapia"/>
    <n v="10298495"/>
    <s v="Finalizado (1/3)"/>
    <n v="43.12"/>
    <n v="5.88"/>
    <n v="49"/>
    <s v="Sessão a Faturar"/>
    <n v="9.5125289242221005E+17"/>
    <n v="57323"/>
    <s v="Unidade Vieiralves"/>
    <n v="10298495"/>
    <m/>
  </r>
  <r>
    <x v="12"/>
    <x v="13"/>
    <s v="Samuel Cunha de Oliveira"/>
    <m/>
    <x v="2"/>
    <x v="14"/>
    <s v="50000144 - Avaliação de Fisioterapia (R$ 51,42)"/>
    <s v="Fisioterapia"/>
    <n v="1705897748"/>
    <s v="Finalizado (1/1)"/>
    <n v="46.277999999999999"/>
    <n v="5.1420000000000003"/>
    <n v="51.42"/>
    <s v="Sessão a Faturar"/>
    <n v="837047000191010"/>
    <n v="59496"/>
    <s v="Unidade Vieiralves"/>
    <n v="1705897748"/>
    <m/>
  </r>
  <r>
    <x v="12"/>
    <x v="13"/>
    <s v="Samuel Cunha de Oliveira"/>
    <m/>
    <x v="2"/>
    <x v="14"/>
    <s v="20103492 - Fisioterapia - Patologia Em Dois Ou Mais Membros (R$ 14,83)"/>
    <s v="Fisioterapia"/>
    <n v="1705899542"/>
    <s v="Finalizado (1/10)"/>
    <n v="13.0504"/>
    <n v="1.7796000000000001"/>
    <n v="14.83"/>
    <s v="Sessão Faturada"/>
    <n v="837047000191010"/>
    <n v="59496"/>
    <s v="Unidade Vieiralves"/>
    <n v="1705899542"/>
    <m/>
  </r>
  <r>
    <x v="12"/>
    <x v="13"/>
    <s v="Eduardo Martins Souza"/>
    <s v="Masculino"/>
    <x v="1"/>
    <x v="14"/>
    <s v="50000160 - Fisioterapia Ortopédica (R$ 20,00), 98980327 - Taxa de Eletroterapia (Tens) (R$ 15,00)"/>
    <s v="Fisioterapia"/>
    <n v="8708208"/>
    <s v="Finalizado (9/10)"/>
    <n v="30.8"/>
    <n v="4.2"/>
    <n v="35"/>
    <s v="Sessão Faturada"/>
    <s v="0901013816210012"/>
    <n v="58367"/>
    <s v="Unidade Vieiralves"/>
    <n v="8708208"/>
    <m/>
  </r>
  <r>
    <x v="12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1/10)"/>
    <n v="30.8"/>
    <n v="4.2"/>
    <n v="35"/>
    <s v="Sessão Faturada"/>
    <n v="1301012940110100"/>
    <n v="53480"/>
    <s v="Unidade Vieiralves"/>
    <n v="9210847"/>
    <m/>
  </r>
  <r>
    <x v="12"/>
    <x v="14"/>
    <s v="Samuel Cunha de Oliveira"/>
    <m/>
    <x v="2"/>
    <x v="14"/>
    <s v="20103115 - Atividade Reflexa Cinesioterápica (R$ 20,81)"/>
    <s v="Fisioterapia"/>
    <n v="1705905271"/>
    <s v="Finalizado (1/5)"/>
    <n v="18.312799999999999"/>
    <n v="2.4971999999999999"/>
    <n v="20.81"/>
    <s v="Sessão Faturada"/>
    <n v="837047000191010"/>
    <n v="59496"/>
    <s v="Unidade Vieiralves"/>
    <n v="1705905271"/>
    <m/>
  </r>
  <r>
    <x v="12"/>
    <x v="6"/>
    <s v="Riulna Ventura Muller"/>
    <s v="Feminino"/>
    <x v="7"/>
    <x v="14"/>
    <s v="Part Convenio - 10 - Fisioterapia Ortopédica- Pacote (R$ 50,00)"/>
    <s v="Fisioterapia"/>
    <m/>
    <s v="Finalizado (1/3)"/>
    <n v="39"/>
    <n v="11"/>
    <n v="50"/>
    <s v="Pago"/>
    <s v="51588888490780040011"/>
    <n v="41071"/>
    <s v="Unidade Vieiralves"/>
    <m/>
    <m/>
  </r>
  <r>
    <x v="12"/>
    <x v="6"/>
    <s v="Thaianne de Matos Sampaio da Silva"/>
    <s v="Feminino"/>
    <x v="0"/>
    <x v="14"/>
    <s v="50000160 - Fisioterapia Ortopedica (R$ 49,72)"/>
    <s v="Fisioterapia"/>
    <s v="42263120260212290144"/>
    <s v="Finalizado (9/10)"/>
    <n v="43.753599999999999"/>
    <n v="5.9664000000000001"/>
    <n v="49.72"/>
    <s v="Sessão Faturada"/>
    <s v="010650776203"/>
    <n v="59378"/>
    <s v="Unidade Vieiralves"/>
    <s v="42263120260212290144"/>
    <m/>
  </r>
  <r>
    <x v="12"/>
    <x v="7"/>
    <s v="Thaianne de Matos Sampaio da Silva"/>
    <s v="Feminino"/>
    <x v="0"/>
    <x v="14"/>
    <s v="31602185 - Estimulação Elétrica Transcutânea Fisioterapia (Novo - 01/12) (R$ 54,13)"/>
    <s v="Fisioterapia"/>
    <s v="42263120260212290158"/>
    <s v="Finalizado (9/10)"/>
    <n v="47.634399999999999"/>
    <n v="6.4955999999999996"/>
    <n v="54.13"/>
    <s v="Sessão Faturada"/>
    <s v="010650776203"/>
    <n v="59378"/>
    <s v="Unidade Vieiralves"/>
    <s v="42263120260212290158"/>
    <m/>
  </r>
  <r>
    <x v="12"/>
    <x v="15"/>
    <s v="Ricardo Cruz da Silva"/>
    <s v="Masculino"/>
    <x v="2"/>
    <x v="14"/>
    <s v="20103662 - Fisioterapia - Pos Operatorio Em Um Membro (R$ 14,99)"/>
    <s v="Fisioterapia"/>
    <n v="1700112529"/>
    <s v="Finalizado (5/5)"/>
    <n v="13.1912"/>
    <n v="1.7988"/>
    <n v="14.99"/>
    <s v="Sessão Faturada"/>
    <n v="771015041114010"/>
    <n v="59213"/>
    <s v="Unidade Vieiralves"/>
    <n v="1700112529"/>
    <m/>
  </r>
  <r>
    <x v="12"/>
    <x v="15"/>
    <s v="Alessandra Silveira Rocha"/>
    <s v="Feminino"/>
    <x v="2"/>
    <x v="14"/>
    <s v="20103492 - Fisioterapia - Patologia Em Dois Ou Mais Membros (R$ 14,83)"/>
    <s v="Fisioterapia"/>
    <n v="1701946397"/>
    <s v="Finalizado (5/5)"/>
    <n v="13.0504"/>
    <n v="1.7796000000000001"/>
    <n v="14.83"/>
    <s v="Sessão Faturada"/>
    <n v="774063023809020"/>
    <n v="58966"/>
    <s v="Unidade Vieiralves"/>
    <n v="1701946397"/>
    <m/>
  </r>
  <r>
    <x v="12"/>
    <x v="15"/>
    <s v="Lauren Lauschner Gaikoski"/>
    <s v="Feminino"/>
    <x v="2"/>
    <x v="14"/>
    <s v="20103484 - Fisioterapia - Patologia Em Um Membro (R$ 12,22)"/>
    <s v="Fisioterapia"/>
    <n v="1703483836"/>
    <s v="Finalizado (3/5)"/>
    <n v="10.7536"/>
    <n v="1.4663999999999999"/>
    <n v="12.22"/>
    <s v="Sessão Faturada"/>
    <n v="775388000299020"/>
    <n v="56279"/>
    <s v="Unidade Vieiralves"/>
    <n v="1703483836"/>
    <m/>
  </r>
  <r>
    <x v="12"/>
    <x v="16"/>
    <s v="Ricardo Cruz da Silva"/>
    <s v="Masculino"/>
    <x v="2"/>
    <x v="14"/>
    <s v="20103115 - Atividade Reflexa Cinesioterápica (R$ 20,81)"/>
    <s v="Fisioterapia"/>
    <n v="1700113145"/>
    <s v="Finalizado (5/5)"/>
    <n v="18.312799999999999"/>
    <n v="2.4971999999999999"/>
    <n v="20.81"/>
    <s v="Sessão Faturada"/>
    <n v="771015041114010"/>
    <n v="59213"/>
    <s v="Unidade Vieiralves"/>
    <n v="1700113145"/>
    <m/>
  </r>
  <r>
    <x v="12"/>
    <x v="16"/>
    <s v="Alessandra Silveira Rocha"/>
    <s v="Feminino"/>
    <x v="2"/>
    <x v="14"/>
    <s v="20103115 - Atividade Reflexa Cinesioterápica (R$ 20,81)"/>
    <s v="Fisioterapia"/>
    <n v="1701947787"/>
    <s v="Finalizado (5/5)"/>
    <n v="18.312799999999999"/>
    <n v="2.4971999999999999"/>
    <n v="20.81"/>
    <s v="Sessão Faturada"/>
    <n v="774063023809020"/>
    <n v="58966"/>
    <s v="Unidade Vieiralves"/>
    <n v="1701947787"/>
    <m/>
  </r>
  <r>
    <x v="12"/>
    <x v="17"/>
    <s v="Adalgisa Leitão da Silva Neta"/>
    <s v="Feminino"/>
    <x v="2"/>
    <x v="14"/>
    <s v="20103492 - Fisioterapia - Patologia Em Dois Ou Mais Membros (R$ 14,83), 20103506 - Fisioterapia - Patologia Em Um Segmento da Coluna (R$ 12,22)"/>
    <s v="Fisioterapia"/>
    <n v="1701455079"/>
    <s v="Finalizado (5/5)"/>
    <n v="23.803999999999998"/>
    <n v="3.246"/>
    <n v="27.05"/>
    <s v="Sessão Faturada"/>
    <n v="770179019950010"/>
    <n v="54553"/>
    <s v="Unidade Vieiralves"/>
    <n v="1701455079"/>
    <m/>
  </r>
  <r>
    <x v="12"/>
    <x v="17"/>
    <s v="Maria Ines Souza de Jesus"/>
    <s v="Feminino"/>
    <x v="0"/>
    <x v="14"/>
    <s v="50000160 - Fisioterapia Ortopedica (R$ 49,72)"/>
    <s v="Fisioterapia"/>
    <s v="42263120260209259599"/>
    <s v="Finalizado (5/10)"/>
    <n v="43.753599999999999"/>
    <n v="5.9664000000000001"/>
    <n v="49.72"/>
    <s v="Sessão Faturada"/>
    <s v="010115910006"/>
    <n v="36033"/>
    <s v="Unidade Vieiralves"/>
    <s v="42263120260209259599"/>
    <m/>
  </r>
  <r>
    <x v="12"/>
    <x v="18"/>
    <s v="Maria Ines Souza de Jesus"/>
    <s v="Feminino"/>
    <x v="0"/>
    <x v="14"/>
    <s v="31602185 - Estimulação Elétrica Transcutânea Fisioterapia (Novo - 01/12) (R$ 54,13)"/>
    <s v="Fisioterapia"/>
    <s v="42263120260209260083"/>
    <s v="Finalizado (5/10)"/>
    <n v="47.634399999999999"/>
    <n v="6.4955999999999996"/>
    <n v="54.13"/>
    <s v="Sessão Faturada"/>
    <s v="010115910006"/>
    <n v="36033"/>
    <s v="Unidade Vieiralves"/>
    <s v="42263120260209260083"/>
    <m/>
  </r>
  <r>
    <x v="12"/>
    <x v="18"/>
    <s v="Adalgisa Leitão da Silva Neta"/>
    <s v="Feminino"/>
    <x v="2"/>
    <x v="14"/>
    <s v="20103115 - Atividade Reflexa Cinesioterápica (R$ 20,81)"/>
    <s v="Fisioterapia"/>
    <n v="1701456435"/>
    <s v="Finalizado (5/5)"/>
    <n v="18.312799999999999"/>
    <n v="2.4971999999999999"/>
    <n v="20.81"/>
    <s v="Sessão Faturada"/>
    <n v="770179019950010"/>
    <n v="54553"/>
    <s v="Unidade Vieiralves"/>
    <n v="1701456435"/>
    <m/>
  </r>
  <r>
    <x v="12"/>
    <x v="8"/>
    <s v="Françoise do Nascimento Lima"/>
    <s v="Feminino"/>
    <x v="2"/>
    <x v="14"/>
    <s v="20103484 - Fisioterapia - Patologia Em Um Membro (R$ 12,22)"/>
    <s v="Fisioterapia"/>
    <n v="1711678006"/>
    <s v="Finalizado (2/10)"/>
    <n v="10.7536"/>
    <n v="1.4663999999999999"/>
    <n v="12.22"/>
    <s v="Sessão a Faturar"/>
    <n v="771015045942010"/>
    <n v="99"/>
    <s v="Unidade Vieiralves"/>
    <n v="1711678006"/>
    <m/>
  </r>
  <r>
    <x v="12"/>
    <x v="9"/>
    <s v="Françoise do Nascimento Lima"/>
    <s v="Feminino"/>
    <x v="2"/>
    <x v="14"/>
    <s v="20103115 - Atividade Reflexa Cinesioterápica (R$ 20,81)"/>
    <s v="Fisioterapia"/>
    <n v="1704004071"/>
    <s v="Finalizado (2/3)"/>
    <n v="18.312799999999999"/>
    <n v="2.4971999999999999"/>
    <n v="20.81"/>
    <s v="Sessão Faturada"/>
    <n v="771015045942010"/>
    <n v="99"/>
    <s v="Unidade Vieiralves"/>
    <n v="1704004071"/>
    <m/>
  </r>
  <r>
    <x v="12"/>
    <x v="10"/>
    <s v="Gabrielly da Silva Mascarin"/>
    <m/>
    <x v="6"/>
    <x v="14"/>
    <s v="20103662 - Pos Operatorio Em Um Membro (R$ 22,53)"/>
    <s v="Fisioterapia"/>
    <n v="167638"/>
    <s v="Finalizado (8/10)"/>
    <n v="19.8264"/>
    <n v="2.7035999999999998"/>
    <n v="22.53"/>
    <s v="Sessão Faturada"/>
    <n v="954500024520030"/>
    <n v="17683"/>
    <s v="Unidade Vieiralves"/>
    <n v="167638"/>
    <m/>
  </r>
  <r>
    <x v="12"/>
    <x v="1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3/10)"/>
    <n v="30.8"/>
    <n v="4.2"/>
    <n v="35"/>
    <s v="Sessão Faturada"/>
    <s v="0901013262310007"/>
    <n v="55942"/>
    <s v="Unidade Vieiralves"/>
    <n v="9044249"/>
    <m/>
  </r>
  <r>
    <x v="12"/>
    <x v="10"/>
    <s v="Simone Santana Belchior"/>
    <s v="Feminino"/>
    <x v="1"/>
    <x v="14"/>
    <s v="50000160 - Fisioterapia Ortopédica (R$ 20,00), 98980327 - Taxa de Eletroterapia (Tens) (R$ 15,00)"/>
    <s v="Fisioterapia"/>
    <n v="8943354"/>
    <s v="Finalizado (3/5)"/>
    <n v="30.8"/>
    <n v="4.2"/>
    <n v="35"/>
    <s v="Sessão Faturada"/>
    <s v="0903012245030045"/>
    <n v="59166"/>
    <s v="Unidade Vieiralves"/>
    <n v="8943354"/>
    <m/>
  </r>
  <r>
    <x v="12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2/9)"/>
    <n v="23.803999999999998"/>
    <n v="3.246"/>
    <n v="27.05"/>
    <s v="Sessão a Faturar"/>
    <s v="000430852874162602"/>
    <n v="38899"/>
    <s v="Unidade Vieiralves"/>
    <n v="169503"/>
    <m/>
  </r>
  <r>
    <x v="12"/>
    <x v="10"/>
    <s v="Ingrid de Vasconcelos Castelo Branco"/>
    <s v="Feminino"/>
    <x v="12"/>
    <x v="14"/>
    <s v="31602185 - Estimulação Elétrica Transcutânea (Tens) (R$ 49,00)"/>
    <s v="Fisioterapia"/>
    <n v="10304052"/>
    <s v="Finalizado (2/9)"/>
    <n v="43.12"/>
    <n v="5.88"/>
    <n v="49"/>
    <s v="Sessão a Faturar"/>
    <s v="000430852874162602"/>
    <n v="38899"/>
    <s v="Unidade Vieiralves"/>
    <n v="10304052"/>
    <m/>
  </r>
  <r>
    <x v="12"/>
    <x v="11"/>
    <s v="Gabrielly da Silva Mascarin"/>
    <m/>
    <x v="6"/>
    <x v="14"/>
    <s v="31602185 - Estimulação Elétrica Transcutanea (Tens) (R$ 40,00)"/>
    <s v="Fisioterapia"/>
    <n v="167640"/>
    <s v="Finalizado (8/10)"/>
    <n v="35.200000000000003"/>
    <n v="4.8"/>
    <n v="40"/>
    <s v="Sessão Faturada"/>
    <n v="954500024520030"/>
    <n v="17683"/>
    <s v="Unidade Vieiralves"/>
    <n v="167640"/>
    <m/>
  </r>
  <r>
    <x v="12"/>
    <x v="12"/>
    <s v="Enoque Barbosa de Castro"/>
    <s v="Masculino"/>
    <x v="2"/>
    <x v="14"/>
    <s v="20103484 - Fisioterapia - Patologia Em Um Membro (R$ 12,22)"/>
    <s v="Fisioterapia"/>
    <n v="1702009652"/>
    <s v="Finalizado (4/5)"/>
    <n v="10.7536"/>
    <n v="1.4663999999999999"/>
    <n v="12.22"/>
    <s v="Sessão Faturada"/>
    <n v="771015044474000"/>
    <n v="54331"/>
    <s v="Unidade Vieiralves"/>
    <n v="1702009652"/>
    <m/>
  </r>
  <r>
    <x v="12"/>
    <x v="12"/>
    <s v="Alice Ferreira Cabral"/>
    <s v="Feminino"/>
    <x v="1"/>
    <x v="14"/>
    <s v="50000160 - Fisioterapia Ortopédica (R$ 20,00), 98980327 - Taxa de Eletroterapia (Tens) (R$ 15,00)"/>
    <s v="Fisioterapia"/>
    <n v="8776085"/>
    <s v="Finalizado (7/7)"/>
    <n v="30.8"/>
    <n v="4.2"/>
    <n v="35"/>
    <s v="Sessão Faturada"/>
    <s v="0901013216000084"/>
    <n v="57570"/>
    <s v="Unidade Vieiralves"/>
    <n v="8776085"/>
    <m/>
  </r>
  <r>
    <x v="12"/>
    <x v="19"/>
    <s v="Enoque Barbosa de Castro"/>
    <s v="Masculino"/>
    <x v="2"/>
    <x v="14"/>
    <s v="20103115 - Atividade Reflexa Cinesioterápica (R$ 20,81)"/>
    <s v="Fisioterapia"/>
    <n v="1702009989"/>
    <s v="Finalizado (4/5)"/>
    <n v="18.312799999999999"/>
    <n v="2.4971999999999999"/>
    <n v="20.81"/>
    <s v="Sessão Faturada"/>
    <n v="771015044474000"/>
    <n v="54331"/>
    <s v="Unidade Vieiralves"/>
    <n v="1702009989"/>
    <m/>
  </r>
  <r>
    <x v="13"/>
    <x v="0"/>
    <s v="Luiz Carlos Barcelos Gonzaga"/>
    <s v="Masculino"/>
    <x v="8"/>
    <x v="14"/>
    <s v="20103662 - Pos Operatorio Em Um Membro (R$ 14,99)"/>
    <s v="Fisioterapia"/>
    <n v="1704856335"/>
    <s v="Finalizado (2/4)"/>
    <n v="13.1912"/>
    <n v="1.7988"/>
    <n v="14.99"/>
    <s v="Sessão Faturada"/>
    <n v="954600002887000"/>
    <n v="16269"/>
    <s v="Unidade Vieiralves"/>
    <n v="1704856335"/>
    <m/>
  </r>
  <r>
    <x v="13"/>
    <x v="0"/>
    <s v="Adriana Brito de Souza"/>
    <s v="Feminino"/>
    <x v="1"/>
    <x v="14"/>
    <s v="50000160 - Fisioterapia Ortopédica (R$ 20,00), 98980327 - Taxa de Eletroterapia (Tens) (R$ 15,00)"/>
    <s v="Fisioterapia"/>
    <n v="8749471"/>
    <s v="Finalizado (6/10)"/>
    <n v="30.8"/>
    <n v="4.2"/>
    <n v="35"/>
    <s v="Sessão Faturada"/>
    <n v="1301013731160100"/>
    <n v="58802"/>
    <s v="Unidade Vieiralves"/>
    <n v="8749471"/>
    <s v="Guia assinada!"/>
  </r>
  <r>
    <x v="13"/>
    <x v="1"/>
    <s v="Luiz Carlos Barcelos Gonzaga"/>
    <s v="Masculino"/>
    <x v="8"/>
    <x v="14"/>
    <s v="20103115 - Atividade Reflexa Cinesioterápica (R$ 20,81)"/>
    <s v="Fisioterapia"/>
    <n v="1704857541"/>
    <s v="Finalizado (2/4)"/>
    <n v="18.312799999999999"/>
    <n v="2.4971999999999999"/>
    <n v="20.81"/>
    <s v="Sessão Faturada"/>
    <n v="954600002887000"/>
    <n v="16269"/>
    <s v="Unidade Vieiralves"/>
    <n v="1704857541"/>
    <m/>
  </r>
  <r>
    <x v="13"/>
    <x v="2"/>
    <s v="Mariana Raposo da Câmara Vieira"/>
    <s v="Feminino"/>
    <x v="6"/>
    <x v="14"/>
    <s v="20103484 - Patologia Em Um Membro (R$ 14,16)"/>
    <s v="Fisioterapia"/>
    <n v="172813"/>
    <s v="Finalizado (3/5)"/>
    <n v="12.460800000000001"/>
    <n v="1.6992"/>
    <n v="14.16"/>
    <s v="Sessão a Faturar"/>
    <s v="51588888485027120015"/>
    <n v="58675"/>
    <s v="Unidade Vieiralves"/>
    <n v="172813"/>
    <m/>
  </r>
  <r>
    <x v="13"/>
    <x v="2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4/10)"/>
    <n v="30.8"/>
    <n v="4.2"/>
    <n v="35"/>
    <s v="Sessão Faturada"/>
    <n v="1101013389860100"/>
    <n v="57939"/>
    <s v="Unidade Vieiralves"/>
    <n v="8825151"/>
    <s v="GUIA ASSINADA"/>
  </r>
  <r>
    <x v="13"/>
    <x v="2"/>
    <s v="Gabriele Nogueira de Oliveira"/>
    <s v="Feminino"/>
    <x v="2"/>
    <x v="14"/>
    <s v="20103662 - Fisioterapia - Pos Operatorio Em Um Membro (R$ 14,99)"/>
    <s v="Fisioterapia"/>
    <n v="1704967107"/>
    <s v="Finalizado (3/5)"/>
    <n v="13.1912"/>
    <n v="1.7988"/>
    <n v="14.99"/>
    <s v="Sessão Faturada"/>
    <n v="894937200604000"/>
    <n v="51083"/>
    <s v="Unidade Vieiralves"/>
    <n v="1704967107"/>
    <m/>
  </r>
  <r>
    <x v="13"/>
    <x v="3"/>
    <s v="Gabriele Nogueira de Oliveira"/>
    <s v="Feminino"/>
    <x v="2"/>
    <x v="14"/>
    <s v="20103115 - Atividade Reflexa Cinesioterápica (R$ 20,81)"/>
    <s v="Fisioterapia"/>
    <n v="1704967468"/>
    <s v="Finalizado (3/5)"/>
    <n v="18.312799999999999"/>
    <n v="2.4971999999999999"/>
    <n v="20.81"/>
    <s v="Sessão Faturada"/>
    <n v="894937200604000"/>
    <n v="51083"/>
    <s v="Unidade Vieiralves"/>
    <n v="1704967468"/>
    <m/>
  </r>
  <r>
    <x v="13"/>
    <x v="3"/>
    <s v="Mariana Raposo da Câmara Vieira"/>
    <s v="Feminino"/>
    <x v="6"/>
    <x v="14"/>
    <s v="31602185 - Estimulação Elétrica Transcutanea (Tens) (R$ 40,00)"/>
    <s v="Fisioterapia"/>
    <n v="843837"/>
    <s v="Finalizado (3/5)"/>
    <n v="35.200000000000003"/>
    <n v="4.8"/>
    <n v="40"/>
    <s v="Sessão a Faturar"/>
    <s v="51588888485027120015"/>
    <n v="58675"/>
    <s v="Unidade Vieiralves"/>
    <n v="843837"/>
    <m/>
  </r>
  <r>
    <x v="13"/>
    <x v="4"/>
    <s v="Wilson Colares da Costa Junior"/>
    <s v="Masculino"/>
    <x v="20"/>
    <x v="14"/>
    <s v="20103492 - Patologia Em Dois Ou Mais Membros (R$ 38,90)"/>
    <s v="Fisioterapia"/>
    <n v="54840250"/>
    <s v="Finalizado (6/10)"/>
    <n v="34.231999999999999"/>
    <n v="4.6680000000000001"/>
    <n v="38.9"/>
    <s v="Sessão Faturada"/>
    <n v="10410600643600"/>
    <n v="58658"/>
    <s v="Unidade Vieiralves"/>
    <n v="54840250"/>
    <m/>
  </r>
  <r>
    <x v="13"/>
    <x v="4"/>
    <s v="Dulcilene da Conceição Santarém"/>
    <s v="Feminino"/>
    <x v="7"/>
    <x v="14"/>
    <s v="Vieiralves - 1 - Fisioterapia Ortopedica - Pacote (R$ 80,00)"/>
    <s v="Fisioterapia"/>
    <n v="167728"/>
    <s v="Finalizado (5/10)"/>
    <n v="62.4"/>
    <n v="17.600000000000001"/>
    <n v="80"/>
    <s v="Pago"/>
    <n v="0"/>
    <n v="57405"/>
    <s v="Unidade Vieiralves"/>
    <n v="167728"/>
    <m/>
  </r>
  <r>
    <x v="13"/>
    <x v="4"/>
    <s v="Neurizete Freire da Costa"/>
    <m/>
    <x v="2"/>
    <x v="14"/>
    <s v="20103662 - Fisioterapia - Pos Operatorio Em Um Membro (R$ 14,99)"/>
    <s v="Fisioterapia"/>
    <n v="1703922863"/>
    <s v="Finalizado (5/5)"/>
    <n v="13.1912"/>
    <n v="1.7988"/>
    <n v="14.99"/>
    <s v="Sessão Faturada"/>
    <n v="771015042579000"/>
    <n v="59118"/>
    <s v="Unidade Vieiralves"/>
    <n v="1703922863"/>
    <m/>
  </r>
  <r>
    <x v="13"/>
    <x v="5"/>
    <s v="Neurizete Freire da Costa"/>
    <m/>
    <x v="2"/>
    <x v="14"/>
    <s v="20103115 - Atividade Reflexa Cinesioterápica (R$ 20,81)"/>
    <s v="Fisioterapia"/>
    <n v="1703924062"/>
    <s v="Finalizado (5/5)"/>
    <n v="18.312799999999999"/>
    <n v="2.4971999999999999"/>
    <n v="20.81"/>
    <s v="Sessão Faturada"/>
    <n v="771015042579000"/>
    <n v="59118"/>
    <s v="Unidade Vieiralves"/>
    <n v="1703924062"/>
    <m/>
  </r>
  <r>
    <x v="13"/>
    <x v="13"/>
    <s v="Valmir de Oliveira Rodrigues"/>
    <s v="Masculino"/>
    <x v="6"/>
    <x v="14"/>
    <s v="31602185 - Estimulação Elétrica Transcutanea (Tens) (R$ 40,00)"/>
    <s v="Fisioterapia"/>
    <n v="165679"/>
    <s v="Não compareceu (8/10)"/>
    <n v="40"/>
    <n v="0"/>
    <n v="40"/>
    <s v="Sessão Faturada"/>
    <s v="55788888483016290015"/>
    <n v="15363"/>
    <s v="Unidade Vieiralves"/>
    <n v="165679"/>
    <m/>
  </r>
  <r>
    <x v="13"/>
    <x v="13"/>
    <s v="Leonardo Andrade de Brito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0"/>
    <n v="59345"/>
    <s v="Unidade Vieiralves"/>
    <m/>
    <m/>
  </r>
  <r>
    <x v="13"/>
    <x v="13"/>
    <s v="Eduardo Martins Souza"/>
    <s v="Masculino"/>
    <x v="1"/>
    <x v="14"/>
    <s v="50000160 - Fisioterapia Ortopédica (R$ 20,00), 98980327 - Taxa de Eletroterapia (Tens) (R$ 15,00)"/>
    <s v="Fisioterapia"/>
    <n v="8708208"/>
    <s v="Finalizado (10/10)"/>
    <n v="30.8"/>
    <n v="4.2"/>
    <n v="35"/>
    <s v="Sessão Faturada"/>
    <s v="0901013816210012"/>
    <n v="58367"/>
    <s v="Unidade Vieiralves"/>
    <n v="8708208"/>
    <m/>
  </r>
  <r>
    <x v="13"/>
    <x v="6"/>
    <s v="Keitty Janete Garcia Mineiro"/>
    <s v="Feminino"/>
    <x v="1"/>
    <x v="14"/>
    <s v="50000160 - Fisioterapia Ortopédica (R$ 20,00), 98980327 - Taxa de Eletroterapia (Tens) (R$ 15,00)"/>
    <s v="Fisioterapia"/>
    <n v="8301206"/>
    <s v="Finalizado (6/10)"/>
    <n v="30.8"/>
    <n v="4.2"/>
    <n v="35"/>
    <s v="Sessão Faturada"/>
    <n v="1301013081700400"/>
    <n v="55920"/>
    <s v="Unidade Vieiralves"/>
    <n v="8301206"/>
    <s v="GUIA ASSINADA "/>
  </r>
  <r>
    <x v="13"/>
    <x v="6"/>
    <s v="Nelsi Maria Ladeira Luniere"/>
    <s v="Feminino"/>
    <x v="1"/>
    <x v="14"/>
    <s v="50000160 - Fisioterapia Ortopédica (R$ 20,00), 98980327 - Taxa de Eletroterapia (Tens) (R$ 15,00)"/>
    <s v="Fisioterapia"/>
    <n v="9162964"/>
    <s v="Finalizado (1/10)"/>
    <n v="30.8"/>
    <n v="4.2"/>
    <n v="35"/>
    <s v="Sessão Faturada"/>
    <s v="0801013498970007"/>
    <n v="58084"/>
    <s v="Unidade Vieiralves"/>
    <n v="9162964"/>
    <s v="GUIA ASSINADA"/>
  </r>
  <r>
    <x v="13"/>
    <x v="15"/>
    <s v="Nathana César Bastos"/>
    <s v="Feminino"/>
    <x v="6"/>
    <x v="14"/>
    <s v="20103514 - Patologia Em Dois Ou Mais Segmentos da Coluna (R$ 32,82)"/>
    <s v="Fisioterapia"/>
    <n v="189872"/>
    <s v="Finalizado (2/4)"/>
    <n v="28.881599999999999"/>
    <n v="3.9384000000000001"/>
    <n v="32.82"/>
    <s v="Sessão a Faturar"/>
    <s v="54588888492204600017"/>
    <n v="59015"/>
    <s v="Unidade Vieiralves"/>
    <n v="189872"/>
    <m/>
  </r>
  <r>
    <x v="13"/>
    <x v="16"/>
    <s v="Nathana César Bastos"/>
    <s v="Feminino"/>
    <x v="6"/>
    <x v="14"/>
    <s v="31602185 - Estimulação Elétrica Transcutanea (Tens) (R$ 40,00)"/>
    <s v="Fisioterapia"/>
    <n v="170053"/>
    <s v="Finalizado (2/4)"/>
    <n v="35.200000000000003"/>
    <n v="4.8"/>
    <n v="40"/>
    <s v="Sessão a Faturar"/>
    <s v="54588888492204600017"/>
    <n v="59015"/>
    <s v="Unidade Vieiralves"/>
    <n v="170053"/>
    <m/>
  </r>
  <r>
    <x v="13"/>
    <x v="17"/>
    <s v="Angelo Bonanno"/>
    <s v="Masculino"/>
    <x v="7"/>
    <x v="14"/>
    <s v="Vieiralves - 1 - Fisioterapia Ortopedica - Pacote (R$ 40,00)"/>
    <s v="Fisioterapia"/>
    <m/>
    <s v="Finalizado (1/10)"/>
    <n v="31.2"/>
    <n v="8.8000000000000007"/>
    <n v="40"/>
    <s v="Pago"/>
    <n v="611649060001010"/>
    <n v="55203"/>
    <s v="Unidade Vieiralves"/>
    <m/>
    <m/>
  </r>
  <r>
    <x v="13"/>
    <x v="10"/>
    <s v="Maria do Perpetuo Socorro Cabral Nogueira"/>
    <s v="Feminino"/>
    <x v="1"/>
    <x v="14"/>
    <s v="50000160 - Fisioterapia Ortopédica (R$ 20,00), 98980327 - Taxa de Eletroterapia (Tens) (R$ 15,00)"/>
    <s v="Fisioterapia"/>
    <n v="8637322"/>
    <s v="Não compareceu (8/10)"/>
    <n v="35"/>
    <n v="0"/>
    <n v="35"/>
    <s v="Sessão Faturada"/>
    <s v="0701012888640069"/>
    <n v="59225"/>
    <s v="Unidade Vieiralves"/>
    <n v="8637322"/>
    <s v="Guia assinada!"/>
  </r>
  <r>
    <x v="13"/>
    <x v="12"/>
    <s v="Cristiane Rodrigues da Silva"/>
    <s v="Feminino"/>
    <x v="6"/>
    <x v="14"/>
    <s v="20103492 - Patologia Em Dois Ou Mais Membros (R$ 30,26)"/>
    <s v="Fisioterapia"/>
    <n v="169654"/>
    <s v="Finalizado (1/10)"/>
    <n v="26.628799999999998"/>
    <n v="3.6312000000000002"/>
    <n v="30.26"/>
    <s v="Sessão a Faturar"/>
    <s v="54563005000001140015"/>
    <n v="16840"/>
    <s v="Unidade Vieiralves"/>
    <n v="169654"/>
    <m/>
  </r>
  <r>
    <x v="13"/>
    <x v="12"/>
    <s v="Iris da Silva Costa"/>
    <s v="Feminino"/>
    <x v="6"/>
    <x v="14"/>
    <s v="20103484 - Patologia Em Um Membro (R$ 14,16)"/>
    <s v="Fisioterapia"/>
    <n v="169600"/>
    <s v="Finalizado (3/5)"/>
    <n v="12.460800000000001"/>
    <n v="1.6992"/>
    <n v="14.16"/>
    <s v="Sessão a Faturar"/>
    <s v="55788888492927780014"/>
    <n v="50671"/>
    <s v="Unidade Vieiralves"/>
    <n v="169600"/>
    <m/>
  </r>
  <r>
    <x v="13"/>
    <x v="12"/>
    <s v="Icaro de Melo Amorim"/>
    <s v="Masculino"/>
    <x v="2"/>
    <x v="14"/>
    <s v="20103115 - Atividade Reflexa Cinesioterápica (R$ 20,81)"/>
    <s v="Fisioterapia"/>
    <n v="1706531671"/>
    <s v="Finalizado (1/5)"/>
    <n v="18.312799999999999"/>
    <n v="2.4971999999999999"/>
    <n v="20.81"/>
    <s v="Sessão Faturada"/>
    <n v="960019332171000"/>
    <n v="30492"/>
    <s v="Unidade Vieiralves"/>
    <n v="1706531671"/>
    <m/>
  </r>
  <r>
    <x v="13"/>
    <x v="12"/>
    <s v="Icaro de Melo Amorim"/>
    <s v="Masculino"/>
    <x v="2"/>
    <x v="14"/>
    <s v="20103662 - Fisioterapia - Pos Operatorio Em Um Membro (R$ 14,99)"/>
    <s v="Fisioterapia"/>
    <n v="1706531289"/>
    <s v="Finalizado (1/5)"/>
    <n v="13.1912"/>
    <n v="1.7988"/>
    <n v="14.99"/>
    <s v="Sessão Faturada"/>
    <n v="960019332171000"/>
    <n v="30492"/>
    <s v="Unidade Vieiralves"/>
    <n v="1706531289"/>
    <m/>
  </r>
  <r>
    <x v="13"/>
    <x v="12"/>
    <s v="Cristiane Rodrigues da Silva"/>
    <s v="Feminino"/>
    <x v="6"/>
    <x v="14"/>
    <s v="31602185 - Estimulação Elétrica Transcutanea (Tens) (R$ 40,00)"/>
    <s v="Fisioterapia"/>
    <n v="170388"/>
    <s v="Finalizado (1/10)"/>
    <n v="35.200000000000003"/>
    <n v="4.8"/>
    <n v="40"/>
    <s v="Sessão a Faturar"/>
    <s v="54563005000001140015"/>
    <n v="16840"/>
    <s v="Unidade Vieiralves"/>
    <n v="170388"/>
    <m/>
  </r>
  <r>
    <x v="13"/>
    <x v="19"/>
    <s v="Iris da Silva Costa"/>
    <s v="Feminino"/>
    <x v="6"/>
    <x v="14"/>
    <s v="31602185 - Estimulação Elétrica Transcutanea (Tens) (R$ 40,00)"/>
    <s v="Fisioterapia"/>
    <n v="169602"/>
    <s v="Finalizado (3/5)"/>
    <n v="35.200000000000003"/>
    <n v="4.8"/>
    <n v="40"/>
    <s v="Sessão a Faturar"/>
    <s v="55788888492927780014"/>
    <n v="50671"/>
    <s v="Unidade Vieiralves"/>
    <n v="169602"/>
    <m/>
  </r>
  <r>
    <x v="13"/>
    <x v="20"/>
    <s v="Patricia Rodrigues Pontes"/>
    <s v="Feminino"/>
    <x v="6"/>
    <x v="14"/>
    <s v="20103662 - Pos Operatorio Em Um Membro (R$ 22,53)"/>
    <s v="Fisioterapia"/>
    <n v="169215"/>
    <s v="Finalizado (4/5)"/>
    <n v="19.8264"/>
    <n v="2.7035999999999998"/>
    <n v="22.53"/>
    <s v="Sessão a Faturar"/>
    <s v="54588888011063920019"/>
    <n v="59148"/>
    <s v="Unidade Vieiralves"/>
    <n v="169215"/>
    <m/>
  </r>
  <r>
    <x v="13"/>
    <x v="21"/>
    <s v="Patricia Rodrigues Pontes"/>
    <s v="Feminino"/>
    <x v="6"/>
    <x v="14"/>
    <s v="31602185 - Estimulação Elétrica Transcutanea (Tens) (R$ 40,00)"/>
    <s v="Fisioterapia"/>
    <n v="169511"/>
    <s v="Finalizado (4/5)"/>
    <n v="35.200000000000003"/>
    <n v="4.8"/>
    <n v="40"/>
    <s v="Sessão a Faturar"/>
    <s v="54588888011063920019"/>
    <n v="59148"/>
    <s v="Unidade Vieiralves"/>
    <n v="169511"/>
    <m/>
  </r>
  <r>
    <x v="14"/>
    <x v="0"/>
    <s v="Rosalinda Pereira Brito"/>
    <s v="Feminino"/>
    <x v="2"/>
    <x v="14"/>
    <s v="20103484 - Fisioterapia - Patologia Em Um Membro (R$ 12,22)"/>
    <s v="Fisioterapia"/>
    <n v="1705795662"/>
    <s v="Finalizado (2/10)"/>
    <n v="10.7536"/>
    <n v="1.4663999999999999"/>
    <n v="12.22"/>
    <s v="Sessão Faturada"/>
    <s v="010544100907015"/>
    <n v="13886"/>
    <s v="Unidade Vieiralves"/>
    <n v="1705795662"/>
    <m/>
  </r>
  <r>
    <x v="14"/>
    <x v="0"/>
    <s v="Joeline Dutra da Silva"/>
    <s v="Feminino"/>
    <x v="1"/>
    <x v="14"/>
    <s v="50000160 - Fisioterapia Ortopédica (R$ 20,00), 98980327 - Taxa de Eletroterapia (Tens) (R$ 15,00)"/>
    <s v="Fisioterapia"/>
    <n v="8851194"/>
    <s v="Finalizado (9/10)"/>
    <n v="30.8"/>
    <n v="4.2"/>
    <n v="35"/>
    <s v="Sessão Faturada"/>
    <n v="1101013081410400"/>
    <n v="56667"/>
    <s v="Unidade Vieiralves"/>
    <n v="8851194"/>
    <m/>
  </r>
  <r>
    <x v="14"/>
    <x v="0"/>
    <s v="Elane Sales de Lima"/>
    <m/>
    <x v="2"/>
    <x v="14"/>
    <s v="20103484 - Fisioterapia - Patologia Em Um Membro (R$ 12,22)"/>
    <s v="Fisioterapia"/>
    <n v="1704837657"/>
    <s v="Finalizado (3/5)"/>
    <n v="10.7536"/>
    <n v="1.4663999999999999"/>
    <n v="12.22"/>
    <s v="Sessão Faturada"/>
    <n v="773539032034010"/>
    <n v="58812"/>
    <s v="Unidade Vieiralves"/>
    <n v="1704837657"/>
    <m/>
  </r>
  <r>
    <x v="14"/>
    <x v="1"/>
    <s v="Rosalinda Pereira Brito"/>
    <s v="Feminino"/>
    <x v="2"/>
    <x v="14"/>
    <s v="20103115 - Atividade Reflexa Cinesioterápica (R$ 20,81)"/>
    <s v="Fisioterapia"/>
    <n v="1705797070"/>
    <s v="Finalizado (2/3)"/>
    <n v="18.312799999999999"/>
    <n v="2.4971999999999999"/>
    <n v="20.81"/>
    <s v="Sessão Faturada"/>
    <s v="010544100907015"/>
    <n v="13886"/>
    <s v="Unidade Vieiralves"/>
    <n v="1705797070"/>
    <m/>
  </r>
  <r>
    <x v="14"/>
    <x v="1"/>
    <s v="Elane Sales de Lima"/>
    <m/>
    <x v="2"/>
    <x v="14"/>
    <s v="20103115 - Atividade Reflexa Cinesioterápica (R$ 20,81)"/>
    <s v="Fisioterapia"/>
    <n v="1704838447"/>
    <s v="Finalizado (3/5)"/>
    <n v="18.312799999999999"/>
    <n v="2.4971999999999999"/>
    <n v="20.81"/>
    <s v="Sessão Faturada"/>
    <n v="773539032034010"/>
    <n v="58812"/>
    <s v="Unidade Vieiralves"/>
    <n v="1704838447"/>
    <m/>
  </r>
  <r>
    <x v="14"/>
    <x v="2"/>
    <s v="Valmir de Oliveira Rodrigues"/>
    <s v="Masculino"/>
    <x v="6"/>
    <x v="14"/>
    <s v="31602185 - Estimulação Elétrica Transcutanea (Tens) (R$ 40,00)"/>
    <s v="Fisioterapia"/>
    <n v="165679"/>
    <s v="Finalizado (9/10)"/>
    <n v="35.200000000000003"/>
    <n v="4.8"/>
    <n v="40"/>
    <s v="Sessão Faturada"/>
    <s v="55788888483016290015"/>
    <n v="15363"/>
    <s v="Unidade Vieiralves"/>
    <n v="165679"/>
    <m/>
  </r>
  <r>
    <x v="14"/>
    <x v="2"/>
    <s v="Jucy Nogueira Levy"/>
    <s v="Masculino"/>
    <x v="2"/>
    <x v="14"/>
    <s v="20103662 - Fisioterapia - Pos Operatorio Em Um Membro (R$ 14,99)"/>
    <s v="Fisioterapia"/>
    <n v="1700977228"/>
    <s v="Finalizado (5/5)"/>
    <n v="13.1912"/>
    <n v="1.7988"/>
    <n v="14.99"/>
    <s v="Sessão Faturada"/>
    <n v="773268007013010"/>
    <n v="6099"/>
    <s v="Unidade Vieiralves"/>
    <n v="1700977228"/>
    <m/>
  </r>
  <r>
    <x v="14"/>
    <x v="2"/>
    <s v="Mariana Raposo da Câmara Vieira"/>
    <s v="Feminino"/>
    <x v="6"/>
    <x v="14"/>
    <s v="20103484 - Patologia Em Um Membro (R$ 14,16)"/>
    <s v="Fisioterapia"/>
    <n v="172813"/>
    <s v="Finalizado (4/5)"/>
    <n v="12.460800000000001"/>
    <n v="1.6992"/>
    <n v="14.16"/>
    <s v="Sessão a Faturar"/>
    <s v="51588888485027120015"/>
    <n v="58675"/>
    <s v="Unidade Vieiralves"/>
    <n v="172813"/>
    <m/>
  </r>
  <r>
    <x v="14"/>
    <x v="3"/>
    <s v="Mariana Raposo da Câmara Vieira"/>
    <s v="Feminino"/>
    <x v="6"/>
    <x v="14"/>
    <s v="31602185 - Estimulação Elétrica Transcutanea (Tens) (R$ 40,00)"/>
    <s v="Fisioterapia"/>
    <n v="843837"/>
    <s v="Finalizado (4/5)"/>
    <n v="35.200000000000003"/>
    <n v="4.8"/>
    <n v="40"/>
    <s v="Sessão a Faturar"/>
    <s v="51588888485027120015"/>
    <n v="58675"/>
    <s v="Unidade Vieiralves"/>
    <n v="843837"/>
    <m/>
  </r>
  <r>
    <x v="14"/>
    <x v="3"/>
    <s v="Jucy Nogueira Levy"/>
    <s v="Masculino"/>
    <x v="2"/>
    <x v="14"/>
    <s v="20103115 - Atividade Reflexa Cinesioterápica (R$ 20,81)"/>
    <s v="Fisioterapia"/>
    <n v="1700976382"/>
    <s v="Finalizado (5/5)"/>
    <n v="18.312799999999999"/>
    <n v="2.4971999999999999"/>
    <n v="20.81"/>
    <s v="Sessão Faturada"/>
    <n v="773268007013010"/>
    <n v="6099"/>
    <s v="Unidade Vieiralves"/>
    <n v="1700976382"/>
    <m/>
  </r>
  <r>
    <x v="14"/>
    <x v="4"/>
    <s v="Silvana Freitas Spinola de Oliveira"/>
    <m/>
    <x v="6"/>
    <x v="14"/>
    <s v="20103492 - Patologia Em Dois Ou Mais Membros (R$ 30,26)"/>
    <s v="Fisioterapia"/>
    <n v="169401"/>
    <s v="Não compareceu (4/10)"/>
    <n v="30.26"/>
    <n v="0"/>
    <n v="30.26"/>
    <s v="Sessão a Faturar"/>
    <s v="51588888464996980013"/>
    <n v="20358"/>
    <s v="Unidade Vieiralves"/>
    <n v="169401"/>
    <m/>
  </r>
  <r>
    <x v="14"/>
    <x v="4"/>
    <s v="Neurizete Freire da Costa"/>
    <m/>
    <x v="2"/>
    <x v="14"/>
    <s v="20103662 - Fisioterapia - Pos Operatorio Em Um Membro (R$ 14,99)"/>
    <s v="Fisioterapia"/>
    <n v="1706954035"/>
    <s v="Finalizado (1/1)"/>
    <n v="13.1912"/>
    <n v="1.7988"/>
    <n v="14.99"/>
    <s v="Sessão Faturada"/>
    <n v="771015042579000"/>
    <n v="59118"/>
    <s v="Unidade Vieiralves"/>
    <n v="1706954035"/>
    <m/>
  </r>
  <r>
    <x v="14"/>
    <x v="4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3/8)"/>
    <n v="30.8"/>
    <n v="4.2"/>
    <n v="35"/>
    <s v="Sessão Faturada"/>
    <s v="0901011263750098"/>
    <n v="57345"/>
    <s v="Unidade Vieiralves"/>
    <n v="8919881"/>
    <m/>
  </r>
  <r>
    <x v="14"/>
    <x v="4"/>
    <s v="Neurizete Freire da Costa"/>
    <m/>
    <x v="2"/>
    <x v="14"/>
    <s v="20103115 - Atividade Reflexa Cinesioterápica (R$ 20,81)"/>
    <s v="Fisioterapia"/>
    <n v="1706955722"/>
    <s v="Finalizado (1/1)"/>
    <n v="18.312799999999999"/>
    <n v="2.4971999999999999"/>
    <n v="20.81"/>
    <s v="Sessão Faturada"/>
    <n v="771015042579000"/>
    <n v="59118"/>
    <s v="Unidade Vieiralves"/>
    <n v="1706955722"/>
    <m/>
  </r>
  <r>
    <x v="14"/>
    <x v="5"/>
    <s v="Silvana Freitas Spinola de Oliveira"/>
    <m/>
    <x v="6"/>
    <x v="14"/>
    <s v="31602185 - Estimulação Elétrica Transcutanea (Tens) (R$ 40,00)"/>
    <s v="Fisioterapia"/>
    <n v="169402"/>
    <s v="Não compareceu (4/10)"/>
    <n v="40"/>
    <n v="0"/>
    <n v="40"/>
    <s v="Sessão a Faturar"/>
    <s v="51588888464996980013"/>
    <n v="20358"/>
    <s v="Unidade Vieiralves"/>
    <n v="169402"/>
    <m/>
  </r>
  <r>
    <x v="14"/>
    <x v="13"/>
    <s v="Adenise Leitão Barbosa"/>
    <s v="Feminino"/>
    <x v="12"/>
    <x v="14"/>
    <s v="20103492 - Patol. Em Dois Ou Mais Membros (R$ 14,83)"/>
    <s v="Fisioterapia"/>
    <n v="170141"/>
    <s v="Finalizado (1/10)"/>
    <n v="13.0504"/>
    <n v="1.7796000000000001"/>
    <n v="14.83"/>
    <s v="Sessão Faturada"/>
    <s v="000432203160121601"/>
    <n v="26264"/>
    <s v="Unidade Vieiralves"/>
    <n v="170141"/>
    <m/>
  </r>
  <r>
    <x v="14"/>
    <x v="6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2/10)"/>
    <n v="30.8"/>
    <n v="4.2"/>
    <n v="35"/>
    <s v="Sessão Faturada"/>
    <n v="1301012940110100"/>
    <n v="53480"/>
    <s v="Unidade Vieiralves"/>
    <n v="9210847"/>
    <m/>
  </r>
  <r>
    <x v="14"/>
    <x v="6"/>
    <s v="Alessandra Silveira Rocha"/>
    <s v="Feminino"/>
    <x v="2"/>
    <x v="14"/>
    <s v="20103115 - Atividade Reflexa Cinesioterápica (R$ 20,81)"/>
    <s v="Fisioterapia"/>
    <n v="1707003352"/>
    <s v="Finalizado (1/2)"/>
    <n v="18.312799999999999"/>
    <n v="2.4971999999999999"/>
    <n v="20.81"/>
    <s v="Sessão Faturada"/>
    <n v="774063023809020"/>
    <n v="58966"/>
    <s v="Unidade Vieiralves"/>
    <n v="1707003352"/>
    <m/>
  </r>
  <r>
    <x v="14"/>
    <x v="6"/>
    <s v="Alessandra Silveira Rocha"/>
    <s v="Feminino"/>
    <x v="2"/>
    <x v="14"/>
    <s v="20103492 - Fisioterapia - Patologia Em Dois Ou Mais Membros (R$ 14,83)"/>
    <s v="Fisioterapia"/>
    <n v="1707002611"/>
    <s v="Finalizado (1/10)"/>
    <n v="13.0504"/>
    <n v="1.7796000000000001"/>
    <n v="14.83"/>
    <s v="Sessão a Faturar"/>
    <n v="774063023809020"/>
    <n v="58966"/>
    <s v="Unidade Vieiralves"/>
    <n v="1707002611"/>
    <m/>
  </r>
  <r>
    <x v="14"/>
    <x v="15"/>
    <s v="Alice da Silva dos Santos"/>
    <m/>
    <x v="2"/>
    <x v="14"/>
    <s v="20103484 - Fisioterapia - Patologia Em Um Membro (R$ 12,22)"/>
    <s v="Fisioterapia"/>
    <n v="1703969778"/>
    <s v="Finalizado (4/5)"/>
    <n v="10.7536"/>
    <n v="1.4663999999999999"/>
    <n v="12.22"/>
    <s v="Sessão Faturada"/>
    <n v="843486100604000"/>
    <n v="56112"/>
    <s v="Unidade Vieiralves"/>
    <n v="1703969778"/>
    <m/>
  </r>
  <r>
    <x v="14"/>
    <x v="15"/>
    <s v="Riulna Ventura Muller"/>
    <s v="Feminino"/>
    <x v="7"/>
    <x v="14"/>
    <s v="Part Convenio - 10 - Fisioterapia Ortopédica- Pacote (R$ 50,00)"/>
    <s v="Fisioterapia"/>
    <m/>
    <s v="Finalizado (2/3)"/>
    <n v="39"/>
    <n v="11"/>
    <n v="50"/>
    <s v="Pago"/>
    <s v="51588888490780040011"/>
    <n v="41071"/>
    <s v="Unidade Vieiralves"/>
    <m/>
    <m/>
  </r>
  <r>
    <x v="14"/>
    <x v="16"/>
    <s v="Alice da Silva dos Santos"/>
    <m/>
    <x v="2"/>
    <x v="14"/>
    <s v="20103115 - Atividade Reflexa Cinesioterápica (R$ 20,81)"/>
    <s v="Fisioterapia"/>
    <n v="1703970770"/>
    <s v="Finalizado (4/5)"/>
    <n v="18.312799999999999"/>
    <n v="2.4971999999999999"/>
    <n v="20.81"/>
    <s v="Sessão Faturada"/>
    <n v="843486100604000"/>
    <n v="56112"/>
    <s v="Unidade Vieiralves"/>
    <n v="1703970770"/>
    <m/>
  </r>
  <r>
    <x v="14"/>
    <x v="17"/>
    <s v="Maria Ines Souza de Jesus"/>
    <s v="Feminino"/>
    <x v="0"/>
    <x v="14"/>
    <s v="50000160 - Fisioterapia Ortopedica (R$ 49,72)"/>
    <s v="Fisioterapia"/>
    <s v="42263120260209259599"/>
    <s v="Finalizado (6/10)"/>
    <n v="43.753599999999999"/>
    <n v="5.9664000000000001"/>
    <n v="49.72"/>
    <s v="Sessão Faturada"/>
    <s v="010115910006"/>
    <n v="36033"/>
    <s v="Unidade Vieiralves"/>
    <s v="42263120260209259599"/>
    <m/>
  </r>
  <r>
    <x v="14"/>
    <x v="17"/>
    <s v="Lauren Lauschner Gaikoski"/>
    <s v="Feminino"/>
    <x v="2"/>
    <x v="14"/>
    <s v="20103484 - Fisioterapia - Patologia Em Um Membro (R$ 12,22)"/>
    <s v="Fisioterapia"/>
    <n v="1703483836"/>
    <s v="Finalizado (4/5)"/>
    <n v="10.7536"/>
    <n v="1.4663999999999999"/>
    <n v="12.22"/>
    <s v="Sessão Faturada"/>
    <n v="775388000299020"/>
    <n v="56279"/>
    <s v="Unidade Vieiralves"/>
    <n v="1703483836"/>
    <m/>
  </r>
  <r>
    <x v="14"/>
    <x v="17"/>
    <s v="Angelo Bonanno"/>
    <s v="Masculino"/>
    <x v="7"/>
    <x v="14"/>
    <s v="Vieiralves - 1 - Fisioterapia Ortopedica - Pacote (R$ 40,00)"/>
    <s v="Fisioterapia"/>
    <m/>
    <s v="Finalizado (2/10)"/>
    <n v="31.2"/>
    <n v="8.8000000000000007"/>
    <n v="40"/>
    <s v="Pago"/>
    <n v="611649060001010"/>
    <n v="55203"/>
    <s v="Unidade Vieiralves"/>
    <m/>
    <m/>
  </r>
  <r>
    <x v="14"/>
    <x v="17"/>
    <s v="Thaianne de Matos Sampaio da Silva"/>
    <s v="Feminino"/>
    <x v="0"/>
    <x v="14"/>
    <s v="50000160 - Fisioterapia Ortopedica (R$ 49,72)"/>
    <s v="Fisioterapia"/>
    <s v="42263120260212290144"/>
    <s v="Finalizado (10/10)"/>
    <n v="43.753599999999999"/>
    <n v="5.9664000000000001"/>
    <n v="49.72"/>
    <s v="Sessão Faturada"/>
    <s v="010650776203"/>
    <n v="59378"/>
    <s v="Unidade Vieiralves"/>
    <s v="42263120260212290144"/>
    <m/>
  </r>
  <r>
    <x v="14"/>
    <x v="18"/>
    <s v="Thaianne de Matos Sampaio da Silva"/>
    <s v="Feminino"/>
    <x v="0"/>
    <x v="14"/>
    <s v="31602185 - Estimulação Elétrica Transcutânea Fisioterapia (Novo - 01/12) (R$ 54,13)"/>
    <s v="Fisioterapia"/>
    <s v="42263120260212290158"/>
    <s v="Finalizado (10/10)"/>
    <n v="47.634399999999999"/>
    <n v="6.4955999999999996"/>
    <n v="54.13"/>
    <s v="Sessão Faturada"/>
    <s v="010650776203"/>
    <n v="59378"/>
    <s v="Unidade Vieiralves"/>
    <s v="42263120260212290158"/>
    <m/>
  </r>
  <r>
    <x v="14"/>
    <x v="18"/>
    <s v="Maria Ines Souza de Jesus"/>
    <s v="Feminino"/>
    <x v="0"/>
    <x v="14"/>
    <s v="31602185 - Estimulação Elétrica Transcutânea Fisioterapia (Novo - 01/12) (R$ 54,13)"/>
    <s v="Fisioterapia"/>
    <s v="42263120260209260083"/>
    <s v="Finalizado (6/10)"/>
    <n v="47.634399999999999"/>
    <n v="6.4955999999999996"/>
    <n v="54.13"/>
    <s v="Sessão Faturada"/>
    <s v="010115910006"/>
    <n v="36033"/>
    <s v="Unidade Vieiralves"/>
    <s v="42263120260209260083"/>
    <m/>
  </r>
  <r>
    <x v="14"/>
    <x v="8"/>
    <s v="Luiz Alfredo Bastos"/>
    <s v="Masculino"/>
    <x v="6"/>
    <x v="14"/>
    <s v="50000144 - Avaliação de Fisioterapia (R$ 56,52)"/>
    <s v="Fisioterapia"/>
    <n v="7700047097"/>
    <s v="Finalizado (1/1)"/>
    <n v="50.868000000000002"/>
    <n v="5.6520000000000001"/>
    <n v="56.52"/>
    <s v="Sessão Faturada"/>
    <s v="54588888013407990019"/>
    <n v="59502"/>
    <s v="Unidade Vieiralves"/>
    <n v="7700047097"/>
    <m/>
  </r>
  <r>
    <x v="14"/>
    <x v="33"/>
    <s v="Luiz Alfredo Bastos"/>
    <s v="Masculino"/>
    <x v="6"/>
    <x v="14"/>
    <s v="20103484 - Patologia Em Um Membro (R$ 14,16)"/>
    <s v="Fisioterapia"/>
    <n v="170548"/>
    <s v="Finalizado (1/3)"/>
    <n v="12.460800000000001"/>
    <n v="1.6992"/>
    <n v="14.16"/>
    <s v="Sessão a Faturar"/>
    <s v="54588888013407990019"/>
    <n v="59502"/>
    <s v="Unidade Vieiralves"/>
    <n v="170548"/>
    <m/>
  </r>
  <r>
    <x v="14"/>
    <x v="34"/>
    <s v="Luiz Alfredo Bastos"/>
    <s v="Masculino"/>
    <x v="6"/>
    <x v="14"/>
    <s v="31602185 - Estimulação Elétrica Transcutanea (Tens) (R$ 40,00)"/>
    <s v="Fisioterapia"/>
    <n v="170549"/>
    <s v="Finalizado (1/3)"/>
    <n v="35.200000000000003"/>
    <n v="4.8"/>
    <n v="40"/>
    <s v="Sessão a Faturar"/>
    <s v="54588888013407990019"/>
    <n v="59502"/>
    <s v="Unidade Vieiralves"/>
    <n v="170549"/>
    <m/>
  </r>
  <r>
    <x v="14"/>
    <x v="1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4/10)"/>
    <n v="30.8"/>
    <n v="4.2"/>
    <n v="35"/>
    <s v="Sessão Faturada"/>
    <s v="0901013262310007"/>
    <n v="55942"/>
    <s v="Unidade Vieiralves"/>
    <n v="9044249"/>
    <m/>
  </r>
  <r>
    <x v="14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3/9)"/>
    <n v="23.803999999999998"/>
    <n v="3.246"/>
    <n v="27.05"/>
    <s v="Sessão a Faturar"/>
    <s v="000430852874162602"/>
    <n v="38899"/>
    <s v="Unidade Vieiralves"/>
    <n v="169503"/>
    <m/>
  </r>
  <r>
    <x v="14"/>
    <x v="11"/>
    <s v="Ingrid de Vasconcelos Castelo Branco"/>
    <s v="Feminino"/>
    <x v="12"/>
    <x v="14"/>
    <s v="31602185 - Estimulação Elétrica Transcutânea (Tens) (R$ 49,00)"/>
    <s v="Fisioterapia"/>
    <n v="10304052"/>
    <s v="Finalizado (3/9)"/>
    <n v="43.12"/>
    <n v="5.88"/>
    <n v="49"/>
    <s v="Sessão a Faturar"/>
    <s v="000430852874162602"/>
    <n v="38899"/>
    <s v="Unidade Vieiralves"/>
    <n v="10304052"/>
    <m/>
  </r>
  <r>
    <x v="14"/>
    <x v="12"/>
    <s v="Samuel Cunha de Oliveira"/>
    <m/>
    <x v="2"/>
    <x v="14"/>
    <s v="20103492 - Fisioterapia - Patologia Em Dois Ou Mais Membros (R$ 14,83)"/>
    <s v="Fisioterapia"/>
    <n v="1705899542"/>
    <s v="Finalizado (2/10)"/>
    <n v="13.0504"/>
    <n v="1.7796000000000001"/>
    <n v="14.83"/>
    <s v="Sessão Faturada"/>
    <n v="837047000191010"/>
    <n v="59496"/>
    <s v="Unidade Vieiralves"/>
    <n v="1705899542"/>
    <m/>
  </r>
  <r>
    <x v="14"/>
    <x v="12"/>
    <s v="Simone Santana Belchior"/>
    <s v="Feminino"/>
    <x v="1"/>
    <x v="14"/>
    <s v="50000160 - Fisioterapia Ortopédica (R$ 20,00), 98980327 - Taxa de Eletroterapia (Tens) (R$ 15,00)"/>
    <s v="Fisioterapia"/>
    <n v="8943354"/>
    <s v="Finalizado (4/5)"/>
    <n v="30.8"/>
    <n v="4.2"/>
    <n v="35"/>
    <s v="Sessão Faturada"/>
    <s v="0903012245030045"/>
    <n v="59166"/>
    <s v="Unidade Vieiralves"/>
    <n v="8943354"/>
    <m/>
  </r>
  <r>
    <x v="14"/>
    <x v="12"/>
    <s v="Enoque Barbosa de Castro"/>
    <s v="Masculino"/>
    <x v="2"/>
    <x v="14"/>
    <s v="20103115 - Atividade Reflexa Cinesioterápica (R$ 20,81)"/>
    <s v="Fisioterapia"/>
    <n v="1702009989"/>
    <s v="Finalizado (5/5)"/>
    <n v="18.312799999999999"/>
    <n v="2.4971999999999999"/>
    <n v="20.81"/>
    <s v="Sessão Faturada"/>
    <n v="771015044474000"/>
    <n v="54331"/>
    <s v="Unidade Vieiralves"/>
    <n v="1702009989"/>
    <m/>
  </r>
  <r>
    <x v="14"/>
    <x v="12"/>
    <s v="Icaro de Melo Amorim"/>
    <s v="Masculino"/>
    <x v="2"/>
    <x v="14"/>
    <s v="20103662 - Fisioterapia - Pos Operatorio Em Um Membro (R$ 14,99)"/>
    <s v="Fisioterapia"/>
    <n v="1706531289"/>
    <s v="Finalizado (2/5)"/>
    <n v="13.1912"/>
    <n v="1.7988"/>
    <n v="14.99"/>
    <s v="Sessão Faturada"/>
    <n v="960019332171000"/>
    <n v="30492"/>
    <s v="Unidade Vieiralves"/>
    <n v="1706531289"/>
    <m/>
  </r>
  <r>
    <x v="14"/>
    <x v="19"/>
    <s v="Enoque Barbosa de Castro"/>
    <s v="Masculino"/>
    <x v="2"/>
    <x v="14"/>
    <s v="20103484 - Fisioterapia - Patologia Em Um Membro (R$ 12,22)"/>
    <s v="Fisioterapia"/>
    <n v="1702009652"/>
    <s v="Finalizado (5/5)"/>
    <n v="10.7536"/>
    <n v="1.4663999999999999"/>
    <n v="12.22"/>
    <s v="Sessão Faturada"/>
    <n v="771015044474000"/>
    <n v="54331"/>
    <s v="Unidade Vieiralves"/>
    <n v="1702009652"/>
    <m/>
  </r>
  <r>
    <x v="14"/>
    <x v="19"/>
    <s v="Samuel Cunha de Oliveira"/>
    <m/>
    <x v="2"/>
    <x v="14"/>
    <s v="20103115 - Atividade Reflexa Cinesioterápica (R$ 20,81)"/>
    <s v="Fisioterapia"/>
    <n v="1705905271"/>
    <s v="Finalizado (2/5)"/>
    <n v="18.312799999999999"/>
    <n v="2.4971999999999999"/>
    <n v="20.81"/>
    <s v="Sessão Faturada"/>
    <n v="837047000191010"/>
    <n v="59496"/>
    <s v="Unidade Vieiralves"/>
    <n v="1705905271"/>
    <m/>
  </r>
  <r>
    <x v="14"/>
    <x v="19"/>
    <s v="Icaro de Melo Amorim"/>
    <s v="Masculino"/>
    <x v="2"/>
    <x v="14"/>
    <s v="20103115 - Atividade Reflexa Cinesioterápica (R$ 20,81)"/>
    <s v="Fisioterapia"/>
    <n v="1706531671"/>
    <s v="Finalizado (2/5)"/>
    <n v="18.312799999999999"/>
    <n v="2.4971999999999999"/>
    <n v="20.81"/>
    <s v="Sessão Faturada"/>
    <n v="960019332171000"/>
    <n v="30492"/>
    <s v="Unidade Vieiralves"/>
    <n v="1706531671"/>
    <m/>
  </r>
  <r>
    <x v="15"/>
    <x v="0"/>
    <s v="Adenise Leitão Barbosa"/>
    <s v="Feminino"/>
    <x v="12"/>
    <x v="14"/>
    <s v="20103492 - Patol. Em Dois Ou Mais Membros (R$ 14,83)"/>
    <s v="Fisioterapia"/>
    <n v="170141"/>
    <s v="Finalizado (2/10)"/>
    <n v="13.0504"/>
    <n v="1.7796000000000001"/>
    <n v="14.83"/>
    <s v="Sessão Faturada"/>
    <s v="000432203160121601"/>
    <n v="26264"/>
    <s v="Unidade Vieiralves"/>
    <n v="170141"/>
    <m/>
  </r>
  <r>
    <x v="15"/>
    <x v="0"/>
    <s v="Luiz Carlos Barcelos Gonzaga"/>
    <s v="Masculino"/>
    <x v="8"/>
    <x v="14"/>
    <s v="20103662 - Pos Operatorio Em Um Membro (R$ 14,99)"/>
    <s v="Fisioterapia"/>
    <n v="1704856335"/>
    <s v="Finalizado (3/4)"/>
    <n v="13.1912"/>
    <n v="1.7988"/>
    <n v="14.99"/>
    <s v="Sessão Faturada"/>
    <n v="954600002887000"/>
    <n v="16269"/>
    <s v="Unidade Vieiralves"/>
    <n v="1704856335"/>
    <m/>
  </r>
  <r>
    <x v="15"/>
    <x v="0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5/10)"/>
    <n v="30.8"/>
    <n v="4.2"/>
    <n v="35"/>
    <s v="Sessão Faturada"/>
    <n v="1101013389860100"/>
    <n v="57939"/>
    <s v="Unidade Vieiralves"/>
    <n v="8825151"/>
    <s v="GUIA ASSINADA"/>
  </r>
  <r>
    <x v="15"/>
    <x v="1"/>
    <s v="Luiz Carlos Barcelos Gonzaga"/>
    <s v="Masculino"/>
    <x v="8"/>
    <x v="14"/>
    <s v="20103115 - Atividade Reflexa Cinesioterápica (R$ 20,81)"/>
    <s v="Fisioterapia"/>
    <n v="1704857541"/>
    <s v="Finalizado (3/4)"/>
    <n v="18.312799999999999"/>
    <n v="2.4971999999999999"/>
    <n v="20.81"/>
    <s v="Sessão Faturada"/>
    <n v="954600002887000"/>
    <n v="16269"/>
    <s v="Unidade Vieiralves"/>
    <n v="1704857541"/>
    <m/>
  </r>
  <r>
    <x v="15"/>
    <x v="2"/>
    <s v="Dulcilene da Conceição Santarém"/>
    <s v="Feminino"/>
    <x v="7"/>
    <x v="14"/>
    <s v="Vieiralves - 1 - Fisioterapia Ortopedica - Pacote (R$ 80,00)"/>
    <s v="Fisioterapia"/>
    <n v="167728"/>
    <s v="Finalizado (6/10)"/>
    <n v="62.4"/>
    <n v="17.600000000000001"/>
    <n v="80"/>
    <s v="Pago"/>
    <n v="0"/>
    <n v="57405"/>
    <s v="Unidade Vieiralves"/>
    <n v="167728"/>
    <m/>
  </r>
  <r>
    <x v="15"/>
    <x v="2"/>
    <s v="Mariana Raposo da Câmara Vieira"/>
    <s v="Feminino"/>
    <x v="6"/>
    <x v="14"/>
    <s v="20103484 - Patologia Em Um Membro (R$ 14,16)"/>
    <s v="Fisioterapia"/>
    <n v="172813"/>
    <s v="Finalizado (5/5)"/>
    <n v="12.460800000000001"/>
    <n v="1.6992"/>
    <n v="14.16"/>
    <s v="Sessão a Faturar"/>
    <s v="51588888485027120015"/>
    <n v="58675"/>
    <s v="Unidade Vieiralves"/>
    <n v="172813"/>
    <m/>
  </r>
  <r>
    <x v="15"/>
    <x v="2"/>
    <s v="Gabriele Nogueira de Oliveira"/>
    <s v="Feminino"/>
    <x v="2"/>
    <x v="14"/>
    <s v="20103662 - Fisioterapia - Pos Operatorio Em Um Membro (R$ 14,99)"/>
    <s v="Fisioterapia"/>
    <n v="1704967107"/>
    <s v="Finalizado (4/5)"/>
    <n v="13.1912"/>
    <n v="1.7988"/>
    <n v="14.99"/>
    <s v="Sessão Faturada"/>
    <n v="894937200604000"/>
    <n v="51083"/>
    <s v="Unidade Vieiralves"/>
    <n v="1704967107"/>
    <m/>
  </r>
  <r>
    <x v="15"/>
    <x v="2"/>
    <s v="Maria Adelina Parente Lins Felix"/>
    <s v="Feminino"/>
    <x v="0"/>
    <x v="14"/>
    <s v="50000160 - Fisioterapia Ortopedica (R$ 49,72)"/>
    <s v="Fisioterapia"/>
    <s v="42263120260210268422"/>
    <s v="Finalizado (4/10)"/>
    <n v="43.753599999999999"/>
    <n v="5.9664000000000001"/>
    <n v="49.72"/>
    <s v="Sessão Faturada"/>
    <s v="010650363400"/>
    <n v="41281"/>
    <s v="Unidade Vieiralves"/>
    <s v="42263120260210268422"/>
    <m/>
  </r>
  <r>
    <x v="15"/>
    <x v="3"/>
    <s v="Gabriele Nogueira de Oliveira"/>
    <s v="Feminino"/>
    <x v="2"/>
    <x v="14"/>
    <s v="20103115 - Atividade Reflexa Cinesioterápica (R$ 20,81)"/>
    <s v="Fisioterapia"/>
    <n v="1704967468"/>
    <s v="Finalizado (4/5)"/>
    <n v="18.312799999999999"/>
    <n v="2.4971999999999999"/>
    <n v="20.81"/>
    <s v="Sessão Faturada"/>
    <n v="894937200604000"/>
    <n v="51083"/>
    <s v="Unidade Vieiralves"/>
    <n v="1704967468"/>
    <m/>
  </r>
  <r>
    <x v="15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4/10)"/>
    <n v="47.634399999999999"/>
    <n v="6.4955999999999996"/>
    <n v="54.13"/>
    <s v="Sessão Faturada"/>
    <s v="010650363400"/>
    <n v="41281"/>
    <s v="Unidade Vieiralves"/>
    <s v="42263120260302381799"/>
    <m/>
  </r>
  <r>
    <x v="15"/>
    <x v="3"/>
    <s v="Mariana Raposo da Câmara Vieira"/>
    <s v="Feminino"/>
    <x v="6"/>
    <x v="14"/>
    <s v="31602185 - Estimulação Elétrica Transcutanea (Tens) (R$ 40,00)"/>
    <s v="Fisioterapia"/>
    <n v="843837"/>
    <s v="Finalizado (5/5)"/>
    <n v="35.200000000000003"/>
    <n v="4.8"/>
    <n v="40"/>
    <s v="Sessão a Faturar"/>
    <s v="51588888485027120015"/>
    <n v="58675"/>
    <s v="Unidade Vieiralves"/>
    <n v="843837"/>
    <m/>
  </r>
  <r>
    <x v="15"/>
    <x v="13"/>
    <s v="Eduardo Martins Souza"/>
    <s v="Masculino"/>
    <x v="1"/>
    <x v="14"/>
    <s v="50000160 - Fisioterapia Ortopédica (R$ 20,00), 98980327 - Taxa de Eletroterapia (Tens) (R$ 15,00)"/>
    <s v="Fisioterapia"/>
    <n v="9294151"/>
    <s v="Finalizado (1/10)"/>
    <n v="30.8"/>
    <n v="4.2"/>
    <n v="35"/>
    <s v="Sessão Faturada"/>
    <s v="0901013816210012"/>
    <n v="58367"/>
    <s v="Unidade Vieiralves"/>
    <n v="9294151"/>
    <m/>
  </r>
  <r>
    <x v="15"/>
    <x v="13"/>
    <s v="Valmir de Oliveira Rodrigues"/>
    <s v="Masculino"/>
    <x v="6"/>
    <x v="14"/>
    <s v="31602185 - Estimulação Elétrica Transcutanea (Tens) (R$ 40,00)"/>
    <s v="Fisioterapia"/>
    <n v="165679"/>
    <s v="Finalizado (10/10)"/>
    <n v="35.200000000000003"/>
    <n v="4.8"/>
    <n v="40"/>
    <s v="Sessão Faturada"/>
    <s v="55788888483016290015"/>
    <n v="15363"/>
    <s v="Unidade Vieiralves"/>
    <n v="165679"/>
    <m/>
  </r>
  <r>
    <x v="15"/>
    <x v="13"/>
    <s v="Nelsi Maria Ladeira Luniere"/>
    <s v="Feminino"/>
    <x v="1"/>
    <x v="14"/>
    <s v="50000160 - Fisioterapia Ortopédica (R$ 20,00), 98980327 - Taxa de Eletroterapia (Tens) (R$ 15,00)"/>
    <s v="Fisioterapia"/>
    <n v="9162964"/>
    <s v="Finalizado (2/10)"/>
    <n v="30.8"/>
    <n v="4.2"/>
    <n v="35"/>
    <s v="Sessão Faturada"/>
    <s v="0801013498970007"/>
    <n v="58084"/>
    <s v="Unidade Vieiralves"/>
    <n v="9162964"/>
    <s v="GUIA ASSINADA"/>
  </r>
  <r>
    <x v="15"/>
    <x v="13"/>
    <s v="Alice da Silva dos Santos"/>
    <m/>
    <x v="2"/>
    <x v="14"/>
    <s v="20103484 - Fisioterapia - Patologia Em Um Membro (R$ 12,22)"/>
    <s v="Fisioterapia"/>
    <n v="1703969778"/>
    <s v="Finalizado (5/5)"/>
    <n v="10.7536"/>
    <n v="1.4663999999999999"/>
    <n v="12.22"/>
    <s v="Sessão Faturada"/>
    <n v="843486100604000"/>
    <n v="56112"/>
    <s v="Unidade Vieiralves"/>
    <n v="1703969778"/>
    <m/>
  </r>
  <r>
    <x v="15"/>
    <x v="14"/>
    <s v="Alice da Silva dos Santos"/>
    <m/>
    <x v="2"/>
    <x v="14"/>
    <s v="20103115 - Atividade Reflexa Cinesioterápica (R$ 20,81)"/>
    <s v="Fisioterapia"/>
    <n v="1703970770"/>
    <s v="Finalizado (5/5)"/>
    <n v="18.312799999999999"/>
    <n v="2.4971999999999999"/>
    <n v="20.81"/>
    <s v="Sessão Faturada"/>
    <n v="843486100604000"/>
    <n v="56112"/>
    <s v="Unidade Vieiralves"/>
    <n v="1703970770"/>
    <m/>
  </r>
  <r>
    <x v="15"/>
    <x v="6"/>
    <s v="Wandercleia Martins Pontes"/>
    <s v="Feminino"/>
    <x v="1"/>
    <x v="14"/>
    <s v="50000160 - Fisioterapia Ortopédica (R$ 20,00), 98980327 - Taxa de Eletroterapia (Tens) (R$ 15,00)"/>
    <s v="Fisioterapia"/>
    <n v="8749507"/>
    <s v="Finalizado (6/10)"/>
    <n v="30.8"/>
    <n v="4.2"/>
    <n v="35"/>
    <s v="Sessão Faturada"/>
    <s v="0201013323070030"/>
    <n v="19693"/>
    <s v="Unidade Vieiralves"/>
    <n v="8749507"/>
    <s v="Guia assinada!"/>
  </r>
  <r>
    <x v="15"/>
    <x v="6"/>
    <s v="Keitty Janete Garcia Mineiro"/>
    <s v="Feminino"/>
    <x v="1"/>
    <x v="14"/>
    <s v="50000160 - Fisioterapia Ortopédica (R$ 20,00), 98980327 - Taxa de Eletroterapia (Tens) (R$ 15,00)"/>
    <s v="Fisioterapia"/>
    <n v="8301206"/>
    <s v="Finalizado (7/10)"/>
    <n v="30.8"/>
    <n v="4.2"/>
    <n v="35"/>
    <s v="Sessão Faturada"/>
    <n v="1301013081700400"/>
    <n v="55920"/>
    <s v="Unidade Vieiralves"/>
    <n v="8301206"/>
    <s v="GUIA ASSINADA "/>
  </r>
  <r>
    <x v="15"/>
    <x v="15"/>
    <s v="Lauren Lauschner Gaikoski"/>
    <s v="Feminino"/>
    <x v="2"/>
    <x v="14"/>
    <s v="20103484 - Fisioterapia - Patologia Em Um Membro (R$ 12,22)"/>
    <s v="Fisioterapia"/>
    <n v="1703483836"/>
    <s v="Finalizado (5/5)"/>
    <n v="10.7536"/>
    <n v="1.4663999999999999"/>
    <n v="12.22"/>
    <s v="Sessão Faturada"/>
    <n v="775388000299020"/>
    <n v="56279"/>
    <s v="Unidade Vieiralves"/>
    <n v="1703483836"/>
    <m/>
  </r>
  <r>
    <x v="15"/>
    <x v="15"/>
    <s v="Déborah Lúcia Ohana Rodrigues"/>
    <s v="Feminino"/>
    <x v="7"/>
    <x v="14"/>
    <s v="Vieiralves - 33 - Fisioterapia Ortopedica - Sessão Avulsa (R$ 90,00)"/>
    <s v="Fisioterapia"/>
    <m/>
    <s v="Finalizado (1/1)"/>
    <n v="70.2"/>
    <n v="19.8"/>
    <n v="90"/>
    <s v="Pago"/>
    <s v="00"/>
    <n v="59036"/>
    <s v="Unidade Vieiralves"/>
    <m/>
    <m/>
  </r>
  <r>
    <x v="15"/>
    <x v="17"/>
    <s v="Angelo Bonanno"/>
    <s v="Masculino"/>
    <x v="7"/>
    <x v="14"/>
    <s v="Vieiralves - 1 - Fisioterapia Ortopedica - Pacote (R$ 40,00)"/>
    <s v="Fisioterapia"/>
    <m/>
    <s v="Finalizado (3/10)"/>
    <n v="31.2"/>
    <n v="8.8000000000000007"/>
    <n v="40"/>
    <s v="Pago"/>
    <n v="611649060001010"/>
    <n v="55203"/>
    <s v="Unidade Vieiralves"/>
    <m/>
    <m/>
  </r>
  <r>
    <x v="15"/>
    <x v="8"/>
    <s v="Luiz Alfredo Bastos"/>
    <s v="Masculino"/>
    <x v="6"/>
    <x v="14"/>
    <s v="31602185 - Estimulação Elétrica Transcutanea (Tens) (R$ 40,00)"/>
    <s v="Fisioterapia"/>
    <n v="170549"/>
    <s v="Finalizado (2/3)"/>
    <n v="35.200000000000003"/>
    <n v="4.8"/>
    <n v="40"/>
    <s v="Sessão a Faturar"/>
    <s v="54588888013407990019"/>
    <n v="59502"/>
    <s v="Unidade Vieiralves"/>
    <n v="170549"/>
    <m/>
  </r>
  <r>
    <x v="15"/>
    <x v="9"/>
    <s v="Luiz Alfredo Bastos"/>
    <s v="Masculino"/>
    <x v="6"/>
    <x v="14"/>
    <s v="20103484 - Patologia Em Um Membro (R$ 14,16)"/>
    <s v="Fisioterapia"/>
    <n v="170548"/>
    <s v="Finalizado (2/3)"/>
    <n v="12.460800000000001"/>
    <n v="1.6992"/>
    <n v="14.16"/>
    <s v="Sessão a Faturar"/>
    <s v="54588888013407990019"/>
    <n v="59502"/>
    <s v="Unidade Vieiralves"/>
    <n v="170548"/>
    <m/>
  </r>
  <r>
    <x v="15"/>
    <x v="10"/>
    <s v="Cristiane Rodrigues da Silva"/>
    <s v="Feminino"/>
    <x v="6"/>
    <x v="14"/>
    <s v="20103492 - Patologia Em Dois Ou Mais Membros (R$ 30,26)"/>
    <s v="Fisioterapia"/>
    <n v="169654"/>
    <s v="Finalizado (2/10)"/>
    <n v="26.628799999999998"/>
    <n v="3.6312000000000002"/>
    <n v="30.26"/>
    <s v="Sessão a Faturar"/>
    <s v="54563005000001140015"/>
    <n v="16840"/>
    <s v="Unidade Vieiralves"/>
    <n v="169654"/>
    <m/>
  </r>
  <r>
    <x v="15"/>
    <x v="10"/>
    <s v="Françoise do Nascimento Lima"/>
    <s v="Feminino"/>
    <x v="2"/>
    <x v="14"/>
    <s v="20103484 - Fisioterapia - Patologia Em Um Membro (R$ 12,22)"/>
    <s v="Fisioterapia"/>
    <n v="1711678006"/>
    <s v="Finalizado (3/10)"/>
    <n v="10.7536"/>
    <n v="1.4663999999999999"/>
    <n v="12.22"/>
    <s v="Sessão a Faturar"/>
    <n v="771015045942010"/>
    <n v="99"/>
    <s v="Unidade Vieiralves"/>
    <n v="1711678006"/>
    <m/>
  </r>
  <r>
    <x v="15"/>
    <x v="10"/>
    <s v="Maria do Perpetuo Socorro Cabral Nogueira"/>
    <s v="Feminino"/>
    <x v="1"/>
    <x v="14"/>
    <s v="50000160 - Fisioterapia Ortopédica (R$ 20,00), 98980327 - Taxa de Eletroterapia (Tens) (R$ 15,00)"/>
    <s v="Fisioterapia"/>
    <n v="8637322"/>
    <s v="Finalizado (9/10)"/>
    <n v="30.8"/>
    <n v="4.2"/>
    <n v="35"/>
    <s v="Sessão Faturada"/>
    <s v="0701012888640069"/>
    <n v="59225"/>
    <s v="Unidade Vieiralves"/>
    <n v="8637322"/>
    <s v="Guia assinada!"/>
  </r>
  <r>
    <x v="15"/>
    <x v="10"/>
    <s v="Cristiane Rodrigues da Silva"/>
    <s v="Feminino"/>
    <x v="6"/>
    <x v="14"/>
    <s v="31602185 - Estimulação Elétrica Transcutanea (Tens) (R$ 40,00)"/>
    <s v="Fisioterapia"/>
    <n v="170388"/>
    <s v="Finalizado (2/10)"/>
    <n v="35.200000000000003"/>
    <n v="4.8"/>
    <n v="40"/>
    <s v="Sessão a Faturar"/>
    <s v="54563005000001140015"/>
    <n v="16840"/>
    <s v="Unidade Vieiralves"/>
    <n v="170388"/>
    <m/>
  </r>
  <r>
    <x v="15"/>
    <x v="11"/>
    <s v="Françoise do Nascimento Lima"/>
    <s v="Feminino"/>
    <x v="2"/>
    <x v="14"/>
    <s v="20103115 - Atividade Reflexa Cinesioterápica (R$ 20,81)"/>
    <s v="Fisioterapia"/>
    <n v="1704004071"/>
    <s v="Finalizado (3/3)"/>
    <n v="18.312799999999999"/>
    <n v="2.4971999999999999"/>
    <n v="20.81"/>
    <s v="Sessão Faturada"/>
    <n v="771015045942010"/>
    <n v="99"/>
    <s v="Unidade Vieiralves"/>
    <n v="1704004071"/>
    <m/>
  </r>
  <r>
    <x v="15"/>
    <x v="12"/>
    <s v="Nathana César Bastos"/>
    <s v="Feminino"/>
    <x v="6"/>
    <x v="14"/>
    <s v="20103514 - Patologia Em Dois Ou Mais Segmentos da Coluna (R$ 32,82)"/>
    <s v="Fisioterapia"/>
    <n v="189872"/>
    <s v="Finalizado (3/4)"/>
    <n v="28.881599999999999"/>
    <n v="3.9384000000000001"/>
    <n v="32.82"/>
    <s v="Sessão a Faturar"/>
    <s v="54588888492204600017"/>
    <n v="59015"/>
    <s v="Unidade Vieiralves"/>
    <n v="189872"/>
    <m/>
  </r>
  <r>
    <x v="15"/>
    <x v="12"/>
    <s v="Iris da Silva Costa"/>
    <s v="Feminino"/>
    <x v="6"/>
    <x v="14"/>
    <s v="20103484 - Patologia Em Um Membro (R$ 14,16)"/>
    <s v="Fisioterapia"/>
    <n v="169600"/>
    <s v="Finalizado (4/5)"/>
    <n v="12.460800000000001"/>
    <n v="1.6992"/>
    <n v="14.16"/>
    <s v="Sessão a Faturar"/>
    <s v="55788888492927780014"/>
    <n v="50671"/>
    <s v="Unidade Vieiralves"/>
    <n v="169600"/>
    <m/>
  </r>
  <r>
    <x v="15"/>
    <x v="12"/>
    <s v="Icaro de Melo Amorim"/>
    <s v="Masculino"/>
    <x v="2"/>
    <x v="14"/>
    <s v="20103662 - Fisioterapia - Pos Operatorio Em Um Membro (R$ 14,99)"/>
    <s v="Fisioterapia"/>
    <n v="1706531289"/>
    <s v="Finalizado (3/5)"/>
    <n v="13.1912"/>
    <n v="1.7988"/>
    <n v="14.99"/>
    <s v="Sessão Faturada"/>
    <n v="960019332171000"/>
    <n v="30492"/>
    <s v="Unidade Vieiralves"/>
    <n v="1706531289"/>
    <m/>
  </r>
  <r>
    <x v="15"/>
    <x v="19"/>
    <s v="Nathana César Bastos"/>
    <s v="Feminino"/>
    <x v="6"/>
    <x v="14"/>
    <s v="31602185 - Estimulação Elétrica Transcutanea (Tens) (R$ 40,00)"/>
    <s v="Fisioterapia"/>
    <n v="170053"/>
    <s v="Finalizado (3/4)"/>
    <n v="35.200000000000003"/>
    <n v="4.8"/>
    <n v="40"/>
    <s v="Sessão a Faturar"/>
    <s v="54588888492204600017"/>
    <n v="59015"/>
    <s v="Unidade Vieiralves"/>
    <n v="170053"/>
    <m/>
  </r>
  <r>
    <x v="15"/>
    <x v="19"/>
    <s v="Icaro de Melo Amorim"/>
    <s v="Masculino"/>
    <x v="2"/>
    <x v="14"/>
    <s v="20103115 - Atividade Reflexa Cinesioterápica (R$ 20,81)"/>
    <s v="Fisioterapia"/>
    <n v="1706531671"/>
    <s v="Finalizado (3/5)"/>
    <n v="18.312799999999999"/>
    <n v="2.4971999999999999"/>
    <n v="20.81"/>
    <s v="Sessão Faturada"/>
    <n v="960019332171000"/>
    <n v="30492"/>
    <s v="Unidade Vieiralves"/>
    <n v="1706531671"/>
    <m/>
  </r>
  <r>
    <x v="15"/>
    <x v="19"/>
    <s v="Iris da Silva Costa"/>
    <s v="Feminino"/>
    <x v="6"/>
    <x v="14"/>
    <s v="31602185 - Estimulação Elétrica Transcutanea (Tens) (R$ 40,00)"/>
    <s v="Fisioterapia"/>
    <n v="169602"/>
    <s v="Finalizado (4/5)"/>
    <n v="35.200000000000003"/>
    <n v="4.8"/>
    <n v="40"/>
    <s v="Sessão a Faturar"/>
    <s v="55788888492927780014"/>
    <n v="50671"/>
    <s v="Unidade Vieiralves"/>
    <n v="169602"/>
    <m/>
  </r>
  <r>
    <x v="15"/>
    <x v="20"/>
    <s v="Waldir dos Santos Fontes Junior"/>
    <s v="Masculino"/>
    <x v="2"/>
    <x v="14"/>
    <s v="20103506 - Fisioterapia - Patologia Em Um Segmento da Coluna (R$ 12,22)"/>
    <s v="Fisioterapia"/>
    <n v="1707542354"/>
    <s v="Finalizado (1/5)"/>
    <n v="10.7536"/>
    <n v="1.4663999999999999"/>
    <n v="12.22"/>
    <s v="Sessão Faturada"/>
    <n v="772133000728000"/>
    <n v="51522"/>
    <s v="Unidade Vieiralves"/>
    <n v="1707542354"/>
    <m/>
  </r>
  <r>
    <x v="15"/>
    <x v="20"/>
    <s v="Waldir dos Santos Fontes Junior"/>
    <s v="Masculino"/>
    <x v="2"/>
    <x v="14"/>
    <s v="20103115 - Atividade Reflexa Cinesioterápica (R$ 20,81)"/>
    <s v="Fisioterapia"/>
    <n v="1707542621"/>
    <s v="Finalizado (1/3)"/>
    <n v="18.312799999999999"/>
    <n v="2.4971999999999999"/>
    <n v="20.81"/>
    <s v="Sessão Faturada"/>
    <n v="772133000728000"/>
    <n v="51522"/>
    <s v="Unidade Vieiralves"/>
    <n v="1707542621"/>
    <m/>
  </r>
  <r>
    <x v="15"/>
    <x v="20"/>
    <s v="Waldir dos Santos Fontes Junior"/>
    <s v="Masculino"/>
    <x v="2"/>
    <x v="14"/>
    <s v="50000144 - Avaliação de Fisioterapia (R$ 51,42)"/>
    <s v="Fisioterapia"/>
    <n v="1707541902"/>
    <s v="Finalizado (1/1)"/>
    <n v="46.277999999999999"/>
    <n v="5.1420000000000003"/>
    <n v="51.42"/>
    <s v="Sessão Faturada"/>
    <n v="772133000728000"/>
    <n v="51522"/>
    <s v="Unidade Vieiralves"/>
    <n v="1707541902"/>
    <m/>
  </r>
  <r>
    <x v="16"/>
    <x v="0"/>
    <s v="Adenise Leitão Barbosa"/>
    <s v="Feminino"/>
    <x v="12"/>
    <x v="14"/>
    <s v="20103492 - Patol. Em Dois Ou Mais Membros (R$ 14,83)"/>
    <s v="Fisioterapia"/>
    <n v="170141"/>
    <s v="Finalizado (3/10)"/>
    <n v="13.0504"/>
    <n v="1.7796000000000001"/>
    <n v="14.83"/>
    <s v="Sessão Faturada"/>
    <s v="000432203160121601"/>
    <n v="26264"/>
    <s v="Unidade Vieiralves"/>
    <n v="170141"/>
    <m/>
  </r>
  <r>
    <x v="16"/>
    <x v="0"/>
    <s v="Ray Jackson Aguiar Bezerra"/>
    <s v="Masculino"/>
    <x v="5"/>
    <x v="14"/>
    <s v="98860011 - Fisioterapia Complexidade 1 - 04/03/2026 (R$ 53,00)"/>
    <s v="Fisioterapia"/>
    <n v="76267360"/>
    <s v="Finalizado (3/10)"/>
    <n v="46.64"/>
    <n v="6.36"/>
    <n v="53"/>
    <s v="Sessão Faturada"/>
    <s v="010138208000"/>
    <n v="20846"/>
    <s v="Unidade Vieiralves"/>
    <n v="76267360"/>
    <m/>
  </r>
  <r>
    <x v="16"/>
    <x v="0"/>
    <s v="Joeline Dutra da Silva"/>
    <s v="Feminino"/>
    <x v="1"/>
    <x v="14"/>
    <s v="50000160 - Fisioterapia Ortopédica (R$ 20,00), 98980327 - Taxa de Eletroterapia (Tens) (R$ 15,00)"/>
    <s v="Fisioterapia"/>
    <n v="8851194"/>
    <s v="Finalizado (10/10)"/>
    <n v="30.8"/>
    <n v="4.2"/>
    <n v="35"/>
    <s v="Sessão Faturada"/>
    <n v="1101013081410400"/>
    <n v="56667"/>
    <s v="Unidade Vieiralves"/>
    <n v="8851194"/>
    <m/>
  </r>
  <r>
    <x v="16"/>
    <x v="0"/>
    <s v="Elane Sales de Lima"/>
    <m/>
    <x v="2"/>
    <x v="14"/>
    <s v="20103484 - Fisioterapia - Patologia Em Um Membro (R$ 12,22)"/>
    <s v="Fisioterapia"/>
    <n v="1704837657"/>
    <s v="Finalizado (4/5)"/>
    <n v="10.7536"/>
    <n v="1.4663999999999999"/>
    <n v="12.22"/>
    <s v="Sessão Faturada"/>
    <n v="773539032034010"/>
    <n v="58812"/>
    <s v="Unidade Vieiralves"/>
    <n v="1704837657"/>
    <m/>
  </r>
  <r>
    <x v="16"/>
    <x v="1"/>
    <s v="Ray Jackson Aguiar Bezerra"/>
    <s v="Masculino"/>
    <x v="5"/>
    <x v="14"/>
    <s v="31602185 - Estimulação Elétrica Transcutânea (Tens) - 04/03/2026 (R$ 120,28)"/>
    <s v="Fisioterapia"/>
    <n v="76267580"/>
    <s v="Finalizado (3/10)"/>
    <n v="105.8464"/>
    <n v="14.4336"/>
    <n v="120.28"/>
    <s v="Sessão Faturada"/>
    <s v="010138208000"/>
    <n v="20846"/>
    <s v="Unidade Vieiralves"/>
    <n v="76267580"/>
    <m/>
  </r>
  <r>
    <x v="16"/>
    <x v="1"/>
    <s v="Elane Sales de Lima"/>
    <m/>
    <x v="2"/>
    <x v="14"/>
    <s v="20103115 - Atividade Reflexa Cinesioterápica (R$ 20,81)"/>
    <s v="Fisioterapia"/>
    <n v="1704838447"/>
    <s v="Finalizado (4/5)"/>
    <n v="18.312799999999999"/>
    <n v="2.4971999999999999"/>
    <n v="20.81"/>
    <s v="Sessão Faturada"/>
    <n v="773539032034010"/>
    <n v="58812"/>
    <s v="Unidade Vieiralves"/>
    <n v="1704838447"/>
    <m/>
  </r>
  <r>
    <x v="16"/>
    <x v="2"/>
    <s v="Gabriele Nogueira de Oliveira"/>
    <s v="Feminino"/>
    <x v="2"/>
    <x v="14"/>
    <s v="20103662 - Fisioterapia - Pos Operatorio Em Um Membro (R$ 14,99)"/>
    <s v="Fisioterapia"/>
    <n v="1704967107"/>
    <s v="Finalizado (5/5)"/>
    <n v="13.1912"/>
    <n v="1.7988"/>
    <n v="14.99"/>
    <s v="Sessão Faturada"/>
    <n v="894937200604000"/>
    <n v="51083"/>
    <s v="Unidade Vieiralves"/>
    <n v="1704967107"/>
    <m/>
  </r>
  <r>
    <x v="16"/>
    <x v="2"/>
    <s v="Jucy Nogueira Levy"/>
    <s v="Masculino"/>
    <x v="2"/>
    <x v="14"/>
    <s v="20103662 - Fisioterapia - Pos Operatorio Em Um Membro (R$ 14,99)"/>
    <s v="Fisioterapia"/>
    <n v="1707984590"/>
    <s v="Finalizado (1/5)"/>
    <n v="13.1912"/>
    <n v="1.7988"/>
    <n v="14.99"/>
    <s v="Sessão Faturada"/>
    <n v="773268007013010"/>
    <n v="6099"/>
    <s v="Unidade Vieiralves"/>
    <n v="1707984590"/>
    <m/>
  </r>
  <r>
    <x v="16"/>
    <x v="2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5/10)"/>
    <n v="47.634399999999999"/>
    <n v="6.4955999999999996"/>
    <n v="54.13"/>
    <s v="Sessão Faturada"/>
    <s v="010650363400"/>
    <n v="41281"/>
    <s v="Unidade Vieiralves"/>
    <s v="42263120260302381799"/>
    <m/>
  </r>
  <r>
    <x v="16"/>
    <x v="3"/>
    <s v="Jucy Nogueira Levy"/>
    <s v="Masculino"/>
    <x v="2"/>
    <x v="14"/>
    <s v="20103115 - Atividade Reflexa Cinesioterápica (R$ 20,81)"/>
    <s v="Fisioterapia"/>
    <n v="1707985125"/>
    <s v="Finalizado (1/2)"/>
    <n v="18.312799999999999"/>
    <n v="2.4971999999999999"/>
    <n v="20.81"/>
    <s v="Sessão Faturada"/>
    <n v="773268007013010"/>
    <n v="6099"/>
    <s v="Unidade Vieiralves"/>
    <n v="1707985125"/>
    <m/>
  </r>
  <r>
    <x v="16"/>
    <x v="3"/>
    <s v="Maria Adelina Parente Lins Felix"/>
    <s v="Feminino"/>
    <x v="0"/>
    <x v="14"/>
    <s v="50000160 - Fisioterapia Ortopedica (R$ 49,72)"/>
    <s v="Fisioterapia"/>
    <s v="42263120260210268422"/>
    <s v="Finalizado (5/10)"/>
    <n v="43.753599999999999"/>
    <n v="5.9664000000000001"/>
    <n v="49.72"/>
    <s v="Sessão Faturada"/>
    <s v="010650363400"/>
    <n v="41281"/>
    <s v="Unidade Vieiralves"/>
    <s v="42263120260210268422"/>
    <m/>
  </r>
  <r>
    <x v="16"/>
    <x v="3"/>
    <s v="Gabriele Nogueira de Oliveira"/>
    <s v="Feminino"/>
    <x v="2"/>
    <x v="14"/>
    <s v="20103115 - Atividade Reflexa Cinesioterápica (R$ 20,81)"/>
    <s v="Fisioterapia"/>
    <n v="1704967468"/>
    <s v="Finalizado (5/5)"/>
    <n v="18.312799999999999"/>
    <n v="2.4971999999999999"/>
    <n v="20.81"/>
    <s v="Sessão Faturada"/>
    <n v="894937200604000"/>
    <n v="51083"/>
    <s v="Unidade Vieiralves"/>
    <n v="1704967468"/>
    <m/>
  </r>
  <r>
    <x v="16"/>
    <x v="4"/>
    <s v="Victor Saulo Cavalcante de Melo"/>
    <s v="Masculino"/>
    <x v="2"/>
    <x v="14"/>
    <s v="50000144 - Avaliação de Fisioterapia (R$ 51,42)"/>
    <s v="Fisioterapia"/>
    <n v="1707996671"/>
    <s v="Finalizado (1/1)"/>
    <n v="46.277999999999999"/>
    <n v="5.1420000000000003"/>
    <n v="51.42"/>
    <s v="Sessão Faturada"/>
    <n v="833033600027000"/>
    <n v="15445"/>
    <s v="Unidade Vieiralves"/>
    <n v="1707996671"/>
    <m/>
  </r>
  <r>
    <x v="16"/>
    <x v="4"/>
    <s v="Yasmin Ferreira de Paiva"/>
    <m/>
    <x v="29"/>
    <x v="14"/>
    <s v="50000160 - Fisioterapia Ortopedica/Neurológica (R$ 33,00)"/>
    <s v="Fisioterapia"/>
    <n v="1080841"/>
    <s v="Finalizado (2/2)"/>
    <n v="29.04"/>
    <n v="3.96"/>
    <n v="33"/>
    <s v="Sessão Faturada"/>
    <n v="130260031070010"/>
    <n v="59014"/>
    <s v="Unidade Vieiralves"/>
    <n v="1080841"/>
    <m/>
  </r>
  <r>
    <x v="16"/>
    <x v="4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4/8)"/>
    <n v="30.8"/>
    <n v="4.2"/>
    <n v="35"/>
    <s v="Sessão Faturada"/>
    <s v="0901011263750098"/>
    <n v="57345"/>
    <s v="Unidade Vieiralves"/>
    <n v="8919881"/>
    <m/>
  </r>
  <r>
    <x v="16"/>
    <x v="29"/>
    <s v="Victor Saulo Cavalcante de Melo"/>
    <s v="Masculino"/>
    <x v="2"/>
    <x v="14"/>
    <s v="20103492 - Fisioterapia - Patologia Em Dois Ou Mais Membros (R$ 14,83), 20103506 - Fisioterapia - Patologia Em Um Segmento da Coluna (R$ 12,22)"/>
    <s v="Fisioterapia"/>
    <n v="1707994935"/>
    <s v="Finalizado (1/5)"/>
    <n v="23.803999999999998"/>
    <n v="3.246"/>
    <n v="27.05"/>
    <s v="Sessão Faturada"/>
    <n v="833033600027000"/>
    <n v="15445"/>
    <s v="Unidade Vieiralves"/>
    <n v="1707994935"/>
    <m/>
  </r>
  <r>
    <x v="16"/>
    <x v="5"/>
    <s v="Yasmin Ferreira de Paiva"/>
    <m/>
    <x v="29"/>
    <x v="14"/>
    <s v="31602185 - Estimulação Elétrica Transcutanea (R$ 87,74)"/>
    <s v="Fisioterapia"/>
    <n v="1080863"/>
    <s v="Finalizado (2/2)"/>
    <n v="77.211200000000005"/>
    <n v="10.5288"/>
    <n v="87.74"/>
    <s v="Sessão Faturada"/>
    <n v="130260031070010"/>
    <n v="59014"/>
    <s v="Unidade Vieiralves"/>
    <n v="1080863"/>
    <m/>
  </r>
  <r>
    <x v="16"/>
    <x v="30"/>
    <s v="Victor Saulo Cavalcante de Melo"/>
    <s v="Masculino"/>
    <x v="2"/>
    <x v="14"/>
    <s v="20103115 - Atividade Reflexa Cinesioterápica (R$ 20,81)"/>
    <s v="Fisioterapia"/>
    <n v="1707995364"/>
    <s v="Finalizado (1/2)"/>
    <n v="18.312799999999999"/>
    <n v="2.4971999999999999"/>
    <n v="20.81"/>
    <s v="Sessão Faturada"/>
    <n v="833033600027000"/>
    <n v="15445"/>
    <s v="Unidade Vieiralves"/>
    <n v="1707995364"/>
    <m/>
  </r>
  <r>
    <x v="16"/>
    <x v="13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1/10)"/>
    <n v="30.8"/>
    <n v="4.2"/>
    <n v="35"/>
    <s v="Sessão Faturada"/>
    <s v="0901005831260032"/>
    <n v="52372"/>
    <s v="Unidade Vieiralves"/>
    <n v="9218957"/>
    <m/>
  </r>
  <r>
    <x v="16"/>
    <x v="13"/>
    <s v="Eduardo Martins Souza"/>
    <s v="Masculino"/>
    <x v="1"/>
    <x v="14"/>
    <s v="50000160 - Fisioterapia Ortopédica (R$ 20,00), 98980327 - Taxa de Eletroterapia (Tens) (R$ 15,00)"/>
    <s v="Fisioterapia"/>
    <n v="9294151"/>
    <s v="Finalizado (2/10)"/>
    <n v="30.8"/>
    <n v="4.2"/>
    <n v="35"/>
    <s v="Sessão Faturada"/>
    <s v="0901013816210012"/>
    <n v="58367"/>
    <s v="Unidade Vieiralves"/>
    <n v="9294151"/>
    <m/>
  </r>
  <r>
    <x v="16"/>
    <x v="6"/>
    <s v="Alessandra Silveira Rocha"/>
    <s v="Feminino"/>
    <x v="2"/>
    <x v="14"/>
    <s v="20103492 - Fisioterapia - Patologia Em Dois Ou Mais Membros (R$ 14,83)"/>
    <s v="Fisioterapia"/>
    <n v="1707002611"/>
    <s v="Finalizado (2/10)"/>
    <n v="13.0504"/>
    <n v="1.7796000000000001"/>
    <n v="14.83"/>
    <s v="Sessão a Faturar"/>
    <n v="774063023809020"/>
    <n v="58966"/>
    <s v="Unidade Vieiralves"/>
    <n v="1707002611"/>
    <m/>
  </r>
  <r>
    <x v="16"/>
    <x v="6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3/10)"/>
    <n v="30.8"/>
    <n v="4.2"/>
    <n v="35"/>
    <s v="Sessão Faturada"/>
    <n v="1301012940110100"/>
    <n v="53480"/>
    <s v="Unidade Vieiralves"/>
    <n v="9210847"/>
    <m/>
  </r>
  <r>
    <x v="16"/>
    <x v="6"/>
    <s v="Israel Antonio Passos dos Santos"/>
    <s v="Masculino"/>
    <x v="2"/>
    <x v="14"/>
    <s v="20103484 - Fisioterapia - Patologia Em Um Membro (R$ 12,22)"/>
    <s v="Fisioterapia"/>
    <n v="1705823749"/>
    <s v="Finalizado (2/4)"/>
    <n v="10.7536"/>
    <n v="1.4663999999999999"/>
    <n v="12.22"/>
    <s v="Sessão Faturada"/>
    <n v="610857200001010"/>
    <n v="59467"/>
    <s v="Unidade Vieiralves"/>
    <n v="1705823749"/>
    <m/>
  </r>
  <r>
    <x v="16"/>
    <x v="7"/>
    <s v="Alessandra Silveira Rocha"/>
    <s v="Feminino"/>
    <x v="2"/>
    <x v="14"/>
    <s v="20103115 - Atividade Reflexa Cinesioterápica (R$ 20,81)"/>
    <s v="Fisioterapia"/>
    <n v="1707003352"/>
    <s v="Finalizado (2/2)"/>
    <n v="18.312799999999999"/>
    <n v="2.4971999999999999"/>
    <n v="20.81"/>
    <s v="Sessão Faturada"/>
    <n v="774063023809020"/>
    <n v="58966"/>
    <s v="Unidade Vieiralves"/>
    <n v="1707003352"/>
    <m/>
  </r>
  <r>
    <x v="16"/>
    <x v="15"/>
    <s v="Leonardo Emmanuel Neves Rodrigues"/>
    <s v="Masculino"/>
    <x v="2"/>
    <x v="14"/>
    <s v="50000144 - Avaliação de Fisioterapia (R$ 51,42)"/>
    <s v="Fisioterapia"/>
    <n v="1708045779"/>
    <s v="Finalizado (1/1)"/>
    <n v="46.277999999999999"/>
    <n v="5.1420000000000003"/>
    <n v="51.42"/>
    <s v="Sessão Faturada"/>
    <n v="867546100043000"/>
    <n v="59479"/>
    <s v="Unidade Vieiralves"/>
    <n v="1708045779"/>
    <m/>
  </r>
  <r>
    <x v="16"/>
    <x v="52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1/10)"/>
    <n v="21.507200000000001"/>
    <n v="2.9327999999999999"/>
    <n v="24.44"/>
    <s v="Sessão a Faturar"/>
    <n v="867546100043000"/>
    <n v="59479"/>
    <s v="Unidade Vieiralves"/>
    <n v="1708046408"/>
    <m/>
  </r>
  <r>
    <x v="16"/>
    <x v="82"/>
    <s v="Leonardo Emmanuel Neves Rodrigues"/>
    <s v="Masculino"/>
    <x v="2"/>
    <x v="14"/>
    <s v="20103115 - Atividade Reflexa Cinesioterápica (R$ 20,81)"/>
    <s v="Fisioterapia"/>
    <n v="1708047206"/>
    <s v="Finalizado (1/2)"/>
    <n v="18.312799999999999"/>
    <n v="2.4971999999999999"/>
    <n v="20.81"/>
    <s v="Sessão Faturada"/>
    <n v="867546100043000"/>
    <n v="59479"/>
    <s v="Unidade Vieiralves"/>
    <n v="1708047206"/>
    <m/>
  </r>
  <r>
    <x v="16"/>
    <x v="17"/>
    <s v="Thaianne de Matos Sampaio da Silva"/>
    <s v="Feminino"/>
    <x v="0"/>
    <x v="14"/>
    <s v="50000160 - Fisioterapia Ortopedica (R$ 49,72)"/>
    <s v="Fisioterapia"/>
    <s v="42263120260307428164"/>
    <s v="Finalizado (1/10)"/>
    <n v="43.753599999999999"/>
    <n v="5.9664000000000001"/>
    <n v="49.72"/>
    <s v="Sessão a Faturar"/>
    <s v="010650776203"/>
    <n v="59378"/>
    <s v="Unidade Vieiralves"/>
    <s v="42263120260307428164"/>
    <m/>
  </r>
  <r>
    <x v="16"/>
    <x v="17"/>
    <s v="Angelo Bonanno"/>
    <s v="Masculino"/>
    <x v="7"/>
    <x v="14"/>
    <s v="Vieiralves - 1 - Fisioterapia Ortopedica - Pacote (R$ 40,00)"/>
    <s v="Fisioterapia"/>
    <m/>
    <s v="Finalizado (4/10)"/>
    <n v="31.2"/>
    <n v="8.8000000000000007"/>
    <n v="40"/>
    <s v="Pago"/>
    <n v="611649060001010"/>
    <n v="55203"/>
    <s v="Unidade Vieiralves"/>
    <m/>
    <m/>
  </r>
  <r>
    <x v="16"/>
    <x v="17"/>
    <s v="Elen Cristina Ferreira Botelho"/>
    <s v="Feminino"/>
    <x v="8"/>
    <x v="14"/>
    <s v="20103484 - Patologia Em Um Membro (R$ 12,22)"/>
    <s v="Fisioterapia"/>
    <n v="1708057920"/>
    <s v="Finalizado (1/2)"/>
    <n v="10.7536"/>
    <n v="1.4663999999999999"/>
    <n v="12.22"/>
    <s v="Sessão a Faturar"/>
    <n v="954440000647010"/>
    <n v="15871"/>
    <s v="Unidade Vieiralves"/>
    <n v="1708057920"/>
    <m/>
  </r>
  <r>
    <x v="16"/>
    <x v="24"/>
    <s v="Elen Cristina Ferreira Botelho"/>
    <s v="Feminino"/>
    <x v="8"/>
    <x v="14"/>
    <s v="20103115 - Atividade Reflexa Cinesioterápica (R$ 20,81)"/>
    <s v="Fisioterapia"/>
    <n v="1708058672"/>
    <s v="Finalizado (1/2)"/>
    <n v="18.312799999999999"/>
    <n v="2.4971999999999999"/>
    <n v="20.81"/>
    <s v="Sessão Faturada"/>
    <n v="954440000647010"/>
    <n v="15871"/>
    <s v="Unidade Vieiralves"/>
    <n v="1708058672"/>
    <m/>
  </r>
  <r>
    <x v="16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1/10)"/>
    <n v="47.634399999999999"/>
    <n v="6.4955999999999996"/>
    <n v="54.13"/>
    <s v="Sessão a Faturar"/>
    <s v="010650776203"/>
    <n v="59378"/>
    <s v="Unidade Vieiralves"/>
    <s v="42263120260307428285"/>
    <m/>
  </r>
  <r>
    <x v="16"/>
    <x v="8"/>
    <s v="Junio Costa de Almeida"/>
    <s v="Masculino"/>
    <x v="2"/>
    <x v="14"/>
    <s v="20103492 - Fisioterapia - Patologia Em Dois Ou Mais Membros (R$ 14,83)"/>
    <s v="Fisioterapia"/>
    <n v="1705120475"/>
    <s v="Finalizado (2/4)"/>
    <n v="13.0504"/>
    <n v="1.7796000000000001"/>
    <n v="14.83"/>
    <s v="Sessão Faturada"/>
    <n v="773709045322000"/>
    <n v="59013"/>
    <s v="Unidade Vieiralves"/>
    <n v="1705120475"/>
    <m/>
  </r>
  <r>
    <x v="16"/>
    <x v="8"/>
    <s v="Luiz Alfredo Bastos"/>
    <s v="Masculino"/>
    <x v="6"/>
    <x v="14"/>
    <s v="20103484 - Patologia Em Um Membro (R$ 14,16)"/>
    <s v="Fisioterapia"/>
    <n v="170548"/>
    <s v="Finalizado (3/3)"/>
    <n v="12.460800000000001"/>
    <n v="1.6992"/>
    <n v="14.16"/>
    <s v="Sessão a Faturar"/>
    <s v="54588888013407990019"/>
    <n v="59502"/>
    <s v="Unidade Vieiralves"/>
    <n v="170548"/>
    <m/>
  </r>
  <r>
    <x v="16"/>
    <x v="9"/>
    <s v="Luiz Alfredo Bastos"/>
    <s v="Masculino"/>
    <x v="6"/>
    <x v="14"/>
    <s v="31602185 - Estimulação Elétrica Transcutanea (Tens) (R$ 40,00)"/>
    <s v="Fisioterapia"/>
    <n v="170549"/>
    <s v="Finalizado (3/3)"/>
    <n v="35.200000000000003"/>
    <n v="4.8"/>
    <n v="40"/>
    <s v="Sessão a Faturar"/>
    <s v="54588888013407990019"/>
    <n v="59502"/>
    <s v="Unidade Vieiralves"/>
    <n v="170549"/>
    <m/>
  </r>
  <r>
    <x v="16"/>
    <x v="9"/>
    <s v="Junio Costa de Almeida"/>
    <s v="Masculino"/>
    <x v="2"/>
    <x v="14"/>
    <s v="20103115 - Atividade Reflexa Cinesioterápica (R$ 20,81)"/>
    <s v="Fisioterapia"/>
    <n v="1705121488"/>
    <s v="Finalizado (2/3)"/>
    <n v="18.312799999999999"/>
    <n v="2.4971999999999999"/>
    <n v="20.81"/>
    <s v="Sessão Faturada"/>
    <n v="773709045322000"/>
    <n v="59013"/>
    <s v="Unidade Vieiralves"/>
    <n v="1705121488"/>
    <m/>
  </r>
  <r>
    <x v="16"/>
    <x v="10"/>
    <s v="Gabrielly da Silva Mascarin"/>
    <m/>
    <x v="6"/>
    <x v="14"/>
    <s v="20103662 - Pos Operatorio Em Um Membro (R$ 22,53)"/>
    <s v="Fisioterapia"/>
    <n v="167638"/>
    <s v="Finalizado (9/10)"/>
    <n v="19.8264"/>
    <n v="2.7035999999999998"/>
    <n v="22.53"/>
    <s v="Sessão Faturada"/>
    <n v="954500024520030"/>
    <n v="17683"/>
    <s v="Unidade Vieiralves"/>
    <n v="167638"/>
    <m/>
  </r>
  <r>
    <x v="16"/>
    <x v="1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5/10)"/>
    <n v="30.8"/>
    <n v="4.2"/>
    <n v="35"/>
    <s v="Sessão Faturada"/>
    <s v="0901013262310007"/>
    <n v="55942"/>
    <s v="Unidade Vieiralves"/>
    <n v="9044249"/>
    <m/>
  </r>
  <r>
    <x v="16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4/9)"/>
    <n v="23.803999999999998"/>
    <n v="3.246"/>
    <n v="27.05"/>
    <s v="Sessão a Faturar"/>
    <s v="000430852874162602"/>
    <n v="38899"/>
    <s v="Unidade Vieiralves"/>
    <n v="169503"/>
    <m/>
  </r>
  <r>
    <x v="16"/>
    <x v="11"/>
    <s v="Gabrielly da Silva Mascarin"/>
    <m/>
    <x v="6"/>
    <x v="14"/>
    <s v="31602185 - Estimulação Elétrica Transcutanea (Tens) (R$ 40,00)"/>
    <s v="Fisioterapia"/>
    <n v="167640"/>
    <s v="Finalizado (9/10)"/>
    <n v="35.200000000000003"/>
    <n v="4.8"/>
    <n v="40"/>
    <s v="Sessão Faturada"/>
    <n v="954500024520030"/>
    <n v="17683"/>
    <s v="Unidade Vieiralves"/>
    <n v="167640"/>
    <m/>
  </r>
  <r>
    <x v="16"/>
    <x v="11"/>
    <s v="Ingrid de Vasconcelos Castelo Branco"/>
    <s v="Feminino"/>
    <x v="12"/>
    <x v="14"/>
    <s v="31602185 - Estimulação Elétrica Transcutânea (Tens) (R$ 49,00)"/>
    <s v="Fisioterapia"/>
    <n v="10304052"/>
    <s v="Finalizado (4/9)"/>
    <n v="43.12"/>
    <n v="5.88"/>
    <n v="49"/>
    <s v="Sessão a Faturar"/>
    <s v="000430852874162602"/>
    <n v="38899"/>
    <s v="Unidade Vieiralves"/>
    <n v="10304052"/>
    <m/>
  </r>
  <r>
    <x v="16"/>
    <x v="12"/>
    <s v="Samuel Cunha de Oliveira"/>
    <m/>
    <x v="2"/>
    <x v="14"/>
    <s v="20103492 - Fisioterapia - Patologia Em Dois Ou Mais Membros (R$ 14,83)"/>
    <s v="Fisioterapia"/>
    <n v="1705899542"/>
    <s v="Finalizado (3/10)"/>
    <n v="13.0504"/>
    <n v="1.7796000000000001"/>
    <n v="14.83"/>
    <s v="Sessão Faturada"/>
    <n v="837047000191010"/>
    <n v="59496"/>
    <s v="Unidade Vieiralves"/>
    <n v="1705899542"/>
    <m/>
  </r>
  <r>
    <x v="16"/>
    <x v="12"/>
    <s v="Patricia Rodrigues Pontes"/>
    <s v="Feminino"/>
    <x v="6"/>
    <x v="14"/>
    <s v="20103662 - Pos Operatorio Em Um Membro (R$ 22,53)"/>
    <s v="Fisioterapia"/>
    <n v="169215"/>
    <s v="Finalizado (5/5)"/>
    <n v="19.8264"/>
    <n v="2.7035999999999998"/>
    <n v="22.53"/>
    <s v="Sessão a Faturar"/>
    <s v="54588888011063920019"/>
    <n v="59148"/>
    <s v="Unidade Vieiralves"/>
    <n v="169215"/>
    <m/>
  </r>
  <r>
    <x v="16"/>
    <x v="19"/>
    <s v="Patricia Rodrigues Pontes"/>
    <s v="Feminino"/>
    <x v="6"/>
    <x v="14"/>
    <s v="31602185 - Estimulação Elétrica Transcutanea (Tens) (R$ 40,00)"/>
    <s v="Fisioterapia"/>
    <n v="169511"/>
    <s v="Finalizado (5/5)"/>
    <n v="35.200000000000003"/>
    <n v="4.8"/>
    <n v="40"/>
    <s v="Sessão a Faturar"/>
    <s v="54588888011063920019"/>
    <n v="59148"/>
    <s v="Unidade Vieiralves"/>
    <n v="169511"/>
    <m/>
  </r>
  <r>
    <x v="16"/>
    <x v="19"/>
    <s v="Samuel Cunha de Oliveira"/>
    <m/>
    <x v="2"/>
    <x v="14"/>
    <s v="20103115 - Atividade Reflexa Cinesioterápica (R$ 20,81)"/>
    <s v="Fisioterapia"/>
    <n v="1705905271"/>
    <s v="Finalizado (3/5)"/>
    <n v="18.312799999999999"/>
    <n v="2.4971999999999999"/>
    <n v="20.81"/>
    <s v="Sessão Faturada"/>
    <n v="837047000191010"/>
    <n v="59496"/>
    <s v="Unidade Vieiralves"/>
    <n v="1705905271"/>
    <m/>
  </r>
  <r>
    <x v="17"/>
    <x v="0"/>
    <s v="Luiz Carlos Barcelos Gonzaga"/>
    <s v="Masculino"/>
    <x v="8"/>
    <x v="14"/>
    <s v="20103662 - Pos Operatorio Em Um Membro (R$ 14,99)"/>
    <s v="Fisioterapia"/>
    <n v="1704856335"/>
    <s v="Finalizado (4/4)"/>
    <n v="13.1912"/>
    <n v="1.7988"/>
    <n v="14.99"/>
    <s v="Sessão Faturada"/>
    <n v="954600002887000"/>
    <n v="16269"/>
    <s v="Unidade Vieiralves"/>
    <n v="1704856335"/>
    <m/>
  </r>
  <r>
    <x v="17"/>
    <x v="0"/>
    <s v="Rosana Maria de Almeida Gonzaga"/>
    <s v="Feminino"/>
    <x v="8"/>
    <x v="14"/>
    <s v="20103492 - Patologia Em Dois Ou Mais Membros (R$ 14,83), 20103506 - Patologia Em Um Segmento Na Coluna (R$ 12,22)"/>
    <s v="Fisioterapia"/>
    <n v="1702853852"/>
    <s v="Finalizado (3/3)"/>
    <n v="23.803999999999998"/>
    <n v="3.246"/>
    <n v="27.05"/>
    <s v="Sessão Faturada"/>
    <n v="954600002887020"/>
    <n v="15742"/>
    <s v="Unidade Vieiralves"/>
    <n v="1702853852"/>
    <m/>
  </r>
  <r>
    <x v="17"/>
    <x v="0"/>
    <s v="Adenise Leitão Barbosa"/>
    <s v="Feminino"/>
    <x v="12"/>
    <x v="14"/>
    <s v="20103492 - Patol. Em Dois Ou Mais Membros (R$ 14,83)"/>
    <s v="Fisioterapia"/>
    <n v="170141"/>
    <s v="Finalizado (4/10)"/>
    <n v="13.0504"/>
    <n v="1.7796000000000001"/>
    <n v="14.83"/>
    <s v="Sessão Faturada"/>
    <s v="000432203160121601"/>
    <n v="26264"/>
    <s v="Unidade Vieiralves"/>
    <n v="170141"/>
    <m/>
  </r>
  <r>
    <x v="17"/>
    <x v="0"/>
    <s v="Elane Sales de Lima"/>
    <m/>
    <x v="2"/>
    <x v="14"/>
    <s v="20103484 - Fisioterapia - Patologia Em Um Membro (R$ 12,22)"/>
    <s v="Fisioterapia"/>
    <n v="1704837657"/>
    <s v="Finalizado (5/5)"/>
    <n v="10.7536"/>
    <n v="1.4663999999999999"/>
    <n v="12.22"/>
    <s v="Sessão Faturada"/>
    <n v="773539032034010"/>
    <n v="58812"/>
    <s v="Unidade Vieiralves"/>
    <n v="1704837657"/>
    <m/>
  </r>
  <r>
    <x v="17"/>
    <x v="1"/>
    <s v="Elane Sales de Lima"/>
    <m/>
    <x v="2"/>
    <x v="14"/>
    <s v="20103115 - Atividade Reflexa Cinesioterápica (R$ 20,81)"/>
    <s v="Fisioterapia"/>
    <n v="1704838447"/>
    <s v="Finalizado (5/5)"/>
    <n v="18.312799999999999"/>
    <n v="2.4971999999999999"/>
    <n v="20.81"/>
    <s v="Sessão Faturada"/>
    <n v="773539032034010"/>
    <n v="58812"/>
    <s v="Unidade Vieiralves"/>
    <n v="1704838447"/>
    <m/>
  </r>
  <r>
    <x v="17"/>
    <x v="1"/>
    <s v="Luiz Carlos Barcelos Gonzaga"/>
    <s v="Masculino"/>
    <x v="8"/>
    <x v="14"/>
    <s v="20103115 - Atividade Reflexa Cinesioterápica (R$ 20,81)"/>
    <s v="Fisioterapia"/>
    <n v="1704857541"/>
    <s v="Finalizado (4/4)"/>
    <n v="18.312799999999999"/>
    <n v="2.4971999999999999"/>
    <n v="20.81"/>
    <s v="Sessão Faturada"/>
    <n v="954600002887000"/>
    <n v="16269"/>
    <s v="Unidade Vieiralves"/>
    <n v="1704857541"/>
    <m/>
  </r>
  <r>
    <x v="17"/>
    <x v="1"/>
    <s v="Rosana Maria de Almeida Gonzaga"/>
    <s v="Feminino"/>
    <x v="8"/>
    <x v="14"/>
    <s v="20103115 - Atividade Reflexa Cinesioterápica (R$ 20,81)"/>
    <s v="Fisioterapia"/>
    <n v="1702855834"/>
    <s v="Finalizado (3/3)"/>
    <n v="18.312799999999999"/>
    <n v="2.4971999999999999"/>
    <n v="20.81"/>
    <s v="Sessão Faturada"/>
    <n v="954600002887020"/>
    <n v="15742"/>
    <s v="Unidade Vieiralves"/>
    <n v="1702855834"/>
    <m/>
  </r>
  <r>
    <x v="17"/>
    <x v="2"/>
    <s v="Maria Adelina Parente Lins Felix"/>
    <s v="Feminino"/>
    <x v="0"/>
    <x v="14"/>
    <s v="50000160 - Fisioterapia Ortopedica (R$ 49,72)"/>
    <s v="Fisioterapia"/>
    <s v="42263120260210268422"/>
    <s v="Finalizado (6/10)"/>
    <n v="43.753599999999999"/>
    <n v="5.9664000000000001"/>
    <n v="49.72"/>
    <s v="Sessão Faturada"/>
    <s v="010650363400"/>
    <n v="41281"/>
    <s v="Unidade Vieiralves"/>
    <s v="42263120260210268422"/>
    <m/>
  </r>
  <r>
    <x v="17"/>
    <x v="2"/>
    <s v="Alice da Silva dos Santos"/>
    <m/>
    <x v="2"/>
    <x v="14"/>
    <s v="20103484 - Fisioterapia - Patologia Em Um Membro (R$ 12,22)"/>
    <s v="Fisioterapia"/>
    <n v="1709100134"/>
    <s v="Finalizado (1/5)"/>
    <n v="10.7536"/>
    <n v="1.4663999999999999"/>
    <n v="12.22"/>
    <s v="Sessão Faturada"/>
    <n v="843486100604000"/>
    <n v="56112"/>
    <s v="Unidade Vieiralves"/>
    <n v="1709100134"/>
    <m/>
  </r>
  <r>
    <x v="17"/>
    <x v="2"/>
    <s v="Rosalinda Pereira Brito"/>
    <s v="Feminino"/>
    <x v="2"/>
    <x v="14"/>
    <s v="20103484 - Fisioterapia - Patologia Em Um Membro (R$ 12,22)"/>
    <s v="Fisioterapia"/>
    <n v="1705795662"/>
    <s v="Finalizado (3/10)"/>
    <n v="10.7536"/>
    <n v="1.4663999999999999"/>
    <n v="12.22"/>
    <s v="Sessão Faturada"/>
    <s v="010544100907015"/>
    <n v="13886"/>
    <s v="Unidade Vieiralves"/>
    <n v="1705795662"/>
    <m/>
  </r>
  <r>
    <x v="17"/>
    <x v="3"/>
    <s v="Rosalinda Pereira Brito"/>
    <s v="Feminino"/>
    <x v="2"/>
    <x v="14"/>
    <s v="20103115 - Atividade Reflexa Cinesioterápica (R$ 20,81)"/>
    <s v="Fisioterapia"/>
    <n v="1705797070"/>
    <s v="Finalizado (3/3)"/>
    <n v="18.312799999999999"/>
    <n v="2.4971999999999999"/>
    <n v="20.81"/>
    <s v="Sessão Faturada"/>
    <s v="010544100907015"/>
    <n v="13886"/>
    <s v="Unidade Vieiralves"/>
    <n v="1705797070"/>
    <m/>
  </r>
  <r>
    <x v="17"/>
    <x v="3"/>
    <s v="Alice da Silva dos Santos"/>
    <m/>
    <x v="2"/>
    <x v="14"/>
    <s v="20103115 - Atividade Reflexa Cinesioterápica (R$ 20,81)"/>
    <s v="Fisioterapia"/>
    <n v="1709101760"/>
    <s v="Finalizado (1/1)"/>
    <n v="18.312799999999999"/>
    <n v="2.4971999999999999"/>
    <n v="20.81"/>
    <s v="Sessão Faturada"/>
    <n v="843486100604000"/>
    <n v="56112"/>
    <s v="Unidade Vieiralves"/>
    <n v="1709101760"/>
    <m/>
  </r>
  <r>
    <x v="17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6/10)"/>
    <n v="47.634399999999999"/>
    <n v="6.4955999999999996"/>
    <n v="54.13"/>
    <s v="Sessão Faturada"/>
    <s v="010650363400"/>
    <n v="41281"/>
    <s v="Unidade Vieiralves"/>
    <s v="42263120260302381799"/>
    <m/>
  </r>
  <r>
    <x v="17"/>
    <x v="4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5/8)"/>
    <n v="30.8"/>
    <n v="4.2"/>
    <n v="35"/>
    <s v="Sessão Faturada"/>
    <s v="0901011263750098"/>
    <n v="57345"/>
    <s v="Unidade Vieiralves"/>
    <n v="8919881"/>
    <m/>
  </r>
  <r>
    <x v="17"/>
    <x v="4"/>
    <s v="Jucy Nogueira Levy"/>
    <s v="Masculino"/>
    <x v="2"/>
    <x v="14"/>
    <s v="20103662 - Fisioterapia - Pos Operatorio Em Um Membro (R$ 14,99)"/>
    <s v="Fisioterapia"/>
    <n v="1707984590"/>
    <s v="Finalizado (2/5)"/>
    <n v="13.1912"/>
    <n v="1.7988"/>
    <n v="14.99"/>
    <s v="Sessão Faturada"/>
    <n v="773268007013010"/>
    <n v="6099"/>
    <s v="Unidade Vieiralves"/>
    <n v="1707984590"/>
    <m/>
  </r>
  <r>
    <x v="17"/>
    <x v="4"/>
    <s v="Thaisa Cadais Semen"/>
    <s v="Feminino"/>
    <x v="11"/>
    <x v="14"/>
    <s v="20103484 - Fisioterapia - Patologia Em Um Membro (R$ 80,33)"/>
    <s v="Fisioterapia"/>
    <n v="1320"/>
    <s v="Finalizado (10/10)"/>
    <n v="70.690399999999997"/>
    <n v="9.6395999999999997"/>
    <n v="80.33"/>
    <s v="Sessão Faturada"/>
    <s v="01689"/>
    <n v="22428"/>
    <s v="Unidade Vieiralves"/>
    <n v="1320"/>
    <m/>
  </r>
  <r>
    <x v="17"/>
    <x v="4"/>
    <s v="Joeline Dutra da Silva"/>
    <s v="Feminino"/>
    <x v="1"/>
    <x v="14"/>
    <s v="50000160 - Fisioterapia Ortopédica (R$ 20,00), 98980327 - Taxa de Eletroterapia (Tens) (R$ 15,00)"/>
    <s v="Fisioterapia"/>
    <n v="9210393"/>
    <s v="Finalizado (1/10)"/>
    <n v="30.8"/>
    <n v="4.2"/>
    <n v="35"/>
    <s v="Sessão Faturada"/>
    <n v="1101013081410400"/>
    <n v="56667"/>
    <s v="Unidade Vieiralves"/>
    <n v="9210393"/>
    <m/>
  </r>
  <r>
    <x v="17"/>
    <x v="4"/>
    <s v="Vitoria Laredo Bulgarelli"/>
    <s v="Feminino"/>
    <x v="12"/>
    <x v="14"/>
    <s v="20103514 - Patol. Em Diferentes Segmentos da Coluna (R$ 14,83)"/>
    <s v="Fisioterapia"/>
    <n v="169445"/>
    <s v="Finalizado (3/3)"/>
    <n v="13.0504"/>
    <n v="1.7796000000000001"/>
    <n v="14.83"/>
    <s v="Sessão a Faturar"/>
    <n v="9.5125289242221005E+17"/>
    <n v="57323"/>
    <s v="Unidade Vieiralves"/>
    <n v="169445"/>
    <m/>
  </r>
  <r>
    <x v="17"/>
    <x v="5"/>
    <s v="Vitoria Laredo Bulgarelli"/>
    <s v="Feminino"/>
    <x v="12"/>
    <x v="14"/>
    <s v="31602185 - Estimulação Elétrica Transcutânea (Tens) (R$ 49,00)"/>
    <s v="Fisioterapia"/>
    <n v="10298495"/>
    <s v="Finalizado (2/3)"/>
    <n v="43.12"/>
    <n v="5.88"/>
    <n v="49"/>
    <s v="Sessão a Faturar"/>
    <n v="9.5125289242221005E+17"/>
    <n v="57323"/>
    <s v="Unidade Vieiralves"/>
    <n v="10298495"/>
    <m/>
  </r>
  <r>
    <x v="17"/>
    <x v="5"/>
    <s v="Jucy Nogueira Levy"/>
    <s v="Masculino"/>
    <x v="2"/>
    <x v="14"/>
    <s v="20103115 - Atividade Reflexa Cinesioterápica (R$ 20,81)"/>
    <s v="Fisioterapia"/>
    <n v="1707985125"/>
    <s v="Finalizado (2/2)"/>
    <n v="18.312799999999999"/>
    <n v="2.4971999999999999"/>
    <n v="20.81"/>
    <s v="Sessão Faturada"/>
    <n v="773268007013010"/>
    <n v="6099"/>
    <s v="Unidade Vieiralves"/>
    <n v="1707985125"/>
    <m/>
  </r>
  <r>
    <x v="17"/>
    <x v="13"/>
    <s v="Silvana Freitas Spinola de Oliveira"/>
    <m/>
    <x v="6"/>
    <x v="14"/>
    <s v="20103492 - Patologia Em Dois Ou Mais Membros (R$ 30,26)"/>
    <s v="Fisioterapia"/>
    <n v="169401"/>
    <s v="Finalizado (5/10)"/>
    <n v="26.628799999999998"/>
    <n v="3.6312000000000002"/>
    <n v="30.26"/>
    <s v="Sessão a Faturar"/>
    <s v="51588888464996980013"/>
    <n v="20358"/>
    <s v="Unidade Vieiralves"/>
    <n v="169401"/>
    <m/>
  </r>
  <r>
    <x v="17"/>
    <x v="13"/>
    <s v="Gabriele Nogueira de Oliveira"/>
    <s v="Feminino"/>
    <x v="2"/>
    <x v="14"/>
    <s v="20103662 - Fisioterapia - Pos Operatorio Em Um Membro (R$ 14,99)"/>
    <s v="Fisioterapia"/>
    <n v="1709193478"/>
    <s v="Finalizado (1/10)"/>
    <n v="13.1912"/>
    <n v="1.7988"/>
    <n v="14.99"/>
    <s v="Sessão a Faturar"/>
    <n v="894937200604000"/>
    <n v="51083"/>
    <s v="Unidade Vieiralves"/>
    <n v="1709193478"/>
    <m/>
  </r>
  <r>
    <x v="17"/>
    <x v="13"/>
    <s v="Gabrielly da Silva Mascarin"/>
    <m/>
    <x v="6"/>
    <x v="14"/>
    <s v="20103662 - Pos Operatorio Em Um Membro (R$ 22,53)"/>
    <s v="Fisioterapia"/>
    <n v="167638"/>
    <s v="Finalizado (10/10)"/>
    <n v="19.8264"/>
    <n v="2.7035999999999998"/>
    <n v="22.53"/>
    <s v="Sessão Faturada"/>
    <n v="954500024520030"/>
    <n v="17683"/>
    <s v="Unidade Vieiralves"/>
    <n v="167638"/>
    <m/>
  </r>
  <r>
    <x v="17"/>
    <x v="14"/>
    <s v="Silvana Freitas Spinola de Oliveira"/>
    <m/>
    <x v="6"/>
    <x v="14"/>
    <s v="31602185 - Estimulação Elétrica Transcutanea (Tens) (R$ 40,00)"/>
    <s v="Fisioterapia"/>
    <n v="169402"/>
    <s v="Finalizado (5/10)"/>
    <n v="35.200000000000003"/>
    <n v="4.8"/>
    <n v="40"/>
    <s v="Sessão a Faturar"/>
    <s v="51588888464996980013"/>
    <n v="20358"/>
    <s v="Unidade Vieiralves"/>
    <n v="169402"/>
    <m/>
  </r>
  <r>
    <x v="17"/>
    <x v="14"/>
    <s v="Gabriele Nogueira de Oliveira"/>
    <s v="Feminino"/>
    <x v="2"/>
    <x v="14"/>
    <s v="20103115 - Atividade Reflexa Cinesioterápica (R$ 20,81)"/>
    <s v="Fisioterapia"/>
    <n v="1709194469"/>
    <s v="Finalizado (1/1)"/>
    <n v="18.312799999999999"/>
    <n v="2.4971999999999999"/>
    <n v="20.81"/>
    <s v="Sessão Faturada"/>
    <n v="894937200604000"/>
    <n v="51083"/>
    <s v="Unidade Vieiralves"/>
    <n v="1709194469"/>
    <m/>
  </r>
  <r>
    <x v="17"/>
    <x v="14"/>
    <s v="Gabrielly da Silva Mascarin"/>
    <m/>
    <x v="6"/>
    <x v="14"/>
    <s v="31602185 - Estimulação Elétrica Transcutanea (Tens) (R$ 40,00)"/>
    <s v="Fisioterapia"/>
    <n v="167640"/>
    <s v="Finalizado (10/10)"/>
    <n v="35.200000000000003"/>
    <n v="4.8"/>
    <n v="40"/>
    <s v="Sessão Faturada"/>
    <n v="954500024520030"/>
    <n v="17683"/>
    <s v="Unidade Vieiralves"/>
    <n v="167640"/>
    <m/>
  </r>
  <r>
    <x v="17"/>
    <x v="6"/>
    <s v="Victor Saulo Cavalcante de Melo"/>
    <s v="Masculino"/>
    <x v="2"/>
    <x v="14"/>
    <s v="20103492 - Fisioterapia - Patologia Em Dois Ou Mais Membros (R$ 14,83), 20103506 - Fisioterapia - Patologia Em Um Segmento da Coluna (R$ 12,22)"/>
    <s v="Fisioterapia"/>
    <n v="1707994935"/>
    <s v="Finalizado (2/5)"/>
    <n v="23.803999999999998"/>
    <n v="3.246"/>
    <n v="27.05"/>
    <s v="Sessão Faturada"/>
    <n v="833033600027000"/>
    <n v="15445"/>
    <s v="Unidade Vieiralves"/>
    <n v="1707994935"/>
    <m/>
  </r>
  <r>
    <x v="17"/>
    <x v="6"/>
    <s v="Leonardo Andrade de Brito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0"/>
    <n v="59345"/>
    <s v="Unidade Vieiralves"/>
    <m/>
    <m/>
  </r>
  <r>
    <x v="17"/>
    <x v="6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2/10)"/>
    <n v="30.8"/>
    <n v="4.2"/>
    <n v="35"/>
    <s v="Sessão Faturada"/>
    <s v="0901005831260032"/>
    <n v="52372"/>
    <s v="Unidade Vieiralves"/>
    <n v="9218957"/>
    <m/>
  </r>
  <r>
    <x v="17"/>
    <x v="6"/>
    <s v="Israel Antonio Passos dos Santos"/>
    <s v="Masculino"/>
    <x v="2"/>
    <x v="14"/>
    <s v="20103484 - Fisioterapia - Patologia Em Um Membro (R$ 12,22)"/>
    <s v="Fisioterapia"/>
    <n v="1705823749"/>
    <s v="Finalizado (3/4)"/>
    <n v="10.7536"/>
    <n v="1.4663999999999999"/>
    <n v="12.22"/>
    <s v="Sessão Faturada"/>
    <n v="610857200001010"/>
    <n v="59467"/>
    <s v="Unidade Vieiralves"/>
    <n v="1705823749"/>
    <m/>
  </r>
  <r>
    <x v="17"/>
    <x v="7"/>
    <s v="Victor Saulo Cavalcante de Melo"/>
    <s v="Masculino"/>
    <x v="2"/>
    <x v="14"/>
    <s v="20103115 - Atividade Reflexa Cinesioterápica (R$ 20,81)"/>
    <s v="Fisioterapia"/>
    <n v="1707995364"/>
    <s v="Finalizado (2/2)"/>
    <n v="18.312799999999999"/>
    <n v="2.4971999999999999"/>
    <n v="20.81"/>
    <s v="Sessão Faturada"/>
    <n v="833033600027000"/>
    <n v="15445"/>
    <s v="Unidade Vieiralves"/>
    <n v="1707995364"/>
    <m/>
  </r>
  <r>
    <x v="17"/>
    <x v="17"/>
    <s v="Thaianne de Matos Sampaio da Silva"/>
    <s v="Feminino"/>
    <x v="0"/>
    <x v="14"/>
    <s v="50000160 - Fisioterapia Ortopedica (R$ 49,72)"/>
    <s v="Fisioterapia"/>
    <s v="42263120260307428164"/>
    <s v="Finalizado (2/10)"/>
    <n v="43.753599999999999"/>
    <n v="5.9664000000000001"/>
    <n v="49.72"/>
    <s v="Sessão a Faturar"/>
    <s v="010650776203"/>
    <n v="59378"/>
    <s v="Unidade Vieiralves"/>
    <s v="42263120260307428164"/>
    <m/>
  </r>
  <r>
    <x v="17"/>
    <x v="17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2/10)"/>
    <n v="21.507200000000001"/>
    <n v="2.9327999999999999"/>
    <n v="24.44"/>
    <s v="Sessão a Faturar"/>
    <n v="867546100043000"/>
    <n v="59479"/>
    <s v="Unidade Vieiralves"/>
    <n v="1708046408"/>
    <m/>
  </r>
  <r>
    <x v="17"/>
    <x v="18"/>
    <s v="Leonardo Emmanuel Neves Rodrigues"/>
    <s v="Masculino"/>
    <x v="2"/>
    <x v="14"/>
    <s v="20103115 - Atividade Reflexa Cinesioterápica (R$ 20,81)"/>
    <s v="Fisioterapia"/>
    <n v="1708047206"/>
    <s v="Finalizado (2/2)"/>
    <n v="18.312799999999999"/>
    <n v="2.4971999999999999"/>
    <n v="20.81"/>
    <s v="Sessão Faturada"/>
    <n v="867546100043000"/>
    <n v="59479"/>
    <s v="Unidade Vieiralves"/>
    <n v="1708047206"/>
    <m/>
  </r>
  <r>
    <x v="17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2/10)"/>
    <n v="47.634399999999999"/>
    <n v="6.4955999999999996"/>
    <n v="54.13"/>
    <s v="Sessão a Faturar"/>
    <s v="010650776203"/>
    <n v="59378"/>
    <s v="Unidade Vieiralves"/>
    <s v="42263120260307428285"/>
    <m/>
  </r>
  <r>
    <x v="17"/>
    <x v="8"/>
    <s v="Maria Ines Souza de Jesus"/>
    <s v="Feminino"/>
    <x v="0"/>
    <x v="14"/>
    <s v="50000160 - Fisioterapia Ortopedica (R$ 49,72)"/>
    <s v="Fisioterapia"/>
    <s v="42263120260209259599"/>
    <s v="Finalizado (7/10)"/>
    <n v="43.753599999999999"/>
    <n v="5.9664000000000001"/>
    <n v="49.72"/>
    <s v="Sessão Faturada"/>
    <s v="010115910006"/>
    <n v="36033"/>
    <s v="Unidade Vieiralves"/>
    <s v="42263120260209259599"/>
    <m/>
  </r>
  <r>
    <x v="17"/>
    <x v="8"/>
    <s v="Fernando Mendonça Hayek"/>
    <s v="Masculino"/>
    <x v="1"/>
    <x v="14"/>
    <s v="50000144 - Consulta de Fisioterapia (R$ 16,00)"/>
    <s v="Fisioterapia"/>
    <n v="9248673"/>
    <s v="Finalizado (1/1)"/>
    <n v="14.4"/>
    <n v="1.6"/>
    <n v="16"/>
    <s v="Sessão Faturada"/>
    <s v="0501013240670006"/>
    <n v="57734"/>
    <s v="Unidade Vieiralves"/>
    <n v="9248673"/>
    <m/>
  </r>
  <r>
    <x v="17"/>
    <x v="8"/>
    <s v="Lauren Lauschner Gaikoski"/>
    <s v="Feminino"/>
    <x v="2"/>
    <x v="14"/>
    <s v="20103484 - Fisioterapia - Patologia Em Um Membro (R$ 12,22)"/>
    <s v="Fisioterapia"/>
    <n v="1709236406"/>
    <s v="Finalizado (1/5)"/>
    <n v="10.7536"/>
    <n v="1.4663999999999999"/>
    <n v="12.22"/>
    <s v="Sessão Faturada"/>
    <n v="775388000299020"/>
    <n v="56279"/>
    <s v="Unidade Vieiralves"/>
    <n v="1709236406"/>
    <m/>
  </r>
  <r>
    <x v="17"/>
    <x v="9"/>
    <s v="Fernando Mendonça Hayek"/>
    <s v="Masculino"/>
    <x v="1"/>
    <x v="14"/>
    <s v="50000160 - Fisioterapia Ortopédica (R$ 20,00), 98980327 - Taxa de Eletroterapia (Tens) (R$ 15,00)"/>
    <s v="Fisioterapia"/>
    <n v="9248745"/>
    <s v="Finalizado (1/1)"/>
    <n v="30.8"/>
    <n v="4.2"/>
    <n v="35"/>
    <s v="Sessão Faturada"/>
    <s v="0501013240670006"/>
    <n v="57734"/>
    <s v="Unidade Vieiralves"/>
    <n v="9248745"/>
    <m/>
  </r>
  <r>
    <x v="17"/>
    <x v="9"/>
    <s v="Maria Ines Souza de Jesus"/>
    <s v="Feminino"/>
    <x v="0"/>
    <x v="14"/>
    <s v="31602185 - Estimulação Elétrica Transcutânea Fisioterapia (Novo - 01/12) (R$ 54,13)"/>
    <s v="Fisioterapia"/>
    <s v="42263120260209260083"/>
    <s v="Finalizado (7/10)"/>
    <n v="47.634399999999999"/>
    <n v="6.4955999999999996"/>
    <n v="54.13"/>
    <s v="Sessão Faturada"/>
    <s v="010115910006"/>
    <n v="36033"/>
    <s v="Unidade Vieiralves"/>
    <s v="42263120260209260083"/>
    <m/>
  </r>
  <r>
    <x v="17"/>
    <x v="10"/>
    <s v="Samuel Cunha de Oliveira"/>
    <m/>
    <x v="2"/>
    <x v="14"/>
    <s v="20103492 - Fisioterapia - Patologia Em Dois Ou Mais Membros (R$ 14,83)"/>
    <s v="Fisioterapia"/>
    <n v="1705899542"/>
    <s v="Finalizado (4/10)"/>
    <n v="13.0504"/>
    <n v="1.7796000000000001"/>
    <n v="14.83"/>
    <s v="Sessão Faturada"/>
    <n v="837047000191010"/>
    <n v="59496"/>
    <s v="Unidade Vieiralves"/>
    <n v="1705899542"/>
    <m/>
  </r>
  <r>
    <x v="17"/>
    <x v="1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6/10)"/>
    <n v="30.8"/>
    <n v="4.2"/>
    <n v="35"/>
    <s v="Sessão Faturada"/>
    <s v="0901013262310007"/>
    <n v="55942"/>
    <s v="Unidade Vieiralves"/>
    <n v="9044249"/>
    <m/>
  </r>
  <r>
    <x v="17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5/9)"/>
    <n v="23.803999999999998"/>
    <n v="3.246"/>
    <n v="27.05"/>
    <s v="Sessão a Faturar"/>
    <s v="000430852874162602"/>
    <n v="38899"/>
    <s v="Unidade Vieiralves"/>
    <n v="169503"/>
    <m/>
  </r>
  <r>
    <x v="17"/>
    <x v="10"/>
    <s v="Simone Santana Belchior"/>
    <s v="Feminino"/>
    <x v="1"/>
    <x v="14"/>
    <s v="50000160 - Fisioterapia Ortopédica (R$ 20,00), 98980327 - Taxa de Eletroterapia (Tens) (R$ 15,00)"/>
    <s v="Fisioterapia"/>
    <n v="8943354"/>
    <s v="Finalizado (5/5)"/>
    <n v="30.8"/>
    <n v="4.2"/>
    <n v="35"/>
    <s v="Sessão Faturada"/>
    <s v="0903012245030045"/>
    <n v="59166"/>
    <s v="Unidade Vieiralves"/>
    <n v="8943354"/>
    <m/>
  </r>
  <r>
    <x v="17"/>
    <x v="11"/>
    <s v="Samuel Cunha de Oliveira"/>
    <m/>
    <x v="2"/>
    <x v="14"/>
    <s v="20103115 - Atividade Reflexa Cinesioterápica (R$ 20,81)"/>
    <s v="Fisioterapia"/>
    <n v="1705905271"/>
    <s v="Finalizado (4/5)"/>
    <n v="18.312799999999999"/>
    <n v="2.4971999999999999"/>
    <n v="20.81"/>
    <s v="Sessão Faturada"/>
    <n v="837047000191010"/>
    <n v="59496"/>
    <s v="Unidade Vieiralves"/>
    <n v="1705905271"/>
    <m/>
  </r>
  <r>
    <x v="17"/>
    <x v="11"/>
    <s v="Ingrid de Vasconcelos Castelo Branco"/>
    <s v="Feminino"/>
    <x v="12"/>
    <x v="14"/>
    <s v="31602185 - Estimulação Elétrica Transcutânea (Tens) (R$ 49,00)"/>
    <s v="Fisioterapia"/>
    <n v="10304052"/>
    <s v="Finalizado (5/9)"/>
    <n v="43.12"/>
    <n v="5.88"/>
    <n v="49"/>
    <s v="Sessão a Faturar"/>
    <s v="000430852874162602"/>
    <n v="38899"/>
    <s v="Unidade Vieiralves"/>
    <n v="10304052"/>
    <m/>
  </r>
  <r>
    <x v="17"/>
    <x v="12"/>
    <s v="Icaro de Melo Amorim"/>
    <s v="Masculino"/>
    <x v="2"/>
    <x v="14"/>
    <s v="20103662 - Fisioterapia - Pos Operatorio Em Um Membro (R$ 14,99)"/>
    <s v="Fisioterapia"/>
    <n v="1706531289"/>
    <s v="Finalizado (5/5)"/>
    <n v="13.1912"/>
    <n v="1.7988"/>
    <n v="14.99"/>
    <s v="Sessão Faturada"/>
    <n v="960019332171000"/>
    <n v="30492"/>
    <s v="Unidade Vieiralves"/>
    <n v="1706531289"/>
    <m/>
  </r>
  <r>
    <x v="17"/>
    <x v="19"/>
    <s v="Icaro de Melo Amorim"/>
    <s v="Masculino"/>
    <x v="2"/>
    <x v="14"/>
    <s v="20103115 - Atividade Reflexa Cinesioterápica (R$ 20,81)"/>
    <s v="Fisioterapia"/>
    <n v="1706531671"/>
    <s v="Finalizado (5/5)"/>
    <n v="18.312799999999999"/>
    <n v="2.4971999999999999"/>
    <n v="20.81"/>
    <s v="Sessão Faturada"/>
    <n v="960019332171000"/>
    <n v="30492"/>
    <s v="Unidade Vieiralves"/>
    <n v="1706531671"/>
    <m/>
  </r>
  <r>
    <x v="18"/>
    <x v="0"/>
    <s v="Adenise Leitão Barbosa"/>
    <s v="Feminino"/>
    <x v="12"/>
    <x v="14"/>
    <s v="20103492 - Patol. Em Dois Ou Mais Membros (R$ 14,83)"/>
    <s v="Fisioterapia"/>
    <n v="170141"/>
    <s v="Finalizado (5/10)"/>
    <n v="13.0504"/>
    <n v="1.7796000000000001"/>
    <n v="14.83"/>
    <s v="Sessão Faturada"/>
    <s v="000432203160121601"/>
    <n v="26264"/>
    <s v="Unidade Vieiralves"/>
    <n v="170141"/>
    <m/>
  </r>
  <r>
    <x v="18"/>
    <x v="0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6/10)"/>
    <n v="30.8"/>
    <n v="4.2"/>
    <n v="35"/>
    <s v="Sessão Faturada"/>
    <n v="1101013389860100"/>
    <n v="57939"/>
    <s v="Unidade Vieiralves"/>
    <n v="8825151"/>
    <s v="GUIA ASSINADA"/>
  </r>
  <r>
    <x v="18"/>
    <x v="0"/>
    <s v="Victor Saulo Cavalcante de Melo"/>
    <s v="Masculino"/>
    <x v="2"/>
    <x v="14"/>
    <s v="20103492 - Fisioterapia - Patologia Em Dois Ou Mais Membros (R$ 14,83), 20103506 - Fisioterapia - Patologia Em Um Segmento da Coluna (R$ 12,22)"/>
    <s v="Fisioterapia"/>
    <n v="1707994935"/>
    <s v="Finalizado (3/5)"/>
    <n v="23.803999999999998"/>
    <n v="3.246"/>
    <n v="27.05"/>
    <s v="Sessão Faturada"/>
    <n v="833033600027000"/>
    <n v="15445"/>
    <s v="Unidade Vieiralves"/>
    <n v="1707994935"/>
    <m/>
  </r>
  <r>
    <x v="18"/>
    <x v="1"/>
    <s v="Victor Saulo Cavalcante de Melo"/>
    <s v="Masculino"/>
    <x v="4"/>
    <x v="14"/>
    <s v="31602185 - Estimulação Elétrica Transcutânea - Removido 13/04/2026 (R$ 40,00)"/>
    <s v="Fisioterapia"/>
    <n v="1709739806"/>
    <s v="Finalizado (1/3)"/>
    <n v="35.200000000000003"/>
    <n v="4.8"/>
    <n v="40"/>
    <s v="Sessão Faturada"/>
    <n v="833033600027000"/>
    <n v="15445"/>
    <s v="Unidade Vieiralves"/>
    <n v="1709739806"/>
    <m/>
  </r>
  <r>
    <x v="18"/>
    <x v="2"/>
    <s v="Rosalinda Pereira Brito"/>
    <s v="Feminino"/>
    <x v="2"/>
    <x v="14"/>
    <s v="20103484 - Fisioterapia - Patologia Em Um Membro (R$ 12,22)"/>
    <s v="Fisioterapia"/>
    <n v="1705795662"/>
    <s v="Finalizado (4/10)"/>
    <n v="10.7536"/>
    <n v="1.4663999999999999"/>
    <n v="12.22"/>
    <s v="Sessão Faturada"/>
    <s v="010544100907015"/>
    <n v="13886"/>
    <s v="Unidade Vieiralves"/>
    <n v="1705795662"/>
    <m/>
  </r>
  <r>
    <x v="18"/>
    <x v="2"/>
    <s v="Adriana Brito de Souza"/>
    <s v="Feminino"/>
    <x v="1"/>
    <x v="14"/>
    <s v="50000160 - Fisioterapia Ortopédica (R$ 20,00), 98980327 - Taxa de Eletroterapia (Tens) (R$ 15,00)"/>
    <s v="Fisioterapia"/>
    <n v="8749471"/>
    <s v="Finalizado (7/10)"/>
    <n v="30.8"/>
    <n v="4.2"/>
    <n v="35"/>
    <s v="Sessão Faturada"/>
    <n v="1301013731160100"/>
    <n v="58802"/>
    <s v="Unidade Vieiralves"/>
    <n v="8749471"/>
    <s v="Guia assinada!"/>
  </r>
  <r>
    <x v="18"/>
    <x v="2"/>
    <s v="Ronaldo Ferreira Brasil Correa"/>
    <m/>
    <x v="1"/>
    <x v="14"/>
    <s v="50000160 - Fisioterapia Ortopédica (R$ 20,00), 98980327 - Taxa de Eletroterapia (Tens) (R$ 15,00)"/>
    <s v="Fisioterapia"/>
    <n v="8787630"/>
    <s v="Finalizado (1/10)"/>
    <n v="30.8"/>
    <n v="4.2"/>
    <n v="35"/>
    <s v="Sessão Faturada"/>
    <n v="2001013465800100"/>
    <n v="56389"/>
    <s v="Unidade Vieiralves"/>
    <n v="8787630"/>
    <m/>
  </r>
  <r>
    <x v="18"/>
    <x v="2"/>
    <s v="Gabriele Nogueira de Oliveira"/>
    <s v="Feminino"/>
    <x v="2"/>
    <x v="14"/>
    <s v="20103662 - Fisioterapia - Pos Operatorio Em Um Membro (R$ 14,99)"/>
    <s v="Fisioterapia"/>
    <n v="1709193478"/>
    <s v="Finalizado (2/10)"/>
    <n v="13.1912"/>
    <n v="1.7988"/>
    <n v="14.99"/>
    <s v="Sessão a Faturar"/>
    <n v="894937200604000"/>
    <n v="51083"/>
    <s v="Unidade Vieiralves"/>
    <n v="1709193478"/>
    <m/>
  </r>
  <r>
    <x v="18"/>
    <x v="4"/>
    <s v="Wilson Colares da Costa Junior"/>
    <s v="Masculino"/>
    <x v="20"/>
    <x v="14"/>
    <s v="20103492 - Patologia Em Dois Ou Mais Membros (R$ 38,90)"/>
    <s v="Fisioterapia"/>
    <n v="54840250"/>
    <s v="Finalizado (7/10)"/>
    <n v="34.231999999999999"/>
    <n v="4.6680000000000001"/>
    <n v="38.9"/>
    <s v="Sessão Faturada"/>
    <n v="10410600643600"/>
    <n v="58658"/>
    <s v="Unidade Vieiralves"/>
    <n v="54840250"/>
    <m/>
  </r>
  <r>
    <x v="18"/>
    <x v="4"/>
    <s v="Rafaela Mascarenhas Coelho Brasil"/>
    <s v="Feminino"/>
    <x v="1"/>
    <x v="14"/>
    <s v="50000144 - Consulta de Fisioterapia (R$ 16,00)"/>
    <s v="Fisioterapia"/>
    <n v="9269204"/>
    <s v="Finalizado (1/1)"/>
    <n v="14.4"/>
    <n v="1.6"/>
    <n v="16"/>
    <s v="Sessão Faturada"/>
    <n v="1101013085360100"/>
    <n v="58097"/>
    <s v="Unidade Vieiralves"/>
    <n v="9269204"/>
    <m/>
  </r>
  <r>
    <x v="18"/>
    <x v="5"/>
    <s v="Rafaela Mascarenhas Coelho Brasil"/>
    <s v="Feminino"/>
    <x v="1"/>
    <x v="14"/>
    <s v="50000160 - Fisioterapia Ortopédica (R$ 20,00), 98980327 - Taxa de Eletroterapia (Tens) (R$ 15,00)"/>
    <s v="Fisioterapia"/>
    <n v="9269452"/>
    <s v="Finalizado (1/10)"/>
    <n v="30.8"/>
    <n v="4.2"/>
    <n v="35"/>
    <s v="Sessão Faturada"/>
    <n v="1101013085360100"/>
    <n v="58097"/>
    <s v="Unidade Vieiralves"/>
    <n v="9269452"/>
    <m/>
  </r>
  <r>
    <x v="18"/>
    <x v="13"/>
    <s v="Alice da Silva dos Santos"/>
    <m/>
    <x v="2"/>
    <x v="14"/>
    <s v="20103484 - Fisioterapia - Patologia Em Um Membro (R$ 12,22)"/>
    <s v="Fisioterapia"/>
    <n v="1709100134"/>
    <s v="Finalizado (2/5)"/>
    <n v="10.7536"/>
    <n v="1.4663999999999999"/>
    <n v="12.22"/>
    <s v="Sessão Faturada"/>
    <n v="843486100604000"/>
    <n v="56112"/>
    <s v="Unidade Vieiralves"/>
    <n v="1709100134"/>
    <m/>
  </r>
  <r>
    <x v="18"/>
    <x v="13"/>
    <s v="Vitoria Laredo Bulgarelli"/>
    <s v="Feminino"/>
    <x v="12"/>
    <x v="14"/>
    <s v="31602185 - Estimulação Elétrica Transcutânea (Tens) (R$ 49,00)"/>
    <s v="Fisioterapia"/>
    <n v="10298495"/>
    <s v="Finalizado (3/3)"/>
    <n v="43.12"/>
    <n v="5.88"/>
    <n v="49"/>
    <s v="Sessão a Faturar"/>
    <n v="9.5125289242221005E+17"/>
    <n v="57323"/>
    <s v="Unidade Vieiralves"/>
    <n v="10298495"/>
    <m/>
  </r>
  <r>
    <x v="18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4/10)"/>
    <n v="30.8"/>
    <n v="4.2"/>
    <n v="35"/>
    <s v="Sessão Faturada"/>
    <n v="1301012940110100"/>
    <n v="53480"/>
    <s v="Unidade Vieiralves"/>
    <n v="9210847"/>
    <m/>
  </r>
  <r>
    <x v="18"/>
    <x v="14"/>
    <s v="Alice da Silva dos Santos"/>
    <m/>
    <x v="4"/>
    <x v="14"/>
    <s v="31602185 - Estimulação Elétrica Transcutânea - Removido 13/04/2026 (R$ 40,00)"/>
    <s v="Fisioterapia"/>
    <n v="1709795792"/>
    <s v="Finalizado (1/5)"/>
    <n v="35.200000000000003"/>
    <n v="4.8"/>
    <n v="40"/>
    <s v="Sessão Faturada"/>
    <n v="843486100604000"/>
    <n v="56112"/>
    <s v="Unidade Vieiralves"/>
    <n v="1709795792"/>
    <m/>
  </r>
  <r>
    <x v="18"/>
    <x v="6"/>
    <s v="Maria Neuza Ribeiro de Matos Oliveira"/>
    <s v="Feminino"/>
    <x v="7"/>
    <x v="14"/>
    <s v="Vieiralves - 1 - Fisioterapia Ortopedica - Pacote (R$ 40,00)"/>
    <s v="Fisioterapia"/>
    <n v="171039"/>
    <s v="Finalizado (1/10)"/>
    <n v="31.2"/>
    <n v="8.8000000000000007"/>
    <n v="40"/>
    <s v="No Prazo"/>
    <s v="00"/>
    <n v="59588"/>
    <s v="Unidade Vieiralves"/>
    <n v="171039"/>
    <m/>
  </r>
  <r>
    <x v="18"/>
    <x v="6"/>
    <s v="Keitty Janete Garcia Mineiro"/>
    <s v="Feminino"/>
    <x v="1"/>
    <x v="14"/>
    <s v="50000160 - Fisioterapia Ortopédica (R$ 20,00), 98980327 - Taxa de Eletroterapia (Tens) (R$ 15,00)"/>
    <s v="Fisioterapia"/>
    <n v="8301206"/>
    <s v="Finalizado (8/10)"/>
    <n v="30.8"/>
    <n v="4.2"/>
    <n v="35"/>
    <s v="Sessão Faturada"/>
    <n v="1301013081700400"/>
    <n v="55920"/>
    <s v="Unidade Vieiralves"/>
    <n v="8301206"/>
    <s v="GUIA ASSINADA "/>
  </r>
  <r>
    <x v="18"/>
    <x v="6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1/7)"/>
    <n v="21.507200000000001"/>
    <n v="2.9327999999999999"/>
    <n v="24.44"/>
    <s v="Sessão a Faturar"/>
    <n v="890729700027020"/>
    <n v="59263"/>
    <s v="Unidade Vieiralves"/>
    <n v="1709800891"/>
    <m/>
  </r>
  <r>
    <x v="18"/>
    <x v="17"/>
    <s v="Angelo Bonanno"/>
    <s v="Masculino"/>
    <x v="7"/>
    <x v="14"/>
    <s v="Vieiralves - 1 - Fisioterapia Ortopedica - Pacote (R$ 40,00)"/>
    <s v="Fisioterapia"/>
    <m/>
    <s v="Finalizado (5/10)"/>
    <n v="31.2"/>
    <n v="8.8000000000000007"/>
    <n v="40"/>
    <s v="Pago"/>
    <n v="611649060001010"/>
    <n v="55203"/>
    <s v="Unidade Vieiralves"/>
    <m/>
    <m/>
  </r>
  <r>
    <x v="18"/>
    <x v="8"/>
    <s v="Jessica Pereira Falcão"/>
    <s v="Feminino"/>
    <x v="25"/>
    <x v="14"/>
    <s v="50000160 - Fisioterapia Ortopedica (R$ 46,72)"/>
    <s v="Fisioterapia"/>
    <n v="143007"/>
    <s v="Finalizado (2/10)"/>
    <n v="41.113599999999998"/>
    <n v="5.6063999999999998"/>
    <n v="46.72"/>
    <s v="Sessão Faturada"/>
    <n v="13804"/>
    <n v="50776"/>
    <s v="Unidade Vieiralves"/>
    <n v="143007"/>
    <m/>
  </r>
  <r>
    <x v="18"/>
    <x v="10"/>
    <s v="Maria do Perpetuo Socorro Cabral Nogueira"/>
    <s v="Feminino"/>
    <x v="1"/>
    <x v="14"/>
    <s v="50000160 - Fisioterapia Ortopédica (R$ 20,00), 98980327 - Taxa de Eletroterapia (Tens) (R$ 15,00)"/>
    <s v="Fisioterapia"/>
    <n v="8637322"/>
    <s v="Finalizado (10/10)"/>
    <n v="30.8"/>
    <n v="4.2"/>
    <n v="35"/>
    <s v="Sessão Faturada"/>
    <s v="0701012888640069"/>
    <n v="59225"/>
    <s v="Unidade Vieiralves"/>
    <n v="8637322"/>
    <s v="Guia assinada!"/>
  </r>
  <r>
    <x v="18"/>
    <x v="12"/>
    <s v="Cristiane Rodrigues da Silva"/>
    <s v="Feminino"/>
    <x v="6"/>
    <x v="14"/>
    <s v="20103492 - Patologia Em Dois Ou Mais Membros (R$ 30,26)"/>
    <s v="Fisioterapia"/>
    <n v="169654"/>
    <s v="Finalizado (3/10)"/>
    <n v="26.628799999999998"/>
    <n v="3.6312000000000002"/>
    <n v="30.26"/>
    <s v="Sessão a Faturar"/>
    <s v="54563005000001140015"/>
    <n v="16840"/>
    <s v="Unidade Vieiralves"/>
    <n v="169654"/>
    <m/>
  </r>
  <r>
    <x v="18"/>
    <x v="12"/>
    <s v="Iris da Silva Costa"/>
    <s v="Feminino"/>
    <x v="6"/>
    <x v="14"/>
    <s v="20103484 - Patologia Em Um Membro (R$ 14,16)"/>
    <s v="Fisioterapia"/>
    <n v="169600"/>
    <s v="Finalizado (5/5)"/>
    <n v="12.460800000000001"/>
    <n v="1.6992"/>
    <n v="14.16"/>
    <s v="Sessão a Faturar"/>
    <s v="55788888492927780014"/>
    <n v="50671"/>
    <s v="Unidade Vieiralves"/>
    <n v="169600"/>
    <m/>
  </r>
  <r>
    <x v="18"/>
    <x v="12"/>
    <s v="Patricia Rodrigues Pontes"/>
    <s v="Feminino"/>
    <x v="6"/>
    <x v="14"/>
    <s v="20103662 - Pos Operatorio Em Um Membro (R$ 22,53)"/>
    <s v="Fisioterapia"/>
    <n v="171154"/>
    <s v="Finalizado (1/5)"/>
    <n v="19.8264"/>
    <n v="2.7035999999999998"/>
    <n v="22.53"/>
    <s v="Sessão a Faturar"/>
    <s v="54588888011063920019"/>
    <n v="59148"/>
    <s v="Unidade Vieiralves"/>
    <n v="171154"/>
    <m/>
  </r>
  <r>
    <x v="18"/>
    <x v="12"/>
    <s v="Patricia Rodrigues Pontes"/>
    <s v="Feminino"/>
    <x v="6"/>
    <x v="14"/>
    <s v="31602185 - Estimulação Elétrica Transcutanea (Tens) (R$ 40,00)"/>
    <s v="Fisioterapia"/>
    <n v="171257"/>
    <s v="Finalizado (1/5)"/>
    <n v="35.200000000000003"/>
    <n v="4.8"/>
    <n v="40"/>
    <s v="Sessão a Faturar"/>
    <s v="54588888011063920019"/>
    <n v="59148"/>
    <s v="Unidade Vieiralves"/>
    <n v="171257"/>
    <m/>
  </r>
  <r>
    <x v="18"/>
    <x v="19"/>
    <s v="Iris da Silva Costa"/>
    <s v="Feminino"/>
    <x v="6"/>
    <x v="14"/>
    <s v="31602185 - Estimulação Elétrica Transcutanea (Tens) (R$ 40,00)"/>
    <s v="Fisioterapia"/>
    <n v="169602"/>
    <s v="Finalizado (5/5)"/>
    <n v="35.200000000000003"/>
    <n v="4.8"/>
    <n v="40"/>
    <s v="Sessão a Faturar"/>
    <s v="55788888492927780014"/>
    <n v="50671"/>
    <s v="Unidade Vieiralves"/>
    <n v="169602"/>
    <m/>
  </r>
  <r>
    <x v="18"/>
    <x v="19"/>
    <s v="Cristiane Rodrigues da Silva"/>
    <s v="Feminino"/>
    <x v="6"/>
    <x v="14"/>
    <s v="31602185 - Estimulação Elétrica Transcutanea (Tens) (R$ 40,00)"/>
    <s v="Fisioterapia"/>
    <n v="170388"/>
    <s v="Finalizado (3/10)"/>
    <n v="35.200000000000003"/>
    <n v="4.8"/>
    <n v="40"/>
    <s v="Sessão a Faturar"/>
    <s v="54563005000001140015"/>
    <n v="16840"/>
    <s v="Unidade Vieiralves"/>
    <n v="170388"/>
    <m/>
  </r>
  <r>
    <x v="22"/>
    <x v="0"/>
    <s v="Adenise Leitão Barbosa"/>
    <s v="Feminino"/>
    <x v="12"/>
    <x v="14"/>
    <s v="20103492 - Patol. Em Dois Ou Mais Membros (R$ 14,83)"/>
    <s v="Fisioterapia"/>
    <n v="170141"/>
    <s v="Finalizado (6/10)"/>
    <n v="13.0504"/>
    <n v="1.7796000000000001"/>
    <n v="14.83"/>
    <s v="Sessão Faturada"/>
    <s v="000432203160121601"/>
    <n v="26264"/>
    <s v="Unidade Vieiralves"/>
    <n v="170141"/>
    <m/>
  </r>
  <r>
    <x v="22"/>
    <x v="0"/>
    <s v="Elane Sales de Lima"/>
    <m/>
    <x v="2"/>
    <x v="14"/>
    <s v="20103484 - Fisioterapia - Patologia Em Um Membro (R$ 12,22)"/>
    <s v="Fisioterapia"/>
    <n v="1710359590"/>
    <s v="Finalizado (1/5)"/>
    <n v="10.7536"/>
    <n v="1.4663999999999999"/>
    <n v="12.22"/>
    <s v="Sessão Faturada"/>
    <n v="773539032034010"/>
    <n v="58812"/>
    <s v="Unidade Vieiralves"/>
    <n v="1710359590"/>
    <m/>
  </r>
  <r>
    <x v="22"/>
    <x v="0"/>
    <s v="Vitoria Elizabeteh de Souza Macedo"/>
    <s v="Feminino"/>
    <x v="2"/>
    <x v="14"/>
    <s v="50000144 - Avaliação de Fisioterapia (R$ 51,42)"/>
    <s v="Fisioterapia"/>
    <n v="1710358947"/>
    <s v="Finalizado (1/1)"/>
    <n v="46.277999999999999"/>
    <n v="5.1420000000000003"/>
    <n v="51.42"/>
    <s v="Sessão a Faturar"/>
    <n v="8361394000019000"/>
    <n v="16608"/>
    <s v="Unidade Vieiralves"/>
    <n v="1710358947"/>
    <m/>
  </r>
  <r>
    <x v="22"/>
    <x v="0"/>
    <s v="Vitoria Elizabeteh de Souza Macedo"/>
    <s v="Feminino"/>
    <x v="2"/>
    <x v="14"/>
    <s v="20103662 - Fisioterapia - Pos Operatorio Em Um Membro (R$ 14,99)"/>
    <s v="Fisioterapia"/>
    <n v="1710360164"/>
    <s v="Finalizado (1/3)"/>
    <n v="13.1912"/>
    <n v="1.7988"/>
    <n v="14.99"/>
    <s v="Sessão Faturada"/>
    <n v="8361394000019000"/>
    <n v="16608"/>
    <s v="Unidade Vieiralves"/>
    <n v="1710360164"/>
    <m/>
  </r>
  <r>
    <x v="22"/>
    <x v="2"/>
    <s v="Maria Adelina Parente Lins Felix"/>
    <s v="Feminino"/>
    <x v="0"/>
    <x v="14"/>
    <s v="50000160 - Fisioterapia Ortopedica (R$ 49,72)"/>
    <s v="Fisioterapia"/>
    <s v="42263120260210268422"/>
    <s v="Finalizado (7/10)"/>
    <n v="43.753599999999999"/>
    <n v="5.9664000000000001"/>
    <n v="49.72"/>
    <s v="Sessão Faturada"/>
    <s v="010650363400"/>
    <n v="41281"/>
    <s v="Unidade Vieiralves"/>
    <s v="42263120260210268422"/>
    <m/>
  </r>
  <r>
    <x v="22"/>
    <x v="2"/>
    <s v="Joeline Dutra da Silva"/>
    <s v="Feminino"/>
    <x v="1"/>
    <x v="14"/>
    <s v="50000160 - Fisioterapia Ortopédica (R$ 20,00), 98980327 - Taxa de Eletroterapia (Tens) (R$ 15,00)"/>
    <s v="Fisioterapia"/>
    <n v="9210393"/>
    <s v="Finalizado (2/10)"/>
    <n v="30.8"/>
    <n v="4.2"/>
    <n v="35"/>
    <s v="Sessão Faturada"/>
    <n v="1101013081410400"/>
    <n v="56667"/>
    <s v="Unidade Vieiralves"/>
    <n v="9210393"/>
    <m/>
  </r>
  <r>
    <x v="22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7/10)"/>
    <n v="47.634399999999999"/>
    <n v="6.4955999999999996"/>
    <n v="54.13"/>
    <s v="Sessão Faturada"/>
    <s v="010650363400"/>
    <n v="41281"/>
    <s v="Unidade Vieiralves"/>
    <s v="42263120260302381799"/>
    <m/>
  </r>
  <r>
    <x v="22"/>
    <x v="4"/>
    <s v="Ray Jackson Aguiar Bezerra"/>
    <s v="Masculino"/>
    <x v="5"/>
    <x v="14"/>
    <s v="31602185 - Estimulação Elétrica Transcutânea (Tens) - 04/03/2026 (R$ 120,28)"/>
    <s v="Fisioterapia"/>
    <n v="76267580"/>
    <s v="Finalizado (4/10)"/>
    <n v="105.8464"/>
    <n v="14.4336"/>
    <n v="120.28"/>
    <s v="Sessão Faturada"/>
    <s v="010138208000"/>
    <n v="20846"/>
    <s v="Unidade Vieiralves"/>
    <n v="76267580"/>
    <m/>
  </r>
  <r>
    <x v="22"/>
    <x v="5"/>
    <s v="Ray Jackson Aguiar Bezerra"/>
    <s v="Masculino"/>
    <x v="5"/>
    <x v="14"/>
    <s v="98860011 - Fisioterapia Complexidade 1 - 04/03/2026 (R$ 53,00)"/>
    <s v="Fisioterapia"/>
    <n v="76267360"/>
    <s v="Finalizado (4/10)"/>
    <n v="46.64"/>
    <n v="6.36"/>
    <n v="53"/>
    <s v="Sessão Faturada"/>
    <s v="010138208000"/>
    <n v="20846"/>
    <s v="Unidade Vieiralves"/>
    <n v="76267360"/>
    <m/>
  </r>
  <r>
    <x v="22"/>
    <x v="13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2/7)"/>
    <n v="21.507200000000001"/>
    <n v="2.9327999999999999"/>
    <n v="24.44"/>
    <s v="Sessão a Faturar"/>
    <n v="890729700027020"/>
    <n v="59263"/>
    <s v="Unidade Vieiralves"/>
    <n v="1709800891"/>
    <m/>
  </r>
  <r>
    <x v="22"/>
    <x v="13"/>
    <s v="Maria Neuza Ribeiro de Matos Oliveira"/>
    <s v="Feminino"/>
    <x v="7"/>
    <x v="14"/>
    <s v="Vieiralves - 1 - Fisioterapia Ortopedica - Pacote (R$ 40,00)"/>
    <s v="Fisioterapia"/>
    <n v="171039"/>
    <s v="Finalizado (2/10)"/>
    <n v="31.2"/>
    <n v="8.8000000000000007"/>
    <n v="40"/>
    <s v="No Prazo"/>
    <s v="00"/>
    <n v="59588"/>
    <s v="Unidade Vieiralves"/>
    <n v="171039"/>
    <m/>
  </r>
  <r>
    <x v="22"/>
    <x v="13"/>
    <s v="Silvana Freitas Spinola de Oliveira"/>
    <m/>
    <x v="6"/>
    <x v="14"/>
    <s v="31602185 - Estimulação Elétrica Transcutanea (Tens) (R$ 40,00)"/>
    <s v="Fisioterapia"/>
    <n v="169402"/>
    <s v="Finalizado (6/10)"/>
    <n v="35.200000000000003"/>
    <n v="4.8"/>
    <n v="40"/>
    <s v="Sessão a Faturar"/>
    <s v="51588888464996980013"/>
    <n v="20358"/>
    <s v="Unidade Vieiralves"/>
    <n v="169402"/>
    <m/>
  </r>
  <r>
    <x v="22"/>
    <x v="13"/>
    <s v="Henrique Douglas Macedo Mendes Júnior"/>
    <s v="Masculino"/>
    <x v="2"/>
    <x v="14"/>
    <s v="20103484 - Fisioterapia - Patologia Em Um Membro (R$ 12,22)"/>
    <s v="Fisioterapia"/>
    <n v="1708321359"/>
    <s v="Finalizado (2/5)"/>
    <n v="10.7536"/>
    <n v="1.4663999999999999"/>
    <n v="12.22"/>
    <s v="Sessão Faturada"/>
    <n v="897702200019010"/>
    <n v="56664"/>
    <s v="Unidade Vieiralves"/>
    <n v="1708321359"/>
    <m/>
  </r>
  <r>
    <x v="22"/>
    <x v="14"/>
    <s v="Silvana Freitas Spinola de Oliveira"/>
    <m/>
    <x v="6"/>
    <x v="14"/>
    <s v="20103492 - Patologia Em Dois Ou Mais Membros (R$ 30,26)"/>
    <s v="Fisioterapia"/>
    <n v="169401"/>
    <s v="Finalizado (6/10)"/>
    <n v="26.628799999999998"/>
    <n v="3.6312000000000002"/>
    <n v="30.26"/>
    <s v="Sessão a Faturar"/>
    <s v="51588888464996980013"/>
    <n v="20358"/>
    <s v="Unidade Vieiralves"/>
    <n v="169401"/>
    <m/>
  </r>
  <r>
    <x v="22"/>
    <x v="14"/>
    <s v="Kellen Regina Pereira da Silva"/>
    <s v="Feminino"/>
    <x v="4"/>
    <x v="14"/>
    <s v="31602185 - Estimulação Elétrica Transcutânea - Removido 13/04/2026 (R$ 40,00)"/>
    <s v="Fisioterapia"/>
    <n v="1710430457"/>
    <s v="Finalizado (1/6)"/>
    <n v="35.200000000000003"/>
    <n v="4.8"/>
    <n v="40"/>
    <s v="Sessão a Faturar"/>
    <n v="890729700027020"/>
    <n v="59263"/>
    <s v="Unidade Vieiralves"/>
    <n v="1710430457"/>
    <m/>
  </r>
  <r>
    <x v="22"/>
    <x v="6"/>
    <s v="Samuel Cunha de Oliveira"/>
    <m/>
    <x v="2"/>
    <x v="14"/>
    <s v="20103492 - Fisioterapia - Patologia Em Dois Ou Mais Membros (R$ 14,83)"/>
    <s v="Fisioterapia"/>
    <n v="1705899542"/>
    <s v="Finalizado (5/10)"/>
    <n v="13.0504"/>
    <n v="1.7796000000000001"/>
    <n v="14.83"/>
    <s v="Sessão Faturada"/>
    <n v="837047000191010"/>
    <n v="59496"/>
    <s v="Unidade Vieiralves"/>
    <n v="1705899542"/>
    <m/>
  </r>
  <r>
    <x v="22"/>
    <x v="6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3/10)"/>
    <n v="30.8"/>
    <n v="4.2"/>
    <n v="35"/>
    <s v="Sessão Faturada"/>
    <s v="0901005831260032"/>
    <n v="52372"/>
    <s v="Unidade Vieiralves"/>
    <n v="9218957"/>
    <m/>
  </r>
  <r>
    <x v="22"/>
    <x v="7"/>
    <s v="Samuel Cunha de Oliveira"/>
    <m/>
    <x v="2"/>
    <x v="14"/>
    <s v="20103115 - Atividade Reflexa Cinesioterápica (R$ 20,81)"/>
    <s v="Fisioterapia"/>
    <n v="1705905271"/>
    <s v="Finalizado (5/5)"/>
    <n v="18.312799999999999"/>
    <n v="2.4971999999999999"/>
    <n v="20.81"/>
    <s v="Sessão Faturada"/>
    <n v="837047000191010"/>
    <n v="59496"/>
    <s v="Unidade Vieiralves"/>
    <n v="1705905271"/>
    <m/>
  </r>
  <r>
    <x v="22"/>
    <x v="17"/>
    <s v="Thaianne de Matos Sampaio da Silva"/>
    <s v="Feminino"/>
    <x v="0"/>
    <x v="14"/>
    <s v="50000160 - Fisioterapia Ortopedica (R$ 49,72)"/>
    <s v="Fisioterapia"/>
    <s v="42263120260307428164"/>
    <s v="Finalizado (3/10)"/>
    <n v="43.753599999999999"/>
    <n v="5.9664000000000001"/>
    <n v="49.72"/>
    <s v="Sessão a Faturar"/>
    <s v="010650776203"/>
    <n v="59378"/>
    <s v="Unidade Vieiralves"/>
    <s v="42263120260307428164"/>
    <m/>
  </r>
  <r>
    <x v="22"/>
    <x v="17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3/10)"/>
    <n v="21.507200000000001"/>
    <n v="2.9327999999999999"/>
    <n v="24.44"/>
    <s v="Sessão a Faturar"/>
    <n v="867546100043000"/>
    <n v="59479"/>
    <s v="Unidade Vieiralves"/>
    <n v="1708046408"/>
    <m/>
  </r>
  <r>
    <x v="22"/>
    <x v="17"/>
    <s v="Angelo Bonanno"/>
    <s v="Masculino"/>
    <x v="7"/>
    <x v="14"/>
    <s v="Vieiralves - 1 - Fisioterapia Ortopedica - Pacote (R$ 40,00)"/>
    <s v="Fisioterapia"/>
    <m/>
    <s v="Finalizado (6/10)"/>
    <n v="31.2"/>
    <n v="8.8000000000000007"/>
    <n v="40"/>
    <s v="Pago"/>
    <n v="611649060001010"/>
    <n v="55203"/>
    <s v="Unidade Vieiralves"/>
    <m/>
    <m/>
  </r>
  <r>
    <x v="22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3/10)"/>
    <n v="47.634399999999999"/>
    <n v="6.4955999999999996"/>
    <n v="54.13"/>
    <s v="Sessão a Faturar"/>
    <s v="010650776203"/>
    <n v="59378"/>
    <s v="Unidade Vieiralves"/>
    <s v="42263120260307428285"/>
    <m/>
  </r>
  <r>
    <x v="22"/>
    <x v="8"/>
    <s v="Ketlyn de Figueiredo Costa"/>
    <s v="Feminino"/>
    <x v="8"/>
    <x v="14"/>
    <s v="50000144 - Consulta de Fisioterapia (R$ 51,42)"/>
    <s v="Fisioterapia"/>
    <n v="1710485372"/>
    <s v="Finalizado (1/1)"/>
    <n v="46.277999999999999"/>
    <n v="5.1420000000000003"/>
    <n v="51.42"/>
    <s v="Sessão Faturada"/>
    <n v="954600015326020"/>
    <n v="59515"/>
    <s v="Unidade Vieiralves"/>
    <n v="1710485372"/>
    <m/>
  </r>
  <r>
    <x v="22"/>
    <x v="8"/>
    <s v="Lauren Lauschner Gaikoski"/>
    <s v="Feminino"/>
    <x v="2"/>
    <x v="14"/>
    <s v="20103484 - Fisioterapia - Patologia Em Um Membro (R$ 12,22)"/>
    <s v="Fisioterapia"/>
    <n v="1709236406"/>
    <s v="Finalizado (2/5)"/>
    <n v="10.7536"/>
    <n v="1.4663999999999999"/>
    <n v="12.22"/>
    <s v="Sessão Faturada"/>
    <n v="775388000299020"/>
    <n v="56279"/>
    <s v="Unidade Vieiralves"/>
    <n v="1709236406"/>
    <m/>
  </r>
  <r>
    <x v="22"/>
    <x v="9"/>
    <s v="Ketlyn de Figueiredo Costa"/>
    <s v="Feminino"/>
    <x v="8"/>
    <x v="14"/>
    <s v="20103492 - Patologia Em Dois Ou Mais Membros (R$ 14,83)"/>
    <s v="Fisioterapia"/>
    <n v="1710486090"/>
    <s v="Finalizado (1/5)"/>
    <n v="13.0504"/>
    <n v="1.7796000000000001"/>
    <n v="14.83"/>
    <s v="Sessão a Faturar"/>
    <n v="954600015326020"/>
    <n v="59515"/>
    <s v="Unidade Vieiralves"/>
    <n v="1710486090"/>
    <m/>
  </r>
  <r>
    <x v="22"/>
    <x v="9"/>
    <s v="Lauren Lauschner Gaikoski"/>
    <s v="Feminino"/>
    <x v="4"/>
    <x v="14"/>
    <s v="31602185 - Estimulação Elétrica Transcutânea - Removido 13/04/2026 (R$ 40,00)"/>
    <s v="Fisioterapia"/>
    <n v="1710492003"/>
    <s v="Finalizado (1/4)"/>
    <n v="35.200000000000003"/>
    <n v="4.8"/>
    <n v="40"/>
    <s v="Sessão Faturada"/>
    <n v="775388000299020"/>
    <n v="56279"/>
    <s v="Unidade Vieiralves"/>
    <n v="1710492003"/>
    <m/>
  </r>
  <r>
    <x v="22"/>
    <x v="1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7/10)"/>
    <n v="30.8"/>
    <n v="4.2"/>
    <n v="35"/>
    <s v="Sessão Faturada"/>
    <s v="0901013262310007"/>
    <n v="55942"/>
    <s v="Unidade Vieiralves"/>
    <n v="9044249"/>
    <m/>
  </r>
  <r>
    <x v="22"/>
    <x v="12"/>
    <s v="Icaro de Melo Amorim"/>
    <s v="Masculino"/>
    <x v="2"/>
    <x v="14"/>
    <s v="20103662 - Fisioterapia - Pos Operatorio Em Um Membro (R$ 14,99)"/>
    <s v="Fisioterapia"/>
    <n v="1710497689"/>
    <s v="Finalizado (1/10)"/>
    <n v="13.1912"/>
    <n v="1.7988"/>
    <n v="14.99"/>
    <s v="Sessão a Faturar"/>
    <n v="960019332171000"/>
    <n v="30492"/>
    <s v="Unidade Vieiralves"/>
    <n v="1710497689"/>
    <m/>
  </r>
  <r>
    <x v="22"/>
    <x v="12"/>
    <s v="Iris da Silva Costa"/>
    <s v="Feminino"/>
    <x v="6"/>
    <x v="14"/>
    <s v="20103484 - Patologia Em Um Membro (R$ 14,16)"/>
    <s v="Fisioterapia"/>
    <n v="171916"/>
    <s v="Finalizado (1/6)"/>
    <n v="12.460800000000001"/>
    <n v="1.6992"/>
    <n v="14.16"/>
    <s v="Sessão a Faturar"/>
    <s v="55788888492927780014"/>
    <n v="50671"/>
    <s v="Unidade Vieiralves"/>
    <n v="171916"/>
    <m/>
  </r>
  <r>
    <x v="22"/>
    <x v="19"/>
    <s v="Iris da Silva Costa"/>
    <s v="Feminino"/>
    <x v="6"/>
    <x v="14"/>
    <s v="31602185 - Estimulação Elétrica Transcutanea (Tens) (R$ 40,00)"/>
    <s v="Fisioterapia"/>
    <n v="855833"/>
    <s v="Finalizado (1/6)"/>
    <n v="35.200000000000003"/>
    <n v="4.8"/>
    <n v="40"/>
    <s v="Sessão a Faturar"/>
    <s v="55788888492927780014"/>
    <n v="50671"/>
    <s v="Unidade Vieiralves"/>
    <n v="855833"/>
    <m/>
  </r>
  <r>
    <x v="22"/>
    <x v="20"/>
    <s v="Waldir dos Santos Fontes Junior"/>
    <s v="Masculino"/>
    <x v="2"/>
    <x v="14"/>
    <s v="20103506 - Fisioterapia - Patologia Em Um Segmento da Coluna (R$ 12,22)"/>
    <s v="Fisioterapia"/>
    <n v="1707542354"/>
    <s v="Finalizado (3/5)"/>
    <n v="10.7536"/>
    <n v="1.4663999999999999"/>
    <n v="12.22"/>
    <s v="Sessão Faturada"/>
    <n v="772133000728000"/>
    <n v="51522"/>
    <s v="Unidade Vieiralves"/>
    <n v="1707542354"/>
    <m/>
  </r>
  <r>
    <x v="19"/>
    <x v="0"/>
    <s v="Victor Saulo Cavalcante de Melo"/>
    <s v="Masculino"/>
    <x v="2"/>
    <x v="14"/>
    <s v="20103492 - Fisioterapia - Patologia Em Dois Ou Mais Membros (R$ 14,83), 20103506 - Fisioterapia - Patologia Em Um Segmento da Coluna (R$ 12,22)"/>
    <s v="Fisioterapia"/>
    <n v="1707994935"/>
    <s v="Finalizado (4/5)"/>
    <n v="23.803999999999998"/>
    <n v="3.246"/>
    <n v="27.05"/>
    <s v="Sessão Faturada"/>
    <n v="833033600027000"/>
    <n v="15445"/>
    <s v="Unidade Vieiralves"/>
    <n v="1707994935"/>
    <m/>
  </r>
  <r>
    <x v="19"/>
    <x v="1"/>
    <s v="Victor Saulo Cavalcante de Melo"/>
    <s v="Masculino"/>
    <x v="4"/>
    <x v="14"/>
    <s v="31602185 - Estimulação Elétrica Transcutânea - Removido 13/04/2026 (R$ 40,00)"/>
    <s v="Fisioterapia"/>
    <n v="1709739806"/>
    <s v="Finalizado (2/3)"/>
    <n v="35.200000000000003"/>
    <n v="4.8"/>
    <n v="40"/>
    <s v="Sessão Faturada"/>
    <n v="833033600027000"/>
    <n v="15445"/>
    <s v="Unidade Vieiralves"/>
    <n v="1709739806"/>
    <m/>
  </r>
  <r>
    <x v="19"/>
    <x v="2"/>
    <s v="Rosalinda Pereira Brito"/>
    <s v="Feminino"/>
    <x v="2"/>
    <x v="14"/>
    <s v="20103484 - Fisioterapia - Patologia Em Um Membro (R$ 12,22)"/>
    <s v="Fisioterapia"/>
    <n v="1705795662"/>
    <s v="Finalizado (5/10)"/>
    <n v="10.7536"/>
    <n v="1.4663999999999999"/>
    <n v="12.22"/>
    <s v="Sessão Faturada"/>
    <s v="010544100907015"/>
    <n v="13886"/>
    <s v="Unidade Vieiralves"/>
    <n v="1705795662"/>
    <m/>
  </r>
  <r>
    <x v="19"/>
    <x v="2"/>
    <s v="Adriana Brito de Souza"/>
    <s v="Feminino"/>
    <x v="1"/>
    <x v="14"/>
    <s v="50000160 - Fisioterapia Ortopédica (R$ 20,00), 98980327 - Taxa de Eletroterapia (Tens) (R$ 15,00)"/>
    <s v="Fisioterapia"/>
    <n v="8749471"/>
    <s v="Finalizado (8/10)"/>
    <n v="30.8"/>
    <n v="4.2"/>
    <n v="35"/>
    <s v="Sessão Faturada"/>
    <n v="1301013731160100"/>
    <n v="58802"/>
    <s v="Unidade Vieiralves"/>
    <n v="8749471"/>
    <s v="Guia assinada!"/>
  </r>
  <r>
    <x v="19"/>
    <x v="2"/>
    <s v="Joeline Dutra da Silva"/>
    <s v="Feminino"/>
    <x v="1"/>
    <x v="14"/>
    <s v="50000160 - Fisioterapia Ortopédica (R$ 20,00), 98980327 - Taxa de Eletroterapia (Tens) (R$ 15,00)"/>
    <s v="Fisioterapia"/>
    <n v="9210393"/>
    <s v="Finalizado (3/10)"/>
    <n v="30.8"/>
    <n v="4.2"/>
    <n v="35"/>
    <s v="Sessão Faturada"/>
    <n v="1101013081410400"/>
    <n v="56667"/>
    <s v="Unidade Vieiralves"/>
    <n v="9210393"/>
    <m/>
  </r>
  <r>
    <x v="19"/>
    <x v="2"/>
    <s v="Gabriele Nogueira de Oliveira"/>
    <s v="Feminino"/>
    <x v="2"/>
    <x v="14"/>
    <s v="20103662 - Fisioterapia - Pos Operatorio Em Um Membro (R$ 14,99)"/>
    <s v="Fisioterapia"/>
    <n v="1709193478"/>
    <s v="Finalizado (3/10)"/>
    <n v="13.1912"/>
    <n v="1.7988"/>
    <n v="14.99"/>
    <s v="Sessão a Faturar"/>
    <n v="894937200604000"/>
    <n v="51083"/>
    <s v="Unidade Vieiralves"/>
    <n v="1709193478"/>
    <m/>
  </r>
  <r>
    <x v="19"/>
    <x v="3"/>
    <s v="Rosalinda Pereira Brito"/>
    <s v="Feminino"/>
    <x v="4"/>
    <x v="14"/>
    <s v="31602185 - Estimulação Elétrica Transcutânea - Removido 13/04/2026 (R$ 40,00)"/>
    <s v="Fisioterapia"/>
    <n v="1710935636"/>
    <s v="Finalizado (1/10)"/>
    <n v="35.200000000000003"/>
    <n v="4.8"/>
    <n v="40"/>
    <s v="Sessão a Faturar"/>
    <s v="010544100907015"/>
    <n v="13886"/>
    <s v="Unidade Vieiralves"/>
    <n v="1710935636"/>
    <m/>
  </r>
  <r>
    <x v="19"/>
    <x v="4"/>
    <s v="Rubem Roberto Andrade de Souza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58533"/>
    <n v="58533"/>
    <s v="Unidade Vieiralves"/>
    <m/>
    <m/>
  </r>
  <r>
    <x v="19"/>
    <x v="4"/>
    <s v="Leonardo Andrade de Brito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0"/>
    <n v="59345"/>
    <s v="Unidade Vieiralves"/>
    <m/>
    <m/>
  </r>
  <r>
    <x v="19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5/10)"/>
    <n v="30.8"/>
    <n v="4.2"/>
    <n v="35"/>
    <s v="Sessão Faturada"/>
    <n v="1301012940110100"/>
    <n v="53480"/>
    <s v="Unidade Vieiralves"/>
    <n v="9210847"/>
    <m/>
  </r>
  <r>
    <x v="19"/>
    <x v="6"/>
    <s v="Alice da Silva dos Santos"/>
    <m/>
    <x v="2"/>
    <x v="14"/>
    <s v="20103484 - Fisioterapia - Patologia Em Um Membro (R$ 12,22)"/>
    <s v="Fisioterapia"/>
    <n v="1709100134"/>
    <s v="Finalizado (3/5)"/>
    <n v="10.7536"/>
    <n v="1.4663999999999999"/>
    <n v="12.22"/>
    <s v="Sessão Faturada"/>
    <n v="843486100604000"/>
    <n v="56112"/>
    <s v="Unidade Vieiralves"/>
    <n v="1709100134"/>
    <m/>
  </r>
  <r>
    <x v="19"/>
    <x v="6"/>
    <s v="Rachel Gomes Silva"/>
    <s v="Feminino"/>
    <x v="20"/>
    <x v="14"/>
    <s v="00010929 - Avaliação de Fisioterapia (R$ 36,00)"/>
    <s v="Fisioterapia"/>
    <n v="55652450"/>
    <s v="Finalizado (1/1)"/>
    <n v="32.4"/>
    <n v="3.6"/>
    <n v="36"/>
    <s v="Sessão Faturada"/>
    <n v="10511003423000"/>
    <n v="59416"/>
    <s v="Unidade Vieiralves"/>
    <n v="55652450"/>
    <m/>
  </r>
  <r>
    <x v="19"/>
    <x v="6"/>
    <s v="Keitty Janete Garcia Mineiro"/>
    <s v="Feminino"/>
    <x v="1"/>
    <x v="14"/>
    <s v="50000160 - Fisioterapia Ortopédica (R$ 20,00), 98980327 - Taxa de Eletroterapia (Tens) (R$ 15,00)"/>
    <s v="Fisioterapia"/>
    <n v="8301206"/>
    <s v="Finalizado (9/10)"/>
    <n v="30.8"/>
    <n v="4.2"/>
    <n v="35"/>
    <s v="Sessão Faturada"/>
    <n v="1301013081700400"/>
    <n v="55920"/>
    <s v="Unidade Vieiralves"/>
    <n v="8301206"/>
    <s v="GUIA ASSINADA "/>
  </r>
  <r>
    <x v="19"/>
    <x v="7"/>
    <s v="Rachel Gomes Silva"/>
    <s v="Feminino"/>
    <x v="20"/>
    <x v="14"/>
    <s v="20103484 - Patologia Em Um Membro (R$ 29,04)"/>
    <s v="Fisioterapia"/>
    <n v="55652530"/>
    <s v="Finalizado (1/10)"/>
    <n v="25.555199999999999"/>
    <n v="3.4847999999999999"/>
    <n v="29.04"/>
    <s v="Sessão a Faturar"/>
    <n v="10511003423000"/>
    <n v="59416"/>
    <s v="Unidade Vieiralves"/>
    <n v="55652530"/>
    <m/>
  </r>
  <r>
    <x v="19"/>
    <x v="7"/>
    <s v="Alice da Silva dos Santos"/>
    <m/>
    <x v="4"/>
    <x v="14"/>
    <s v="31602185 - Estimulação Elétrica Transcutânea - Removido 13/04/2026 (R$ 40,00)"/>
    <s v="Fisioterapia"/>
    <n v="1709795792"/>
    <s v="Finalizado (2/5)"/>
    <n v="35.200000000000003"/>
    <n v="4.8"/>
    <n v="40"/>
    <s v="Sessão Faturada"/>
    <n v="843486100604000"/>
    <n v="56112"/>
    <s v="Unidade Vieiralves"/>
    <n v="1709795792"/>
    <m/>
  </r>
  <r>
    <x v="19"/>
    <x v="15"/>
    <s v="Déborah Lúcia Ohana Rodrigues"/>
    <s v="Feminino"/>
    <x v="7"/>
    <x v="14"/>
    <s v="Vieiralves - 33 - Fisioterapia Ortopedica - Sessão Avulsa (R$ 90,00)"/>
    <s v="Fisioterapia"/>
    <m/>
    <s v="Finalizado (1/2)"/>
    <n v="70.2"/>
    <n v="19.8"/>
    <n v="90"/>
    <s v="Pago"/>
    <s v="00"/>
    <n v="59036"/>
    <s v="Unidade Vieiralves"/>
    <m/>
    <m/>
  </r>
  <r>
    <x v="19"/>
    <x v="17"/>
    <s v="Angelo Bonanno"/>
    <s v="Masculino"/>
    <x v="7"/>
    <x v="14"/>
    <s v="Vieiralves - 1 - Fisioterapia Ortopedica - Pacote (R$ 40,00)"/>
    <s v="Fisioterapia"/>
    <m/>
    <s v="Finalizado (7/10)"/>
    <n v="31.2"/>
    <n v="8.8000000000000007"/>
    <n v="40"/>
    <s v="Pago"/>
    <n v="611649060001010"/>
    <n v="55203"/>
    <s v="Unidade Vieiralves"/>
    <m/>
    <m/>
  </r>
  <r>
    <x v="19"/>
    <x v="8"/>
    <s v="Lauren Lauschner Gaikoski"/>
    <s v="Feminino"/>
    <x v="2"/>
    <x v="14"/>
    <s v="20103484 - Fisioterapia - Patologia Em Um Membro (R$ 12,22)"/>
    <s v="Fisioterapia"/>
    <n v="1709236406"/>
    <s v="Finalizado (3/5)"/>
    <n v="10.7536"/>
    <n v="1.4663999999999999"/>
    <n v="12.22"/>
    <s v="Sessão Faturada"/>
    <n v="775388000299020"/>
    <n v="56279"/>
    <s v="Unidade Vieiralves"/>
    <n v="1709236406"/>
    <m/>
  </r>
  <r>
    <x v="19"/>
    <x v="8"/>
    <s v="Gabrielly da Silva Mascarin"/>
    <m/>
    <x v="6"/>
    <x v="14"/>
    <s v="31602185 - Estimulação Elétrica Transcutanea (Tens) (R$ 40,00)"/>
    <s v="Fisioterapia"/>
    <n v="164289"/>
    <s v="Não compareceu (10/10)"/>
    <n v="40"/>
    <n v="0"/>
    <n v="40"/>
    <s v="Sessão Faturada"/>
    <n v="954500024520030"/>
    <n v="17683"/>
    <s v="Unidade Vieiralves"/>
    <n v="164289"/>
    <m/>
  </r>
  <r>
    <x v="19"/>
    <x v="8"/>
    <s v="Jessica Pereira Falcão"/>
    <s v="Feminino"/>
    <x v="25"/>
    <x v="14"/>
    <s v="50000160 - Fisioterapia Ortopedica (R$ 46,72)"/>
    <s v="Fisioterapia"/>
    <n v="143007"/>
    <s v="Finalizado (3/10)"/>
    <n v="41.113599999999998"/>
    <n v="5.6063999999999998"/>
    <n v="46.72"/>
    <s v="Sessão Faturada"/>
    <n v="13804"/>
    <n v="50776"/>
    <s v="Unidade Vieiralves"/>
    <n v="143007"/>
    <m/>
  </r>
  <r>
    <x v="19"/>
    <x v="8"/>
    <s v="Elke Silveira Ferreira de Souza"/>
    <s v="Feminino"/>
    <x v="2"/>
    <x v="14"/>
    <s v="20103506 - Fisioterapia - Patologia Em Um Segmento da Coluna (R$ 12,22)"/>
    <s v="Fisioterapia"/>
    <n v="1704905538"/>
    <s v="Finalizado (2/3)"/>
    <n v="10.7536"/>
    <n v="1.4663999999999999"/>
    <n v="12.22"/>
    <s v="Sessão Faturada"/>
    <n v="774078000450020"/>
    <n v="40221"/>
    <s v="Unidade Vieiralves"/>
    <n v="1704905538"/>
    <m/>
  </r>
  <r>
    <x v="19"/>
    <x v="9"/>
    <s v="Lauren Lauschner Gaikoski"/>
    <s v="Feminino"/>
    <x v="4"/>
    <x v="14"/>
    <s v="31602185 - Estimulação Elétrica Transcutânea - Removido 13/04/2026 (R$ 40,00)"/>
    <s v="Fisioterapia"/>
    <n v="1710492003"/>
    <s v="Finalizado (2/4)"/>
    <n v="35.200000000000003"/>
    <n v="4.8"/>
    <n v="40"/>
    <s v="Sessão Faturada"/>
    <n v="775388000299020"/>
    <n v="56279"/>
    <s v="Unidade Vieiralves"/>
    <n v="1710492003"/>
    <m/>
  </r>
  <r>
    <x v="19"/>
    <x v="10"/>
    <s v="Waldir dos Santos Fontes Junior"/>
    <s v="Masculino"/>
    <x v="2"/>
    <x v="14"/>
    <s v="20103506 - Fisioterapia - Patologia Em Um Segmento da Coluna (R$ 12,22)"/>
    <s v="Fisioterapia"/>
    <n v="1707542354"/>
    <s v="Finalizado (4/5)"/>
    <n v="10.7536"/>
    <n v="1.4663999999999999"/>
    <n v="12.22"/>
    <s v="Sessão Faturada"/>
    <n v="772133000728000"/>
    <n v="51522"/>
    <s v="Unidade Vieiralves"/>
    <n v="1707542354"/>
    <m/>
  </r>
  <r>
    <x v="19"/>
    <x v="10"/>
    <s v="Waldir dos Santos Fontes Junior"/>
    <s v="Masculino"/>
    <x v="2"/>
    <x v="14"/>
    <s v="20103115 - Atividade Reflexa Cinesioterápica (R$ 20,81)"/>
    <s v="Fisioterapia"/>
    <n v="1707542621"/>
    <s v="Finalizado (3/3)"/>
    <n v="18.312799999999999"/>
    <n v="2.4971999999999999"/>
    <n v="20.81"/>
    <s v="Sessão Faturada"/>
    <n v="772133000728000"/>
    <n v="51522"/>
    <s v="Unidade Vieiralves"/>
    <n v="1707542621"/>
    <m/>
  </r>
  <r>
    <x v="19"/>
    <x v="10"/>
    <s v="Maria do Perpetuo Socorro Cabral Nogueira"/>
    <s v="Feminino"/>
    <x v="1"/>
    <x v="14"/>
    <s v="50000160 - Fisioterapia Ortopédica (R$ 20,00), 98980327 - Taxa de Eletroterapia (Tens) (R$ 15,00)"/>
    <s v="Fisioterapia"/>
    <n v="9323264"/>
    <s v="Finalizado (1/1)"/>
    <n v="30.8"/>
    <n v="4.2"/>
    <n v="35"/>
    <s v="Sessão Faturada"/>
    <s v="0701012888640069"/>
    <n v="59225"/>
    <s v="Unidade Vieiralves"/>
    <n v="9323264"/>
    <m/>
  </r>
  <r>
    <x v="19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6/9)"/>
    <n v="23.803999999999998"/>
    <n v="3.246"/>
    <n v="27.05"/>
    <s v="Sessão a Faturar"/>
    <s v="000430852874162602"/>
    <n v="38899"/>
    <s v="Unidade Vieiralves"/>
    <n v="169503"/>
    <m/>
  </r>
  <r>
    <x v="19"/>
    <x v="11"/>
    <s v="Ingrid de Vasconcelos Castelo Branco"/>
    <s v="Feminino"/>
    <x v="12"/>
    <x v="14"/>
    <s v="31602185 - Estimulação Elétrica Transcutânea (Tens) (R$ 49,00)"/>
    <s v="Fisioterapia"/>
    <n v="10304052"/>
    <s v="Finalizado (6/9)"/>
    <n v="43.12"/>
    <n v="5.88"/>
    <n v="49"/>
    <s v="Sessão a Faturar"/>
    <s v="000430852874162602"/>
    <n v="38899"/>
    <s v="Unidade Vieiralves"/>
    <n v="10304052"/>
    <m/>
  </r>
  <r>
    <x v="19"/>
    <x v="12"/>
    <s v="Cristiane Rodrigues da Silva"/>
    <s v="Feminino"/>
    <x v="6"/>
    <x v="14"/>
    <s v="20103492 - Patologia Em Dois Ou Mais Membros (R$ 30,26)"/>
    <s v="Fisioterapia"/>
    <n v="169654"/>
    <s v="Finalizado (4/10)"/>
    <n v="26.628799999999998"/>
    <n v="3.6312000000000002"/>
    <n v="30.26"/>
    <s v="Sessão a Faturar"/>
    <s v="54563005000001140015"/>
    <n v="16840"/>
    <s v="Unidade Vieiralves"/>
    <n v="169654"/>
    <m/>
  </r>
  <r>
    <x v="19"/>
    <x v="12"/>
    <s v="Thiago Lima Guedes"/>
    <s v="Masculino"/>
    <x v="2"/>
    <x v="14"/>
    <s v="20103484 - Fisioterapia - Patologia Em Um Membro (R$ 12,22)"/>
    <s v="Fisioterapia"/>
    <n v="1708334645"/>
    <s v="Finalizado (2/7)"/>
    <n v="10.7536"/>
    <n v="1.4663999999999999"/>
    <n v="12.22"/>
    <s v="Sessão a Faturar"/>
    <n v="960019317525020"/>
    <n v="59106"/>
    <s v="Unidade Vieiralves"/>
    <n v="1708334645"/>
    <m/>
  </r>
  <r>
    <x v="19"/>
    <x v="19"/>
    <s v="Cristiane Rodrigues da Silva"/>
    <s v="Feminino"/>
    <x v="6"/>
    <x v="14"/>
    <s v="31602185 - Estimulação Elétrica Transcutanea (Tens) (R$ 40,00)"/>
    <s v="Fisioterapia"/>
    <n v="170388"/>
    <s v="Finalizado (4/10)"/>
    <n v="35.200000000000003"/>
    <n v="4.8"/>
    <n v="40"/>
    <s v="Sessão a Faturar"/>
    <s v="54563005000001140015"/>
    <n v="16840"/>
    <s v="Unidade Vieiralves"/>
    <n v="170388"/>
    <m/>
  </r>
  <r>
    <x v="20"/>
    <x v="0"/>
    <s v="Elane Sales de Lima"/>
    <m/>
    <x v="2"/>
    <x v="14"/>
    <s v="20103484 - Fisioterapia - Patologia Em Um Membro (R$ 12,22)"/>
    <s v="Fisioterapia"/>
    <n v="1710359590"/>
    <s v="Finalizado (2/5)"/>
    <n v="10.7536"/>
    <n v="1.4663999999999999"/>
    <n v="12.22"/>
    <s v="Sessão Faturada"/>
    <n v="773539032034010"/>
    <n v="58812"/>
    <s v="Unidade Vieiralves"/>
    <n v="1710359590"/>
    <m/>
  </r>
  <r>
    <x v="20"/>
    <x v="0"/>
    <s v="Luiz Carlos Barcelos Gonzaga"/>
    <s v="Masculino"/>
    <x v="8"/>
    <x v="14"/>
    <s v="20103662 - Pos Operatorio Em Um Membro (R$ 14,99)"/>
    <s v="Fisioterapia"/>
    <n v="1711562792"/>
    <s v="Finalizado (1/8)"/>
    <n v="13.1912"/>
    <n v="1.7988"/>
    <n v="14.99"/>
    <s v="Sessão a Faturar"/>
    <n v="954600002887000"/>
    <n v="16269"/>
    <s v="Unidade Vieiralves"/>
    <n v="1711562792"/>
    <m/>
  </r>
  <r>
    <x v="20"/>
    <x v="2"/>
    <s v="Elcilene Pinheiro Ferreira Gadelha"/>
    <s v="Feminino"/>
    <x v="2"/>
    <x v="14"/>
    <s v="20103492 - Fisioterapia - Patologia Em Dois Ou Mais Membros (R$ 14,83)"/>
    <s v="Fisioterapia"/>
    <n v="1711540007"/>
    <s v="Finalizado (1/6)"/>
    <n v="13.0504"/>
    <n v="1.7796000000000001"/>
    <n v="14.83"/>
    <s v="Sessão a Faturar"/>
    <n v="896128600019000"/>
    <n v="51111"/>
    <s v="Unidade Vieiralves"/>
    <n v="1711540007"/>
    <m/>
  </r>
  <r>
    <x v="20"/>
    <x v="2"/>
    <s v="Maria Adelina Parente Lins Felix"/>
    <s v="Feminino"/>
    <x v="0"/>
    <x v="14"/>
    <s v="50000160 - Fisioterapia Ortopedica (R$ 49,72)"/>
    <s v="Fisioterapia"/>
    <s v="42263120260210268422"/>
    <s v="Finalizado (8/10)"/>
    <n v="43.753599999999999"/>
    <n v="5.9664000000000001"/>
    <n v="49.72"/>
    <s v="Sessão Faturada"/>
    <s v="010650363400"/>
    <n v="41281"/>
    <s v="Unidade Vieiralves"/>
    <s v="42263120260210268422"/>
    <m/>
  </r>
  <r>
    <x v="20"/>
    <x v="2"/>
    <s v="Jucy Nogueira Levy"/>
    <s v="Masculino"/>
    <x v="2"/>
    <x v="14"/>
    <s v="20103662 - Fisioterapia - Pos Operatorio Em Um Membro (R$ 14,99)"/>
    <s v="Fisioterapia"/>
    <n v="1707984590"/>
    <s v="Finalizado (3/5)"/>
    <n v="13.1912"/>
    <n v="1.7988"/>
    <n v="14.99"/>
    <s v="Sessão Faturada"/>
    <n v="773268007013010"/>
    <n v="6099"/>
    <s v="Unidade Vieiralves"/>
    <n v="1707984590"/>
    <m/>
  </r>
  <r>
    <x v="20"/>
    <x v="2"/>
    <s v="Israel Antonio Passos dos Santos"/>
    <s v="Masculino"/>
    <x v="2"/>
    <x v="14"/>
    <s v="20103484 - Fisioterapia - Patologia Em Um Membro (R$ 12,22)"/>
    <s v="Fisioterapia"/>
    <n v="1705823749"/>
    <s v="Finalizado (4/4)"/>
    <n v="10.7536"/>
    <n v="1.4663999999999999"/>
    <n v="12.22"/>
    <s v="Sessão Faturada"/>
    <n v="610857200001010"/>
    <n v="59467"/>
    <s v="Unidade Vieiralves"/>
    <n v="1705823749"/>
    <m/>
  </r>
  <r>
    <x v="20"/>
    <x v="4"/>
    <s v="Ronaldo Ferreira Brasil Correa"/>
    <m/>
    <x v="1"/>
    <x v="14"/>
    <s v="50000160 - Fisioterapia Ortopédica (R$ 20,00), 98980327 - Taxa de Eletroterapia (Tens) (R$ 15,00)"/>
    <s v="Fisioterapia"/>
    <n v="8787630"/>
    <s v="Finalizado (2/10)"/>
    <n v="30.8"/>
    <n v="4.2"/>
    <n v="35"/>
    <s v="Sessão Faturada"/>
    <n v="2001013465800100"/>
    <n v="56389"/>
    <s v="Unidade Vieiralves"/>
    <n v="8787630"/>
    <m/>
  </r>
  <r>
    <x v="20"/>
    <x v="4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6/8)"/>
    <n v="30.8"/>
    <n v="4.2"/>
    <n v="35"/>
    <s v="Sessão Faturada"/>
    <s v="0901011263750098"/>
    <n v="57345"/>
    <s v="Unidade Vieiralves"/>
    <n v="8919881"/>
    <m/>
  </r>
  <r>
    <x v="20"/>
    <x v="4"/>
    <s v="Adenise Leitão Barbosa"/>
    <s v="Feminino"/>
    <x v="12"/>
    <x v="14"/>
    <s v="20103492 - Patol. Em Dois Ou Mais Membros (R$ 14,83)"/>
    <s v="Fisioterapia"/>
    <n v="170141"/>
    <s v="Finalizado (7/10)"/>
    <n v="13.0504"/>
    <n v="1.7796000000000001"/>
    <n v="14.83"/>
    <s v="Sessão Faturada"/>
    <s v="000432203160121601"/>
    <n v="26264"/>
    <s v="Unidade Vieiralves"/>
    <n v="170141"/>
    <m/>
  </r>
  <r>
    <x v="20"/>
    <x v="13"/>
    <s v="Nelsi Maria Ladeira Luniere"/>
    <s v="Feminino"/>
    <x v="1"/>
    <x v="14"/>
    <s v="50000160 - Fisioterapia Ortopédica (R$ 20,00), 98980327 - Taxa de Eletroterapia (Tens) (R$ 15,00)"/>
    <s v="Fisioterapia"/>
    <n v="9162964"/>
    <s v="Finalizado (3/10)"/>
    <n v="30.8"/>
    <n v="4.2"/>
    <n v="35"/>
    <s v="Sessão Faturada"/>
    <s v="0801013498970007"/>
    <n v="58084"/>
    <s v="Unidade Vieiralves"/>
    <n v="9162964"/>
    <s v="GUIA ASSINADA"/>
  </r>
  <r>
    <x v="20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6/10)"/>
    <n v="30.8"/>
    <n v="4.2"/>
    <n v="35"/>
    <s v="Sessão Faturada"/>
    <n v="1301012940110100"/>
    <n v="53480"/>
    <s v="Unidade Vieiralves"/>
    <n v="9210847"/>
    <m/>
  </r>
  <r>
    <x v="20"/>
    <x v="13"/>
    <s v="Fabíola Graziele Martins de Lima"/>
    <s v="Feminino"/>
    <x v="8"/>
    <x v="14"/>
    <s v="20103484 - Patologia Em Um Membro (R$ 12,22)"/>
    <s v="Fisioterapia"/>
    <n v="1706399609"/>
    <s v="Finalizado (5/5)"/>
    <n v="10.7536"/>
    <n v="1.4663999999999999"/>
    <n v="12.22"/>
    <s v="Sessão a Faturar"/>
    <n v="954590029556010"/>
    <n v="59043"/>
    <s v="Unidade Vieiralves"/>
    <n v="1706399609"/>
    <m/>
  </r>
  <r>
    <x v="20"/>
    <x v="13"/>
    <s v="Fabíola Graziele Martins de Lima"/>
    <s v="Feminino"/>
    <x v="9"/>
    <x v="14"/>
    <s v="31602185 - Estimulação Elétrica Transcutânea (Tens) - Removido 13/04/2026 (R$ 40,00)"/>
    <s v="Fisioterapia"/>
    <n v="1707338393"/>
    <s v="Finalizado (4/5)"/>
    <n v="35.200000000000003"/>
    <n v="4.8"/>
    <n v="40"/>
    <s v="Sessão Faturada"/>
    <n v="954590029556010"/>
    <n v="59043"/>
    <s v="Unidade Vieiralves"/>
    <n v="1707338393"/>
    <m/>
  </r>
  <r>
    <x v="20"/>
    <x v="6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1/9)"/>
    <n v="21.507200000000001"/>
    <n v="2.9327999999999999"/>
    <n v="24.44"/>
    <s v="Sessão a Faturar"/>
    <n v="837047000191020"/>
    <n v="59619"/>
    <s v="Unidade Vieiralves"/>
    <n v="1711643216"/>
    <m/>
  </r>
  <r>
    <x v="20"/>
    <x v="6"/>
    <s v="Maria Neuza Ribeiro de Matos Oliveira"/>
    <s v="Feminino"/>
    <x v="7"/>
    <x v="14"/>
    <s v="Vieiralves - 1 - Fisioterapia Ortopedica - Pacote (R$ 40,00)"/>
    <s v="Fisioterapia"/>
    <n v="171039"/>
    <s v="Finalizado (3/10)"/>
    <n v="31.2"/>
    <n v="8.8000000000000007"/>
    <n v="40"/>
    <s v="No Prazo"/>
    <s v="00"/>
    <n v="59588"/>
    <s v="Unidade Vieiralves"/>
    <n v="171039"/>
    <m/>
  </r>
  <r>
    <x v="20"/>
    <x v="6"/>
    <s v="Alessandra Silveira Rocha"/>
    <s v="Feminino"/>
    <x v="2"/>
    <x v="14"/>
    <s v="20103492 - Fisioterapia - Patologia Em Dois Ou Mais Membros (R$ 14,83)"/>
    <s v="Fisioterapia"/>
    <n v="1707002611"/>
    <s v="Finalizado (4/10)"/>
    <n v="13.0504"/>
    <n v="1.7796000000000001"/>
    <n v="14.83"/>
    <s v="Sessão a Faturar"/>
    <n v="774063023809020"/>
    <n v="58966"/>
    <s v="Unidade Vieiralves"/>
    <n v="1707002611"/>
    <m/>
  </r>
  <r>
    <x v="20"/>
    <x v="6"/>
    <s v="Andreza da Costa Paes"/>
    <s v="Feminino"/>
    <x v="2"/>
    <x v="14"/>
    <s v="50000144 - Avaliação de Fisioterapia (R$ 51,42)"/>
    <s v="Fisioterapia"/>
    <n v="1711642185"/>
    <s v="Finalizado (1/1)"/>
    <n v="46.277999999999999"/>
    <n v="5.1420000000000003"/>
    <n v="51.42"/>
    <s v="Sessão Faturada"/>
    <n v="837047000191020"/>
    <n v="59619"/>
    <s v="Unidade Vieiralves"/>
    <n v="1711642185"/>
    <m/>
  </r>
  <r>
    <x v="20"/>
    <x v="6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4/10)"/>
    <n v="30.8"/>
    <n v="4.2"/>
    <n v="35"/>
    <s v="Sessão Faturada"/>
    <s v="0901005831260032"/>
    <n v="52372"/>
    <s v="Unidade Vieiralves"/>
    <n v="9218957"/>
    <m/>
  </r>
  <r>
    <x v="20"/>
    <x v="15"/>
    <s v="Alice da Silva dos Santos"/>
    <m/>
    <x v="2"/>
    <x v="14"/>
    <s v="20103484 - Fisioterapia - Patologia Em Um Membro (R$ 12,22)"/>
    <s v="Fisioterapia"/>
    <n v="1709100134"/>
    <s v="Finalizado (4/5)"/>
    <n v="10.7536"/>
    <n v="1.4663999999999999"/>
    <n v="12.22"/>
    <s v="Sessão Faturada"/>
    <n v="843486100604000"/>
    <n v="56112"/>
    <s v="Unidade Vieiralves"/>
    <n v="1709100134"/>
    <m/>
  </r>
  <r>
    <x v="20"/>
    <x v="15"/>
    <s v="Samuel Cunha de Oliveira"/>
    <m/>
    <x v="2"/>
    <x v="14"/>
    <s v="20103492 - Fisioterapia - Patologia Em Dois Ou Mais Membros (R$ 14,83)"/>
    <s v="Fisioterapia"/>
    <n v="1705899542"/>
    <s v="Finalizado (6/10)"/>
    <n v="13.0504"/>
    <n v="1.7796000000000001"/>
    <n v="14.83"/>
    <s v="Sessão Faturada"/>
    <n v="837047000191010"/>
    <n v="59496"/>
    <s v="Unidade Vieiralves"/>
    <n v="1705899542"/>
    <m/>
  </r>
  <r>
    <x v="20"/>
    <x v="15"/>
    <s v="Elke Silveira Ferreira de Souza"/>
    <s v="Feminino"/>
    <x v="2"/>
    <x v="14"/>
    <s v="20103506 - Fisioterapia - Patologia Em Um Segmento da Coluna (R$ 12,22)"/>
    <s v="Fisioterapia"/>
    <n v="1704905538"/>
    <s v="Finalizado (3/3)"/>
    <n v="10.7536"/>
    <n v="1.4663999999999999"/>
    <n v="12.22"/>
    <s v="Sessão Faturada"/>
    <n v="774078000450020"/>
    <n v="40221"/>
    <s v="Unidade Vieiralves"/>
    <n v="1704905538"/>
    <m/>
  </r>
  <r>
    <x v="20"/>
    <x v="16"/>
    <s v="Alice da Silva dos Santos"/>
    <m/>
    <x v="4"/>
    <x v="14"/>
    <s v="31602185 - Estimulação Elétrica Transcutânea - Removido 13/04/2026 (R$ 40,00)"/>
    <s v="Fisioterapia"/>
    <n v="1709795792"/>
    <s v="Finalizado (3/5)"/>
    <n v="35.200000000000003"/>
    <n v="4.8"/>
    <n v="40"/>
    <s v="Sessão Faturada"/>
    <n v="843486100604000"/>
    <n v="56112"/>
    <s v="Unidade Vieiralves"/>
    <n v="1709795792"/>
    <m/>
  </r>
  <r>
    <x v="20"/>
    <x v="17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3/7)"/>
    <n v="21.507200000000001"/>
    <n v="2.9327999999999999"/>
    <n v="24.44"/>
    <s v="Sessão a Faturar"/>
    <n v="890729700027020"/>
    <n v="59263"/>
    <s v="Unidade Vieiralves"/>
    <n v="1709800891"/>
    <m/>
  </r>
  <r>
    <x v="20"/>
    <x v="17"/>
    <s v="Thaianne de Matos Sampaio da Silva"/>
    <s v="Feminino"/>
    <x v="0"/>
    <x v="14"/>
    <s v="50000160 - Fisioterapia Ortopedica (R$ 49,72)"/>
    <s v="Fisioterapia"/>
    <s v="42263120260307428164"/>
    <s v="Finalizado (4/10)"/>
    <n v="43.753599999999999"/>
    <n v="5.9664000000000001"/>
    <n v="49.72"/>
    <s v="Sessão a Faturar"/>
    <s v="010650776203"/>
    <n v="59378"/>
    <s v="Unidade Vieiralves"/>
    <s v="42263120260307428164"/>
    <m/>
  </r>
  <r>
    <x v="20"/>
    <x v="17"/>
    <s v="Sergio Massayoshi Nunomura"/>
    <s v="Masculino"/>
    <x v="1"/>
    <x v="14"/>
    <s v="50000160 - Fisioterapia Ortopédica (R$ 20,00), 98980327 - Taxa de Eletroterapia (Tens) (R$ 15,00)"/>
    <s v="Fisioterapia"/>
    <n v="9044249"/>
    <s v="Finalizado (8/10)"/>
    <n v="30.8"/>
    <n v="4.2"/>
    <n v="35"/>
    <s v="Sessão Faturada"/>
    <s v="0901013262310007"/>
    <n v="55942"/>
    <s v="Unidade Vieiralves"/>
    <n v="9044249"/>
    <m/>
  </r>
  <r>
    <x v="20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4/10)"/>
    <n v="47.634399999999999"/>
    <n v="6.4955999999999996"/>
    <n v="54.13"/>
    <s v="Sessão a Faturar"/>
    <s v="010650776203"/>
    <n v="59378"/>
    <s v="Unidade Vieiralves"/>
    <s v="42263120260307428285"/>
    <m/>
  </r>
  <r>
    <x v="20"/>
    <x v="18"/>
    <s v="Kellen Regina Pereira da Silva"/>
    <s v="Feminino"/>
    <x v="4"/>
    <x v="14"/>
    <s v="31602185 - Estimulação Elétrica Transcutânea - Removido 13/04/2026 (R$ 40,00)"/>
    <s v="Fisioterapia"/>
    <n v="1710430457"/>
    <s v="Finalizado (2/6)"/>
    <n v="35.200000000000003"/>
    <n v="4.8"/>
    <n v="40"/>
    <s v="Sessão a Faturar"/>
    <n v="890729700027020"/>
    <n v="59263"/>
    <s v="Unidade Vieiralves"/>
    <n v="1710430457"/>
    <m/>
  </r>
  <r>
    <x v="20"/>
    <x v="10"/>
    <s v="Gabrielly da Silva Mascarin"/>
    <m/>
    <x v="6"/>
    <x v="14"/>
    <s v="20103662 - Pos Operatorio Em Um Membro (R$ 22,53)"/>
    <s v="Fisioterapia"/>
    <n v="171689"/>
    <s v="Finalizado (1/10)"/>
    <n v="19.8264"/>
    <n v="2.7035999999999998"/>
    <n v="22.53"/>
    <s v="Sessão a Faturar"/>
    <n v="954500024520030"/>
    <n v="17683"/>
    <s v="Unidade Vieiralves"/>
    <n v="171689"/>
    <m/>
  </r>
  <r>
    <x v="20"/>
    <x v="10"/>
    <s v="Gabrielly da Silva Mascarin"/>
    <m/>
    <x v="6"/>
    <x v="14"/>
    <s v="31602185 - Estimulação Elétrica Transcutanea (Tens) (R$ 40,00)"/>
    <s v="Fisioterapia"/>
    <n v="171690"/>
    <s v="Finalizado (1/3)"/>
    <n v="35.200000000000003"/>
    <n v="4.8"/>
    <n v="40"/>
    <s v="Sessão a Faturar"/>
    <n v="954500024520030"/>
    <n v="17683"/>
    <s v="Unidade Vieiralves"/>
    <n v="171690"/>
    <m/>
  </r>
  <r>
    <x v="20"/>
    <x v="10"/>
    <s v="Françoise do Nascimento Lima"/>
    <s v="Feminino"/>
    <x v="2"/>
    <x v="14"/>
    <s v="20103484 - Fisioterapia - Patologia Em Um Membro (R$ 12,22)"/>
    <s v="Fisioterapia"/>
    <n v="1711678006"/>
    <s v="Finalizado (4/10)"/>
    <n v="10.7536"/>
    <n v="1.4663999999999999"/>
    <n v="12.22"/>
    <s v="Sessão a Faturar"/>
    <n v="771015045942010"/>
    <n v="99"/>
    <s v="Unidade Vieiralves"/>
    <n v="1711678006"/>
    <m/>
  </r>
  <r>
    <x v="20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7/9)"/>
    <n v="23.803999999999998"/>
    <n v="3.246"/>
    <n v="27.05"/>
    <s v="Sessão a Faturar"/>
    <s v="000430852874162602"/>
    <n v="38899"/>
    <s v="Unidade Vieiralves"/>
    <n v="169503"/>
    <m/>
  </r>
  <r>
    <x v="20"/>
    <x v="11"/>
    <s v="Ingrid de Vasconcelos Castelo Branco"/>
    <s v="Feminino"/>
    <x v="12"/>
    <x v="14"/>
    <s v="31602185 - Estimulação Elétrica Transcutânea (Tens) (R$ 49,00)"/>
    <s v="Fisioterapia"/>
    <n v="10304052"/>
    <s v="Finalizado (7/9)"/>
    <n v="43.12"/>
    <n v="5.88"/>
    <n v="49"/>
    <s v="Sessão a Faturar"/>
    <s v="000430852874162602"/>
    <n v="38899"/>
    <s v="Unidade Vieiralves"/>
    <n v="10304052"/>
    <m/>
  </r>
  <r>
    <x v="20"/>
    <x v="20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4/10)"/>
    <n v="21.507200000000001"/>
    <n v="2.9327999999999999"/>
    <n v="24.44"/>
    <s v="Sessão a Faturar"/>
    <n v="867546100043000"/>
    <n v="59479"/>
    <s v="Unidade Vieiralves"/>
    <n v="1708046408"/>
    <m/>
  </r>
  <r>
    <x v="0"/>
    <x v="0"/>
    <s v="Maria do Socorro Dantas de Goes Lyra"/>
    <m/>
    <x v="1"/>
    <x v="14"/>
    <s v="50000160 - Fisioterapia Ortopédica (R$ 20,00), 98980327 - Taxa de Eletroterapia (Tens) (R$ 15,00)"/>
    <s v="Fisioterapia"/>
    <n v="9060535"/>
    <s v="Finalizado (1/10)"/>
    <n v="30.8"/>
    <n v="4.2"/>
    <n v="35"/>
    <s v="Sessão a Faturar"/>
    <s v="0901012997340004"/>
    <n v="58677"/>
    <s v="Unidade Vieiralves"/>
    <n v="9060535"/>
    <m/>
  </r>
  <r>
    <x v="0"/>
    <x v="0"/>
    <s v="Adenise Leitão Barbosa"/>
    <s v="Feminino"/>
    <x v="12"/>
    <x v="14"/>
    <s v="20103492 - Patol. Em Dois Ou Mais Membros (R$ 14,83)"/>
    <s v="Fisioterapia"/>
    <n v="170141"/>
    <s v="Finalizado (8/10)"/>
    <n v="13.0504"/>
    <n v="1.7796000000000001"/>
    <n v="14.83"/>
    <s v="Sessão Faturada"/>
    <s v="000432203160121601"/>
    <n v="26264"/>
    <s v="Unidade Vieiralves"/>
    <n v="170141"/>
    <m/>
  </r>
  <r>
    <x v="0"/>
    <x v="0"/>
    <s v="Joeline Dutra da Silva"/>
    <s v="Feminino"/>
    <x v="1"/>
    <x v="14"/>
    <s v="50000160 - Fisioterapia Ortopédica (R$ 20,00), 98980327 - Taxa de Eletroterapia (Tens) (R$ 15,00)"/>
    <s v="Fisioterapia"/>
    <n v="9210393"/>
    <s v="Finalizado (4/10)"/>
    <n v="30.8"/>
    <n v="4.2"/>
    <n v="35"/>
    <s v="Sessão Faturada"/>
    <n v="1101013081410400"/>
    <n v="56667"/>
    <s v="Unidade Vieiralves"/>
    <n v="9210393"/>
    <m/>
  </r>
  <r>
    <x v="0"/>
    <x v="0"/>
    <s v="Vitoria Elizabeteh de Souza Macedo"/>
    <s v="Feminino"/>
    <x v="2"/>
    <x v="14"/>
    <s v="20103662 - Fisioterapia - Pos Operatorio Em Um Membro (R$ 14,99)"/>
    <s v="Fisioterapia"/>
    <n v="1710360164"/>
    <s v="Finalizado (2/3)"/>
    <n v="13.1912"/>
    <n v="1.7988"/>
    <n v="14.99"/>
    <s v="Sessão Faturada"/>
    <n v="8361394000019000"/>
    <n v="16608"/>
    <s v="Unidade Vieiralves"/>
    <n v="1710360164"/>
    <m/>
  </r>
  <r>
    <x v="0"/>
    <x v="2"/>
    <s v="Gabriele Nogueira de Oliveira"/>
    <s v="Feminino"/>
    <x v="2"/>
    <x v="14"/>
    <s v="20103662 - Fisioterapia - Pos Operatorio Em Um Membro (R$ 14,99)"/>
    <s v="Fisioterapia"/>
    <n v="1709193478"/>
    <s v="Finalizado (4/10)"/>
    <n v="13.1912"/>
    <n v="1.7988"/>
    <n v="14.99"/>
    <s v="Sessão a Faturar"/>
    <n v="894937200604000"/>
    <n v="51083"/>
    <s v="Unidade Vieiralves"/>
    <n v="1709193478"/>
    <m/>
  </r>
  <r>
    <x v="0"/>
    <x v="2"/>
    <s v="Leonardo Andrade de Brito"/>
    <s v="Masculino"/>
    <x v="7"/>
    <x v="14"/>
    <s v="Vieiralves - 33 - Fisioterapia Ortopedica - Sessão Avulsa (R$ 90,00)"/>
    <s v="Fisioterapia"/>
    <m/>
    <s v="Finalizado (1/1)"/>
    <n v="70.2"/>
    <n v="19.8"/>
    <n v="90"/>
    <s v="Sem Lançamento"/>
    <n v="0"/>
    <n v="59345"/>
    <s v="Unidade Vieiralves"/>
    <m/>
    <m/>
  </r>
  <r>
    <x v="0"/>
    <x v="2"/>
    <s v="Rosalinda Pereira Brito"/>
    <s v="Feminino"/>
    <x v="2"/>
    <x v="14"/>
    <s v="20103484 - Fisioterapia - Patologia Em Um Membro (R$ 12,22)"/>
    <s v="Fisioterapia"/>
    <n v="1705795662"/>
    <s v="Finalizado (6/10)"/>
    <n v="10.7536"/>
    <n v="1.4663999999999999"/>
    <n v="12.22"/>
    <s v="Sessão Faturada"/>
    <s v="010544100907015"/>
    <n v="13886"/>
    <s v="Unidade Vieiralves"/>
    <n v="1705795662"/>
    <m/>
  </r>
  <r>
    <x v="0"/>
    <x v="2"/>
    <s v="Maria Adelina Parente Lins Felix"/>
    <s v="Feminino"/>
    <x v="0"/>
    <x v="14"/>
    <s v="50000160 - Fisioterapia Ortopedica (R$ 49,72)"/>
    <s v="Fisioterapia"/>
    <s v="42263120260210268422"/>
    <s v="Finalizado (9/10)"/>
    <n v="43.753599999999999"/>
    <n v="5.9664000000000001"/>
    <n v="49.72"/>
    <s v="Sessão Faturada"/>
    <s v="010650363400"/>
    <n v="41281"/>
    <s v="Unidade Vieiralves"/>
    <s v="42263120260210268422"/>
    <m/>
  </r>
  <r>
    <x v="0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8/10)"/>
    <n v="47.634399999999999"/>
    <n v="6.4955999999999996"/>
    <n v="54.13"/>
    <s v="Sessão Faturada"/>
    <s v="010650363400"/>
    <n v="41281"/>
    <s v="Unidade Vieiralves"/>
    <s v="42263120260302381799"/>
    <m/>
  </r>
  <r>
    <x v="0"/>
    <x v="3"/>
    <s v="Rosalinda Pereira Brito"/>
    <s v="Feminino"/>
    <x v="4"/>
    <x v="14"/>
    <s v="31602185 - Estimulação Elétrica Transcutânea - Removido 13/04/2026 (R$ 40,00)"/>
    <s v="Fisioterapia"/>
    <n v="1710935636"/>
    <s v="Finalizado (2/10)"/>
    <n v="35.200000000000003"/>
    <n v="4.8"/>
    <n v="40"/>
    <s v="Sessão a Faturar"/>
    <s v="010544100907015"/>
    <n v="13886"/>
    <s v="Unidade Vieiralves"/>
    <n v="1710935636"/>
    <m/>
  </r>
  <r>
    <x v="0"/>
    <x v="4"/>
    <s v="Maria Neuza Ribeiro de Matos Oliveira"/>
    <s v="Feminino"/>
    <x v="7"/>
    <x v="14"/>
    <s v="Vieiralves - 1 - Fisioterapia Ortopedica - Pacote (R$ 40,00)"/>
    <s v="Fisioterapia"/>
    <n v="171039"/>
    <s v="Finalizado (5/10)"/>
    <n v="31.2"/>
    <n v="8.8000000000000007"/>
    <n v="40"/>
    <s v="No Prazo"/>
    <s v="00"/>
    <n v="59588"/>
    <s v="Unidade Vieiralves"/>
    <n v="171039"/>
    <m/>
  </r>
  <r>
    <x v="0"/>
    <x v="13"/>
    <s v="Ray Jackson Aguiar Bezerra"/>
    <s v="Masculino"/>
    <x v="5"/>
    <x v="14"/>
    <s v="98860011 - Fisioterapia Complexidade 1 - 04/03/2026 (R$ 53,00)"/>
    <s v="Fisioterapia"/>
    <n v="76267360"/>
    <s v="Finalizado (5/10)"/>
    <n v="46.64"/>
    <n v="6.36"/>
    <n v="53"/>
    <s v="Sessão Faturada"/>
    <s v="010138208000"/>
    <n v="20846"/>
    <s v="Unidade Vieiralves"/>
    <n v="76267360"/>
    <m/>
  </r>
  <r>
    <x v="0"/>
    <x v="13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7/8)"/>
    <n v="30.8"/>
    <n v="4.2"/>
    <n v="35"/>
    <s v="Sessão Faturada"/>
    <s v="0901011263750098"/>
    <n v="57345"/>
    <s v="Unidade Vieiralves"/>
    <n v="8919881"/>
    <m/>
  </r>
  <r>
    <x v="0"/>
    <x v="13"/>
    <s v="Silvana Freitas Spinola de Oliveira"/>
    <m/>
    <x v="6"/>
    <x v="14"/>
    <s v="20103492 - Patologia Em Dois Ou Mais Membros (R$ 30,26)"/>
    <s v="Fisioterapia"/>
    <n v="169401"/>
    <s v="Finalizado (7/10)"/>
    <n v="26.628799999999998"/>
    <n v="3.6312000000000002"/>
    <n v="30.26"/>
    <s v="Sessão a Faturar"/>
    <s v="51588888464996980013"/>
    <n v="20358"/>
    <s v="Unidade Vieiralves"/>
    <n v="169401"/>
    <m/>
  </r>
  <r>
    <x v="0"/>
    <x v="14"/>
    <s v="Silvana Freitas Spinola de Oliveira"/>
    <m/>
    <x v="6"/>
    <x v="14"/>
    <s v="31602185 - Estimulação Elétrica Transcutanea (Tens) (R$ 40,00)"/>
    <s v="Fisioterapia"/>
    <n v="169402"/>
    <s v="Finalizado (7/10)"/>
    <n v="35.200000000000003"/>
    <n v="4.8"/>
    <n v="40"/>
    <s v="Sessão a Faturar"/>
    <s v="51588888464996980013"/>
    <n v="20358"/>
    <s v="Unidade Vieiralves"/>
    <n v="169402"/>
    <m/>
  </r>
  <r>
    <x v="0"/>
    <x v="14"/>
    <s v="Ray Jackson Aguiar Bezerra"/>
    <s v="Masculino"/>
    <x v="5"/>
    <x v="14"/>
    <s v="31602185 - Estimulação Elétrica Transcutânea (Tens) - 04/03/2026 (R$ 120,28)"/>
    <s v="Fisioterapia"/>
    <n v="76267580"/>
    <s v="Finalizado (5/10)"/>
    <n v="105.8464"/>
    <n v="14.4336"/>
    <n v="120.28"/>
    <s v="Sessão Faturada"/>
    <s v="010138208000"/>
    <n v="20846"/>
    <s v="Unidade Vieiralves"/>
    <n v="76267580"/>
    <m/>
  </r>
  <r>
    <x v="0"/>
    <x v="6"/>
    <s v="Alessandra Silveira Rocha"/>
    <s v="Feminino"/>
    <x v="2"/>
    <x v="14"/>
    <s v="20103492 - Fisioterapia - Patologia Em Dois Ou Mais Membros (R$ 14,83)"/>
    <s v="Fisioterapia"/>
    <n v="1707002611"/>
    <s v="Finalizado (5/10)"/>
    <n v="13.0504"/>
    <n v="1.7796000000000001"/>
    <n v="14.83"/>
    <s v="Sessão a Faturar"/>
    <n v="774063023809020"/>
    <n v="58966"/>
    <s v="Unidade Vieiralves"/>
    <n v="1707002611"/>
    <m/>
  </r>
  <r>
    <x v="0"/>
    <x v="6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5/10)"/>
    <n v="30.8"/>
    <n v="4.2"/>
    <n v="35"/>
    <s v="Sessão Faturada"/>
    <s v="0901005831260032"/>
    <n v="52372"/>
    <s v="Unidade Vieiralves"/>
    <n v="9218957"/>
    <m/>
  </r>
  <r>
    <x v="0"/>
    <x v="15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4/7)"/>
    <n v="21.507200000000001"/>
    <n v="2.9327999999999999"/>
    <n v="24.44"/>
    <s v="Sessão a Faturar"/>
    <n v="890729700027020"/>
    <n v="59263"/>
    <s v="Unidade Vieiralves"/>
    <n v="1709800891"/>
    <m/>
  </r>
  <r>
    <x v="0"/>
    <x v="15"/>
    <s v="Alice da Silva dos Santos"/>
    <m/>
    <x v="4"/>
    <x v="14"/>
    <s v="31602185 - Estimulação Elétrica Transcutânea - Removido 13/04/2026 (R$ 40,00)"/>
    <s v="Fisioterapia"/>
    <n v="1709795792"/>
    <s v="Finalizado (5/5)"/>
    <n v="35.200000000000003"/>
    <n v="4.8"/>
    <n v="40"/>
    <s v="Sessão Faturada"/>
    <n v="843486100604000"/>
    <n v="56112"/>
    <s v="Unidade Vieiralves"/>
    <n v="1709795792"/>
    <m/>
  </r>
  <r>
    <x v="0"/>
    <x v="16"/>
    <s v="Alice da Silva dos Santos"/>
    <m/>
    <x v="2"/>
    <x v="14"/>
    <s v="20103484 - Fisioterapia - Patologia Em Um Membro (R$ 12,22)"/>
    <s v="Fisioterapia"/>
    <n v="1712940146"/>
    <s v="Finalizado (1/4)"/>
    <n v="10.7536"/>
    <n v="1.4663999999999999"/>
    <n v="12.22"/>
    <s v="Sessão a Faturar"/>
    <n v="843486100604000"/>
    <n v="56112"/>
    <s v="Unidade Vieiralves"/>
    <n v="1712940146"/>
    <m/>
  </r>
  <r>
    <x v="0"/>
    <x v="16"/>
    <s v="Kellen Regina Pereira da Silva"/>
    <s v="Feminino"/>
    <x v="4"/>
    <x v="14"/>
    <s v="31602185 - Estimulação Elétrica Transcutânea - Removido 13/04/2026 (R$ 40,00)"/>
    <s v="Fisioterapia"/>
    <n v="1710430457"/>
    <s v="Finalizado (3/6)"/>
    <n v="35.200000000000003"/>
    <n v="4.8"/>
    <n v="40"/>
    <s v="Sessão a Faturar"/>
    <n v="890729700027020"/>
    <n v="59263"/>
    <s v="Unidade Vieiralves"/>
    <n v="1710430457"/>
    <m/>
  </r>
  <r>
    <x v="0"/>
    <x v="17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2/9)"/>
    <n v="21.507200000000001"/>
    <n v="2.9327999999999999"/>
    <n v="24.44"/>
    <s v="Sessão a Faturar"/>
    <n v="837047000191020"/>
    <n v="59619"/>
    <s v="Unidade Vieiralves"/>
    <n v="1711643216"/>
    <m/>
  </r>
  <r>
    <x v="0"/>
    <x v="17"/>
    <s v="Pamela Pavanetto"/>
    <s v="Feminino"/>
    <x v="1"/>
    <x v="14"/>
    <s v="50000160 - Fisioterapia Ortopédica (R$ 20,00), 98980327 - Taxa de Eletroterapia (Tens) (R$ 15,00)"/>
    <s v="Fisioterapia"/>
    <n v="9377620"/>
    <s v="Finalizado (1/10)"/>
    <n v="30.8"/>
    <n v="4.2"/>
    <n v="35"/>
    <s v="Sessão Faturada"/>
    <s v="0901013948460075"/>
    <n v="59596"/>
    <s v="Unidade Vieiralves"/>
    <n v="9377620"/>
    <s v="GUIA ASSINADA"/>
  </r>
  <r>
    <x v="0"/>
    <x v="17"/>
    <s v="Angelo Bonanno"/>
    <s v="Masculino"/>
    <x v="7"/>
    <x v="14"/>
    <s v="Vieiralves - 1 - Fisioterapia Ortopedica - Pacote (R$ 40,00)"/>
    <s v="Fisioterapia"/>
    <m/>
    <s v="Finalizado (8/10)"/>
    <n v="31.2"/>
    <n v="8.8000000000000007"/>
    <n v="40"/>
    <s v="Pago"/>
    <n v="611649060001010"/>
    <n v="55203"/>
    <s v="Unidade Vieiralves"/>
    <m/>
    <m/>
  </r>
  <r>
    <x v="0"/>
    <x v="17"/>
    <s v="Thaianne de Matos Sampaio da Silva"/>
    <s v="Feminino"/>
    <x v="0"/>
    <x v="14"/>
    <s v="50000160 - Fisioterapia Ortopedica (R$ 49,72)"/>
    <s v="Fisioterapia"/>
    <s v="42263120260307428164"/>
    <s v="Finalizado (5/10)"/>
    <n v="43.753599999999999"/>
    <n v="5.9664000000000001"/>
    <n v="49.72"/>
    <s v="Sessão a Faturar"/>
    <s v="010650776203"/>
    <n v="59378"/>
    <s v="Unidade Vieiralves"/>
    <s v="42263120260307428164"/>
    <m/>
  </r>
  <r>
    <x v="0"/>
    <x v="17"/>
    <s v="Pamela Pavanetto"/>
    <s v="Feminino"/>
    <x v="1"/>
    <x v="14"/>
    <s v="50000144 - Consulta de Fisioterapia (R$ 16,00)"/>
    <s v="Fisioterapia"/>
    <n v="9377480"/>
    <s v="Finalizado (1/1)"/>
    <n v="14.4"/>
    <n v="1.6"/>
    <n v="16"/>
    <s v="Sessão Faturada"/>
    <s v="0901013948460075"/>
    <n v="59596"/>
    <s v="Unidade Vieiralves"/>
    <n v="9377480"/>
    <m/>
  </r>
  <r>
    <x v="0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5/10)"/>
    <n v="47.634399999999999"/>
    <n v="6.4955999999999996"/>
    <n v="54.13"/>
    <s v="Sessão a Faturar"/>
    <s v="010650776203"/>
    <n v="59378"/>
    <s v="Unidade Vieiralves"/>
    <s v="42263120260307428285"/>
    <m/>
  </r>
  <r>
    <x v="0"/>
    <x v="8"/>
    <s v="Samuel Cunha de Oliveira"/>
    <m/>
    <x v="2"/>
    <x v="14"/>
    <s v="20103492 - Fisioterapia - Patologia Em Dois Ou Mais Membros (R$ 14,83)"/>
    <s v="Fisioterapia"/>
    <n v="1705899542"/>
    <s v="Finalizado (7/10)"/>
    <n v="13.0504"/>
    <n v="1.7796000000000001"/>
    <n v="14.83"/>
    <s v="Sessão Faturada"/>
    <n v="837047000191010"/>
    <n v="59496"/>
    <s v="Unidade Vieiralves"/>
    <n v="1705899542"/>
    <m/>
  </r>
  <r>
    <x v="0"/>
    <x v="8"/>
    <s v="Patricia Rodrigues Pontes"/>
    <s v="Feminino"/>
    <x v="6"/>
    <x v="14"/>
    <s v="20103662 - Pos Operatorio Em Um Membro (R$ 22,53)"/>
    <s v="Fisioterapia"/>
    <n v="171154"/>
    <s v="Finalizado (2/5)"/>
    <n v="19.8264"/>
    <n v="2.7035999999999998"/>
    <n v="22.53"/>
    <s v="Sessão a Faturar"/>
    <s v="54588888011063920019"/>
    <n v="59148"/>
    <s v="Unidade Vieiralves"/>
    <n v="171154"/>
    <m/>
  </r>
  <r>
    <x v="0"/>
    <x v="8"/>
    <s v="Lauren Lauschner Gaikoski"/>
    <s v="Feminino"/>
    <x v="2"/>
    <x v="14"/>
    <s v="20103484 - Fisioterapia - Patologia Em Um Membro (R$ 12,22)"/>
    <s v="Fisioterapia"/>
    <n v="1709236406"/>
    <s v="Finalizado (4/5)"/>
    <n v="10.7536"/>
    <n v="1.4663999999999999"/>
    <n v="12.22"/>
    <s v="Sessão Faturada"/>
    <n v="775388000299020"/>
    <n v="56279"/>
    <s v="Unidade Vieiralves"/>
    <n v="1709236406"/>
    <m/>
  </r>
  <r>
    <x v="0"/>
    <x v="9"/>
    <s v="Patricia Rodrigues Pontes"/>
    <s v="Feminino"/>
    <x v="6"/>
    <x v="14"/>
    <s v="31602185 - Estimulação Elétrica Transcutanea (Tens) (R$ 40,00)"/>
    <s v="Fisioterapia"/>
    <n v="171257"/>
    <s v="Finalizado (2/5)"/>
    <n v="35.200000000000003"/>
    <n v="4.8"/>
    <n v="40"/>
    <s v="Sessão a Faturar"/>
    <s v="54588888011063920019"/>
    <n v="59148"/>
    <s v="Unidade Vieiralves"/>
    <n v="171257"/>
    <m/>
  </r>
  <r>
    <x v="0"/>
    <x v="9"/>
    <s v="Lauren Lauschner Gaikoski"/>
    <s v="Feminino"/>
    <x v="4"/>
    <x v="14"/>
    <s v="31602185 - Estimulação Elétrica Transcutânea - Removido 13/04/2026 (R$ 40,00)"/>
    <s v="Fisioterapia"/>
    <n v="1710492003"/>
    <s v="Finalizado (3/4)"/>
    <n v="35.200000000000003"/>
    <n v="4.8"/>
    <n v="40"/>
    <s v="Sessão Faturada"/>
    <n v="775388000299020"/>
    <n v="56279"/>
    <s v="Unidade Vieiralves"/>
    <n v="1710492003"/>
    <m/>
  </r>
  <r>
    <x v="0"/>
    <x v="10"/>
    <s v="Leonardo Emmanuel Neves Rodrigues"/>
    <s v="Masculino"/>
    <x v="4"/>
    <x v="14"/>
    <s v="31602185 - Estimulação Elétrica Transcutânea - Removido 13/04/2026 (R$ 40,00)"/>
    <s v="Fisioterapia"/>
    <n v="1713010280"/>
    <s v="Finalizado (1/5)"/>
    <n v="35.200000000000003"/>
    <n v="4.8"/>
    <n v="40"/>
    <s v="Sessão Faturada"/>
    <n v="867546100043000"/>
    <n v="59479"/>
    <s v="Unidade Vieiralves"/>
    <n v="1713010280"/>
    <m/>
  </r>
  <r>
    <x v="0"/>
    <x v="10"/>
    <s v="Ingrid de Vasconcelos Castelo Branco"/>
    <s v="Feminino"/>
    <x v="12"/>
    <x v="14"/>
    <s v="31602185 - Estimulação Elétrica Transcutânea (Tens) (R$ 49,00)"/>
    <s v="Fisioterapia"/>
    <n v="10304052"/>
    <s v="Finalizado (8/9)"/>
    <n v="43.12"/>
    <n v="5.88"/>
    <n v="49"/>
    <s v="Sessão a Faturar"/>
    <s v="000430852874162602"/>
    <n v="38899"/>
    <s v="Unidade Vieiralves"/>
    <n v="10304052"/>
    <m/>
  </r>
  <r>
    <x v="0"/>
    <x v="10"/>
    <s v="Françoise do Nascimento Lima"/>
    <s v="Feminino"/>
    <x v="2"/>
    <x v="14"/>
    <s v="20103484 - Fisioterapia - Patologia Em Um Membro (R$ 12,22)"/>
    <s v="Fisioterapia"/>
    <n v="1711678006"/>
    <s v="Finalizado (5/10)"/>
    <n v="10.7536"/>
    <n v="1.4663999999999999"/>
    <n v="12.22"/>
    <s v="Sessão a Faturar"/>
    <n v="771015045942010"/>
    <n v="99"/>
    <s v="Unidade Vieiralves"/>
    <n v="1711678006"/>
    <m/>
  </r>
  <r>
    <x v="0"/>
    <x v="10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5/10)"/>
    <n v="21.507200000000001"/>
    <n v="2.9327999999999999"/>
    <n v="24.44"/>
    <s v="Sessão a Faturar"/>
    <n v="867546100043000"/>
    <n v="59479"/>
    <s v="Unidade Vieiralves"/>
    <n v="1708046408"/>
    <m/>
  </r>
  <r>
    <x v="0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8/9)"/>
    <n v="23.803999999999998"/>
    <n v="3.246"/>
    <n v="27.05"/>
    <s v="Sessão a Faturar"/>
    <s v="000430852874162602"/>
    <n v="38899"/>
    <s v="Unidade Vieiralves"/>
    <n v="169503"/>
    <m/>
  </r>
  <r>
    <x v="0"/>
    <x v="12"/>
    <s v="Graciana de Souza Honorato"/>
    <s v="Feminino"/>
    <x v="2"/>
    <x v="14"/>
    <s v="50000144 - Avaliação de Fisioterapia (R$ 51,42)"/>
    <s v="Fisioterapia"/>
    <n v="1712998819"/>
    <s v="Finalizado (1/1)"/>
    <n v="46.277999999999999"/>
    <n v="5.1420000000000003"/>
    <n v="51.42"/>
    <s v="Sessão Faturada"/>
    <n v="611481880010010"/>
    <n v="59464"/>
    <s v="Unidade Vieiralves"/>
    <n v="1712998819"/>
    <m/>
  </r>
  <r>
    <x v="0"/>
    <x v="19"/>
    <s v="Graciana de Souza Honorato"/>
    <s v="Feminino"/>
    <x v="2"/>
    <x v="14"/>
    <s v="20103484 - Fisioterapia - Patologia Em Um Membro (R$ 12,22)"/>
    <s v="Fisioterapia"/>
    <n v="1712999455"/>
    <s v="Finalizado (1/1)"/>
    <n v="10.7536"/>
    <n v="1.4663999999999999"/>
    <n v="12.22"/>
    <s v="Sessão Faturada"/>
    <n v="611481880010010"/>
    <n v="59464"/>
    <s v="Unidade Vieiralves"/>
    <n v="1712999455"/>
    <m/>
  </r>
  <r>
    <x v="0"/>
    <x v="20"/>
    <s v="Sergio Massayoshi Nunomura"/>
    <s v="Masculino"/>
    <x v="1"/>
    <x v="14"/>
    <s v="50000160 - Fisioterapia Ortopédica (R$ 20,00), 98980327 - Taxa de Eletroterapia (Tens) (R$ 15,00)"/>
    <s v="Fisioterapia"/>
    <n v="9044249"/>
    <s v="Finalizado (9/10)"/>
    <n v="30.8"/>
    <n v="4.2"/>
    <n v="35"/>
    <s v="Sessão Faturada"/>
    <s v="0901013262310007"/>
    <n v="55942"/>
    <s v="Unidade Vieiralves"/>
    <n v="9044249"/>
    <m/>
  </r>
  <r>
    <x v="1"/>
    <x v="0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7/10)"/>
    <n v="30.8"/>
    <n v="4.2"/>
    <n v="35"/>
    <s v="Sessão Faturada"/>
    <n v="1101013389860100"/>
    <n v="57939"/>
    <s v="Unidade Vieiralves"/>
    <n v="8825151"/>
    <s v="GUIA ASSINADA"/>
  </r>
  <r>
    <x v="1"/>
    <x v="0"/>
    <s v="Victor Saulo Cavalcante de Melo"/>
    <s v="Masculino"/>
    <x v="2"/>
    <x v="14"/>
    <s v="20103492 - Fisioterapia - Patologia Em Dois Ou Mais Membros (R$ 14,83), 20103506 - Fisioterapia - Patologia Em Um Segmento da Coluna (R$ 12,22)"/>
    <s v="Fisioterapia"/>
    <n v="1707994935"/>
    <s v="Finalizado (5/5)"/>
    <n v="23.803999999999998"/>
    <n v="3.246"/>
    <n v="27.05"/>
    <s v="Sessão Faturada"/>
    <n v="833033600027000"/>
    <n v="15445"/>
    <s v="Unidade Vieiralves"/>
    <n v="1707994935"/>
    <m/>
  </r>
  <r>
    <x v="1"/>
    <x v="0"/>
    <s v="Adenise Leitão Barbosa"/>
    <s v="Feminino"/>
    <x v="12"/>
    <x v="14"/>
    <s v="20103492 - Patol. Em Dois Ou Mais Membros (R$ 14,83)"/>
    <s v="Fisioterapia"/>
    <n v="170141"/>
    <s v="Finalizado (9/10)"/>
    <n v="13.0504"/>
    <n v="1.7796000000000001"/>
    <n v="14.83"/>
    <s v="Sessão Faturada"/>
    <s v="000432203160121601"/>
    <n v="26264"/>
    <s v="Unidade Vieiralves"/>
    <n v="170141"/>
    <m/>
  </r>
  <r>
    <x v="1"/>
    <x v="0"/>
    <s v="Victor Saulo Cavalcante de Melo"/>
    <s v="Masculino"/>
    <x v="4"/>
    <x v="14"/>
    <s v="31602185 - Estimulação Elétrica Transcutânea - Removido 13/04/2026 (R$ 40,00)"/>
    <s v="Fisioterapia"/>
    <n v="1709739806"/>
    <s v="Finalizado (3/3)"/>
    <n v="35.200000000000003"/>
    <n v="4.8"/>
    <n v="40"/>
    <s v="Sessão Faturada"/>
    <n v="833033600027000"/>
    <n v="15445"/>
    <s v="Unidade Vieiralves"/>
    <n v="1709739806"/>
    <m/>
  </r>
  <r>
    <x v="1"/>
    <x v="2"/>
    <s v="Mychelle Karolynne Moura Souza"/>
    <s v="Feminino"/>
    <x v="2"/>
    <x v="14"/>
    <s v="20103514 - Fisioterapia - Patologia Em Diferentes Segmentos da Coluna (R$ 14,83)"/>
    <s v="Fisioterapia"/>
    <n v="1713509568"/>
    <s v="Finalizado (1/10)"/>
    <n v="13.0504"/>
    <n v="1.7796000000000001"/>
    <n v="14.83"/>
    <s v="Sessão a Faturar"/>
    <n v="775216011533020"/>
    <n v="59649"/>
    <s v="Unidade Vieiralves"/>
    <n v="1713509568"/>
    <m/>
  </r>
  <r>
    <x v="1"/>
    <x v="2"/>
    <s v="Ronaldo Ferreira Brasil Correa"/>
    <m/>
    <x v="1"/>
    <x v="14"/>
    <s v="50000160 - Fisioterapia Ortopédica (R$ 20,00), 98980327 - Taxa de Eletroterapia (Tens) (R$ 15,00)"/>
    <s v="Fisioterapia"/>
    <n v="8787630"/>
    <s v="Finalizado (3/10)"/>
    <n v="30.8"/>
    <n v="4.2"/>
    <n v="35"/>
    <s v="Sessão Faturada"/>
    <n v="2001013465800100"/>
    <n v="56389"/>
    <s v="Unidade Vieiralves"/>
    <n v="8787630"/>
    <m/>
  </r>
  <r>
    <x v="1"/>
    <x v="2"/>
    <s v="Adriana Brito de Souza"/>
    <s v="Feminino"/>
    <x v="1"/>
    <x v="14"/>
    <s v="50000160 - Fisioterapia Ortopédica (R$ 20,00), 98980327 - Taxa de Eletroterapia (Tens) (R$ 15,00)"/>
    <s v="Fisioterapia"/>
    <n v="8749471"/>
    <s v="Finalizado (9/10)"/>
    <n v="30.8"/>
    <n v="4.2"/>
    <n v="35"/>
    <s v="Sessão Faturada"/>
    <n v="1301013731160100"/>
    <n v="58802"/>
    <s v="Unidade Vieiralves"/>
    <n v="8749471"/>
    <s v="Guia assinada!"/>
  </r>
  <r>
    <x v="1"/>
    <x v="2"/>
    <s v="Mychelle Karolynne Moura Souza"/>
    <s v="Feminino"/>
    <x v="2"/>
    <x v="14"/>
    <s v="50000144 - Avaliação de Fisioterapia (R$ 51,42)"/>
    <s v="Fisioterapia"/>
    <n v="1713507711"/>
    <s v="Finalizado (1/1)"/>
    <n v="46.277999999999999"/>
    <n v="5.1420000000000003"/>
    <n v="51.42"/>
    <s v="Sessão Faturada"/>
    <n v="775216011533020"/>
    <n v="59649"/>
    <s v="Unidade Vieiralves"/>
    <n v="1713507711"/>
    <m/>
  </r>
  <r>
    <x v="1"/>
    <x v="4"/>
    <s v="Rafaela Mascarenhas Coelho Brasil"/>
    <s v="Feminino"/>
    <x v="1"/>
    <x v="14"/>
    <s v="50000160 - Fisioterapia Ortopédica (R$ 20,00), 98980327 - Taxa de Eletroterapia (Tens) (R$ 15,00)"/>
    <s v="Fisioterapia"/>
    <n v="9269452"/>
    <s v="Finalizado (2/10)"/>
    <n v="30.8"/>
    <n v="4.2"/>
    <n v="35"/>
    <s v="Sessão Faturada"/>
    <n v="1101013085360100"/>
    <n v="58097"/>
    <s v="Unidade Vieiralves"/>
    <n v="9269452"/>
    <m/>
  </r>
  <r>
    <x v="1"/>
    <x v="4"/>
    <s v="Maria Neuza Ribeiro de Matos Oliveira"/>
    <s v="Feminino"/>
    <x v="7"/>
    <x v="14"/>
    <s v="Vieiralves - 1 - Fisioterapia Ortopedica - Pacote (R$ 40,00)"/>
    <s v="Fisioterapia"/>
    <n v="171039"/>
    <s v="Finalizado (6/10)"/>
    <n v="31.2"/>
    <n v="8.8000000000000007"/>
    <n v="40"/>
    <s v="No Prazo"/>
    <s v="00"/>
    <n v="59588"/>
    <s v="Unidade Vieiralves"/>
    <n v="171039"/>
    <m/>
  </r>
  <r>
    <x v="1"/>
    <x v="4"/>
    <s v="Julliana Gadelha de Medeiros"/>
    <s v="Feminino"/>
    <x v="8"/>
    <x v="14"/>
    <s v="20103484 - Patologia Em Um Membro (R$ 12,22)"/>
    <s v="Fisioterapia"/>
    <n v="1711444434"/>
    <s v="Finalizado (2/7)"/>
    <n v="10.7536"/>
    <n v="1.4663999999999999"/>
    <n v="12.22"/>
    <s v="Sessão a Faturar"/>
    <n v="954600002968020"/>
    <n v="20663"/>
    <s v="Unidade Vieiralves"/>
    <n v="1711444434"/>
    <m/>
  </r>
  <r>
    <x v="1"/>
    <x v="13"/>
    <s v="Nelsi Maria Ladeira Luniere"/>
    <s v="Feminino"/>
    <x v="1"/>
    <x v="14"/>
    <s v="50000160 - Fisioterapia Ortopédica (R$ 20,00), 98980327 - Taxa de Eletroterapia (Tens) (R$ 15,00)"/>
    <s v="Fisioterapia"/>
    <n v="9162964"/>
    <s v="Finalizado (4/10)"/>
    <n v="30.8"/>
    <n v="4.2"/>
    <n v="35"/>
    <s v="Sessão Faturada"/>
    <s v="0801013498970007"/>
    <n v="58084"/>
    <s v="Unidade Vieiralves"/>
    <n v="9162964"/>
    <s v="GUIA ASSINADA"/>
  </r>
  <r>
    <x v="1"/>
    <x v="13"/>
    <s v="Eduardo Martins Souza"/>
    <s v="Masculino"/>
    <x v="1"/>
    <x v="14"/>
    <s v="50000160 - Fisioterapia Ortopédica (R$ 20,00), 98980327 - Taxa de Eletroterapia (Tens) (R$ 15,00)"/>
    <s v="Fisioterapia"/>
    <n v="9294151"/>
    <s v="Finalizado (3/10)"/>
    <n v="30.8"/>
    <n v="4.2"/>
    <n v="35"/>
    <s v="Sessão Faturada"/>
    <s v="0901013816210012"/>
    <n v="58367"/>
    <s v="Unidade Vieiralves"/>
    <n v="9294151"/>
    <m/>
  </r>
  <r>
    <x v="1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7/10)"/>
    <n v="30.8"/>
    <n v="4.2"/>
    <n v="35"/>
    <s v="Sessão Faturada"/>
    <n v="1301012940110100"/>
    <n v="53480"/>
    <s v="Unidade Vieiralves"/>
    <n v="9210847"/>
    <m/>
  </r>
  <r>
    <x v="1"/>
    <x v="6"/>
    <s v="Keitty Janete Garcia Mineiro"/>
    <s v="Feminino"/>
    <x v="1"/>
    <x v="14"/>
    <s v="50000160 - Fisioterapia Ortopédica (R$ 20,00), 98980327 - Taxa de Eletroterapia (Tens) (R$ 15,00)"/>
    <s v="Fisioterapia"/>
    <n v="8301206"/>
    <s v="Finalizado (10/10)"/>
    <n v="30.8"/>
    <n v="4.2"/>
    <n v="35"/>
    <s v="Sessão Faturada"/>
    <n v="1301013081700400"/>
    <n v="55920"/>
    <s v="Unidade Vieiralves"/>
    <n v="8301206"/>
    <s v="GUIA ASSINADA "/>
  </r>
  <r>
    <x v="1"/>
    <x v="15"/>
    <s v="Ana Carolina Bento Andrade da Encarnação"/>
    <s v="Feminino"/>
    <x v="2"/>
    <x v="14"/>
    <s v="50000144 - Avaliação de Fisioterapia (R$ 51,42)"/>
    <s v="Fisioterapia"/>
    <n v="1713610667"/>
    <s v="Finalizado (1/1)"/>
    <n v="46.277999999999999"/>
    <n v="5.1420000000000003"/>
    <n v="51.42"/>
    <s v="Sessão Faturada"/>
    <n v="771015045292010"/>
    <n v="21604"/>
    <s v="Unidade Vieiralves"/>
    <n v="1713610667"/>
    <m/>
  </r>
  <r>
    <x v="1"/>
    <x v="16"/>
    <s v="Ana Carolina Bento Andrade da Encarnação"/>
    <s v="Feminino"/>
    <x v="2"/>
    <x v="14"/>
    <s v="20103492 - Fisioterapia - Patologia Em Dois Ou Mais Membros (R$ 14,83), 20103506 - Fisioterapia - Patologia Em Um Segmento da Coluna (R$ 12,22)"/>
    <s v="Fisioterapia"/>
    <n v="1713611213"/>
    <s v="Finalizado (1/10)"/>
    <n v="23.803999999999998"/>
    <n v="3.246"/>
    <n v="27.05"/>
    <s v="Sessão a Faturar"/>
    <n v="771015045292010"/>
    <n v="21604"/>
    <s v="Unidade Vieiralves"/>
    <n v="1713611213"/>
    <m/>
  </r>
  <r>
    <x v="1"/>
    <x v="17"/>
    <s v="Rachel Gomes Silva"/>
    <s v="Feminino"/>
    <x v="20"/>
    <x v="14"/>
    <s v="20103484 - Patologia Em Um Membro (R$ 29,04)"/>
    <s v="Fisioterapia"/>
    <n v="55652530"/>
    <s v="Finalizado (2/10)"/>
    <n v="25.555199999999999"/>
    <n v="3.4847999999999999"/>
    <n v="29.04"/>
    <s v="Sessão a Faturar"/>
    <n v="10511003423000"/>
    <n v="59416"/>
    <s v="Unidade Vieiralves"/>
    <n v="55652530"/>
    <m/>
  </r>
  <r>
    <x v="1"/>
    <x v="8"/>
    <s v="Jessica Pereira Falcão"/>
    <s v="Feminino"/>
    <x v="25"/>
    <x v="14"/>
    <s v="50000160 - Fisioterapia Ortopedica (R$ 46,72)"/>
    <s v="Fisioterapia"/>
    <n v="143007"/>
    <s v="Finalizado (4/10)"/>
    <n v="41.113599999999998"/>
    <n v="5.6063999999999998"/>
    <n v="46.72"/>
    <s v="Sessão Faturada"/>
    <n v="13804"/>
    <n v="50776"/>
    <s v="Unidade Vieiralves"/>
    <n v="143007"/>
    <m/>
  </r>
  <r>
    <x v="1"/>
    <x v="10"/>
    <s v="Eunice Emanuele Soares Martins"/>
    <s v="Feminino"/>
    <x v="1"/>
    <x v="14"/>
    <s v="50000160 - Fisioterapia Ortopédica (R$ 20,00), 98980327 - Taxa de Eletroterapia (Tens) (R$ 15,00)"/>
    <s v="Fisioterapia"/>
    <n v="8886344"/>
    <s v="Finalizado (3/10)"/>
    <n v="30.8"/>
    <n v="4.2"/>
    <n v="35"/>
    <s v="Sessão Faturada"/>
    <n v="1202011460120100"/>
    <n v="56253"/>
    <s v="Unidade Vieiralves"/>
    <n v="8886344"/>
    <m/>
  </r>
  <r>
    <x v="1"/>
    <x v="12"/>
    <s v="Thiago Lima Guedes"/>
    <s v="Masculino"/>
    <x v="2"/>
    <x v="14"/>
    <s v="20103484 - Fisioterapia - Patologia Em Um Membro (R$ 12,22)"/>
    <s v="Fisioterapia"/>
    <n v="1708334645"/>
    <s v="Finalizado (4/7)"/>
    <n v="10.7536"/>
    <n v="1.4663999999999999"/>
    <n v="12.22"/>
    <s v="Sessão a Faturar"/>
    <n v="960019317525020"/>
    <n v="59106"/>
    <s v="Unidade Vieiralves"/>
    <n v="1708334645"/>
    <m/>
  </r>
  <r>
    <x v="1"/>
    <x v="12"/>
    <s v="Iris da Silva Costa"/>
    <s v="Feminino"/>
    <x v="6"/>
    <x v="14"/>
    <s v="31602185 - Estimulação Elétrica Transcutanea (Tens) (R$ 40,00)"/>
    <s v="Fisioterapia"/>
    <n v="855833"/>
    <s v="Finalizado (2/6)"/>
    <n v="35.200000000000003"/>
    <n v="4.8"/>
    <n v="40"/>
    <s v="Sessão a Faturar"/>
    <s v="55788888492927780014"/>
    <n v="50671"/>
    <s v="Unidade Vieiralves"/>
    <n v="855833"/>
    <m/>
  </r>
  <r>
    <x v="1"/>
    <x v="12"/>
    <s v="Iris da Silva Costa"/>
    <s v="Feminino"/>
    <x v="6"/>
    <x v="14"/>
    <s v="20103484 - Patologia Em Um Membro (R$ 14,16)"/>
    <s v="Fisioterapia"/>
    <n v="171916"/>
    <s v="Finalizado (2/6)"/>
    <n v="12.460800000000001"/>
    <n v="1.6992"/>
    <n v="14.16"/>
    <s v="Sessão a Faturar"/>
    <s v="55788888492927780014"/>
    <n v="50671"/>
    <s v="Unidade Vieiralves"/>
    <n v="171916"/>
    <m/>
  </r>
  <r>
    <x v="1"/>
    <x v="12"/>
    <s v="Cristiane Rodrigues da Silva"/>
    <s v="Feminino"/>
    <x v="6"/>
    <x v="14"/>
    <s v="20103492 - Patologia Em Dois Ou Mais Membros (R$ 30,26)"/>
    <s v="Fisioterapia"/>
    <n v="169654"/>
    <s v="Finalizado (5/10)"/>
    <n v="26.628799999999998"/>
    <n v="3.6312000000000002"/>
    <n v="30.26"/>
    <s v="Sessão a Faturar"/>
    <s v="54563005000001140015"/>
    <n v="16840"/>
    <s v="Unidade Vieiralves"/>
    <n v="169654"/>
    <m/>
  </r>
  <r>
    <x v="1"/>
    <x v="19"/>
    <s v="Cristiane Rodrigues da Silva"/>
    <s v="Feminino"/>
    <x v="6"/>
    <x v="14"/>
    <s v="31602185 - Estimulação Elétrica Transcutanea (Tens) (R$ 40,00)"/>
    <s v="Fisioterapia"/>
    <n v="170388"/>
    <s v="Finalizado (5/10)"/>
    <n v="35.200000000000003"/>
    <n v="4.8"/>
    <n v="40"/>
    <s v="Sessão a Faturar"/>
    <s v="54563005000001140015"/>
    <n v="16840"/>
    <s v="Unidade Vieiralves"/>
    <n v="170388"/>
    <m/>
  </r>
  <r>
    <x v="2"/>
    <x v="0"/>
    <s v="Rosalinda Pereira Brito"/>
    <s v="Feminino"/>
    <x v="2"/>
    <x v="14"/>
    <s v="20103484 - Fisioterapia - Patologia Em Um Membro (R$ 12,22)"/>
    <s v="Fisioterapia"/>
    <n v="1705795662"/>
    <s v="Finalizado (7/10)"/>
    <n v="10.7536"/>
    <n v="1.4663999999999999"/>
    <n v="12.22"/>
    <s v="Sessão Faturada"/>
    <s v="010544100907015"/>
    <n v="13886"/>
    <s v="Unidade Vieiralves"/>
    <n v="1705795662"/>
    <m/>
  </r>
  <r>
    <x v="2"/>
    <x v="0"/>
    <s v="Valmir de Oliveira Rodrigues"/>
    <s v="Masculino"/>
    <x v="6"/>
    <x v="14"/>
    <s v="20103484 - Patologia Em Um Membro (R$ 14,16)"/>
    <s v="Fisioterapia"/>
    <n v="171854"/>
    <s v="Finalizado (2/10)"/>
    <n v="12.460800000000001"/>
    <n v="1.6992"/>
    <n v="14.16"/>
    <s v="Sessão a Faturar"/>
    <s v="55788888483016290015"/>
    <n v="15363"/>
    <s v="Unidade Vieiralves"/>
    <n v="171854"/>
    <m/>
  </r>
  <r>
    <x v="2"/>
    <x v="0"/>
    <s v="Joeline Dutra da Silva"/>
    <s v="Feminino"/>
    <x v="1"/>
    <x v="14"/>
    <s v="50000160 - Fisioterapia Ortopédica (R$ 20,00), 98980327 - Taxa de Eletroterapia (Tens) (R$ 15,00)"/>
    <s v="Fisioterapia"/>
    <n v="9210393"/>
    <s v="Finalizado (5/10)"/>
    <n v="30.8"/>
    <n v="4.2"/>
    <n v="35"/>
    <s v="Sessão Faturada"/>
    <n v="1101013081410400"/>
    <n v="56667"/>
    <s v="Unidade Vieiralves"/>
    <n v="9210393"/>
    <m/>
  </r>
  <r>
    <x v="2"/>
    <x v="1"/>
    <s v="Rosalinda Pereira Brito"/>
    <s v="Feminino"/>
    <x v="4"/>
    <x v="14"/>
    <s v="31602185 - Estimulação Elétrica Transcutânea - Removido 13/04/2026 (R$ 40,00)"/>
    <s v="Fisioterapia"/>
    <n v="1710935636"/>
    <s v="Finalizado (3/10)"/>
    <n v="35.200000000000003"/>
    <n v="4.8"/>
    <n v="40"/>
    <s v="Sessão a Faturar"/>
    <s v="010544100907015"/>
    <n v="13886"/>
    <s v="Unidade Vieiralves"/>
    <n v="1710935636"/>
    <m/>
  </r>
  <r>
    <x v="2"/>
    <x v="1"/>
    <s v="Valmir de Oliveira Rodrigues"/>
    <s v="Masculino"/>
    <x v="6"/>
    <x v="14"/>
    <s v="31602185 - Estimulação Elétrica Transcutanea (Tens) (R$ 40,00)"/>
    <s v="Fisioterapia"/>
    <n v="171855"/>
    <s v="Finalizado (2/7)"/>
    <n v="35.200000000000003"/>
    <n v="4.8"/>
    <n v="40"/>
    <s v="Sessão a Faturar"/>
    <s v="55788888483016290015"/>
    <n v="15363"/>
    <s v="Unidade Vieiralves"/>
    <n v="171855"/>
    <m/>
  </r>
  <r>
    <x v="2"/>
    <x v="2"/>
    <s v="Maria Adelina Parente Lins Felix"/>
    <s v="Feminino"/>
    <x v="0"/>
    <x v="14"/>
    <s v="50000160 - Fisioterapia Ortopedica (R$ 49,72)"/>
    <s v="Fisioterapia"/>
    <s v="42263120260210268422"/>
    <s v="Finalizado (10/10)"/>
    <n v="43.753599999999999"/>
    <n v="5.9664000000000001"/>
    <n v="49.72"/>
    <s v="Sessão Faturada"/>
    <s v="010650363400"/>
    <n v="41281"/>
    <s v="Unidade Vieiralves"/>
    <s v="42263120260210268422"/>
    <m/>
  </r>
  <r>
    <x v="2"/>
    <x v="2"/>
    <s v="Adenise Leitão Barbosa"/>
    <s v="Feminino"/>
    <x v="12"/>
    <x v="14"/>
    <s v="20103492 - Patol. Em Dois Ou Mais Membros (R$ 14,83)"/>
    <s v="Fisioterapia"/>
    <n v="170141"/>
    <s v="Finalizado (10/10)"/>
    <n v="13.0504"/>
    <n v="1.7796000000000001"/>
    <n v="14.83"/>
    <s v="Sessão Faturada"/>
    <s v="000432203160121601"/>
    <n v="26264"/>
    <s v="Unidade Vieiralves"/>
    <n v="170141"/>
    <m/>
  </r>
  <r>
    <x v="2"/>
    <x v="2"/>
    <s v="Maria Adelina Parente Lins Felix"/>
    <s v="Feminino"/>
    <x v="0"/>
    <x v="14"/>
    <s v="31602185 - Estimulação Elétrica Transcutânea Fisioterapia (Novo - 01/12) (R$ 54,13)"/>
    <s v="Fisioterapia"/>
    <s v="42263120260325558384"/>
    <s v="Finalizado (1/10)"/>
    <n v="47.634399999999999"/>
    <n v="6.4955999999999996"/>
    <n v="54.13"/>
    <s v="Sessão a Faturar"/>
    <s v="010650363400"/>
    <n v="41281"/>
    <s v="Unidade Vieiralves"/>
    <s v="42263120260325558384"/>
    <m/>
  </r>
  <r>
    <x v="2"/>
    <x v="2"/>
    <s v="Maria Adelina Parente Lins Felix"/>
    <s v="Feminino"/>
    <x v="0"/>
    <x v="14"/>
    <s v="50000160 - Fisioterapia Ortopedica (R$ 49,72)"/>
    <s v="Fisioterapia"/>
    <s v="42263120260323540098"/>
    <s v="Finalizado (1/10)"/>
    <n v="43.753599999999999"/>
    <n v="5.9664000000000001"/>
    <n v="49.72"/>
    <s v="Sessão a Faturar"/>
    <s v="010650363400"/>
    <n v="41281"/>
    <s v="Unidade Vieiralves"/>
    <s v="42263120260323540098"/>
    <m/>
  </r>
  <r>
    <x v="2"/>
    <x v="4"/>
    <s v="Jucy Nogueira Levy"/>
    <s v="Masculino"/>
    <x v="2"/>
    <x v="14"/>
    <s v="20103662 - Fisioterapia - Pos Operatorio Em Um Membro (R$ 14,99)"/>
    <s v="Fisioterapia"/>
    <n v="1707984590"/>
    <s v="Finalizado (4/5)"/>
    <n v="13.1912"/>
    <n v="1.7988"/>
    <n v="14.99"/>
    <s v="Sessão Faturada"/>
    <n v="773268007013010"/>
    <n v="6099"/>
    <s v="Unidade Vieiralves"/>
    <n v="1707984590"/>
    <m/>
  </r>
  <r>
    <x v="2"/>
    <x v="4"/>
    <s v="Vitoria Elizabeteh de Souza Macedo"/>
    <s v="Feminino"/>
    <x v="2"/>
    <x v="14"/>
    <s v="20103662 - Fisioterapia - Pos Operatorio Em Um Membro (R$ 14,99)"/>
    <s v="Fisioterapia"/>
    <n v="1710360164"/>
    <s v="Finalizado (3/3)"/>
    <n v="13.1912"/>
    <n v="1.7988"/>
    <n v="14.99"/>
    <s v="Sessão Faturada"/>
    <n v="8361394000019000"/>
    <n v="16608"/>
    <s v="Unidade Vieiralves"/>
    <n v="1710360164"/>
    <m/>
  </r>
  <r>
    <x v="2"/>
    <x v="4"/>
    <s v="Maria Neuza Ribeiro de Matos Oliveira"/>
    <s v="Feminino"/>
    <x v="7"/>
    <x v="14"/>
    <s v="Vieiralves - 1 - Fisioterapia Ortopedica - Pacote (R$ 40,00)"/>
    <s v="Fisioterapia"/>
    <n v="171039"/>
    <s v="Finalizado (7/10)"/>
    <n v="31.2"/>
    <n v="8.8000000000000007"/>
    <n v="40"/>
    <s v="No Prazo"/>
    <s v="00"/>
    <n v="59588"/>
    <s v="Unidade Vieiralves"/>
    <n v="171039"/>
    <m/>
  </r>
  <r>
    <x v="2"/>
    <x v="13"/>
    <s v="Sandra Regina de Souza França"/>
    <s v="Feminino"/>
    <x v="1"/>
    <x v="14"/>
    <s v="50000160 - Fisioterapia Ortopédica (R$ 20,00), 98980327 - Taxa de Eletroterapia (Tens) (R$ 15,00)"/>
    <s v="Fisioterapia"/>
    <n v="8919881"/>
    <s v="Finalizado (8/8)"/>
    <n v="30.8"/>
    <n v="4.2"/>
    <n v="35"/>
    <s v="Sessão Faturada"/>
    <s v="0901011263750098"/>
    <n v="57345"/>
    <s v="Unidade Vieiralves"/>
    <n v="8919881"/>
    <m/>
  </r>
  <r>
    <x v="2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8/10)"/>
    <n v="30.8"/>
    <n v="4.2"/>
    <n v="35"/>
    <s v="Sessão Faturada"/>
    <n v="1301012940110100"/>
    <n v="53480"/>
    <s v="Unidade Vieiralves"/>
    <n v="9210847"/>
    <m/>
  </r>
  <r>
    <x v="2"/>
    <x v="6"/>
    <s v="Eduardo Martins Souza"/>
    <s v="Masculino"/>
    <x v="1"/>
    <x v="14"/>
    <s v="50000160 - Fisioterapia Ortopédica (R$ 20,00), 98980327 - Taxa de Eletroterapia (Tens) (R$ 15,00)"/>
    <s v="Fisioterapia"/>
    <n v="9294151"/>
    <s v="Finalizado (4/10)"/>
    <n v="30.8"/>
    <n v="4.2"/>
    <n v="35"/>
    <s v="Sessão Faturada"/>
    <s v="0901013816210012"/>
    <n v="58367"/>
    <s v="Unidade Vieiralves"/>
    <n v="9294151"/>
    <m/>
  </r>
  <r>
    <x v="2"/>
    <x v="6"/>
    <s v="Alessandra Silveira Rocha"/>
    <s v="Feminino"/>
    <x v="2"/>
    <x v="14"/>
    <s v="20103492 - Fisioterapia - Patologia Em Dois Ou Mais Membros (R$ 14,83)"/>
    <s v="Fisioterapia"/>
    <n v="1707002611"/>
    <s v="Finalizado (6/10)"/>
    <n v="13.0504"/>
    <n v="1.7796000000000001"/>
    <n v="14.83"/>
    <s v="Sessão a Faturar"/>
    <n v="774063023809020"/>
    <n v="58966"/>
    <s v="Unidade Vieiralves"/>
    <n v="1707002611"/>
    <m/>
  </r>
  <r>
    <x v="2"/>
    <x v="7"/>
    <s v="Alessandra Silveira Rocha"/>
    <s v="Feminino"/>
    <x v="4"/>
    <x v="14"/>
    <s v="31602185 - Estimulação Elétrica Transcutânea - Removido 13/04/2026 (R$ 40,00)"/>
    <s v="Fisioterapia"/>
    <n v="1714208925"/>
    <s v="Finalizado (1/5)"/>
    <n v="35.200000000000003"/>
    <n v="4.8"/>
    <n v="40"/>
    <s v="Sessão a Faturar"/>
    <n v="774063023809020"/>
    <n v="58966"/>
    <s v="Unidade Vieiralves"/>
    <n v="1714208925"/>
    <m/>
  </r>
  <r>
    <x v="2"/>
    <x v="15"/>
    <s v="Samuel Cunha de Oliveira"/>
    <m/>
    <x v="2"/>
    <x v="14"/>
    <s v="20103492 - Fisioterapia - Patologia Em Dois Ou Mais Membros (R$ 14,83)"/>
    <s v="Fisioterapia"/>
    <n v="1705899542"/>
    <s v="Finalizado (8/10)"/>
    <n v="13.0504"/>
    <n v="1.7796000000000001"/>
    <n v="14.83"/>
    <s v="Sessão Faturada"/>
    <n v="837047000191010"/>
    <n v="59496"/>
    <s v="Unidade Vieiralves"/>
    <n v="1705899542"/>
    <m/>
  </r>
  <r>
    <x v="2"/>
    <x v="15"/>
    <s v="Déborah Lúcia Ohana Rodrigues"/>
    <s v="Feminino"/>
    <x v="7"/>
    <x v="14"/>
    <s v="Vieiralves - 33 - Fisioterapia Ortopedica - Sessão Avulsa (R$ 90,00)"/>
    <s v="Fisioterapia"/>
    <m/>
    <s v="Finalizado (1/1)"/>
    <n v="70.2"/>
    <n v="19.8"/>
    <n v="90"/>
    <s v="Pago"/>
    <s v="00"/>
    <n v="59036"/>
    <s v="Unidade Vieiralves"/>
    <m/>
    <m/>
  </r>
  <r>
    <x v="2"/>
    <x v="15"/>
    <s v="Alice da Silva dos Santos"/>
    <m/>
    <x v="2"/>
    <x v="14"/>
    <s v="20103484 - Fisioterapia - Patologia Em Um Membro (R$ 12,22)"/>
    <s v="Fisioterapia"/>
    <n v="1712940146"/>
    <s v="Finalizado (2/4)"/>
    <n v="10.7536"/>
    <n v="1.4663999999999999"/>
    <n v="12.22"/>
    <s v="Sessão a Faturar"/>
    <n v="843486100604000"/>
    <n v="56112"/>
    <s v="Unidade Vieiralves"/>
    <n v="1712940146"/>
    <m/>
  </r>
  <r>
    <x v="2"/>
    <x v="15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3/9)"/>
    <n v="21.507200000000001"/>
    <n v="2.9327999999999999"/>
    <n v="24.44"/>
    <s v="Sessão a Faturar"/>
    <n v="837047000191020"/>
    <n v="59619"/>
    <s v="Unidade Vieiralves"/>
    <n v="1711643216"/>
    <m/>
  </r>
  <r>
    <x v="2"/>
    <x v="17"/>
    <s v="Rachel Gomes Silva"/>
    <s v="Feminino"/>
    <x v="20"/>
    <x v="14"/>
    <s v="20103484 - Patologia Em Um Membro (R$ 29,04)"/>
    <s v="Fisioterapia"/>
    <n v="55652530"/>
    <s v="Finalizado (3/10)"/>
    <n v="25.555199999999999"/>
    <n v="3.4847999999999999"/>
    <n v="29.04"/>
    <s v="Sessão a Faturar"/>
    <n v="10511003423000"/>
    <n v="59416"/>
    <s v="Unidade Vieiralves"/>
    <n v="55652530"/>
    <m/>
  </r>
  <r>
    <x v="2"/>
    <x v="17"/>
    <s v="Thaianne de Matos Sampaio da Silva"/>
    <s v="Feminino"/>
    <x v="0"/>
    <x v="14"/>
    <s v="50000160 - Fisioterapia Ortopedica (R$ 49,72)"/>
    <s v="Fisioterapia"/>
    <s v="42263120260307428164"/>
    <s v="Finalizado (6/10)"/>
    <n v="43.753599999999999"/>
    <n v="5.9664000000000001"/>
    <n v="49.72"/>
    <s v="Sessão a Faturar"/>
    <s v="010650776203"/>
    <n v="59378"/>
    <s v="Unidade Vieiralves"/>
    <s v="42263120260307428164"/>
    <m/>
  </r>
  <r>
    <x v="2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6/10)"/>
    <n v="47.634399999999999"/>
    <n v="6.4955999999999996"/>
    <n v="54.13"/>
    <s v="Sessão a Faturar"/>
    <s v="010650776203"/>
    <n v="59378"/>
    <s v="Unidade Vieiralves"/>
    <s v="42263120260307428285"/>
    <m/>
  </r>
  <r>
    <x v="2"/>
    <x v="8"/>
    <s v="Lauren Lauschner Gaikoski"/>
    <s v="Feminino"/>
    <x v="4"/>
    <x v="14"/>
    <s v="31602185 - Estimulação Elétrica Transcutânea - Removido 13/04/2026 (R$ 40,00)"/>
    <s v="Fisioterapia"/>
    <n v="1710492003"/>
    <s v="Finalizado (4/4)"/>
    <n v="35.200000000000003"/>
    <n v="4.8"/>
    <n v="40"/>
    <s v="Sessão Faturada"/>
    <n v="775388000299020"/>
    <n v="56279"/>
    <s v="Unidade Vieiralves"/>
    <n v="1710492003"/>
    <m/>
  </r>
  <r>
    <x v="2"/>
    <x v="8"/>
    <s v="Lauren Lauschner Gaikoski"/>
    <s v="Feminino"/>
    <x v="2"/>
    <x v="14"/>
    <s v="20103484 - Fisioterapia - Patologia Em Um Membro (R$ 12,22)"/>
    <s v="Fisioterapia"/>
    <n v="1709236406"/>
    <s v="Finalizado (5/5)"/>
    <n v="10.7536"/>
    <n v="1.4663999999999999"/>
    <n v="12.22"/>
    <s v="Sessão Faturada"/>
    <n v="775388000299020"/>
    <n v="56279"/>
    <s v="Unidade Vieiralves"/>
    <n v="1709236406"/>
    <m/>
  </r>
  <r>
    <x v="2"/>
    <x v="10"/>
    <s v="Ingrid de Vasconcelos Castelo Branco"/>
    <s v="Feminino"/>
    <x v="12"/>
    <x v="14"/>
    <s v="31602185 - Estimulação Elétrica Transcutânea (Tens) (R$ 49,00)"/>
    <s v="Fisioterapia"/>
    <n v="10304052"/>
    <s v="Finalizado (9/9)"/>
    <n v="43.12"/>
    <n v="5.88"/>
    <n v="49"/>
    <s v="Sessão a Faturar"/>
    <s v="000430852874162602"/>
    <n v="38899"/>
    <s v="Unidade Vieiralves"/>
    <n v="10304052"/>
    <m/>
  </r>
  <r>
    <x v="2"/>
    <x v="10"/>
    <s v="Ingrid de Vasconcelos Castelo Branco"/>
    <s v="Feminino"/>
    <x v="12"/>
    <x v="14"/>
    <s v="20103492 - Patol. Em Dois Ou Mais Membros (R$ 14,83), 20103506 - Patol. Em Um Segmento Na Coluna (R$ 12,22)"/>
    <s v="Fisioterapia"/>
    <n v="169503"/>
    <s v="Finalizado (9/9)"/>
    <n v="23.803999999999998"/>
    <n v="3.246"/>
    <n v="27.05"/>
    <s v="Sessão a Faturar"/>
    <s v="000430852874162602"/>
    <n v="38899"/>
    <s v="Unidade Vieiralves"/>
    <n v="169503"/>
    <m/>
  </r>
  <r>
    <x v="2"/>
    <x v="10"/>
    <s v="Maria Jose Maze Santiago Mourão"/>
    <s v="Feminino"/>
    <x v="1"/>
    <x v="14"/>
    <s v="50000144 - Consulta de Fisioterapia (R$ 16,00)"/>
    <s v="Fisioterapia"/>
    <n v="9400807"/>
    <s v="Finalizado (1/1)"/>
    <n v="14.4"/>
    <n v="1.6"/>
    <n v="16"/>
    <s v="Sessão Faturada"/>
    <s v="0901013253950007"/>
    <n v="49678"/>
    <s v="Unidade Vieiralves"/>
    <n v="9400807"/>
    <m/>
  </r>
  <r>
    <x v="2"/>
    <x v="10"/>
    <s v="Françoise do Nascimento Lima"/>
    <s v="Feminino"/>
    <x v="2"/>
    <x v="14"/>
    <s v="20103484 - Fisioterapia - Patologia Em Um Membro (R$ 12,22)"/>
    <s v="Fisioterapia"/>
    <n v="1711678006"/>
    <s v="Finalizado (6/10)"/>
    <n v="10.7536"/>
    <n v="1.4663999999999999"/>
    <n v="12.22"/>
    <s v="Sessão a Faturar"/>
    <n v="771015045942010"/>
    <n v="99"/>
    <s v="Unidade Vieiralves"/>
    <n v="1711678006"/>
    <m/>
  </r>
  <r>
    <x v="2"/>
    <x v="11"/>
    <s v="Maria Jose Maze Santiago Mourão"/>
    <s v="Feminino"/>
    <x v="1"/>
    <x v="14"/>
    <s v="50000160 - Fisioterapia Ortopédica (R$ 20,00), 98980327 - Taxa de Eletroterapia (Tens) (R$ 15,00)"/>
    <s v="Fisioterapia"/>
    <n v="9400866"/>
    <s v="Finalizado (1/1)"/>
    <n v="30.8"/>
    <n v="4.2"/>
    <n v="35"/>
    <s v="Sessão Faturada"/>
    <s v="0901013253950007"/>
    <n v="49678"/>
    <s v="Unidade Vieiralves"/>
    <n v="9400866"/>
    <m/>
  </r>
  <r>
    <x v="2"/>
    <x v="12"/>
    <s v="Iris da Silva Costa"/>
    <s v="Feminino"/>
    <x v="6"/>
    <x v="14"/>
    <s v="31602185 - Estimulação Elétrica Transcutanea (Tens) (R$ 40,00)"/>
    <s v="Fisioterapia"/>
    <n v="855833"/>
    <s v="Finalizado (3/6)"/>
    <n v="35.200000000000003"/>
    <n v="4.8"/>
    <n v="40"/>
    <s v="Sessão a Faturar"/>
    <s v="55788888492927780014"/>
    <n v="50671"/>
    <s v="Unidade Vieiralves"/>
    <n v="855833"/>
    <m/>
  </r>
  <r>
    <x v="2"/>
    <x v="12"/>
    <s v="Cristiane Rodrigues da Silva"/>
    <s v="Feminino"/>
    <x v="6"/>
    <x v="14"/>
    <s v="31602185 - Estimulação Elétrica Transcutanea (Tens) (R$ 40,00)"/>
    <s v="Fisioterapia"/>
    <n v="170388"/>
    <s v="Finalizado (6/10)"/>
    <n v="35.200000000000003"/>
    <n v="4.8"/>
    <n v="40"/>
    <s v="Sessão a Faturar"/>
    <s v="54563005000001140015"/>
    <n v="16840"/>
    <s v="Unidade Vieiralves"/>
    <n v="170388"/>
    <m/>
  </r>
  <r>
    <x v="2"/>
    <x v="12"/>
    <s v="Iris da Silva Costa"/>
    <s v="Feminino"/>
    <x v="6"/>
    <x v="14"/>
    <s v="20103484 - Patologia Em Um Membro (R$ 14,16)"/>
    <s v="Fisioterapia"/>
    <n v="171916"/>
    <s v="Finalizado (3/6)"/>
    <n v="12.460800000000001"/>
    <n v="1.6992"/>
    <n v="14.16"/>
    <s v="Sessão a Faturar"/>
    <s v="55788888492927780014"/>
    <n v="50671"/>
    <s v="Unidade Vieiralves"/>
    <n v="171916"/>
    <m/>
  </r>
  <r>
    <x v="2"/>
    <x v="12"/>
    <s v="Pamela Pavanetto"/>
    <s v="Feminino"/>
    <x v="1"/>
    <x v="14"/>
    <s v="50000160 - Fisioterapia Ortopédica (R$ 20,00), 98980327 - Taxa de Eletroterapia (Tens) (R$ 15,00)"/>
    <s v="Fisioterapia"/>
    <n v="9377620"/>
    <s v="Finalizado (2/10)"/>
    <n v="30.8"/>
    <n v="4.2"/>
    <n v="35"/>
    <s v="Sessão Faturada"/>
    <s v="0901013948460075"/>
    <n v="59596"/>
    <s v="Unidade Vieiralves"/>
    <n v="9377620"/>
    <s v="GUIA ASSINADA"/>
  </r>
  <r>
    <x v="2"/>
    <x v="19"/>
    <s v="Cristiane Rodrigues da Silva"/>
    <s v="Feminino"/>
    <x v="6"/>
    <x v="14"/>
    <s v="20103492 - Patologia Em Dois Ou Mais Membros (R$ 30,26)"/>
    <s v="Fisioterapia"/>
    <n v="169654"/>
    <s v="Finalizado (6/10)"/>
    <n v="26.628799999999998"/>
    <n v="3.6312000000000002"/>
    <n v="30.26"/>
    <s v="Sessão a Faturar"/>
    <s v="54563005000001140015"/>
    <n v="16840"/>
    <s v="Unidade Vieiralves"/>
    <n v="169654"/>
    <m/>
  </r>
  <r>
    <x v="2"/>
    <x v="20"/>
    <s v="Eunice Emanuele Soares Martins"/>
    <s v="Feminino"/>
    <x v="1"/>
    <x v="14"/>
    <s v="50000160 - Fisioterapia Ortopédica (R$ 20,00), 98980327 - Taxa de Eletroterapia (Tens) (R$ 15,00)"/>
    <s v="Fisioterapia"/>
    <n v="8886344"/>
    <s v="Finalizado (4/10)"/>
    <n v="30.8"/>
    <n v="4.2"/>
    <n v="35"/>
    <s v="Sessão Faturada"/>
    <n v="1202011460120100"/>
    <n v="56253"/>
    <s v="Unidade Vieiralves"/>
    <n v="8886344"/>
    <m/>
  </r>
  <r>
    <x v="2"/>
    <x v="20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6/10)"/>
    <n v="21.507200000000001"/>
    <n v="2.9327999999999999"/>
    <n v="24.44"/>
    <s v="Sessão a Faturar"/>
    <n v="867546100043000"/>
    <n v="59479"/>
    <s v="Unidade Vieiralves"/>
    <n v="1708046408"/>
    <m/>
  </r>
  <r>
    <x v="2"/>
    <x v="20"/>
    <s v="Waldir dos Santos Fontes Junior"/>
    <s v="Masculino"/>
    <x v="2"/>
    <x v="14"/>
    <s v="20103506 - Fisioterapia - Patologia Em Um Segmento da Coluna (R$ 12,22)"/>
    <s v="Fisioterapia"/>
    <n v="1714249141"/>
    <s v="Finalizado (1/5)"/>
    <n v="10.7536"/>
    <n v="1.4663999999999999"/>
    <n v="12.22"/>
    <s v="Sessão Faturada"/>
    <n v="772133000728000"/>
    <n v="51522"/>
    <s v="Unidade Vieiralves"/>
    <n v="1714249141"/>
    <m/>
  </r>
  <r>
    <x v="2"/>
    <x v="20"/>
    <s v="Leonardo Emmanuel Neves Rodrigues"/>
    <s v="Masculino"/>
    <x v="4"/>
    <x v="14"/>
    <s v="31602185 - Estimulação Elétrica Transcutânea - Removido 13/04/2026 (R$ 40,00)"/>
    <s v="Fisioterapia"/>
    <n v="1713010280"/>
    <s v="Finalizado (2/5)"/>
    <n v="35.200000000000003"/>
    <n v="4.8"/>
    <n v="40"/>
    <s v="Sessão Faturada"/>
    <n v="867546100043000"/>
    <n v="59479"/>
    <s v="Unidade Vieiralves"/>
    <n v="1713010280"/>
    <m/>
  </r>
  <r>
    <x v="3"/>
    <x v="0"/>
    <s v="Rosalinda Pereira Brito"/>
    <s v="Feminino"/>
    <x v="4"/>
    <x v="14"/>
    <s v="31602185 - Estimulação Elétrica Transcutânea - Removido 13/04/2026 (R$ 40,00)"/>
    <s v="Fisioterapia"/>
    <n v="1710935636"/>
    <s v="Finalizado (4/10)"/>
    <n v="35.200000000000003"/>
    <n v="4.8"/>
    <n v="40"/>
    <s v="Sessão a Faturar"/>
    <s v="010544100907015"/>
    <n v="13886"/>
    <s v="Unidade Vieiralves"/>
    <n v="1710935636"/>
    <m/>
  </r>
  <r>
    <x v="3"/>
    <x v="0"/>
    <s v="Rosalinda Pereira Brito"/>
    <s v="Feminino"/>
    <x v="2"/>
    <x v="14"/>
    <s v="20103484 - Fisioterapia - Patologia Em Um Membro (R$ 12,22)"/>
    <s v="Fisioterapia"/>
    <n v="1705795662"/>
    <s v="Finalizado (8/10)"/>
    <n v="10.7536"/>
    <n v="1.4663999999999999"/>
    <n v="12.22"/>
    <s v="Sessão Faturada"/>
    <s v="010544100907015"/>
    <n v="13886"/>
    <s v="Unidade Vieiralves"/>
    <n v="1705795662"/>
    <m/>
  </r>
  <r>
    <x v="3"/>
    <x v="0"/>
    <s v="Adenise Leitão Barbosa"/>
    <s v="Feminino"/>
    <x v="12"/>
    <x v="14"/>
    <s v="20103492 - Patol. Em Dois Ou Mais Membros (R$ 14,83)"/>
    <s v="Fisioterapia"/>
    <n v="172290"/>
    <s v="Finalizado (1/10)"/>
    <n v="13.0504"/>
    <n v="1.7796000000000001"/>
    <n v="14.83"/>
    <s v="Sessão a Faturar"/>
    <s v="000432203160121601"/>
    <n v="26264"/>
    <s v="Unidade Vieiralves"/>
    <n v="172290"/>
    <m/>
  </r>
  <r>
    <x v="3"/>
    <x v="2"/>
    <s v="Sandrea Flores Ferreira"/>
    <s v="Feminino"/>
    <x v="2"/>
    <x v="14"/>
    <s v="20103484 - Fisioterapia - Patologia Em Um Membro (R$ 12,22)"/>
    <s v="Fisioterapia"/>
    <n v="1714659755"/>
    <s v="Finalizado (1/10)"/>
    <n v="10.7536"/>
    <n v="1.4663999999999999"/>
    <n v="12.22"/>
    <s v="Sessão a Faturar"/>
    <n v="960016290663000"/>
    <n v="55592"/>
    <s v="Unidade Vieiralves"/>
    <n v="1714659755"/>
    <m/>
  </r>
  <r>
    <x v="3"/>
    <x v="2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8/10)"/>
    <n v="30.8"/>
    <n v="4.2"/>
    <n v="35"/>
    <s v="Sessão Faturada"/>
    <n v="1101013389860100"/>
    <n v="57939"/>
    <s v="Unidade Vieiralves"/>
    <n v="8825151"/>
    <s v="GUIA ASSINADA"/>
  </r>
  <r>
    <x v="3"/>
    <x v="2"/>
    <s v="Adriana Brito de Souza"/>
    <s v="Feminino"/>
    <x v="1"/>
    <x v="14"/>
    <s v="50000160 - Fisioterapia Ortopédica (R$ 20,00), 98980327 - Taxa de Eletroterapia (Tens) (R$ 15,00)"/>
    <s v="Fisioterapia"/>
    <n v="8749471"/>
    <s v="Finalizado (10/10)"/>
    <n v="30.8"/>
    <n v="4.2"/>
    <n v="35"/>
    <s v="Sessão Faturada"/>
    <n v="1301013731160100"/>
    <n v="58802"/>
    <s v="Unidade Vieiralves"/>
    <n v="8749471"/>
    <s v="Guia assinada!"/>
  </r>
  <r>
    <x v="3"/>
    <x v="4"/>
    <s v="Ronaldo Ferreira Brasil Correa"/>
    <m/>
    <x v="1"/>
    <x v="14"/>
    <s v="50000160 - Fisioterapia Ortopédica (R$ 20,00), 98980327 - Taxa de Eletroterapia (Tens) (R$ 15,00)"/>
    <s v="Fisioterapia"/>
    <n v="8787630"/>
    <s v="Finalizado (4/10)"/>
    <n v="30.8"/>
    <n v="4.2"/>
    <n v="35"/>
    <s v="Sessão Faturada"/>
    <n v="2001013465800100"/>
    <n v="56389"/>
    <s v="Unidade Vieiralves"/>
    <n v="8787630"/>
    <m/>
  </r>
  <r>
    <x v="3"/>
    <x v="4"/>
    <s v="Maria Neuza Ribeiro de Matos Oliveira"/>
    <s v="Feminino"/>
    <x v="7"/>
    <x v="14"/>
    <s v="Vieiralves - 1 - Fisioterapia Ortopedica - Pacote (R$ 40,00)"/>
    <s v="Fisioterapia"/>
    <n v="171039"/>
    <s v="Finalizado (8/10)"/>
    <n v="31.2"/>
    <n v="8.8000000000000007"/>
    <n v="40"/>
    <s v="No Prazo"/>
    <s v="00"/>
    <n v="59588"/>
    <s v="Unidade Vieiralves"/>
    <n v="171039"/>
    <m/>
  </r>
  <r>
    <x v="3"/>
    <x v="13"/>
    <s v="Valmir de Oliveira Rodrigues"/>
    <s v="Masculino"/>
    <x v="6"/>
    <x v="14"/>
    <s v="20103484 - Patologia Em Um Membro (R$ 14,16)"/>
    <s v="Fisioterapia"/>
    <n v="171854"/>
    <s v="Finalizado (3/10)"/>
    <n v="12.460800000000001"/>
    <n v="1.6992"/>
    <n v="14.16"/>
    <s v="Sessão a Faturar"/>
    <s v="55788888483016290015"/>
    <n v="15363"/>
    <s v="Unidade Vieiralves"/>
    <n v="171854"/>
    <m/>
  </r>
  <r>
    <x v="3"/>
    <x v="13"/>
    <s v="Dulcilene da Conceição Santarém"/>
    <s v="Feminino"/>
    <x v="7"/>
    <x v="14"/>
    <s v="Vieiralves - 1 - Fisioterapia Ortopedica - Pacote (R$ 80,00)"/>
    <s v="Fisioterapia"/>
    <n v="167728"/>
    <s v="Finalizado (7/10)"/>
    <n v="62.4"/>
    <n v="17.600000000000001"/>
    <n v="80"/>
    <s v="Pago"/>
    <n v="0"/>
    <n v="57405"/>
    <s v="Unidade Vieiralves"/>
    <n v="167728"/>
    <m/>
  </r>
  <r>
    <x v="3"/>
    <x v="13"/>
    <s v="Mychelle Karolynne Moura Souza"/>
    <s v="Feminino"/>
    <x v="2"/>
    <x v="14"/>
    <s v="20103514 - Fisioterapia - Patologia Em Diferentes Segmentos da Coluna (R$ 14,83)"/>
    <s v="Fisioterapia"/>
    <n v="1713509568"/>
    <s v="Finalizado (2/10)"/>
    <n v="13.0504"/>
    <n v="1.7796000000000001"/>
    <n v="14.83"/>
    <s v="Sessão a Faturar"/>
    <n v="775216011533020"/>
    <n v="59649"/>
    <s v="Unidade Vieiralves"/>
    <n v="1713509568"/>
    <m/>
  </r>
  <r>
    <x v="3"/>
    <x v="14"/>
    <s v="Valmir de Oliveira Rodrigues"/>
    <s v="Masculino"/>
    <x v="6"/>
    <x v="14"/>
    <s v="31602185 - Estimulação Elétrica Transcutanea (Tens) (R$ 40,00)"/>
    <s v="Fisioterapia"/>
    <n v="171855"/>
    <s v="Finalizado (3/7)"/>
    <n v="35.200000000000003"/>
    <n v="4.8"/>
    <n v="40"/>
    <s v="Sessão a Faturar"/>
    <s v="55788888483016290015"/>
    <n v="15363"/>
    <s v="Unidade Vieiralves"/>
    <n v="171855"/>
    <m/>
  </r>
  <r>
    <x v="3"/>
    <x v="6"/>
    <s v="Alice da Silva dos Santos"/>
    <m/>
    <x v="2"/>
    <x v="14"/>
    <s v="20103484 - Fisioterapia - Patologia Em Um Membro (R$ 12,22)"/>
    <s v="Fisioterapia"/>
    <n v="1712940146"/>
    <s v="Finalizado (3/4)"/>
    <n v="10.7536"/>
    <n v="1.4663999999999999"/>
    <n v="12.22"/>
    <s v="Sessão a Faturar"/>
    <n v="843486100604000"/>
    <n v="56112"/>
    <s v="Unidade Vieiralves"/>
    <n v="1712940146"/>
    <m/>
  </r>
  <r>
    <x v="3"/>
    <x v="7"/>
    <s v="Alice da Silva dos Santos"/>
    <m/>
    <x v="4"/>
    <x v="14"/>
    <s v="31602185 - Estimulação Elétrica Transcutânea - Removido 13/04/2026 (R$ 40,00)"/>
    <s v="Fisioterapia"/>
    <n v="1714739136"/>
    <s v="Finalizado (1/10)"/>
    <n v="35.200000000000003"/>
    <n v="4.8"/>
    <n v="40"/>
    <s v="Sessão a Faturar"/>
    <n v="843486100604000"/>
    <n v="56112"/>
    <s v="Unidade Vieiralves"/>
    <n v="1714739136"/>
    <m/>
  </r>
  <r>
    <x v="3"/>
    <x v="8"/>
    <s v="Lauren Lauschner Gaikoski"/>
    <s v="Feminino"/>
    <x v="2"/>
    <x v="14"/>
    <s v="20103484 - Fisioterapia - Patologia Em Um Membro (R$ 12,22)"/>
    <s v="Fisioterapia"/>
    <n v="1714766274"/>
    <s v="Finalizado (1/10)"/>
    <n v="10.7536"/>
    <n v="1.4663999999999999"/>
    <n v="12.22"/>
    <s v="Sessão a Faturar"/>
    <n v="775388000299020"/>
    <n v="56279"/>
    <s v="Unidade Vieiralves"/>
    <n v="1714766274"/>
    <m/>
  </r>
  <r>
    <x v="4"/>
    <x v="0"/>
    <s v="Davi Ferreira Gadelha"/>
    <s v="Masculino"/>
    <x v="2"/>
    <x v="14"/>
    <s v="20103514 - Fisioterapia - Patologia Em Diferentes Segmentos da Coluna (R$ 14,83)"/>
    <s v="Fisioterapia"/>
    <n v="1711540478"/>
    <s v="Finalizado (2/6)"/>
    <n v="13.0504"/>
    <n v="1.7796000000000001"/>
    <n v="14.83"/>
    <s v="Sessão a Faturar"/>
    <n v="896128600019030"/>
    <n v="51103"/>
    <s v="Unidade Vieiralves"/>
    <n v="1711540478"/>
    <m/>
  </r>
  <r>
    <x v="4"/>
    <x v="0"/>
    <s v="Elcilene Pinheiro Ferreira Gadelha"/>
    <s v="Feminino"/>
    <x v="2"/>
    <x v="14"/>
    <s v="20103492 - Fisioterapia - Patologia Em Dois Ou Mais Membros (R$ 14,83)"/>
    <s v="Fisioterapia"/>
    <n v="1711540007"/>
    <s v="Finalizado (2/6)"/>
    <n v="13.0504"/>
    <n v="1.7796000000000001"/>
    <n v="14.83"/>
    <s v="Sessão a Faturar"/>
    <n v="896128600019000"/>
    <n v="51111"/>
    <s v="Unidade Vieiralves"/>
    <n v="1711540007"/>
    <m/>
  </r>
  <r>
    <x v="4"/>
    <x v="0"/>
    <s v="Luiz Carlos Barcelos Gonzaga"/>
    <s v="Masculino"/>
    <x v="8"/>
    <x v="14"/>
    <s v="20103662 - Pos Operatorio Em Um Membro (R$ 14,99)"/>
    <s v="Fisioterapia"/>
    <n v="1711562792"/>
    <s v="Finalizado (2/8)"/>
    <n v="13.1912"/>
    <n v="1.7988"/>
    <n v="14.99"/>
    <s v="Sessão a Faturar"/>
    <n v="954600002887000"/>
    <n v="16269"/>
    <s v="Unidade Vieiralves"/>
    <n v="1711562792"/>
    <m/>
  </r>
  <r>
    <x v="4"/>
    <x v="0"/>
    <s v="Joeline Dutra da Silva"/>
    <s v="Feminino"/>
    <x v="1"/>
    <x v="14"/>
    <s v="50000160 - Fisioterapia Ortopédica (R$ 20,00), 98980327 - Taxa de Eletroterapia (Tens) (R$ 15,00)"/>
    <s v="Fisioterapia"/>
    <n v="9210393"/>
    <s v="Finalizado (6/10)"/>
    <n v="30.8"/>
    <n v="4.2"/>
    <n v="35"/>
    <s v="Sessão Faturada"/>
    <n v="1101013081410400"/>
    <n v="56667"/>
    <s v="Unidade Vieiralves"/>
    <n v="9210393"/>
    <m/>
  </r>
  <r>
    <x v="4"/>
    <x v="2"/>
    <s v="Maria Adelina Parente Lins Felix"/>
    <s v="Feminino"/>
    <x v="0"/>
    <x v="14"/>
    <s v="50000160 - Fisioterapia Ortopedica (R$ 49,72)"/>
    <s v="Fisioterapia"/>
    <s v="42263120260323540098"/>
    <s v="Finalizado (2/10)"/>
    <n v="43.753599999999999"/>
    <n v="5.9664000000000001"/>
    <n v="49.72"/>
    <s v="Sessão a Faturar"/>
    <s v="010650363400"/>
    <n v="41281"/>
    <s v="Unidade Vieiralves"/>
    <s v="42263120260323540098"/>
    <m/>
  </r>
  <r>
    <x v="4"/>
    <x v="2"/>
    <s v="Rosana Maria de Almeida Gonzaga"/>
    <s v="Feminino"/>
    <x v="8"/>
    <x v="14"/>
    <s v="20103492 - Patologia Em Dois Ou Mais Membros (R$ 14,83)"/>
    <s v="Fisioterapia"/>
    <n v="1715185422"/>
    <s v="Finalizado (1/1)"/>
    <n v="13.0504"/>
    <n v="1.7796000000000001"/>
    <n v="14.83"/>
    <s v="Sessão a Faturar"/>
    <n v="954600002887020"/>
    <n v="15742"/>
    <s v="Unidade Vieiralves"/>
    <n v="1715185422"/>
    <m/>
  </r>
  <r>
    <x v="4"/>
    <x v="2"/>
    <s v="Adenise Leitão Barbosa"/>
    <s v="Feminino"/>
    <x v="12"/>
    <x v="14"/>
    <s v="20103492 - Patol. Em Dois Ou Mais Membros (R$ 14,83)"/>
    <s v="Fisioterapia"/>
    <n v="172290"/>
    <s v="Finalizado (2/10)"/>
    <n v="13.0504"/>
    <n v="1.7796000000000001"/>
    <n v="14.83"/>
    <s v="Sessão a Faturar"/>
    <s v="000432203160121601"/>
    <n v="26264"/>
    <s v="Unidade Vieiralves"/>
    <n v="172290"/>
    <m/>
  </r>
  <r>
    <x v="4"/>
    <x v="2"/>
    <s v="Jucy Nogueira Levy"/>
    <s v="Masculino"/>
    <x v="2"/>
    <x v="14"/>
    <s v="20103662 - Fisioterapia - Pos Operatorio Em Um Membro (R$ 14,99)"/>
    <s v="Fisioterapia"/>
    <n v="1707984590"/>
    <s v="Finalizado (5/5)"/>
    <n v="13.1912"/>
    <n v="1.7988"/>
    <n v="14.99"/>
    <s v="Sessão Faturada"/>
    <n v="773268007013010"/>
    <n v="6099"/>
    <s v="Unidade Vieiralves"/>
    <n v="1707984590"/>
    <m/>
  </r>
  <r>
    <x v="4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9/10)"/>
    <n v="47.634399999999999"/>
    <n v="6.4955999999999996"/>
    <n v="54.13"/>
    <s v="Sessão Faturada"/>
    <s v="010650363400"/>
    <n v="41281"/>
    <s v="Unidade Vieiralves"/>
    <s v="42263120260302381799"/>
    <m/>
  </r>
  <r>
    <x v="4"/>
    <x v="3"/>
    <s v="Maria Adelina Parente Lins Felix"/>
    <s v="Feminino"/>
    <x v="0"/>
    <x v="14"/>
    <s v="31602185 - Estimulação Elétrica Transcutânea Fisioterapia (Novo - 01/12) (R$ 54,13)"/>
    <s v="Fisioterapia"/>
    <s v="42263120260325558384"/>
    <s v="Finalizado (2/10)"/>
    <n v="47.634399999999999"/>
    <n v="6.4955999999999996"/>
    <n v="54.13"/>
    <s v="Sessão a Faturar"/>
    <s v="010650363400"/>
    <n v="41281"/>
    <s v="Unidade Vieiralves"/>
    <s v="42263120260325558384"/>
    <m/>
  </r>
  <r>
    <x v="4"/>
    <x v="4"/>
    <s v="Maria Neuza Ribeiro de Matos Oliveira"/>
    <s v="Feminino"/>
    <x v="7"/>
    <x v="14"/>
    <s v="Vieiralves - 1 - Fisioterapia Ortopedica - Pacote (R$ 40,00)"/>
    <s v="Fisioterapia"/>
    <n v="171039"/>
    <s v="Finalizado (9/10)"/>
    <n v="31.2"/>
    <n v="8.8000000000000007"/>
    <n v="40"/>
    <s v="No Prazo"/>
    <s v="00"/>
    <n v="59588"/>
    <s v="Unidade Vieiralves"/>
    <n v="171039"/>
    <m/>
  </r>
  <r>
    <x v="4"/>
    <x v="4"/>
    <s v="Thaisa Cadais Semen"/>
    <s v="Feminino"/>
    <x v="11"/>
    <x v="14"/>
    <s v="20103492 - Fisioterapia-Patologia Osteomioarticular Em  Dois Ou Mais Membros. (R$ 100,75)"/>
    <s v="Fisioterapia"/>
    <s v="3355/2026"/>
    <s v="Finalizado (1/1)"/>
    <n v="88.66"/>
    <n v="12.09"/>
    <n v="100.75"/>
    <s v="Sessão a Faturar"/>
    <s v="01689"/>
    <n v="22428"/>
    <s v="Unidade Vieiralves"/>
    <s v="3355/2026"/>
    <m/>
  </r>
  <r>
    <x v="4"/>
    <x v="4"/>
    <s v="Nelsi Maria Ladeira Luniere"/>
    <s v="Feminino"/>
    <x v="1"/>
    <x v="14"/>
    <s v="50000160 - Fisioterapia Ortopédica (R$ 20,00), 98980327 - Taxa de Eletroterapia (Tens) (R$ 15,00)"/>
    <s v="Fisioterapia"/>
    <n v="9162964"/>
    <s v="Finalizado (5/10)"/>
    <n v="30.8"/>
    <n v="4.2"/>
    <n v="35"/>
    <s v="Sessão Faturada"/>
    <s v="0801013498970007"/>
    <n v="58084"/>
    <s v="Unidade Vieiralves"/>
    <n v="9162964"/>
    <s v="GUIA ASSINADA"/>
  </r>
  <r>
    <x v="4"/>
    <x v="13"/>
    <s v="Ronaldo Ferreira Brasil Correa"/>
    <m/>
    <x v="1"/>
    <x v="14"/>
    <s v="50000160 - Fisioterapia Ortopédica (R$ 20,00), 98980327 - Taxa de Eletroterapia (Tens) (R$ 15,00)"/>
    <s v="Fisioterapia"/>
    <n v="8787630"/>
    <s v="Finalizado (5/10)"/>
    <n v="30.8"/>
    <n v="4.2"/>
    <n v="35"/>
    <s v="Sessão Faturada"/>
    <n v="2001013465800100"/>
    <n v="56389"/>
    <s v="Unidade Vieiralves"/>
    <n v="8787630"/>
    <m/>
  </r>
  <r>
    <x v="4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9/10)"/>
    <n v="30.8"/>
    <n v="4.2"/>
    <n v="35"/>
    <s v="Sessão Faturada"/>
    <n v="1301012940110100"/>
    <n v="53480"/>
    <s v="Unidade Vieiralves"/>
    <n v="9210847"/>
    <m/>
  </r>
  <r>
    <x v="4"/>
    <x v="13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5/7)"/>
    <n v="21.507200000000001"/>
    <n v="2.9327999999999999"/>
    <n v="24.44"/>
    <s v="Sessão a Faturar"/>
    <n v="890729700027020"/>
    <n v="59263"/>
    <s v="Unidade Vieiralves"/>
    <n v="1709800891"/>
    <m/>
  </r>
  <r>
    <x v="4"/>
    <x v="14"/>
    <s v="Kellen Regina Pereira da Silva"/>
    <s v="Feminino"/>
    <x v="4"/>
    <x v="14"/>
    <s v="31602185 - Estimulação Elétrica Transcutânea - Removido 13/04/2026 (R$ 40,00)"/>
    <s v="Fisioterapia"/>
    <n v="1710430457"/>
    <s v="Finalizado (4/6)"/>
    <n v="35.200000000000003"/>
    <n v="4.8"/>
    <n v="40"/>
    <s v="Sessão a Faturar"/>
    <n v="890729700027020"/>
    <n v="59263"/>
    <s v="Unidade Vieiralves"/>
    <n v="1710430457"/>
    <m/>
  </r>
  <r>
    <x v="4"/>
    <x v="6"/>
    <s v="Eduardo Martins Souza"/>
    <s v="Masculino"/>
    <x v="1"/>
    <x v="14"/>
    <s v="50000160 - Fisioterapia Ortopédica (R$ 20,00), 98980327 - Taxa de Eletroterapia (Tens) (R$ 15,00)"/>
    <s v="Fisioterapia"/>
    <n v="9294151"/>
    <s v="Finalizado (5/10)"/>
    <n v="30.8"/>
    <n v="4.2"/>
    <n v="35"/>
    <s v="Sessão Faturada"/>
    <s v="0901013816210012"/>
    <n v="58367"/>
    <s v="Unidade Vieiralves"/>
    <n v="9294151"/>
    <m/>
  </r>
  <r>
    <x v="4"/>
    <x v="6"/>
    <s v="Alessandra Silveira Rocha"/>
    <s v="Feminino"/>
    <x v="2"/>
    <x v="14"/>
    <s v="20103492 - Fisioterapia - Patologia Em Dois Ou Mais Membros (R$ 14,83)"/>
    <s v="Fisioterapia"/>
    <n v="1707002611"/>
    <s v="Finalizado (7/10)"/>
    <n v="13.0504"/>
    <n v="1.7796000000000001"/>
    <n v="14.83"/>
    <s v="Sessão a Faturar"/>
    <n v="774063023809020"/>
    <n v="58966"/>
    <s v="Unidade Vieiralves"/>
    <n v="1707002611"/>
    <m/>
  </r>
  <r>
    <x v="4"/>
    <x v="7"/>
    <s v="Alessandra Silveira Rocha"/>
    <s v="Feminino"/>
    <x v="4"/>
    <x v="14"/>
    <s v="31602185 - Estimulação Elétrica Transcutânea - Removido 13/04/2026 (R$ 40,00)"/>
    <s v="Fisioterapia"/>
    <n v="1714208925"/>
    <s v="Finalizado (2/5)"/>
    <n v="35.200000000000003"/>
    <n v="4.8"/>
    <n v="40"/>
    <s v="Sessão a Faturar"/>
    <n v="774063023809020"/>
    <n v="58966"/>
    <s v="Unidade Vieiralves"/>
    <n v="1714208925"/>
    <m/>
  </r>
  <r>
    <x v="4"/>
    <x v="15"/>
    <s v="Pamela Pavanetto"/>
    <s v="Feminino"/>
    <x v="1"/>
    <x v="14"/>
    <s v="50000160 - Fisioterapia Ortopédica (R$ 20,00), 98980327 - Taxa de Eletroterapia (Tens) (R$ 15,00)"/>
    <s v="Fisioterapia"/>
    <n v="9377620"/>
    <s v="Finalizado (3/10)"/>
    <n v="30.8"/>
    <n v="4.2"/>
    <n v="35"/>
    <s v="Sessão Faturada"/>
    <s v="0901013948460075"/>
    <n v="59596"/>
    <s v="Unidade Vieiralves"/>
    <n v="9377620"/>
    <s v="GUIA ASSINADA"/>
  </r>
  <r>
    <x v="4"/>
    <x v="15"/>
    <s v="Samuel Cunha de Oliveira"/>
    <m/>
    <x v="2"/>
    <x v="14"/>
    <s v="20103492 - Fisioterapia - Patologia Em Dois Ou Mais Membros (R$ 14,83)"/>
    <s v="Fisioterapia"/>
    <n v="1705899542"/>
    <s v="Finalizado (9/10)"/>
    <n v="13.0504"/>
    <n v="1.7796000000000001"/>
    <n v="14.83"/>
    <s v="Sessão Faturada"/>
    <n v="837047000191010"/>
    <n v="59496"/>
    <s v="Unidade Vieiralves"/>
    <n v="1705899542"/>
    <m/>
  </r>
  <r>
    <x v="4"/>
    <x v="15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7/10)"/>
    <n v="21.507200000000001"/>
    <n v="2.9327999999999999"/>
    <n v="24.44"/>
    <s v="Sessão a Faturar"/>
    <n v="867546100043000"/>
    <n v="59479"/>
    <s v="Unidade Vieiralves"/>
    <n v="1708046408"/>
    <m/>
  </r>
  <r>
    <x v="4"/>
    <x v="15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4/9)"/>
    <n v="21.507200000000001"/>
    <n v="2.9327999999999999"/>
    <n v="24.44"/>
    <s v="Sessão a Faturar"/>
    <n v="837047000191020"/>
    <n v="59619"/>
    <s v="Unidade Vieiralves"/>
    <n v="1711643216"/>
    <m/>
  </r>
  <r>
    <x v="4"/>
    <x v="16"/>
    <s v="Leonardo Emmanuel Neves Rodrigues"/>
    <s v="Masculino"/>
    <x v="4"/>
    <x v="14"/>
    <s v="31602185 - Estimulação Elétrica Transcutânea - Removido 13/04/2026 (R$ 40,00)"/>
    <s v="Fisioterapia"/>
    <n v="1713010280"/>
    <s v="Finalizado (3/5)"/>
    <n v="35.200000000000003"/>
    <n v="4.8"/>
    <n v="40"/>
    <s v="Sessão Faturada"/>
    <n v="867546100043000"/>
    <n v="59479"/>
    <s v="Unidade Vieiralves"/>
    <n v="1713010280"/>
    <m/>
  </r>
  <r>
    <x v="4"/>
    <x v="17"/>
    <s v="Leonardo Andrade de Brito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0"/>
    <n v="59345"/>
    <s v="Unidade Vieiralves"/>
    <m/>
    <m/>
  </r>
  <r>
    <x v="4"/>
    <x v="17"/>
    <s v="Alice da Silva dos Santos"/>
    <m/>
    <x v="2"/>
    <x v="14"/>
    <s v="20103484 - Fisioterapia - Patologia Em Um Membro (R$ 12,22)"/>
    <s v="Fisioterapia"/>
    <n v="1712940146"/>
    <s v="Finalizado (4/4)"/>
    <n v="10.7536"/>
    <n v="1.4663999999999999"/>
    <n v="12.22"/>
    <s v="Sessão a Faturar"/>
    <n v="843486100604000"/>
    <n v="56112"/>
    <s v="Unidade Vieiralves"/>
    <n v="1712940146"/>
    <m/>
  </r>
  <r>
    <x v="4"/>
    <x v="17"/>
    <s v="Thaianne de Matos Sampaio da Silva"/>
    <s v="Feminino"/>
    <x v="0"/>
    <x v="14"/>
    <s v="50000160 - Fisioterapia Ortopedica (R$ 49,72)"/>
    <s v="Fisioterapia"/>
    <s v="42263120260307428164"/>
    <s v="Finalizado (7/10)"/>
    <n v="43.753599999999999"/>
    <n v="5.9664000000000001"/>
    <n v="49.72"/>
    <s v="Sessão a Faturar"/>
    <s v="010650776203"/>
    <n v="59378"/>
    <s v="Unidade Vieiralves"/>
    <s v="42263120260307428164"/>
    <m/>
  </r>
  <r>
    <x v="4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7/10)"/>
    <n v="47.634399999999999"/>
    <n v="6.4955999999999996"/>
    <n v="54.13"/>
    <s v="Sessão a Faturar"/>
    <s v="010650776203"/>
    <n v="59378"/>
    <s v="Unidade Vieiralves"/>
    <s v="42263120260307428285"/>
    <m/>
  </r>
  <r>
    <x v="4"/>
    <x v="18"/>
    <s v="Alice da Silva dos Santos"/>
    <m/>
    <x v="4"/>
    <x v="14"/>
    <s v="31602185 - Estimulação Elétrica Transcutânea - Removido 13/04/2026 (R$ 40,00)"/>
    <s v="Fisioterapia"/>
    <n v="1714739136"/>
    <s v="Finalizado (2/10)"/>
    <n v="35.200000000000003"/>
    <n v="4.8"/>
    <n v="40"/>
    <s v="Sessão a Faturar"/>
    <n v="843486100604000"/>
    <n v="56112"/>
    <s v="Unidade Vieiralves"/>
    <n v="1714739136"/>
    <m/>
  </r>
  <r>
    <x v="4"/>
    <x v="8"/>
    <s v="Patricia Rodrigues Pontes"/>
    <s v="Feminino"/>
    <x v="6"/>
    <x v="14"/>
    <s v="20103662 - Pos Operatorio Em Um Membro (R$ 22,53)"/>
    <s v="Fisioterapia"/>
    <n v="171154"/>
    <s v="Finalizado (3/5)"/>
    <n v="19.8264"/>
    <n v="2.7035999999999998"/>
    <n v="22.53"/>
    <s v="Sessão a Faturar"/>
    <s v="54588888011063920019"/>
    <n v="59148"/>
    <s v="Unidade Vieiralves"/>
    <n v="171154"/>
    <m/>
  </r>
  <r>
    <x v="4"/>
    <x v="8"/>
    <s v="Gabriele Nogueira de Oliveira"/>
    <s v="Feminino"/>
    <x v="2"/>
    <x v="14"/>
    <s v="20103662 - Fisioterapia - Pos Operatorio Em Um Membro (R$ 14,99)"/>
    <s v="Fisioterapia"/>
    <n v="1709193478"/>
    <s v="Finalizado (5/10)"/>
    <n v="13.1912"/>
    <n v="1.7988"/>
    <n v="14.99"/>
    <s v="Sessão a Faturar"/>
    <n v="894937200604000"/>
    <n v="51083"/>
    <s v="Unidade Vieiralves"/>
    <n v="1709193478"/>
    <m/>
  </r>
  <r>
    <x v="4"/>
    <x v="9"/>
    <s v="Patricia Rodrigues Pontes"/>
    <s v="Feminino"/>
    <x v="6"/>
    <x v="14"/>
    <s v="31602185 - Estimulação Elétrica Transcutanea (Tens) (R$ 40,00)"/>
    <s v="Fisioterapia"/>
    <n v="171257"/>
    <s v="Finalizado (3/5)"/>
    <n v="35.200000000000003"/>
    <n v="4.8"/>
    <n v="40"/>
    <s v="Sessão a Faturar"/>
    <s v="54588888011063920019"/>
    <n v="59148"/>
    <s v="Unidade Vieiralves"/>
    <n v="171257"/>
    <m/>
  </r>
  <r>
    <x v="5"/>
    <x v="0"/>
    <s v="Francimara da Costa Rodrigues Balderrama"/>
    <s v="Feminino"/>
    <x v="2"/>
    <x v="14"/>
    <s v="50000144 - Avaliação de Fisioterapia (R$ 51,42)"/>
    <s v="Fisioterapia"/>
    <n v="1716134048"/>
    <s v="Finalizado (1/1)"/>
    <n v="46.277999999999999"/>
    <n v="5.1420000000000003"/>
    <n v="51.42"/>
    <s v="Sessão Faturada"/>
    <n v="774981005886020"/>
    <n v="59685"/>
    <s v="Unidade Vieiralves"/>
    <n v="1716134048"/>
    <m/>
  </r>
  <r>
    <x v="5"/>
    <x v="0"/>
    <s v="Elane Sales de Lima"/>
    <m/>
    <x v="2"/>
    <x v="14"/>
    <s v="20103484 - Fisioterapia - Patologia Em Um Membro (R$ 12,22)"/>
    <s v="Fisioterapia"/>
    <n v="1710359590"/>
    <s v="Finalizado (3/5)"/>
    <n v="10.7536"/>
    <n v="1.4663999999999999"/>
    <n v="12.22"/>
    <s v="Sessão Faturada"/>
    <n v="773539032034010"/>
    <n v="58812"/>
    <s v="Unidade Vieiralves"/>
    <n v="1710359590"/>
    <m/>
  </r>
  <r>
    <x v="5"/>
    <x v="0"/>
    <s v="Joeline Dutra da Silva"/>
    <s v="Feminino"/>
    <x v="1"/>
    <x v="14"/>
    <s v="50000160 - Fisioterapia Ortopédica (R$ 20,00), 98980327 - Taxa de Eletroterapia (Tens) (R$ 15,00)"/>
    <s v="Fisioterapia"/>
    <n v="9210393"/>
    <s v="Finalizado (7/10)"/>
    <n v="30.8"/>
    <n v="4.2"/>
    <n v="35"/>
    <s v="Sessão Faturada"/>
    <n v="1101013081410400"/>
    <n v="56667"/>
    <s v="Unidade Vieiralves"/>
    <n v="9210393"/>
    <m/>
  </r>
  <r>
    <x v="5"/>
    <x v="0"/>
    <s v="Adenise Leitão Barbosa"/>
    <s v="Feminino"/>
    <x v="12"/>
    <x v="14"/>
    <s v="20103492 - Patol. Em Dois Ou Mais Membros (R$ 14,83)"/>
    <s v="Fisioterapia"/>
    <n v="172290"/>
    <s v="Finalizado (3/10)"/>
    <n v="13.0504"/>
    <n v="1.7796000000000001"/>
    <n v="14.83"/>
    <s v="Sessão a Faturar"/>
    <s v="000432203160121601"/>
    <n v="26264"/>
    <s v="Unidade Vieiralves"/>
    <n v="172290"/>
    <m/>
  </r>
  <r>
    <x v="5"/>
    <x v="1"/>
    <s v="Francimara da Costa Rodrigues Balderrama"/>
    <s v="Feminino"/>
    <x v="2"/>
    <x v="14"/>
    <s v="20103662 - Fisioterapia - Pos Operatorio Em Um Membro (R$ 14,99)"/>
    <s v="Fisioterapia"/>
    <n v="1716135769"/>
    <s v="Finalizado (1/10)"/>
    <n v="13.1912"/>
    <n v="1.7988"/>
    <n v="14.99"/>
    <s v="Sessão a Faturar"/>
    <n v="774981005886020"/>
    <n v="59685"/>
    <s v="Unidade Vieiralves"/>
    <n v="1716135769"/>
    <m/>
  </r>
  <r>
    <x v="5"/>
    <x v="2"/>
    <s v="Maria Adelina Parente Lins Felix"/>
    <s v="Feminino"/>
    <x v="0"/>
    <x v="14"/>
    <s v="50000160 - Fisioterapia Ortopedica (R$ 49,72)"/>
    <s v="Fisioterapia"/>
    <s v="42263120260323540098"/>
    <s v="Finalizado (3/10)"/>
    <n v="43.753599999999999"/>
    <n v="5.9664000000000001"/>
    <n v="49.72"/>
    <s v="Sessão a Faturar"/>
    <s v="010650363400"/>
    <n v="41281"/>
    <s v="Unidade Vieiralves"/>
    <s v="42263120260323540098"/>
    <m/>
  </r>
  <r>
    <x v="5"/>
    <x v="2"/>
    <s v="Rosalinda Pereira Brito"/>
    <s v="Feminino"/>
    <x v="2"/>
    <x v="14"/>
    <s v="20103484 - Fisioterapia - Patologia Em Um Membro (R$ 12,22)"/>
    <s v="Fisioterapia"/>
    <n v="1705795662"/>
    <s v="Finalizado (9/10)"/>
    <n v="10.7536"/>
    <n v="1.4663999999999999"/>
    <n v="12.22"/>
    <s v="Sessão Faturada"/>
    <s v="010544100907015"/>
    <n v="13886"/>
    <s v="Unidade Vieiralves"/>
    <n v="1705795662"/>
    <m/>
  </r>
  <r>
    <x v="5"/>
    <x v="3"/>
    <s v="Rosalinda Pereira Brito"/>
    <s v="Feminino"/>
    <x v="4"/>
    <x v="14"/>
    <s v="31602185 - Estimulação Elétrica Transcutânea - Removido 13/04/2026 (R$ 40,00)"/>
    <s v="Fisioterapia"/>
    <n v="1710935636"/>
    <s v="Finalizado (5/10)"/>
    <n v="35.200000000000003"/>
    <n v="4.8"/>
    <n v="40"/>
    <s v="Sessão a Faturar"/>
    <s v="010544100907015"/>
    <n v="13886"/>
    <s v="Unidade Vieiralves"/>
    <n v="1710935636"/>
    <m/>
  </r>
  <r>
    <x v="5"/>
    <x v="3"/>
    <s v="Maria Adelina Parente Lins Felix"/>
    <s v="Feminino"/>
    <x v="0"/>
    <x v="14"/>
    <s v="31602185 - Estimulação Elétrica Transcutânea Fisioterapia (Novo - 01/12) (R$ 54,13)"/>
    <s v="Fisioterapia"/>
    <s v="42263120260302381799"/>
    <s v="Finalizado (10/10)"/>
    <n v="47.634399999999999"/>
    <n v="6.4955999999999996"/>
    <n v="54.13"/>
    <s v="Sessão Faturada"/>
    <s v="010650363400"/>
    <n v="41281"/>
    <s v="Unidade Vieiralves"/>
    <s v="42263120260302381799"/>
    <m/>
  </r>
  <r>
    <x v="5"/>
    <x v="3"/>
    <s v="Maria Adelina Parente Lins Felix"/>
    <s v="Feminino"/>
    <x v="0"/>
    <x v="14"/>
    <s v="31602185 - Estimulação Elétrica Transcutânea Fisioterapia (Novo - 01/12) (R$ 54,13)"/>
    <s v="Fisioterapia"/>
    <s v="42263120260325558384"/>
    <s v="Finalizado (3/10)"/>
    <n v="47.634399999999999"/>
    <n v="6.4955999999999996"/>
    <n v="54.13"/>
    <s v="Sessão a Faturar"/>
    <s v="010650363400"/>
    <n v="41281"/>
    <s v="Unidade Vieiralves"/>
    <s v="42263120260325558384"/>
    <m/>
  </r>
  <r>
    <x v="5"/>
    <x v="4"/>
    <s v="Sergio Massayoshi Nunomura"/>
    <s v="Masculino"/>
    <x v="1"/>
    <x v="14"/>
    <s v="50000160 - Fisioterapia Ortopédica (R$ 20,00), 98980327 - Taxa de Eletroterapia (Tens) (R$ 15,00)"/>
    <s v="Fisioterapia"/>
    <n v="9044249"/>
    <s v="Finalizado (10/10)"/>
    <n v="30.8"/>
    <n v="4.2"/>
    <n v="35"/>
    <s v="Sessão Faturada"/>
    <s v="0901013262310007"/>
    <n v="55942"/>
    <s v="Unidade Vieiralves"/>
    <n v="9044249"/>
    <m/>
  </r>
  <r>
    <x v="5"/>
    <x v="4"/>
    <s v="Mychelle Karolynne Moura Souza"/>
    <s v="Feminino"/>
    <x v="2"/>
    <x v="14"/>
    <s v="20103514 - Fisioterapia - Patologia Em Diferentes Segmentos da Coluna (R$ 14,83)"/>
    <s v="Fisioterapia"/>
    <n v="1713509568"/>
    <s v="Finalizado (3/10)"/>
    <n v="13.0504"/>
    <n v="1.7796000000000001"/>
    <n v="14.83"/>
    <s v="Sessão a Faturar"/>
    <n v="775216011533020"/>
    <n v="59649"/>
    <s v="Unidade Vieiralves"/>
    <n v="1713509568"/>
    <m/>
  </r>
  <r>
    <x v="5"/>
    <x v="4"/>
    <s v="Ana Carolina Bento Andrade da Encarnação"/>
    <s v="Feminino"/>
    <x v="2"/>
    <x v="14"/>
    <s v="20103492 - Fisioterapia - Patologia Em Dois Ou Mais Membros (R$ 14,83), 20103506 - Fisioterapia - Patologia Em Um Segmento da Coluna (R$ 12,22)"/>
    <s v="Fisioterapia"/>
    <n v="1713611213"/>
    <s v="Finalizado (5/10)"/>
    <n v="23.803999999999998"/>
    <n v="3.246"/>
    <n v="27.05"/>
    <s v="Sessão a Faturar"/>
    <n v="771015045292010"/>
    <n v="21604"/>
    <s v="Unidade Vieiralves"/>
    <n v="1713611213"/>
    <m/>
  </r>
  <r>
    <x v="5"/>
    <x v="4"/>
    <s v="Jucy Nogueira Levy"/>
    <s v="Masculino"/>
    <x v="2"/>
    <x v="14"/>
    <s v="20103662 - Fisioterapia - Pos Operatorio Em Um Membro (R$ 14,99)"/>
    <s v="Fisioterapia"/>
    <n v="1716171975"/>
    <s v="Finalizado (1/10)"/>
    <n v="13.1912"/>
    <n v="1.7988"/>
    <n v="14.99"/>
    <s v="Sessão a Faturar"/>
    <n v="773268007013010"/>
    <n v="6099"/>
    <s v="Unidade Vieiralves"/>
    <n v="1716171975"/>
    <m/>
  </r>
  <r>
    <x v="5"/>
    <x v="13"/>
    <s v="Eduardo Martins Souza"/>
    <s v="Masculino"/>
    <x v="1"/>
    <x v="14"/>
    <s v="50000160 - Fisioterapia Ortopédica (R$ 20,00), 98980327 - Taxa de Eletroterapia (Tens) (R$ 15,00)"/>
    <s v="Fisioterapia"/>
    <n v="9294151"/>
    <s v="Finalizado (6/10)"/>
    <n v="30.8"/>
    <n v="4.2"/>
    <n v="35"/>
    <s v="Sessão Faturada"/>
    <s v="0901013816210012"/>
    <n v="58367"/>
    <s v="Unidade Vieiralves"/>
    <n v="9294151"/>
    <m/>
  </r>
  <r>
    <x v="5"/>
    <x v="6"/>
    <s v="Miriene Lira de Souza"/>
    <s v="Feminino"/>
    <x v="2"/>
    <x v="14"/>
    <s v="50000144 - Avaliação de Fisioterapia (R$ 51,42)"/>
    <s v="Fisioterapia"/>
    <n v="1716237674"/>
    <s v="Finalizado (1/1)"/>
    <n v="46.277999999999999"/>
    <n v="5.1420000000000003"/>
    <n v="51.42"/>
    <s v="Sessão Faturada"/>
    <n v="770179018350010"/>
    <n v="37863"/>
    <s v="Unidade Vieiralves"/>
    <n v="1716237674"/>
    <m/>
  </r>
  <r>
    <x v="5"/>
    <x v="7"/>
    <s v="Miriene Lira de Souza"/>
    <s v="Feminino"/>
    <x v="2"/>
    <x v="14"/>
    <s v="20103492 - Fisioterapia - Patologia Em Dois Ou Mais Membros (R$ 14,83)"/>
    <s v="Fisioterapia"/>
    <n v="1716238434"/>
    <s v="Finalizado (1/10)"/>
    <n v="13.0504"/>
    <n v="1.7796000000000001"/>
    <n v="14.83"/>
    <s v="Sessão a Faturar"/>
    <n v="770179018350010"/>
    <n v="37863"/>
    <s v="Unidade Vieiralves"/>
    <n v="1716238434"/>
    <m/>
  </r>
  <r>
    <x v="5"/>
    <x v="15"/>
    <s v="Ricardo Cruz da Silva"/>
    <s v="Masculino"/>
    <x v="2"/>
    <x v="14"/>
    <s v="20103662 - Fisioterapia - Pos Operatorio Em Um Membro (R$ 14,99)"/>
    <s v="Fisioterapia"/>
    <n v="1716242375"/>
    <s v="Finalizado (1/10)"/>
    <n v="13.1912"/>
    <n v="1.7988"/>
    <n v="14.99"/>
    <s v="Sessão a Faturar"/>
    <n v="771015041114010"/>
    <n v="59213"/>
    <s v="Unidade Vieiralves"/>
    <n v="1716242375"/>
    <m/>
  </r>
  <r>
    <x v="5"/>
    <x v="15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6/10)"/>
    <n v="30.8"/>
    <n v="4.2"/>
    <n v="35"/>
    <s v="Sessão Faturada"/>
    <s v="0901005831260032"/>
    <n v="52372"/>
    <s v="Unidade Vieiralves"/>
    <n v="9218957"/>
    <m/>
  </r>
  <r>
    <x v="5"/>
    <x v="15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5/9)"/>
    <n v="21.507200000000001"/>
    <n v="2.9327999999999999"/>
    <n v="24.44"/>
    <s v="Sessão a Faturar"/>
    <n v="837047000191020"/>
    <n v="59619"/>
    <s v="Unidade Vieiralves"/>
    <n v="1711643216"/>
    <m/>
  </r>
  <r>
    <x v="5"/>
    <x v="17"/>
    <s v="Dayane Melo Honorato"/>
    <s v="Feminino"/>
    <x v="8"/>
    <x v="14"/>
    <s v="50000144 - Consulta de Fisioterapia (R$ 51,42)"/>
    <s v="Fisioterapia"/>
    <n v="1716217976"/>
    <s v="Finalizado (1/1)"/>
    <n v="46.277999999999999"/>
    <n v="5.1420000000000003"/>
    <n v="51.42"/>
    <s v="Sessão a Faturar"/>
    <n v="954170049921010"/>
    <n v="59564"/>
    <s v="Unidade Vieiralves"/>
    <n v="1716217976"/>
    <m/>
  </r>
  <r>
    <x v="5"/>
    <x v="17"/>
    <s v="Thaianne de Matos Sampaio da Silva"/>
    <s v="Feminino"/>
    <x v="0"/>
    <x v="14"/>
    <s v="50000160 - Fisioterapia Ortopedica (R$ 49,72)"/>
    <s v="Fisioterapia"/>
    <s v="42263120260307428164"/>
    <s v="Finalizado (8/10)"/>
    <n v="43.753599999999999"/>
    <n v="5.9664000000000001"/>
    <n v="49.72"/>
    <s v="Sessão a Faturar"/>
    <s v="010650776203"/>
    <n v="59378"/>
    <s v="Unidade Vieiralves"/>
    <s v="42263120260307428164"/>
    <m/>
  </r>
  <r>
    <x v="5"/>
    <x v="17"/>
    <s v="Gabrielly da Silva Mascarin"/>
    <m/>
    <x v="6"/>
    <x v="14"/>
    <s v="20103662 - Pos Operatorio Em Um Membro (R$ 22,53)"/>
    <s v="Fisioterapia"/>
    <n v="171689"/>
    <s v="Finalizado (2/10)"/>
    <n v="19.8264"/>
    <n v="2.7035999999999998"/>
    <n v="22.53"/>
    <s v="Sessão a Faturar"/>
    <n v="954500024520030"/>
    <n v="17683"/>
    <s v="Unidade Vieiralves"/>
    <n v="171689"/>
    <m/>
  </r>
  <r>
    <x v="5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8/10)"/>
    <n v="47.634399999999999"/>
    <n v="6.4955999999999996"/>
    <n v="54.13"/>
    <s v="Sessão a Faturar"/>
    <s v="010650776203"/>
    <n v="59378"/>
    <s v="Unidade Vieiralves"/>
    <s v="42263120260307428285"/>
    <m/>
  </r>
  <r>
    <x v="5"/>
    <x v="18"/>
    <s v="Gabrielly da Silva Mascarin"/>
    <m/>
    <x v="6"/>
    <x v="14"/>
    <s v="31602185 - Estimulação Elétrica Transcutanea (Tens) (R$ 40,00)"/>
    <s v="Fisioterapia"/>
    <n v="171690"/>
    <s v="Finalizado (2/3)"/>
    <n v="35.200000000000003"/>
    <n v="4.8"/>
    <n v="40"/>
    <s v="Sessão a Faturar"/>
    <n v="954500024520030"/>
    <n v="17683"/>
    <s v="Unidade Vieiralves"/>
    <n v="171690"/>
    <m/>
  </r>
  <r>
    <x v="5"/>
    <x v="18"/>
    <s v="Dayane Melo Honorato"/>
    <s v="Feminino"/>
    <x v="8"/>
    <x v="14"/>
    <s v="20103514 - Patologia Em Diferentes Segmentos da Coluna (R$ 14,83)"/>
    <s v="Fisioterapia"/>
    <n v="1716218819"/>
    <s v="Finalizado (1/10)"/>
    <n v="13.0504"/>
    <n v="1.7796000000000001"/>
    <n v="14.83"/>
    <s v="Sessão a Faturar"/>
    <n v="954170049921010"/>
    <n v="59564"/>
    <s v="Unidade Vieiralves"/>
    <n v="1716218819"/>
    <m/>
  </r>
  <r>
    <x v="5"/>
    <x v="8"/>
    <s v="Samuel Cunha de Oliveira"/>
    <m/>
    <x v="2"/>
    <x v="14"/>
    <s v="20103492 - Fisioterapia - Patologia Em Dois Ou Mais Membros (R$ 14,83)"/>
    <s v="Fisioterapia"/>
    <n v="1705899542"/>
    <s v="Finalizado (10/10)"/>
    <n v="13.0504"/>
    <n v="1.7796000000000001"/>
    <n v="14.83"/>
    <s v="Sessão Faturada"/>
    <n v="837047000191010"/>
    <n v="59496"/>
    <s v="Unidade Vieiralves"/>
    <n v="1705899542"/>
    <m/>
  </r>
  <r>
    <x v="5"/>
    <x v="10"/>
    <s v="Françoise do Nascimento Lima"/>
    <s v="Feminino"/>
    <x v="2"/>
    <x v="14"/>
    <s v="20103484 - Fisioterapia - Patologia Em Um Membro (R$ 12,22)"/>
    <s v="Fisioterapia"/>
    <n v="1711678006"/>
    <s v="Finalizado (7/10)"/>
    <n v="10.7536"/>
    <n v="1.4663999999999999"/>
    <n v="12.22"/>
    <s v="Sessão a Faturar"/>
    <n v="771015045942010"/>
    <n v="99"/>
    <s v="Unidade Vieiralves"/>
    <n v="1711678006"/>
    <m/>
  </r>
  <r>
    <x v="5"/>
    <x v="10"/>
    <s v="Lauren Lauschner Gaikoski"/>
    <s v="Feminino"/>
    <x v="2"/>
    <x v="14"/>
    <s v="20103484 - Fisioterapia - Patologia Em Um Membro (R$ 12,22)"/>
    <s v="Fisioterapia"/>
    <n v="1714766274"/>
    <s v="Finalizado (2/10)"/>
    <n v="10.7536"/>
    <n v="1.4663999999999999"/>
    <n v="12.22"/>
    <s v="Sessão a Faturar"/>
    <n v="775388000299020"/>
    <n v="56279"/>
    <s v="Unidade Vieiralves"/>
    <n v="1714766274"/>
    <m/>
  </r>
  <r>
    <x v="5"/>
    <x v="12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8/10)"/>
    <n v="21.507200000000001"/>
    <n v="2.9327999999999999"/>
    <n v="24.44"/>
    <s v="Sessão a Faturar"/>
    <n v="867546100043000"/>
    <n v="59479"/>
    <s v="Unidade Vieiralves"/>
    <n v="1708046408"/>
    <m/>
  </r>
  <r>
    <x v="5"/>
    <x v="12"/>
    <s v="Patricia Rodrigues Pontes"/>
    <s v="Feminino"/>
    <x v="6"/>
    <x v="14"/>
    <s v="20103662 - Pos Operatorio Em Um Membro (R$ 22,53)"/>
    <s v="Fisioterapia"/>
    <n v="171154"/>
    <s v="Finalizado (4/5)"/>
    <n v="19.8264"/>
    <n v="2.7035999999999998"/>
    <n v="22.53"/>
    <s v="Sessão a Faturar"/>
    <s v="54588888011063920019"/>
    <n v="59148"/>
    <s v="Unidade Vieiralves"/>
    <n v="171154"/>
    <m/>
  </r>
  <r>
    <x v="5"/>
    <x v="12"/>
    <s v="Monique Sousa Silva"/>
    <s v="Feminino"/>
    <x v="2"/>
    <x v="14"/>
    <s v="20103484 - Fisioterapia - Patologia Em Um Membro (R$ 12,22)"/>
    <s v="Fisioterapia"/>
    <n v="1716284750"/>
    <s v="Finalizado (1/10)"/>
    <n v="10.7536"/>
    <n v="1.4663999999999999"/>
    <n v="12.22"/>
    <s v="Sessão a Faturar"/>
    <n v="774642004405000"/>
    <n v="21707"/>
    <s v="Unidade Vieiralves"/>
    <n v="1716284750"/>
    <m/>
  </r>
  <r>
    <x v="5"/>
    <x v="12"/>
    <s v="Leonardo Emmanuel Neves Rodrigues"/>
    <s v="Masculino"/>
    <x v="4"/>
    <x v="14"/>
    <s v="31602185 - Estimulação Elétrica Transcutânea - Removido 13/04/2026 (R$ 40,00)"/>
    <s v="Fisioterapia"/>
    <n v="1713010280"/>
    <s v="Finalizado (4/5)"/>
    <n v="35.200000000000003"/>
    <n v="4.8"/>
    <n v="40"/>
    <s v="Sessão Faturada"/>
    <n v="867546100043000"/>
    <n v="59479"/>
    <s v="Unidade Vieiralves"/>
    <n v="1713010280"/>
    <m/>
  </r>
  <r>
    <x v="5"/>
    <x v="19"/>
    <s v="Patricia Rodrigues Pontes"/>
    <s v="Feminino"/>
    <x v="6"/>
    <x v="14"/>
    <s v="31602185 - Estimulação Elétrica Transcutanea (Tens) (R$ 40,00)"/>
    <s v="Fisioterapia"/>
    <n v="171257"/>
    <s v="Finalizado (4/5)"/>
    <n v="35.200000000000003"/>
    <n v="4.8"/>
    <n v="40"/>
    <s v="Sessão a Faturar"/>
    <s v="54588888011063920019"/>
    <n v="59148"/>
    <s v="Unidade Vieiralves"/>
    <n v="171257"/>
    <m/>
  </r>
  <r>
    <x v="6"/>
    <x v="0"/>
    <s v="Adenise Leitão Barbosa"/>
    <s v="Feminino"/>
    <x v="12"/>
    <x v="14"/>
    <s v="20103492 - Patol. Em Dois Ou Mais Membros (R$ 14,83)"/>
    <s v="Fisioterapia"/>
    <n v="172290"/>
    <s v="Finalizado (4/10)"/>
    <n v="13.0504"/>
    <n v="1.7796000000000001"/>
    <n v="14.83"/>
    <s v="Sessão a Faturar"/>
    <s v="000432203160121601"/>
    <n v="26264"/>
    <s v="Unidade Vieiralves"/>
    <n v="172290"/>
    <m/>
  </r>
  <r>
    <x v="6"/>
    <x v="0"/>
    <s v="Milena Maria Figueiredo Almeida"/>
    <s v="Feminino"/>
    <x v="2"/>
    <x v="14"/>
    <s v="50000144 - Avaliação de Fisioterapia (R$ 51,42)"/>
    <s v="Fisioterapia"/>
    <n v="1716688717"/>
    <s v="Finalizado (1/1)"/>
    <n v="46.277999999999999"/>
    <n v="5.1420000000000003"/>
    <n v="51.42"/>
    <s v="Sessão Faturada"/>
    <n v="771015041734010"/>
    <n v="57956"/>
    <s v="Unidade Vieiralves"/>
    <n v="1716688717"/>
    <m/>
  </r>
  <r>
    <x v="6"/>
    <x v="1"/>
    <s v="Milena Maria Figueiredo Almeida"/>
    <s v="Feminino"/>
    <x v="2"/>
    <x v="14"/>
    <s v="20103484 - Fisioterapia - Patologia Em Um Membro (R$ 12,22)"/>
    <s v="Fisioterapia"/>
    <n v="1716689786"/>
    <s v="Finalizado (1/10)"/>
    <n v="10.7536"/>
    <n v="1.4663999999999999"/>
    <n v="12.22"/>
    <s v="Sessão a Faturar"/>
    <n v="771015041734010"/>
    <n v="57956"/>
    <s v="Unidade Vieiralves"/>
    <n v="1716689786"/>
    <m/>
  </r>
  <r>
    <x v="6"/>
    <x v="2"/>
    <s v="Mychelle Karolynne Moura Souza"/>
    <s v="Feminino"/>
    <x v="2"/>
    <x v="14"/>
    <s v="20103514 - Fisioterapia - Patologia Em Diferentes Segmentos da Coluna (R$ 14,83)"/>
    <s v="Fisioterapia"/>
    <n v="1713509568"/>
    <s v="Finalizado (4/10)"/>
    <n v="13.0504"/>
    <n v="1.7796000000000001"/>
    <n v="14.83"/>
    <s v="Sessão a Faturar"/>
    <n v="775216011533020"/>
    <n v="59649"/>
    <s v="Unidade Vieiralves"/>
    <n v="1713509568"/>
    <m/>
  </r>
  <r>
    <x v="6"/>
    <x v="4"/>
    <s v="Rafaela Mascarenhas Coelho Brasil"/>
    <s v="Feminino"/>
    <x v="1"/>
    <x v="14"/>
    <s v="50000160 - Fisioterapia Ortopédica (R$ 20,00), 98980327 - Taxa de Eletroterapia (Tens) (R$ 15,00)"/>
    <s v="Fisioterapia"/>
    <n v="9269452"/>
    <s v="Finalizado (3/10)"/>
    <n v="30.8"/>
    <n v="4.2"/>
    <n v="35"/>
    <s v="Sessão Faturada"/>
    <n v="1101013085360100"/>
    <n v="58097"/>
    <s v="Unidade Vieiralves"/>
    <n v="9269452"/>
    <m/>
  </r>
  <r>
    <x v="6"/>
    <x v="4"/>
    <s v="Luiz Carlos Barcelos Gonzaga"/>
    <s v="Masculino"/>
    <x v="8"/>
    <x v="14"/>
    <s v="20103662 - Pos Operatorio Em Um Membro (R$ 14,99)"/>
    <s v="Fisioterapia"/>
    <n v="1711562792"/>
    <s v="Finalizado (3/8)"/>
    <n v="13.1912"/>
    <n v="1.7988"/>
    <n v="14.99"/>
    <s v="Sessão a Faturar"/>
    <n v="954600002887000"/>
    <n v="16269"/>
    <s v="Unidade Vieiralves"/>
    <n v="1711562792"/>
    <m/>
  </r>
  <r>
    <x v="6"/>
    <x v="4"/>
    <s v="Ana Carolina Bento Andrade da Encarnação"/>
    <s v="Feminino"/>
    <x v="2"/>
    <x v="14"/>
    <s v="20103492 - Fisioterapia - Patologia Em Dois Ou Mais Membros (R$ 14,83), 20103506 - Fisioterapia - Patologia Em Um Segmento da Coluna (R$ 12,22)"/>
    <s v="Fisioterapia"/>
    <n v="1713611213"/>
    <s v="Finalizado (6/10)"/>
    <n v="23.803999999999998"/>
    <n v="3.246"/>
    <n v="27.05"/>
    <s v="Sessão a Faturar"/>
    <n v="771015045292010"/>
    <n v="21604"/>
    <s v="Unidade Vieiralves"/>
    <n v="1713611213"/>
    <m/>
  </r>
  <r>
    <x v="6"/>
    <x v="13"/>
    <s v="Nelsi Maria Ladeira Luniere"/>
    <s v="Feminino"/>
    <x v="1"/>
    <x v="14"/>
    <s v="50000160 - Fisioterapia Ortopédica (R$ 20,00), 98980327 - Taxa de Eletroterapia (Tens) (R$ 15,00)"/>
    <s v="Fisioterapia"/>
    <n v="9162964"/>
    <s v="Finalizado (6/10)"/>
    <n v="30.8"/>
    <n v="4.2"/>
    <n v="35"/>
    <s v="Sessão Faturada"/>
    <s v="0801013498970007"/>
    <n v="58084"/>
    <s v="Unidade Vieiralves"/>
    <n v="9162964"/>
    <s v="GUIA ASSINADA"/>
  </r>
  <r>
    <x v="6"/>
    <x v="13"/>
    <s v="Eduardo Martins Souza"/>
    <s v="Masculino"/>
    <x v="1"/>
    <x v="14"/>
    <s v="50000160 - Fisioterapia Ortopédica (R$ 20,00), 98980327 - Taxa de Eletroterapia (Tens) (R$ 15,00)"/>
    <s v="Fisioterapia"/>
    <n v="9294151"/>
    <s v="Finalizado (7/10)"/>
    <n v="30.8"/>
    <n v="4.2"/>
    <n v="35"/>
    <s v="Sessão Faturada"/>
    <s v="0901013816210012"/>
    <n v="58367"/>
    <s v="Unidade Vieiralves"/>
    <n v="9294151"/>
    <m/>
  </r>
  <r>
    <x v="6"/>
    <x v="13"/>
    <s v="Alcijara Maria Bentes Rodrigues"/>
    <s v="Feminino"/>
    <x v="1"/>
    <x v="14"/>
    <s v="50000160 - Fisioterapia Ortopédica (R$ 20,00), 98980327 - Taxa de Eletroterapia (Tens) (R$ 15,00)"/>
    <s v="Fisioterapia"/>
    <n v="9210847"/>
    <s v="Finalizado (10/10)"/>
    <n v="30.8"/>
    <n v="4.2"/>
    <n v="35"/>
    <s v="Sessão Faturada"/>
    <n v="1301012940110100"/>
    <n v="53480"/>
    <s v="Unidade Vieiralves"/>
    <n v="9210847"/>
    <m/>
  </r>
  <r>
    <x v="6"/>
    <x v="6"/>
    <s v="Dayane Melo Honorato"/>
    <s v="Feminino"/>
    <x v="8"/>
    <x v="14"/>
    <s v="20103514 - Patologia Em Diferentes Segmentos da Coluna (R$ 14,83)"/>
    <s v="Fisioterapia"/>
    <n v="1716218819"/>
    <s v="Finalizado (2/10)"/>
    <n v="13.0504"/>
    <n v="1.7796000000000001"/>
    <n v="14.83"/>
    <s v="Sessão a Faturar"/>
    <n v="954170049921010"/>
    <n v="59564"/>
    <s v="Unidade Vieiralves"/>
    <n v="1716218819"/>
    <m/>
  </r>
  <r>
    <x v="6"/>
    <x v="6"/>
    <s v="Sergio Massayoshi Nunomura"/>
    <s v="Masculino"/>
    <x v="1"/>
    <x v="14"/>
    <s v="50000160 - Fisioterapia Ortopédica (R$ 20,00), 98980327 - Taxa de Eletroterapia (Tens) (R$ 15,00)"/>
    <s v="Fisioterapia"/>
    <n v="9446406"/>
    <s v="Finalizado (1/10)"/>
    <n v="30.8"/>
    <n v="4.2"/>
    <n v="35"/>
    <s v="Sessão a Faturar"/>
    <s v="0901013262310007"/>
    <n v="55942"/>
    <s v="Unidade Vieiralves"/>
    <n v="9446406"/>
    <m/>
  </r>
  <r>
    <x v="6"/>
    <x v="6"/>
    <s v="Francimara da Costa Rodrigues Balderrama"/>
    <s v="Feminino"/>
    <x v="2"/>
    <x v="14"/>
    <s v="20103662 - Fisioterapia - Pos Operatorio Em Um Membro (R$ 14,99)"/>
    <s v="Fisioterapia"/>
    <n v="1716135769"/>
    <s v="Finalizado (2/10)"/>
    <n v="13.1912"/>
    <n v="1.7988"/>
    <n v="14.99"/>
    <s v="Sessão a Faturar"/>
    <n v="774981005886020"/>
    <n v="59685"/>
    <s v="Unidade Vieiralves"/>
    <n v="1716135769"/>
    <m/>
  </r>
  <r>
    <x v="6"/>
    <x v="7"/>
    <s v="Dayane Melo Honorato"/>
    <s v="Feminino"/>
    <x v="9"/>
    <x v="14"/>
    <s v="31602185 - Estimulação Elétrica Transcutânea (Tens) - Removido 13/04/2026 (R$ 40,00)"/>
    <s v="Fisioterapia"/>
    <n v="1716745437"/>
    <s v="Finalizado (1/10)"/>
    <n v="35.200000000000003"/>
    <n v="4.8"/>
    <n v="40"/>
    <s v="Sessão a Faturar"/>
    <n v="954170049921010"/>
    <n v="59564"/>
    <s v="Unidade Vieiralves"/>
    <n v="1716745437"/>
    <m/>
  </r>
  <r>
    <x v="6"/>
    <x v="7"/>
    <s v="Francimara da Costa Rodrigues Balderrama"/>
    <s v="Feminino"/>
    <x v="4"/>
    <x v="14"/>
    <s v="31602185 - Estimulação Elétrica Transcutânea - Removido 13/04/2026 (R$ 40,00)"/>
    <s v="Fisioterapia"/>
    <n v="1716768906"/>
    <s v="Finalizado (1/10)"/>
    <n v="35.200000000000003"/>
    <n v="4.8"/>
    <n v="40"/>
    <s v="Sessão a Faturar"/>
    <n v="774981005886020"/>
    <n v="59685"/>
    <s v="Unidade Vieiralves"/>
    <n v="1716768906"/>
    <m/>
  </r>
  <r>
    <x v="6"/>
    <x v="15"/>
    <s v="Frank Marlon Ferreira de Naja"/>
    <s v="Masculino"/>
    <x v="2"/>
    <x v="14"/>
    <s v="50000144 - Avaliação de Fisioterapia (R$ 51,42)"/>
    <s v="Fisioterapia"/>
    <n v="1716761558"/>
    <s v="Finalizado (1/1)"/>
    <n v="46.277999999999999"/>
    <n v="5.1420000000000003"/>
    <n v="51.42"/>
    <s v="Sessão Faturada"/>
    <n v="774831002933000"/>
    <n v="59749"/>
    <s v="Unidade Vieiralves"/>
    <n v="1716761558"/>
    <m/>
  </r>
  <r>
    <x v="6"/>
    <x v="16"/>
    <s v="Frank Marlon Ferreira de Naja"/>
    <s v="Masculino"/>
    <x v="2"/>
    <x v="14"/>
    <s v="20103514 - Fisioterapia - Patologia Em Diferentes Segmentos da Coluna (R$ 14,83)"/>
    <s v="Fisioterapia"/>
    <n v="1716762269"/>
    <s v="Finalizado (1/10)"/>
    <n v="13.0504"/>
    <n v="1.7796000000000001"/>
    <n v="14.83"/>
    <s v="Sessão a Faturar"/>
    <n v="774831002933000"/>
    <n v="59749"/>
    <s v="Unidade Vieiralves"/>
    <n v="1716762269"/>
    <m/>
  </r>
  <r>
    <x v="6"/>
    <x v="17"/>
    <s v="Angelo Bonanno"/>
    <s v="Masculino"/>
    <x v="7"/>
    <x v="14"/>
    <s v="Vieiralves - 1 - Fisioterapia Ortopedica - Pacote (R$ 40,00)"/>
    <s v="Fisioterapia"/>
    <m/>
    <s v="Finalizado (9/10)"/>
    <n v="31.2"/>
    <n v="8.8000000000000007"/>
    <n v="40"/>
    <s v="Pago"/>
    <n v="611649060001010"/>
    <n v="55203"/>
    <s v="Unidade Vieiralves"/>
    <m/>
    <m/>
  </r>
  <r>
    <x v="6"/>
    <x v="17"/>
    <s v="Rachel Gomes Silva"/>
    <s v="Feminino"/>
    <x v="20"/>
    <x v="14"/>
    <s v="20103484 - Patologia Em Um Membro (R$ 29,04)"/>
    <s v="Fisioterapia"/>
    <n v="55652530"/>
    <s v="Finalizado (4/10)"/>
    <n v="25.555199999999999"/>
    <n v="3.4847999999999999"/>
    <n v="29.04"/>
    <s v="Sessão a Faturar"/>
    <n v="10511003423000"/>
    <n v="59416"/>
    <s v="Unidade Vieiralves"/>
    <n v="55652530"/>
    <m/>
  </r>
  <r>
    <x v="6"/>
    <x v="8"/>
    <s v="Silvia Sampaio Falcão de Oliveira"/>
    <m/>
    <x v="1"/>
    <x v="14"/>
    <s v="50000160 - Fisioterapia Ortopédica (R$ 20,00), 98980327 - Taxa de Eletroterapia (Tens) (R$ 15,00)"/>
    <s v="Fisioterapia"/>
    <n v="9584041"/>
    <s v="Finalizado (1/10)"/>
    <n v="30.8"/>
    <n v="4.2"/>
    <n v="35"/>
    <s v="Sessão a Faturar"/>
    <n v="2001013437310000"/>
    <n v="59750"/>
    <s v="Unidade Vieiralves"/>
    <n v="9584041"/>
    <m/>
  </r>
  <r>
    <x v="6"/>
    <x v="8"/>
    <s v="Silvia Sampaio Falcão de Oliveira"/>
    <m/>
    <x v="1"/>
    <x v="14"/>
    <s v="50000144 - Consulta de Fisioterapia (R$ 16,00)"/>
    <s v="Fisioterapia"/>
    <n v="9523922"/>
    <s v="Finalizado (1/1)"/>
    <n v="14.4"/>
    <n v="1.6"/>
    <n v="16"/>
    <s v="Sessão Faturada"/>
    <n v="2001013437310000"/>
    <n v="59750"/>
    <s v="Unidade Vieiralves"/>
    <n v="9523922"/>
    <m/>
  </r>
  <r>
    <x v="6"/>
    <x v="10"/>
    <s v="Thiago Lima Guedes"/>
    <s v="Masculino"/>
    <x v="2"/>
    <x v="14"/>
    <s v="20103484 - Fisioterapia - Patologia Em Um Membro (R$ 12,22)"/>
    <s v="Fisioterapia"/>
    <n v="1708334645"/>
    <s v="Finalizado (5/7)"/>
    <n v="10.7536"/>
    <n v="1.4663999999999999"/>
    <n v="12.22"/>
    <s v="Sessão a Faturar"/>
    <n v="960019317525020"/>
    <n v="59106"/>
    <s v="Unidade Vieiralves"/>
    <n v="1708334645"/>
    <m/>
  </r>
  <r>
    <x v="6"/>
    <x v="10"/>
    <s v="Thiago Lima Guedes"/>
    <s v="Masculino"/>
    <x v="4"/>
    <x v="14"/>
    <s v="31602185 - Estimulação Elétrica Transcutânea - Removido 13/04/2026 (R$ 40,00)"/>
    <s v="Fisioterapia"/>
    <n v="1716806362"/>
    <s v="Finalizado (1/3)"/>
    <n v="35.200000000000003"/>
    <n v="4.8"/>
    <n v="40"/>
    <s v="Sessão a Faturar"/>
    <n v="960019317525020"/>
    <n v="59106"/>
    <s v="Unidade Vieiralves"/>
    <n v="1716806362"/>
    <m/>
  </r>
  <r>
    <x v="6"/>
    <x v="12"/>
    <s v="Iris da Silva Costa"/>
    <s v="Feminino"/>
    <x v="6"/>
    <x v="14"/>
    <s v="31602185 - Estimulação Elétrica Transcutanea (Tens) (R$ 40,00)"/>
    <s v="Fisioterapia"/>
    <n v="855833"/>
    <s v="Finalizado (5/6)"/>
    <n v="35.200000000000003"/>
    <n v="4.8"/>
    <n v="40"/>
    <s v="Sessão a Faturar"/>
    <s v="55788888492927780014"/>
    <n v="50671"/>
    <s v="Unidade Vieiralves"/>
    <n v="855833"/>
    <m/>
  </r>
  <r>
    <x v="6"/>
    <x v="12"/>
    <s v="Iris da Silva Costa"/>
    <s v="Feminino"/>
    <x v="6"/>
    <x v="14"/>
    <s v="20103484 - Patologia Em Um Membro (R$ 14,16)"/>
    <s v="Fisioterapia"/>
    <n v="171916"/>
    <s v="Finalizado (5/6)"/>
    <n v="12.460800000000001"/>
    <n v="1.6992"/>
    <n v="14.16"/>
    <s v="Sessão a Faturar"/>
    <s v="55788888492927780014"/>
    <n v="50671"/>
    <s v="Unidade Vieiralves"/>
    <n v="171916"/>
    <m/>
  </r>
  <r>
    <x v="6"/>
    <x v="12"/>
    <s v="Cristiane Rodrigues da Silva"/>
    <s v="Feminino"/>
    <x v="6"/>
    <x v="14"/>
    <s v="20103492 - Patologia Em Dois Ou Mais Membros (R$ 30,26)"/>
    <s v="Fisioterapia"/>
    <n v="169654"/>
    <s v="Finalizado (7/10)"/>
    <n v="26.628799999999998"/>
    <n v="3.6312000000000002"/>
    <n v="30.26"/>
    <s v="Sessão a Faturar"/>
    <s v="54563005000001140015"/>
    <n v="16840"/>
    <s v="Unidade Vieiralves"/>
    <n v="169654"/>
    <m/>
  </r>
  <r>
    <x v="6"/>
    <x v="12"/>
    <s v="Eunice Emanuele Soares Martins"/>
    <s v="Feminino"/>
    <x v="1"/>
    <x v="14"/>
    <s v="50000160 - Fisioterapia Ortopédica (R$ 20,00), 98980327 - Taxa de Eletroterapia (Tens) (R$ 15,00)"/>
    <s v="Fisioterapia"/>
    <n v="8886344"/>
    <s v="Finalizado (6/10)"/>
    <n v="30.8"/>
    <n v="4.2"/>
    <n v="35"/>
    <s v="Sessão Faturada"/>
    <n v="1202011460120100"/>
    <n v="56253"/>
    <s v="Unidade Vieiralves"/>
    <n v="8886344"/>
    <m/>
  </r>
  <r>
    <x v="6"/>
    <x v="19"/>
    <s v="Cristiane Rodrigues da Silva"/>
    <s v="Feminino"/>
    <x v="6"/>
    <x v="14"/>
    <s v="31602185 - Estimulação Elétrica Transcutanea (Tens) (R$ 40,00)"/>
    <s v="Fisioterapia"/>
    <n v="170388"/>
    <s v="Finalizado (7/10)"/>
    <n v="35.200000000000003"/>
    <n v="4.8"/>
    <n v="40"/>
    <s v="Sessão a Faturar"/>
    <s v="54563005000001140015"/>
    <n v="16840"/>
    <s v="Unidade Vieiralves"/>
    <n v="170388"/>
    <m/>
  </r>
  <r>
    <x v="6"/>
    <x v="20"/>
    <s v="Amilton da Costa Carvalho"/>
    <s v="Masculino"/>
    <x v="20"/>
    <x v="14"/>
    <s v="20103484 - Patologia Em Um Membro (R$ 29,04)"/>
    <s v="Fisioterapia"/>
    <n v="172807"/>
    <s v="Finalizado (1/10)"/>
    <n v="25.555199999999999"/>
    <n v="3.4847999999999999"/>
    <n v="29.04"/>
    <s v="Sessão a Faturar"/>
    <n v="10511003315900"/>
    <n v="51485"/>
    <s v="Unidade Vieiralves"/>
    <n v="172807"/>
    <m/>
  </r>
  <r>
    <x v="6"/>
    <x v="20"/>
    <s v="Amilton da Costa Carvalho"/>
    <s v="Masculino"/>
    <x v="20"/>
    <x v="14"/>
    <s v="00010929 - Avaliação de Fisioterapia (R$ 36,00)"/>
    <s v="Fisioterapia"/>
    <n v="55797540"/>
    <s v="Finalizado (1/1)"/>
    <n v="32.4"/>
    <n v="3.6"/>
    <n v="36"/>
    <s v="Sessão a Faturar"/>
    <n v="10511003315900"/>
    <n v="51485"/>
    <s v="Unidade Vieiralves"/>
    <n v="55797540"/>
    <m/>
  </r>
  <r>
    <x v="6"/>
    <x v="20"/>
    <s v="Ana Paula Alves Cruz"/>
    <s v="Feminino"/>
    <x v="7"/>
    <x v="14"/>
    <s v="Vieiralves - 1 - Fisioterapia Ortopedica - Pacote (R$ 80,00)"/>
    <s v="Fisioterapia"/>
    <n v="171735"/>
    <s v="Finalizado (4/10)"/>
    <n v="62.4"/>
    <n v="17.600000000000001"/>
    <n v="80"/>
    <s v="No Prazo"/>
    <n v="0"/>
    <n v="8820"/>
    <s v="Unidade Vieiralves"/>
    <n v="171735"/>
    <m/>
  </r>
  <r>
    <x v="7"/>
    <x v="0"/>
    <s v="Joeline Dutra da Silva"/>
    <s v="Feminino"/>
    <x v="1"/>
    <x v="14"/>
    <s v="50000160 - Fisioterapia Ortopédica (R$ 20,00), 98980327 - Taxa de Eletroterapia (Tens) (R$ 15,00)"/>
    <s v="Fisioterapia"/>
    <n v="9210393"/>
    <s v="Finalizado (8/10)"/>
    <n v="30.8"/>
    <n v="4.2"/>
    <n v="35"/>
    <s v="Sessão Faturada"/>
    <n v="1101013081410400"/>
    <n v="56667"/>
    <s v="Unidade Vieiralves"/>
    <n v="9210393"/>
    <m/>
  </r>
  <r>
    <x v="7"/>
    <x v="0"/>
    <s v="Rosalinda Pereira Brito"/>
    <s v="Feminino"/>
    <x v="2"/>
    <x v="14"/>
    <s v="20103484 - Fisioterapia - Patologia Em Um Membro (R$ 12,22)"/>
    <s v="Fisioterapia"/>
    <n v="1705795662"/>
    <s v="Finalizado (10/10)"/>
    <n v="10.7536"/>
    <n v="1.4663999999999999"/>
    <n v="12.22"/>
    <s v="Sessão Faturada"/>
    <s v="010544100907015"/>
    <n v="13886"/>
    <s v="Unidade Vieiralves"/>
    <n v="1705795662"/>
    <m/>
  </r>
  <r>
    <x v="7"/>
    <x v="0"/>
    <s v="Ana Carolina Bento Andrade da Encarnação"/>
    <s v="Feminino"/>
    <x v="2"/>
    <x v="14"/>
    <s v="20103492 - Fisioterapia - Patologia Em Dois Ou Mais Membros (R$ 14,83), 20103506 - Fisioterapia - Patologia Em Um Segmento da Coluna (R$ 12,22)"/>
    <s v="Fisioterapia"/>
    <n v="1713611213"/>
    <s v="Finalizado (7/10)"/>
    <n v="23.803999999999998"/>
    <n v="3.246"/>
    <n v="27.05"/>
    <s v="Sessão a Faturar"/>
    <n v="771015045292010"/>
    <n v="21604"/>
    <s v="Unidade Vieiralves"/>
    <n v="1713611213"/>
    <m/>
  </r>
  <r>
    <x v="7"/>
    <x v="1"/>
    <s v="Rosalinda Pereira Brito"/>
    <s v="Feminino"/>
    <x v="4"/>
    <x v="14"/>
    <s v="31602185 - Estimulação Elétrica Transcutânea - Removido 13/04/2026 (R$ 40,00)"/>
    <s v="Fisioterapia"/>
    <n v="1710935636"/>
    <s v="Finalizado (6/10)"/>
    <n v="35.200000000000003"/>
    <n v="4.8"/>
    <n v="40"/>
    <s v="Sessão a Faturar"/>
    <s v="010544100907015"/>
    <n v="13886"/>
    <s v="Unidade Vieiralves"/>
    <n v="1710935636"/>
    <m/>
  </r>
  <r>
    <x v="7"/>
    <x v="2"/>
    <s v="Mychelle Karolynne Moura Souza"/>
    <s v="Feminino"/>
    <x v="2"/>
    <x v="14"/>
    <s v="20103514 - Fisioterapia - Patologia Em Diferentes Segmentos da Coluna (R$ 14,83)"/>
    <s v="Fisioterapia"/>
    <n v="1713509568"/>
    <s v="Finalizado (5/10)"/>
    <n v="13.0504"/>
    <n v="1.7796000000000001"/>
    <n v="14.83"/>
    <s v="Sessão a Faturar"/>
    <n v="775216011533020"/>
    <n v="59649"/>
    <s v="Unidade Vieiralves"/>
    <n v="1713509568"/>
    <m/>
  </r>
  <r>
    <x v="7"/>
    <x v="2"/>
    <s v="Maria Adelina Parente Lins Felix"/>
    <s v="Feminino"/>
    <x v="0"/>
    <x v="14"/>
    <s v="50000160 - Fisioterapia Ortopedica (R$ 49,72)"/>
    <s v="Fisioterapia"/>
    <s v="42263120260323540098"/>
    <s v="Finalizado (4/10)"/>
    <n v="43.753599999999999"/>
    <n v="5.9664000000000001"/>
    <n v="49.72"/>
    <s v="Sessão a Faturar"/>
    <s v="010650363400"/>
    <n v="41281"/>
    <s v="Unidade Vieiralves"/>
    <s v="42263120260323540098"/>
    <m/>
  </r>
  <r>
    <x v="7"/>
    <x v="3"/>
    <s v="Maria Adelina Parente Lins Felix"/>
    <s v="Feminino"/>
    <x v="0"/>
    <x v="14"/>
    <s v="31602185 - Estimulação Elétrica Transcutânea Fisioterapia (Novo - 01/12) (R$ 54,13)"/>
    <s v="Fisioterapia"/>
    <s v="42263120260325558384"/>
    <s v="Finalizado (4/10)"/>
    <n v="47.634399999999999"/>
    <n v="6.4955999999999996"/>
    <n v="54.13"/>
    <s v="Sessão a Faturar"/>
    <s v="010650363400"/>
    <n v="41281"/>
    <s v="Unidade Vieiralves"/>
    <s v="42263120260325558384"/>
    <m/>
  </r>
  <r>
    <x v="7"/>
    <x v="4"/>
    <s v="Elane Sales de Lima"/>
    <m/>
    <x v="2"/>
    <x v="14"/>
    <s v="20103484 - Fisioterapia - Patologia Em Um Membro (R$ 12,22)"/>
    <s v="Fisioterapia"/>
    <n v="1710359590"/>
    <s v="Finalizado (4/5)"/>
    <n v="10.7536"/>
    <n v="1.4663999999999999"/>
    <n v="12.22"/>
    <s v="Sessão Faturada"/>
    <n v="773539032034010"/>
    <n v="58812"/>
    <s v="Unidade Vieiralves"/>
    <n v="1710359590"/>
    <m/>
  </r>
  <r>
    <x v="7"/>
    <x v="4"/>
    <s v="Frank Marlon Ferreira de Naja"/>
    <s v="Masculino"/>
    <x v="2"/>
    <x v="14"/>
    <s v="20103514 - Fisioterapia - Patologia Em Diferentes Segmentos da Coluna (R$ 14,83)"/>
    <s v="Fisioterapia"/>
    <n v="1716762269"/>
    <s v="Finalizado (2/10)"/>
    <n v="13.0504"/>
    <n v="1.7796000000000001"/>
    <n v="14.83"/>
    <s v="Sessão a Faturar"/>
    <n v="774831002933000"/>
    <n v="59749"/>
    <s v="Unidade Vieiralves"/>
    <n v="1716762269"/>
    <m/>
  </r>
  <r>
    <x v="7"/>
    <x v="4"/>
    <s v="Jucy Nogueira Levy"/>
    <s v="Masculino"/>
    <x v="2"/>
    <x v="14"/>
    <s v="20103662 - Fisioterapia - Pos Operatorio Em Um Membro (R$ 14,99)"/>
    <s v="Fisioterapia"/>
    <n v="1716171975"/>
    <s v="Finalizado (2/10)"/>
    <n v="13.1912"/>
    <n v="1.7988"/>
    <n v="14.99"/>
    <s v="Sessão a Faturar"/>
    <n v="773268007013010"/>
    <n v="6099"/>
    <s v="Unidade Vieiralves"/>
    <n v="1716171975"/>
    <m/>
  </r>
  <r>
    <x v="7"/>
    <x v="5"/>
    <s v="Frank Marlon Ferreira de Naja"/>
    <s v="Masculino"/>
    <x v="4"/>
    <x v="14"/>
    <s v="31602185 - Estimulação Elétrica Transcutânea - Removido 13/04/2026 (R$ 40,00)"/>
    <s v="Fisioterapia"/>
    <n v="1717234489"/>
    <s v="Finalizado (1/10)"/>
    <n v="35.200000000000003"/>
    <n v="4.8"/>
    <n v="40"/>
    <s v="Sessão a Faturar"/>
    <n v="774831002933000"/>
    <n v="59749"/>
    <s v="Unidade Vieiralves"/>
    <n v="1717234489"/>
    <m/>
  </r>
  <r>
    <x v="7"/>
    <x v="13"/>
    <s v="Sergio Massayoshi Nunomura"/>
    <s v="Masculino"/>
    <x v="1"/>
    <x v="14"/>
    <s v="50000160 - Fisioterapia Ortopédica (R$ 20,00), 98980327 - Taxa de Eletroterapia (Tens) (R$ 15,00)"/>
    <s v="Fisioterapia"/>
    <n v="9446406"/>
    <s v="Finalizado (2/10)"/>
    <n v="30.8"/>
    <n v="4.2"/>
    <n v="35"/>
    <s v="Sessão a Faturar"/>
    <s v="0901013262310007"/>
    <n v="55942"/>
    <s v="Unidade Vieiralves"/>
    <n v="9446406"/>
    <m/>
  </r>
  <r>
    <x v="7"/>
    <x v="6"/>
    <s v="Alessandra Silveira Rocha"/>
    <s v="Feminino"/>
    <x v="2"/>
    <x v="14"/>
    <s v="20103492 - Fisioterapia - Patologia Em Dois Ou Mais Membros (R$ 14,83)"/>
    <s v="Fisioterapia"/>
    <n v="1707002611"/>
    <s v="Finalizado (8/10)"/>
    <n v="13.0504"/>
    <n v="1.7796000000000001"/>
    <n v="14.83"/>
    <s v="Sessão a Faturar"/>
    <n v="774063023809020"/>
    <n v="58966"/>
    <s v="Unidade Vieiralves"/>
    <n v="1707002611"/>
    <m/>
  </r>
  <r>
    <x v="7"/>
    <x v="7"/>
    <s v="Alessandra Silveira Rocha"/>
    <s v="Feminino"/>
    <x v="4"/>
    <x v="14"/>
    <s v="31602185 - Estimulação Elétrica Transcutânea - Removido 13/04/2026 (R$ 40,00)"/>
    <s v="Fisioterapia"/>
    <n v="1714208925"/>
    <s v="Finalizado (3/5)"/>
    <n v="35.200000000000003"/>
    <n v="4.8"/>
    <n v="40"/>
    <s v="Sessão a Faturar"/>
    <n v="774063023809020"/>
    <n v="58966"/>
    <s v="Unidade Vieiralves"/>
    <n v="1714208925"/>
    <m/>
  </r>
  <r>
    <x v="7"/>
    <x v="15"/>
    <s v="Maria de Nazaré Reis Barbosa"/>
    <s v="Feminino"/>
    <x v="1"/>
    <x v="14"/>
    <s v="50000160 - Fisioterapia Ortopédica (R$ 20,00), 98980327 - Taxa de Eletroterapia (Tens) (R$ 15,00)"/>
    <s v="Fisioterapia"/>
    <n v="9218957"/>
    <s v="Finalizado (7/10)"/>
    <n v="30.8"/>
    <n v="4.2"/>
    <n v="35"/>
    <s v="Sessão Faturada"/>
    <s v="0901005831260032"/>
    <n v="52372"/>
    <s v="Unidade Vieiralves"/>
    <n v="9218957"/>
    <m/>
  </r>
  <r>
    <x v="7"/>
    <x v="15"/>
    <s v="Samuel Cunha de Oliveira"/>
    <m/>
    <x v="2"/>
    <x v="14"/>
    <s v="20103514 - Fisioterapia - Patologia Em Diferentes Segmentos da Coluna (R$ 14,83)"/>
    <s v="Fisioterapia"/>
    <n v="1717286729"/>
    <s v="Finalizado (1/10)"/>
    <n v="13.0504"/>
    <n v="1.7796000000000001"/>
    <n v="14.83"/>
    <s v="Sessão a Faturar"/>
    <n v="837047000191010"/>
    <n v="59496"/>
    <s v="Unidade Vieiralves"/>
    <n v="1717286729"/>
    <m/>
  </r>
  <r>
    <x v="7"/>
    <x v="15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6/9)"/>
    <n v="21.507200000000001"/>
    <n v="2.9327999999999999"/>
    <n v="24.44"/>
    <s v="Sessão a Faturar"/>
    <n v="837047000191020"/>
    <n v="59619"/>
    <s v="Unidade Vieiralves"/>
    <n v="1711643216"/>
    <m/>
  </r>
  <r>
    <x v="7"/>
    <x v="17"/>
    <s v="Thaianne de Matos Sampaio da Silva"/>
    <s v="Feminino"/>
    <x v="0"/>
    <x v="14"/>
    <s v="50000160 - Fisioterapia Ortopedica (R$ 49,72)"/>
    <s v="Fisioterapia"/>
    <s v="42263120260307428164"/>
    <s v="Finalizado (9/10)"/>
    <n v="43.753599999999999"/>
    <n v="5.9664000000000001"/>
    <n v="49.72"/>
    <s v="Sessão a Faturar"/>
    <s v="010650776203"/>
    <n v="59378"/>
    <s v="Unidade Vieiralves"/>
    <s v="42263120260307428164"/>
    <m/>
  </r>
  <r>
    <x v="7"/>
    <x v="17"/>
    <s v="Miriene Lira de Souza"/>
    <s v="Feminino"/>
    <x v="2"/>
    <x v="14"/>
    <s v="20103492 - Fisioterapia - Patologia Em Dois Ou Mais Membros (R$ 14,83)"/>
    <s v="Fisioterapia"/>
    <n v="1716238434"/>
    <s v="Finalizado (2/10)"/>
    <n v="13.0504"/>
    <n v="1.7796000000000001"/>
    <n v="14.83"/>
    <s v="Sessão a Faturar"/>
    <n v="770179018350010"/>
    <n v="37863"/>
    <s v="Unidade Vieiralves"/>
    <n v="1716238434"/>
    <m/>
  </r>
  <r>
    <x v="7"/>
    <x v="17"/>
    <s v="Angelo Bonanno"/>
    <s v="Masculino"/>
    <x v="7"/>
    <x v="14"/>
    <s v="Vieiralves - 1 - Fisioterapia Ortopedica - Pacote (R$ 40,00)"/>
    <s v="Fisioterapia"/>
    <m/>
    <s v="Finalizado (10/10)"/>
    <n v="31.2"/>
    <n v="8.8000000000000007"/>
    <n v="40"/>
    <s v="Pago"/>
    <n v="611649060001010"/>
    <n v="55203"/>
    <s v="Unidade Vieiralves"/>
    <m/>
    <m/>
  </r>
  <r>
    <x v="7"/>
    <x v="18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9/10)"/>
    <n v="47.634399999999999"/>
    <n v="6.4955999999999996"/>
    <n v="54.13"/>
    <s v="Sessão a Faturar"/>
    <s v="010650776203"/>
    <n v="59378"/>
    <s v="Unidade Vieiralves"/>
    <s v="42263120260307428285"/>
    <m/>
  </r>
  <r>
    <x v="7"/>
    <x v="10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9/10)"/>
    <n v="21.507200000000001"/>
    <n v="2.9327999999999999"/>
    <n v="24.44"/>
    <s v="Sessão a Faturar"/>
    <n v="867546100043000"/>
    <n v="59479"/>
    <s v="Unidade Vieiralves"/>
    <n v="1708046408"/>
    <m/>
  </r>
  <r>
    <x v="7"/>
    <x v="10"/>
    <s v="Lauren Lauschner Gaikoski"/>
    <s v="Feminino"/>
    <x v="2"/>
    <x v="14"/>
    <s v="20103484 - Fisioterapia - Patologia Em Um Membro (R$ 12,22)"/>
    <s v="Fisioterapia"/>
    <n v="1714766274"/>
    <s v="Finalizado (3/10)"/>
    <n v="10.7536"/>
    <n v="1.4663999999999999"/>
    <n v="12.22"/>
    <s v="Sessão a Faturar"/>
    <n v="775388000299020"/>
    <n v="56279"/>
    <s v="Unidade Vieiralves"/>
    <n v="1714766274"/>
    <m/>
  </r>
  <r>
    <x v="7"/>
    <x v="11"/>
    <s v="Leonardo Emmanuel Neves Rodrigues"/>
    <s v="Masculino"/>
    <x v="4"/>
    <x v="14"/>
    <s v="31602185 - Estimulação Elétrica Transcutânea - Removido 13/04/2026 (R$ 40,00)"/>
    <s v="Fisioterapia"/>
    <n v="1713010280"/>
    <s v="Finalizado (5/5)"/>
    <n v="35.200000000000003"/>
    <n v="4.8"/>
    <n v="40"/>
    <s v="Sessão Faturada"/>
    <n v="867546100043000"/>
    <n v="59479"/>
    <s v="Unidade Vieiralves"/>
    <n v="1713010280"/>
    <m/>
  </r>
  <r>
    <x v="8"/>
    <x v="0"/>
    <s v="Sergio Massayoshi Nunomura"/>
    <s v="Masculino"/>
    <x v="1"/>
    <x v="14"/>
    <s v="50000160 - Fisioterapia Ortopédica (R$ 20,00), 98980327 - Taxa de Eletroterapia (Tens) (R$ 15,00)"/>
    <s v="Fisioterapia"/>
    <n v="9446406"/>
    <s v="Finalizado (3/10)"/>
    <n v="30.8"/>
    <n v="4.2"/>
    <n v="35"/>
    <s v="Sessão a Faturar"/>
    <s v="0901013262310007"/>
    <n v="55942"/>
    <s v="Unidade Vieiralves"/>
    <n v="9446406"/>
    <m/>
  </r>
  <r>
    <x v="8"/>
    <x v="0"/>
    <s v="Jordânia Maria Napoliao Cabo de Vasconcelos"/>
    <m/>
    <x v="2"/>
    <x v="14"/>
    <s v="20103514 - Fisioterapia - Patologia Em Diferentes Segmentos da Coluna (R$ 14,83)"/>
    <s v="Fisioterapia"/>
    <n v="1715427512"/>
    <s v="Finalizado (2/10)"/>
    <n v="13.0504"/>
    <n v="1.7796000000000001"/>
    <n v="14.83"/>
    <s v="Sessão a Faturar"/>
    <n v="890729700019010"/>
    <n v="59678"/>
    <s v="Unidade Vieiralves"/>
    <n v="1715427512"/>
    <m/>
  </r>
  <r>
    <x v="8"/>
    <x v="0"/>
    <s v="Adenise Leitão Barbosa"/>
    <s v="Feminino"/>
    <x v="12"/>
    <x v="14"/>
    <s v="20103492 - Patol. Em Dois Ou Mais Membros (R$ 14,83)"/>
    <s v="Fisioterapia"/>
    <n v="172290"/>
    <s v="Finalizado (5/10)"/>
    <n v="13.0504"/>
    <n v="1.7796000000000001"/>
    <n v="14.83"/>
    <s v="Sessão a Faturar"/>
    <s v="000432203160121601"/>
    <n v="26264"/>
    <s v="Unidade Vieiralves"/>
    <n v="172290"/>
    <m/>
  </r>
  <r>
    <x v="8"/>
    <x v="0"/>
    <s v="Rosalinda Pereira Brito"/>
    <s v="Feminino"/>
    <x v="2"/>
    <x v="14"/>
    <s v="20103484 - Fisioterapia - Patologia Em Um Membro (R$ 12,22)"/>
    <s v="Fisioterapia"/>
    <n v="1717688075"/>
    <s v="Finalizado (1/10)"/>
    <n v="10.7536"/>
    <n v="1.4663999999999999"/>
    <n v="12.22"/>
    <s v="Sessão a Faturar"/>
    <s v="010544100907015"/>
    <n v="13886"/>
    <s v="Unidade Vieiralves"/>
    <n v="1717688075"/>
    <m/>
  </r>
  <r>
    <x v="8"/>
    <x v="1"/>
    <s v="Rosalinda Pereira Brito"/>
    <s v="Feminino"/>
    <x v="4"/>
    <x v="14"/>
    <s v="31602185 - Estimulação Elétrica Transcutânea - Removido 13/04/2026 (R$ 40,00)"/>
    <s v="Fisioterapia"/>
    <n v="1710935636"/>
    <s v="Finalizado (7/10)"/>
    <n v="35.200000000000003"/>
    <n v="4.8"/>
    <n v="40"/>
    <s v="Sessão a Faturar"/>
    <s v="010544100907015"/>
    <n v="13886"/>
    <s v="Unidade Vieiralves"/>
    <n v="1710935636"/>
    <m/>
  </r>
  <r>
    <x v="8"/>
    <x v="2"/>
    <s v="Sandra Mamede Moreira da Costa"/>
    <s v="Feminino"/>
    <x v="1"/>
    <x v="14"/>
    <s v="50000160 - Fisioterapia Ortopédica (R$ 20,00), 98980327 - Taxa de Eletroterapia (Tens) (R$ 15,00)"/>
    <s v="Fisioterapia"/>
    <n v="8825151"/>
    <s v="Finalizado (9/10)"/>
    <n v="30.8"/>
    <n v="4.2"/>
    <n v="35"/>
    <s v="Sessão Faturada"/>
    <n v="1101013389860100"/>
    <n v="57939"/>
    <s v="Unidade Vieiralves"/>
    <n v="8825151"/>
    <s v="GUIA ASSINADA"/>
  </r>
  <r>
    <x v="8"/>
    <x v="2"/>
    <s v="Eduardo Martins Souza"/>
    <s v="Masculino"/>
    <x v="1"/>
    <x v="14"/>
    <s v="50000160 - Fisioterapia Ortopédica (R$ 20,00), 98980327 - Taxa de Eletroterapia (Tens) (R$ 15,00)"/>
    <s v="Fisioterapia"/>
    <n v="9294151"/>
    <s v="Finalizado (8/10)"/>
    <n v="30.8"/>
    <n v="4.2"/>
    <n v="35"/>
    <s v="Sessão Faturada"/>
    <s v="0901013816210012"/>
    <n v="58367"/>
    <s v="Unidade Vieiralves"/>
    <n v="9294151"/>
    <m/>
  </r>
  <r>
    <x v="8"/>
    <x v="2"/>
    <s v="Luiz Carlos Barcelos Gonzaga"/>
    <s v="Masculino"/>
    <x v="8"/>
    <x v="14"/>
    <s v="20103662 - Pos Operatorio Em Um Membro (R$ 14,99)"/>
    <s v="Fisioterapia"/>
    <n v="1711562792"/>
    <s v="Finalizado (4/8)"/>
    <n v="13.1912"/>
    <n v="1.7988"/>
    <n v="14.99"/>
    <s v="Sessão a Faturar"/>
    <n v="954600002887000"/>
    <n v="16269"/>
    <s v="Unidade Vieiralves"/>
    <n v="1711562792"/>
    <m/>
  </r>
  <r>
    <x v="8"/>
    <x v="2"/>
    <s v="Milena Maria Figueiredo Almeida"/>
    <s v="Feminino"/>
    <x v="2"/>
    <x v="14"/>
    <s v="20103484 - Fisioterapia - Patologia Em Um Membro (R$ 12,22)"/>
    <s v="Fisioterapia"/>
    <n v="1716689786"/>
    <s v="Finalizado (2/10)"/>
    <n v="10.7536"/>
    <n v="1.4663999999999999"/>
    <n v="12.22"/>
    <s v="Sessão a Faturar"/>
    <n v="771015041734010"/>
    <n v="57956"/>
    <s v="Unidade Vieiralves"/>
    <n v="1716689786"/>
    <m/>
  </r>
  <r>
    <x v="8"/>
    <x v="4"/>
    <s v="Francimara da Costa Rodrigues Balderrama"/>
    <s v="Feminino"/>
    <x v="2"/>
    <x v="14"/>
    <s v="20103662 - Fisioterapia - Pos Operatorio Em Um Membro (R$ 14,99)"/>
    <s v="Fisioterapia"/>
    <n v="1716135769"/>
    <s v="Finalizado (3/10)"/>
    <n v="13.1912"/>
    <n v="1.7988"/>
    <n v="14.99"/>
    <s v="Sessão a Faturar"/>
    <n v="774981005886020"/>
    <n v="59685"/>
    <s v="Unidade Vieiralves"/>
    <n v="1716135769"/>
    <m/>
  </r>
  <r>
    <x v="8"/>
    <x v="5"/>
    <s v="Francimara da Costa Rodrigues Balderrama"/>
    <s v="Feminino"/>
    <x v="4"/>
    <x v="14"/>
    <s v="31602185 - Estimulação Elétrica Transcutânea - Removido 13/04/2026 (R$ 40,00)"/>
    <s v="Fisioterapia"/>
    <n v="1716768906"/>
    <s v="Finalizado (2/10)"/>
    <n v="35.200000000000003"/>
    <n v="4.8"/>
    <n v="40"/>
    <s v="Sessão a Faturar"/>
    <n v="774981005886020"/>
    <n v="59685"/>
    <s v="Unidade Vieiralves"/>
    <n v="1716768906"/>
    <m/>
  </r>
  <r>
    <x v="8"/>
    <x v="6"/>
    <s v="Keitty Janete Garcia Mineiro"/>
    <s v="Feminino"/>
    <x v="1"/>
    <x v="14"/>
    <s v="50000160 - Fisioterapia Ortopédica (R$ 20,00), 98980327 - Taxa de Eletroterapia (Tens) (R$ 15,00)"/>
    <s v="Fisioterapia"/>
    <n v="9401338"/>
    <s v="Finalizado (1/10)"/>
    <n v="30.8"/>
    <n v="4.2"/>
    <n v="35"/>
    <s v="Sessão a Faturar"/>
    <n v="1301013081700400"/>
    <n v="55920"/>
    <s v="Unidade Vieiralves"/>
    <n v="9401338"/>
    <m/>
  </r>
  <r>
    <x v="8"/>
    <x v="6"/>
    <s v="Ketlyn de Figueiredo Costa"/>
    <s v="Feminino"/>
    <x v="8"/>
    <x v="14"/>
    <s v="20103492 - Patologia Em Dois Ou Mais Membros (R$ 14,83)"/>
    <s v="Fisioterapia"/>
    <n v="1710486090"/>
    <s v="Finalizado (2/5)"/>
    <n v="13.0504"/>
    <n v="1.7796000000000001"/>
    <n v="14.83"/>
    <s v="Sessão a Faturar"/>
    <n v="954600015326020"/>
    <n v="59515"/>
    <s v="Unidade Vieiralves"/>
    <n v="1710486090"/>
    <m/>
  </r>
  <r>
    <x v="8"/>
    <x v="6"/>
    <s v="Frank Marlon Ferreira de Naja"/>
    <s v="Masculino"/>
    <x v="4"/>
    <x v="14"/>
    <s v="31602185 - Estimulação Elétrica Transcutânea - Removido 13/04/2026 (R$ 40,00)"/>
    <s v="Fisioterapia"/>
    <n v="1717234489"/>
    <s v="Finalizado (2/10)"/>
    <n v="35.200000000000003"/>
    <n v="4.8"/>
    <n v="40"/>
    <s v="Sessão a Faturar"/>
    <n v="774831002933000"/>
    <n v="59749"/>
    <s v="Unidade Vieiralves"/>
    <n v="1717234489"/>
    <m/>
  </r>
  <r>
    <x v="8"/>
    <x v="6"/>
    <s v="Frank Marlon Ferreira de Naja"/>
    <s v="Masculino"/>
    <x v="2"/>
    <x v="14"/>
    <s v="20103514 - Fisioterapia - Patologia Em Diferentes Segmentos da Coluna (R$ 14,83)"/>
    <s v="Fisioterapia"/>
    <n v="1716762269"/>
    <s v="Finalizado (3/10)"/>
    <n v="13.0504"/>
    <n v="1.7796000000000001"/>
    <n v="14.83"/>
    <s v="Sessão a Faturar"/>
    <n v="774831002933000"/>
    <n v="59749"/>
    <s v="Unidade Vieiralves"/>
    <n v="1716762269"/>
    <m/>
  </r>
  <r>
    <x v="8"/>
    <x v="15"/>
    <s v="Miriene Lira de Souza"/>
    <s v="Feminino"/>
    <x v="2"/>
    <x v="14"/>
    <s v="20103492 - Fisioterapia - Patologia Em Dois Ou Mais Membros (R$ 14,83)"/>
    <s v="Fisioterapia"/>
    <n v="1716238434"/>
    <s v="Finalizado (3/10)"/>
    <n v="13.0504"/>
    <n v="1.7796000000000001"/>
    <n v="14.83"/>
    <s v="Sessão a Faturar"/>
    <n v="770179018350010"/>
    <n v="37863"/>
    <s v="Unidade Vieiralves"/>
    <n v="1716238434"/>
    <m/>
  </r>
  <r>
    <x v="8"/>
    <x v="17"/>
    <s v="Silvia Sampaio Falcão de Oliveira"/>
    <m/>
    <x v="1"/>
    <x v="14"/>
    <s v="50000160 - Fisioterapia Ortopédica (R$ 20,00), 98980327 - Taxa de Eletroterapia (Tens) (R$ 15,00)"/>
    <s v="Fisioterapia"/>
    <n v="9584041"/>
    <s v="Finalizado (2/10)"/>
    <n v="30.8"/>
    <n v="4.2"/>
    <n v="35"/>
    <s v="Sessão a Faturar"/>
    <n v="2001013437310000"/>
    <n v="59750"/>
    <s v="Unidade Vieiralves"/>
    <n v="9584041"/>
    <m/>
  </r>
  <r>
    <x v="8"/>
    <x v="8"/>
    <s v="Jessica Pereira Falcão"/>
    <s v="Feminino"/>
    <x v="25"/>
    <x v="14"/>
    <s v="50000160 - Fisioterapia Ortopedica (R$ 46,72)"/>
    <s v="Fisioterapia"/>
    <n v="143007"/>
    <s v="Finalizado (5/10)"/>
    <n v="41.113599999999998"/>
    <n v="5.6063999999999998"/>
    <n v="46.72"/>
    <s v="Sessão Faturada"/>
    <n v="13804"/>
    <n v="50776"/>
    <s v="Unidade Vieiralves"/>
    <n v="143007"/>
    <m/>
  </r>
  <r>
    <x v="8"/>
    <x v="8"/>
    <s v="Lauren Lauschner Gaikoski"/>
    <s v="Feminino"/>
    <x v="2"/>
    <x v="14"/>
    <s v="20103484 - Fisioterapia - Patologia Em Um Membro (R$ 12,22)"/>
    <s v="Fisioterapia"/>
    <n v="1714766274"/>
    <s v="Finalizado (4/10)"/>
    <n v="10.7536"/>
    <n v="1.4663999999999999"/>
    <n v="12.22"/>
    <s v="Sessão a Faturar"/>
    <n v="775388000299020"/>
    <n v="56279"/>
    <s v="Unidade Vieiralves"/>
    <n v="1714766274"/>
    <m/>
  </r>
  <r>
    <x v="8"/>
    <x v="10"/>
    <s v="Alexandre Wagner Kiyoshi Uehara"/>
    <s v="Masculino"/>
    <x v="2"/>
    <x v="14"/>
    <s v="50000144 - Avaliação de Fisioterapia (R$ 51,42)"/>
    <s v="Fisioterapia"/>
    <n v="1717830183"/>
    <s v="Finalizado (1/1)"/>
    <n v="46.277999999999999"/>
    <n v="5.1420000000000003"/>
    <n v="51.42"/>
    <s v="Sessão Faturada"/>
    <n v="842974900019010"/>
    <n v="13920"/>
    <s v="Unidade Vieiralves"/>
    <n v="1717830183"/>
    <m/>
  </r>
  <r>
    <x v="8"/>
    <x v="11"/>
    <s v="Alexandre Wagner Kiyoshi Uehara"/>
    <s v="Masculino"/>
    <x v="2"/>
    <x v="14"/>
    <s v="20103484 - Fisioterapia - Patologia Em Um Membro (R$ 12,22)"/>
    <s v="Fisioterapia"/>
    <n v="1717831283"/>
    <s v="Finalizado (1/10)"/>
    <n v="10.7536"/>
    <n v="1.4663999999999999"/>
    <n v="12.22"/>
    <s v="Sessão a Faturar"/>
    <n v="842974900019010"/>
    <n v="13920"/>
    <s v="Unidade Vieiralves"/>
    <n v="1717831283"/>
    <m/>
  </r>
  <r>
    <x v="8"/>
    <x v="12"/>
    <s v="Thiago Lima Guedes"/>
    <s v="Masculino"/>
    <x v="2"/>
    <x v="14"/>
    <s v="20103484 - Fisioterapia - Patologia Em Um Membro (R$ 12,22)"/>
    <s v="Fisioterapia"/>
    <n v="1708334645"/>
    <s v="Finalizado (6/7)"/>
    <n v="10.7536"/>
    <n v="1.4663999999999999"/>
    <n v="12.22"/>
    <s v="Sessão a Faturar"/>
    <n v="960019317525020"/>
    <n v="59106"/>
    <s v="Unidade Vieiralves"/>
    <n v="1708334645"/>
    <m/>
  </r>
  <r>
    <x v="8"/>
    <x v="12"/>
    <s v="Amilton da Costa Carvalho"/>
    <s v="Masculino"/>
    <x v="20"/>
    <x v="14"/>
    <s v="20103484 - Patologia Em Um Membro (R$ 29,04)"/>
    <s v="Fisioterapia"/>
    <n v="172807"/>
    <s v="Finalizado (3/10)"/>
    <n v="25.555199999999999"/>
    <n v="3.4847999999999999"/>
    <n v="29.04"/>
    <s v="Sessão a Faturar"/>
    <n v="10511003315900"/>
    <n v="51485"/>
    <s v="Unidade Vieiralves"/>
    <n v="172807"/>
    <m/>
  </r>
  <r>
    <x v="8"/>
    <x v="19"/>
    <s v="Thiago Lima Guedes"/>
    <s v="Masculino"/>
    <x v="4"/>
    <x v="14"/>
    <s v="31602185 - Estimulação Elétrica Transcutânea - Removido 13/04/2026 (R$ 40,00)"/>
    <s v="Fisioterapia"/>
    <n v="1716806362"/>
    <s v="Finalizado (2/3)"/>
    <n v="35.200000000000003"/>
    <n v="4.8"/>
    <n v="40"/>
    <s v="Sessão a Faturar"/>
    <n v="960019317525020"/>
    <n v="59106"/>
    <s v="Unidade Vieiralves"/>
    <n v="1716806362"/>
    <m/>
  </r>
  <r>
    <x v="8"/>
    <x v="20"/>
    <s v="Iris da Silva Costa"/>
    <s v="Feminino"/>
    <x v="6"/>
    <x v="14"/>
    <s v="20103484 - Patologia Em Um Membro (R$ 14,16)"/>
    <s v="Fisioterapia"/>
    <n v="171916"/>
    <s v="Finalizado (6/6)"/>
    <n v="12.460800000000001"/>
    <n v="1.6992"/>
    <n v="14.16"/>
    <s v="Sessão a Faturar"/>
    <s v="55788888492927780014"/>
    <n v="50671"/>
    <s v="Unidade Vieiralves"/>
    <n v="171916"/>
    <m/>
  </r>
  <r>
    <x v="8"/>
    <x v="20"/>
    <s v="Eunice Emanuele Soares Martins"/>
    <s v="Feminino"/>
    <x v="1"/>
    <x v="14"/>
    <s v="50000160 - Fisioterapia Ortopédica (R$ 20,00), 98980327 - Taxa de Eletroterapia (Tens) (R$ 15,00)"/>
    <s v="Fisioterapia"/>
    <n v="8886344"/>
    <s v="Finalizado (7/10)"/>
    <n v="30.8"/>
    <n v="4.2"/>
    <n v="35"/>
    <s v="Sessão Faturada"/>
    <n v="1202011460120100"/>
    <n v="56253"/>
    <s v="Unidade Vieiralves"/>
    <n v="8886344"/>
    <m/>
  </r>
  <r>
    <x v="8"/>
    <x v="21"/>
    <s v="Iris da Silva Costa"/>
    <s v="Feminino"/>
    <x v="6"/>
    <x v="14"/>
    <s v="31602185 - Estimulação Elétrica Transcutanea (Tens) (R$ 40,00)"/>
    <s v="Fisioterapia"/>
    <n v="855833"/>
    <s v="Finalizado (6/6)"/>
    <n v="35.200000000000003"/>
    <n v="4.8"/>
    <n v="40"/>
    <s v="Sessão a Faturar"/>
    <s v="55788888492927780014"/>
    <n v="50671"/>
    <s v="Unidade Vieiralves"/>
    <n v="855833"/>
    <m/>
  </r>
  <r>
    <x v="9"/>
    <x v="0"/>
    <s v="Davi Ferreira Gadelha"/>
    <s v="Masculino"/>
    <x v="2"/>
    <x v="14"/>
    <s v="20103514 - Fisioterapia - Patologia Em Diferentes Segmentos da Coluna (R$ 14,83)"/>
    <s v="Fisioterapia"/>
    <n v="1711540478"/>
    <s v="Finalizado (3/6)"/>
    <n v="13.0504"/>
    <n v="1.7796000000000001"/>
    <n v="14.83"/>
    <s v="Sessão a Faturar"/>
    <n v="896128600019030"/>
    <n v="51103"/>
    <s v="Unidade Vieiralves"/>
    <n v="1711540478"/>
    <m/>
  </r>
  <r>
    <x v="9"/>
    <x v="0"/>
    <s v="Elcilene Pinheiro Ferreira Gadelha"/>
    <s v="Feminino"/>
    <x v="2"/>
    <x v="14"/>
    <s v="20103492 - Fisioterapia - Patologia Em Dois Ou Mais Membros (R$ 14,83)"/>
    <s v="Fisioterapia"/>
    <n v="1711540007"/>
    <s v="Finalizado (3/6)"/>
    <n v="13.0504"/>
    <n v="1.7796000000000001"/>
    <n v="14.83"/>
    <s v="Sessão a Faturar"/>
    <n v="896128600019000"/>
    <n v="51111"/>
    <s v="Unidade Vieiralves"/>
    <n v="1711540007"/>
    <m/>
  </r>
  <r>
    <x v="9"/>
    <x v="0"/>
    <s v="Adenise Leitão Barbosa"/>
    <s v="Feminino"/>
    <x v="12"/>
    <x v="14"/>
    <s v="20103492 - Patol. Em Dois Ou Mais Membros (R$ 14,83)"/>
    <s v="Fisioterapia"/>
    <n v="172290"/>
    <s v="Finalizado (6/10)"/>
    <n v="13.0504"/>
    <n v="1.7796000000000001"/>
    <n v="14.83"/>
    <s v="Sessão a Faturar"/>
    <s v="000432203160121601"/>
    <n v="26264"/>
    <s v="Unidade Vieiralves"/>
    <n v="172290"/>
    <m/>
  </r>
  <r>
    <x v="9"/>
    <x v="2"/>
    <s v="Maria Adelina Parente Lins Felix"/>
    <s v="Feminino"/>
    <x v="0"/>
    <x v="14"/>
    <s v="50000160 - Fisioterapia Ortopedica (R$ 49,72)"/>
    <s v="Fisioterapia"/>
    <s v="42263120260323540098"/>
    <s v="Finalizado (5/10)"/>
    <n v="43.753599999999999"/>
    <n v="5.9664000000000001"/>
    <n v="49.72"/>
    <s v="Sessão a Faturar"/>
    <s v="010650363400"/>
    <n v="41281"/>
    <s v="Unidade Vieiralves"/>
    <s v="42263120260323540098"/>
    <m/>
  </r>
  <r>
    <x v="9"/>
    <x v="2"/>
    <s v="Jucy Nogueira Levy"/>
    <s v="Masculino"/>
    <x v="2"/>
    <x v="14"/>
    <s v="20103662 - Fisioterapia - Pos Operatorio Em Um Membro (R$ 14,99)"/>
    <s v="Fisioterapia"/>
    <n v="1716171975"/>
    <s v="Finalizado (3/10)"/>
    <n v="13.1912"/>
    <n v="1.7988"/>
    <n v="14.99"/>
    <s v="Sessão a Faturar"/>
    <n v="773268007013010"/>
    <n v="6099"/>
    <s v="Unidade Vieiralves"/>
    <n v="1716171975"/>
    <m/>
  </r>
  <r>
    <x v="9"/>
    <x v="2"/>
    <s v="Maria Adelina Parente Lins Felix"/>
    <s v="Feminino"/>
    <x v="0"/>
    <x v="14"/>
    <s v="31602185 - Estimulação Elétrica Transcutânea Fisioterapia (Novo - 01/12) (R$ 54,13)"/>
    <s v="Fisioterapia"/>
    <s v="42263120260325558384"/>
    <s v="Finalizado (5/10)"/>
    <n v="47.634399999999999"/>
    <n v="6.4955999999999996"/>
    <n v="54.13"/>
    <s v="Sessão a Faturar"/>
    <s v="010650363400"/>
    <n v="41281"/>
    <s v="Unidade Vieiralves"/>
    <s v="42263120260325558384"/>
    <m/>
  </r>
  <r>
    <x v="9"/>
    <x v="4"/>
    <s v="Elane Sales de Lima"/>
    <m/>
    <x v="2"/>
    <x v="14"/>
    <s v="20103484 - Fisioterapia - Patologia Em Um Membro (R$ 12,22)"/>
    <s v="Fisioterapia"/>
    <n v="1710359590"/>
    <s v="Finalizado (5/5)"/>
    <n v="10.7536"/>
    <n v="1.4663999999999999"/>
    <n v="12.22"/>
    <s v="Sessão Faturada"/>
    <n v="773539032034010"/>
    <n v="58812"/>
    <s v="Unidade Vieiralves"/>
    <n v="1710359590"/>
    <m/>
  </r>
  <r>
    <x v="9"/>
    <x v="4"/>
    <s v="Rafaela Mascarenhas Coelho Brasil"/>
    <s v="Feminino"/>
    <x v="1"/>
    <x v="14"/>
    <s v="50000160 - Fisioterapia Ortopédica (R$ 20,00), 98980327 - Taxa de Eletroterapia (Tens) (R$ 15,00)"/>
    <s v="Fisioterapia"/>
    <n v="9269452"/>
    <s v="Finalizado (4/10)"/>
    <n v="30.8"/>
    <n v="4.2"/>
    <n v="35"/>
    <s v="Sessão Faturada"/>
    <n v="1101013085360100"/>
    <n v="58097"/>
    <s v="Unidade Vieiralves"/>
    <n v="9269452"/>
    <m/>
  </r>
  <r>
    <x v="9"/>
    <x v="13"/>
    <s v="Marcos Vinicius de Carvalho Balbino"/>
    <s v="Masculino"/>
    <x v="7"/>
    <x v="14"/>
    <s v="Vieiralves - 33 - Fisioterapia Ortopedica - Sessão Avulsa (R$ 90,00)"/>
    <s v="Fisioterapia"/>
    <m/>
    <s v="Finalizado (1/1)"/>
    <n v="70.2"/>
    <n v="19.8"/>
    <n v="90"/>
    <s v="Pago"/>
    <n v="0"/>
    <n v="59810"/>
    <s v="Unidade Vieiralves"/>
    <m/>
    <m/>
  </r>
  <r>
    <x v="9"/>
    <x v="13"/>
    <s v="Nelsi Maria Ladeira Luniere"/>
    <s v="Feminino"/>
    <x v="1"/>
    <x v="14"/>
    <s v="50000160 - Fisioterapia Ortopédica (R$ 20,00), 98980327 - Taxa de Eletroterapia (Tens) (R$ 15,00)"/>
    <s v="Fisioterapia"/>
    <n v="9162964"/>
    <s v="Finalizado (7/10)"/>
    <n v="30.8"/>
    <n v="4.2"/>
    <n v="35"/>
    <s v="Sessão Faturada"/>
    <s v="0801013498970007"/>
    <n v="58084"/>
    <s v="Unidade Vieiralves"/>
    <n v="9162964"/>
    <s v="GUIA ASSINADA"/>
  </r>
  <r>
    <x v="9"/>
    <x v="6"/>
    <s v="Alessandra Silveira Rocha"/>
    <s v="Feminino"/>
    <x v="2"/>
    <x v="14"/>
    <s v="20103492 - Fisioterapia - Patologia Em Dois Ou Mais Membros (R$ 14,83)"/>
    <s v="Fisioterapia"/>
    <n v="1707002611"/>
    <s v="Finalizado (9/10)"/>
    <n v="13.0504"/>
    <n v="1.7796000000000001"/>
    <n v="14.83"/>
    <s v="Sessão a Faturar"/>
    <n v="774063023809020"/>
    <n v="58966"/>
    <s v="Unidade Vieiralves"/>
    <n v="1707002611"/>
    <m/>
  </r>
  <r>
    <x v="9"/>
    <x v="6"/>
    <s v="Wilson Norival Perez Briceño Júnior"/>
    <s v="Masculino"/>
    <x v="1"/>
    <x v="14"/>
    <s v="50000144 - Consulta de Fisioterapia (R$ 16,00)"/>
    <s v="Fisioterapia"/>
    <n v="9591319"/>
    <s v="Finalizado (1/1)"/>
    <n v="14.4"/>
    <n v="1.6"/>
    <n v="16"/>
    <s v="Sessão Faturada"/>
    <n v="1301013238030000"/>
    <n v="59782"/>
    <s v="Unidade Vieiralves"/>
    <n v="9591319"/>
    <m/>
  </r>
  <r>
    <x v="9"/>
    <x v="7"/>
    <s v="Alessandra Silveira Rocha"/>
    <s v="Feminino"/>
    <x v="4"/>
    <x v="14"/>
    <s v="31602185 - Estimulação Elétrica Transcutânea - Removido 13/04/2026 (R$ 40,00)"/>
    <s v="Fisioterapia"/>
    <n v="1714208925"/>
    <s v="Finalizado (4/5)"/>
    <n v="35.200000000000003"/>
    <n v="4.8"/>
    <n v="40"/>
    <s v="Sessão a Faturar"/>
    <n v="774063023809020"/>
    <n v="58966"/>
    <s v="Unidade Vieiralves"/>
    <n v="1714208925"/>
    <m/>
  </r>
  <r>
    <x v="9"/>
    <x v="7"/>
    <s v="Wilson Norival Perez Briceño Júnior"/>
    <s v="Masculino"/>
    <x v="1"/>
    <x v="14"/>
    <s v="50000160 - Fisioterapia Ortopédica (R$ 20,00), 98980327 - Taxa de Eletroterapia (Tens) (R$ 15,00)"/>
    <s v="Fisioterapia"/>
    <n v="9591534"/>
    <s v="Finalizado (1/10)"/>
    <n v="30.8"/>
    <n v="4.2"/>
    <n v="35"/>
    <s v="Sessão a Faturar"/>
    <n v="1301013238030000"/>
    <n v="59782"/>
    <s v="Unidade Vieiralves"/>
    <n v="9591534"/>
    <m/>
  </r>
  <r>
    <x v="9"/>
    <x v="15"/>
    <s v="Samuel Cunha de Oliveira"/>
    <m/>
    <x v="4"/>
    <x v="14"/>
    <s v="31602185 - Estimulação Elétrica Transcutânea - Removido 13/04/2026 (R$ 40,00)"/>
    <s v="Fisioterapia"/>
    <n v="1718278285"/>
    <s v="Finalizado (1/10)"/>
    <n v="35.200000000000003"/>
    <n v="4.8"/>
    <n v="40"/>
    <s v="Sessão a Faturar"/>
    <n v="837047000191010"/>
    <n v="59496"/>
    <s v="Unidade Vieiralves"/>
    <n v="1718278285"/>
    <m/>
  </r>
  <r>
    <x v="9"/>
    <x v="15"/>
    <s v="Miriene Lira de Souza"/>
    <s v="Feminino"/>
    <x v="2"/>
    <x v="14"/>
    <s v="20103492 - Fisioterapia - Patologia Em Dois Ou Mais Membros (R$ 14,83)"/>
    <s v="Fisioterapia"/>
    <n v="1716238434"/>
    <s v="Finalizado (4/10)"/>
    <n v="13.0504"/>
    <n v="1.7796000000000001"/>
    <n v="14.83"/>
    <s v="Sessão a Faturar"/>
    <n v="770179018350010"/>
    <n v="37863"/>
    <s v="Unidade Vieiralves"/>
    <n v="1716238434"/>
    <m/>
  </r>
  <r>
    <x v="9"/>
    <x v="15"/>
    <s v="Samuel Cunha de Oliveira"/>
    <m/>
    <x v="2"/>
    <x v="14"/>
    <s v="20103514 - Fisioterapia - Patologia Em Diferentes Segmentos da Coluna (R$ 14,83)"/>
    <s v="Fisioterapia"/>
    <n v="1717286729"/>
    <s v="Finalizado (2/10)"/>
    <n v="13.0504"/>
    <n v="1.7796000000000001"/>
    <n v="14.83"/>
    <s v="Sessão a Faturar"/>
    <n v="837047000191010"/>
    <n v="59496"/>
    <s v="Unidade Vieiralves"/>
    <n v="1717286729"/>
    <m/>
  </r>
  <r>
    <x v="9"/>
    <x v="15"/>
    <s v="Andreza da Costa Paes"/>
    <s v="Feminino"/>
    <x v="2"/>
    <x v="14"/>
    <s v="20103484 - Fisioterapia - Patologia Em Um Membro (R$ 12,22), 20103506 - Fisioterapia - Patologia Em Um Segmento da Coluna (R$ 12,22)"/>
    <s v="Fisioterapia"/>
    <n v="1711643216"/>
    <s v="Finalizado (7/9)"/>
    <n v="21.507200000000001"/>
    <n v="2.9327999999999999"/>
    <n v="24.44"/>
    <s v="Sessão a Faturar"/>
    <n v="837047000191020"/>
    <n v="59619"/>
    <s v="Unidade Vieiralves"/>
    <n v="1711643216"/>
    <m/>
  </r>
  <r>
    <x v="9"/>
    <x v="8"/>
    <s v="Patricia Rodrigues Pontes"/>
    <s v="Feminino"/>
    <x v="6"/>
    <x v="14"/>
    <s v="20103662 - Pos Operatorio Em Um Membro (R$ 22,53)"/>
    <s v="Fisioterapia"/>
    <n v="171154"/>
    <s v="Finalizado (5/5)"/>
    <n v="19.8264"/>
    <n v="2.7035999999999998"/>
    <n v="22.53"/>
    <s v="Sessão a Faturar"/>
    <s v="54588888011063920019"/>
    <n v="59148"/>
    <s v="Unidade Vieiralves"/>
    <n v="171154"/>
    <m/>
  </r>
  <r>
    <x v="9"/>
    <x v="8"/>
    <s v="Thaianne de Matos Sampaio da Silva"/>
    <s v="Feminino"/>
    <x v="0"/>
    <x v="14"/>
    <s v="50000160 - Fisioterapia Ortopedica (R$ 49,72)"/>
    <s v="Fisioterapia"/>
    <s v="42263120260307428164"/>
    <s v="Finalizado (10/10)"/>
    <n v="43.753599999999999"/>
    <n v="5.9664000000000001"/>
    <n v="49.72"/>
    <s v="Sessão a Faturar"/>
    <s v="010650776203"/>
    <n v="59378"/>
    <s v="Unidade Vieiralves"/>
    <s v="42263120260307428164"/>
    <m/>
  </r>
  <r>
    <x v="9"/>
    <x v="8"/>
    <s v="Junio Costa de Almeida"/>
    <s v="Masculino"/>
    <x v="2"/>
    <x v="14"/>
    <s v="20103492 - Fisioterapia - Patologia Em Dois Ou Mais Membros (R$ 14,83)"/>
    <s v="Fisioterapia"/>
    <n v="1715418583"/>
    <s v="Finalizado (2/10)"/>
    <n v="13.0504"/>
    <n v="1.7796000000000001"/>
    <n v="14.83"/>
    <s v="Sessão a Faturar"/>
    <n v="773709045322000"/>
    <n v="59013"/>
    <s v="Unidade Vieiralves"/>
    <n v="1715418583"/>
    <m/>
  </r>
  <r>
    <x v="9"/>
    <x v="8"/>
    <s v="Gabrielly da Silva Mascarin"/>
    <m/>
    <x v="6"/>
    <x v="14"/>
    <s v="20103662 - Pos Operatorio Em Um Membro (R$ 22,53)"/>
    <s v="Fisioterapia"/>
    <n v="171689"/>
    <s v="Finalizado (3/10)"/>
    <n v="19.8264"/>
    <n v="2.7035999999999998"/>
    <n v="22.53"/>
    <s v="Sessão a Faturar"/>
    <n v="954500024520030"/>
    <n v="17683"/>
    <s v="Unidade Vieiralves"/>
    <n v="171689"/>
    <m/>
  </r>
  <r>
    <x v="9"/>
    <x v="8"/>
    <s v="Gabrielly da Silva Mascarin"/>
    <m/>
    <x v="6"/>
    <x v="14"/>
    <s v="31602185 - Estimulação Elétrica Transcutanea (Tens) (R$ 40,00)"/>
    <s v="Fisioterapia"/>
    <n v="171690"/>
    <s v="Finalizado (3/3)"/>
    <n v="35.200000000000003"/>
    <n v="4.8"/>
    <n v="40"/>
    <s v="Sessão a Faturar"/>
    <n v="954500024520030"/>
    <n v="17683"/>
    <s v="Unidade Vieiralves"/>
    <n v="171690"/>
    <m/>
  </r>
  <r>
    <x v="9"/>
    <x v="9"/>
    <s v="Thaianne de Matos Sampaio da Silva"/>
    <s v="Feminino"/>
    <x v="0"/>
    <x v="14"/>
    <s v="31602185 - Estimulação Elétrica Transcutânea Fisioterapia (Novo - 01/12) (R$ 54,13)"/>
    <s v="Fisioterapia"/>
    <s v="42263120260307428285"/>
    <s v="Finalizado (10/10)"/>
    <n v="47.634399999999999"/>
    <n v="6.4955999999999996"/>
    <n v="54.13"/>
    <s v="Sessão a Faturar"/>
    <s v="010650776203"/>
    <n v="59378"/>
    <s v="Unidade Vieiralves"/>
    <s v="42263120260307428285"/>
    <m/>
  </r>
  <r>
    <x v="9"/>
    <x v="9"/>
    <s v="Patricia Rodrigues Pontes"/>
    <s v="Feminino"/>
    <x v="6"/>
    <x v="14"/>
    <s v="31602185 - Estimulação Elétrica Transcutanea (Tens) (R$ 40,00)"/>
    <s v="Fisioterapia"/>
    <n v="171257"/>
    <s v="Finalizado (5/5)"/>
    <n v="35.200000000000003"/>
    <n v="4.8"/>
    <n v="40"/>
    <s v="Sessão a Faturar"/>
    <s v="54588888011063920019"/>
    <n v="59148"/>
    <s v="Unidade Vieiralves"/>
    <n v="171257"/>
    <m/>
  </r>
  <r>
    <x v="9"/>
    <x v="10"/>
    <s v="Leonardo Emmanuel Neves Rodrigues"/>
    <s v="Masculino"/>
    <x v="2"/>
    <x v="14"/>
    <s v="20103484 - Fisioterapia - Patologia Em Um Membro (R$ 12,22), 20103506 - Fisioterapia - Patologia Em Um Segmento da Coluna (R$ 12,22)"/>
    <s v="Fisioterapia"/>
    <n v="1708046408"/>
    <s v="Finalizado (10/10)"/>
    <n v="21.507200000000001"/>
    <n v="2.9327999999999999"/>
    <n v="24.44"/>
    <s v="Sessão a Faturar"/>
    <n v="867546100043000"/>
    <n v="59479"/>
    <s v="Unidade Vieiralves"/>
    <n v="1708046408"/>
    <m/>
  </r>
  <r>
    <x v="9"/>
    <x v="12"/>
    <s v="Karoline Lima de Oliveira"/>
    <s v="Feminino"/>
    <x v="2"/>
    <x v="14"/>
    <s v="20103484 - Fisioterapia - Patologia Em Um Membro (R$ 12,22)"/>
    <s v="Fisioterapia"/>
    <n v="1716472998"/>
    <s v="Finalizado (2/10)"/>
    <n v="10.7536"/>
    <n v="1.4663999999999999"/>
    <n v="12.22"/>
    <s v="Sessão a Faturar"/>
    <n v="954600003484010"/>
    <n v="59690"/>
    <s v="Unidade Vieiralves"/>
    <n v="1716472998"/>
    <m/>
  </r>
  <r>
    <x v="9"/>
    <x v="12"/>
    <s v="Kellen Regina Pereira da Silva"/>
    <s v="Feminino"/>
    <x v="4"/>
    <x v="14"/>
    <s v="31602185 - Estimulação Elétrica Transcutânea - Removido 13/04/2026 (R$ 40,00)"/>
    <s v="Fisioterapia"/>
    <n v="1710430457"/>
    <s v="Finalizado (5/6)"/>
    <n v="35.200000000000003"/>
    <n v="4.8"/>
    <n v="40"/>
    <s v="Sessão a Faturar"/>
    <n v="890729700027020"/>
    <n v="59263"/>
    <s v="Unidade Vieiralves"/>
    <n v="1710430457"/>
    <m/>
  </r>
  <r>
    <x v="9"/>
    <x v="12"/>
    <s v="Amilton da Costa Carvalho"/>
    <s v="Masculino"/>
    <x v="20"/>
    <x v="14"/>
    <s v="20103484 - Patologia Em Um Membro (R$ 29,04)"/>
    <s v="Fisioterapia"/>
    <n v="172807"/>
    <s v="Finalizado (4/10)"/>
    <n v="25.555199999999999"/>
    <n v="3.4847999999999999"/>
    <n v="29.04"/>
    <s v="Sessão a Faturar"/>
    <n v="10511003315900"/>
    <n v="51485"/>
    <s v="Unidade Vieiralves"/>
    <n v="172807"/>
    <m/>
  </r>
  <r>
    <x v="9"/>
    <x v="12"/>
    <s v="Kellen Regina Pereira da Silva"/>
    <s v="Feminino"/>
    <x v="2"/>
    <x v="14"/>
    <s v="20103484 - Fisioterapia - Patologia Em Um Membro (R$ 12,22), 20103506 - Fisioterapia - Patologia Em Um Segmento da Coluna (R$ 12,22)"/>
    <s v="Fisioterapia"/>
    <n v="1709800891"/>
    <s v="Finalizado (6/7)"/>
    <n v="21.507200000000001"/>
    <n v="2.9327999999999999"/>
    <n v="24.44"/>
    <s v="Sessão a Faturar"/>
    <n v="890729700027020"/>
    <n v="59263"/>
    <s v="Unidade Vieiralves"/>
    <n v="1709800891"/>
    <m/>
  </r>
  <r>
    <x v="9"/>
    <x v="20"/>
    <s v="Sergio Massayoshi Nunomura"/>
    <s v="Masculino"/>
    <x v="1"/>
    <x v="14"/>
    <s v="50000160 - Fisioterapia Ortopédica (R$ 20,00), 98980327 - Taxa de Eletroterapia (Tens) (R$ 15,00)"/>
    <s v="Fisioterapia"/>
    <n v="9446406"/>
    <s v="Finalizado (4/10)"/>
    <n v="30.8"/>
    <n v="4.2"/>
    <n v="35"/>
    <s v="Sessão a Faturar"/>
    <s v="0901013262310007"/>
    <n v="55942"/>
    <s v="Unidade Vieiralves"/>
    <n v="9446406"/>
    <m/>
  </r>
  <r>
    <x v="9"/>
    <x v="20"/>
    <s v="Monique Sousa Silva"/>
    <s v="Feminino"/>
    <x v="2"/>
    <x v="14"/>
    <s v="20103484 - Fisioterapia - Patologia Em Um Membro (R$ 12,22)"/>
    <s v="Fisioterapia"/>
    <n v="1716284750"/>
    <s v="Finalizado (2/10)"/>
    <n v="10.7536"/>
    <n v="1.4663999999999999"/>
    <n v="12.22"/>
    <s v="Sessão a Faturar"/>
    <n v="774642004405000"/>
    <n v="21707"/>
    <s v="Unidade Vieiralves"/>
    <n v="1716284750"/>
    <m/>
  </r>
  <r>
    <x v="9"/>
    <x v="20"/>
    <s v="Monique Sousa Silva"/>
    <s v="Feminino"/>
    <x v="4"/>
    <x v="14"/>
    <s v="31602185 - Estimulação Elétrica Transcutânea - Removido 13/04/2026 (R$ 40,00)"/>
    <s v="Fisioterapia"/>
    <n v="1718309618"/>
    <s v="Finalizado (1/10)"/>
    <n v="35.200000000000003"/>
    <n v="4.8"/>
    <n v="40"/>
    <s v="Sessão a Faturar"/>
    <n v="774642004405000"/>
    <n v="21707"/>
    <s v="Unidade Vieiralves"/>
    <n v="1718309618"/>
    <m/>
  </r>
  <r>
    <x v="12"/>
    <x v="36"/>
    <s v="Diego Nobuyoshi de Souza Tsuji"/>
    <s v="Masculino"/>
    <x v="4"/>
    <x v="15"/>
    <s v="31601014 - Acupuntura (R$ 54,56)"/>
    <s v="Acupuntura"/>
    <n v="1704148798"/>
    <s v="Finalizado (3/5)"/>
    <n v="45.284799999999997"/>
    <n v="9.2751999999999999"/>
    <n v="54.56"/>
    <s v="Sessão Faturada"/>
    <n v="774981009148000"/>
    <n v="11130"/>
    <s v="Unidade Vieiralves"/>
    <n v="1704148798"/>
    <m/>
  </r>
  <r>
    <x v="12"/>
    <x v="40"/>
    <s v="Irene Mendonça dos Santos"/>
    <s v="Feminino"/>
    <x v="12"/>
    <x v="15"/>
    <s v="31601014 - Acupuntura (R$ 54,56)"/>
    <s v="Acupuntura"/>
    <n v="10270501"/>
    <s v="Finalizado (7/10)"/>
    <n v="45.284799999999997"/>
    <n v="9.2751999999999999"/>
    <n v="54.56"/>
    <s v="Sessão Faturada"/>
    <s v="000439138334850901"/>
    <n v="36951"/>
    <s v="Unidade Vieiralves"/>
    <n v="10270501"/>
    <m/>
  </r>
  <r>
    <x v="12"/>
    <x v="40"/>
    <s v="Nívea Rosangela Santos Barbosa"/>
    <s v="Feminino"/>
    <x v="6"/>
    <x v="15"/>
    <s v="31601014 - Acupuntura (R$ 51,33)"/>
    <s v="Acupuntura"/>
    <n v="168914"/>
    <s v="Finalizado (3/4)"/>
    <n v="42.603900000000003"/>
    <n v="8.7261000000000006"/>
    <n v="51.33"/>
    <s v="Sessão a Faturar"/>
    <s v="54588888018689220020"/>
    <n v="56297"/>
    <s v="Unidade Vieiralves"/>
    <n v="168914"/>
    <m/>
  </r>
  <r>
    <x v="12"/>
    <x v="38"/>
    <s v="Auxiliadora Brito de Lima"/>
    <m/>
    <x v="6"/>
    <x v="15"/>
    <s v="31601014 - Acupuntura (R$ 51,33)"/>
    <s v="Acupuntura"/>
    <n v="169290"/>
    <s v="Finalizado (3/4)"/>
    <n v="42.603900000000003"/>
    <n v="8.7261000000000006"/>
    <n v="51.33"/>
    <s v="Sessão a Faturar"/>
    <s v="55788888491272530020"/>
    <n v="51936"/>
    <s v="Unidade Vieiralves"/>
    <n v="169290"/>
    <m/>
  </r>
  <r>
    <x v="12"/>
    <x v="37"/>
    <s v="Jucileida Chagas de Souza"/>
    <s v="Feminino"/>
    <x v="4"/>
    <x v="15"/>
    <s v="31601014 - Acupuntura (R$ 54,56)"/>
    <s v="Acupuntura"/>
    <n v="1703712514"/>
    <s v="Finalizado (3/5)"/>
    <n v="45.284799999999997"/>
    <n v="9.2751999999999999"/>
    <n v="54.56"/>
    <s v="Sessão Faturada"/>
    <n v="771015057096020"/>
    <n v="59220"/>
    <s v="Unidade Vieiralves"/>
    <n v="1703712514"/>
    <m/>
  </r>
  <r>
    <x v="12"/>
    <x v="39"/>
    <s v="Julliana Gadelha de Medeiros"/>
    <s v="Feminino"/>
    <x v="9"/>
    <x v="15"/>
    <s v="31601014 - Acupuntura (R$ 54,56)"/>
    <s v="Acupuntura"/>
    <n v="1706766950"/>
    <s v="Finalizado (1/5)"/>
    <n v="45.284799999999997"/>
    <n v="9.2751999999999999"/>
    <n v="54.56"/>
    <s v="Sessão Faturada"/>
    <n v="954600002968020"/>
    <n v="20663"/>
    <s v="Unidade Vieiralves"/>
    <n v="1706766950"/>
    <m/>
  </r>
  <r>
    <x v="12"/>
    <x v="39"/>
    <s v="Dea Ribeiro Margarido"/>
    <s v="Feminino"/>
    <x v="4"/>
    <x v="15"/>
    <s v="31601014 - Acupuntura (R$ 54,56)"/>
    <s v="Acupuntura"/>
    <n v="1703732544"/>
    <s v="Finalizado (3/5)"/>
    <n v="45.284799999999997"/>
    <n v="9.2751999999999999"/>
    <n v="54.56"/>
    <s v="Sessão Faturada"/>
    <n v="811010900736010"/>
    <n v="2849"/>
    <s v="Unidade Vieiralves"/>
    <n v="1703732544"/>
    <m/>
  </r>
  <r>
    <x v="12"/>
    <x v="43"/>
    <s v="Valdemira Almeida Rolim"/>
    <s v="Feminino"/>
    <x v="4"/>
    <x v="15"/>
    <s v="31601014 - Acupuntura (R$ 54,56)"/>
    <s v="Acupuntura"/>
    <n v="1703776891"/>
    <s v="Finalizado (3/5)"/>
    <n v="45.284799999999997"/>
    <n v="9.2751999999999999"/>
    <n v="54.56"/>
    <s v="Sessão Faturada"/>
    <n v="771015041971010"/>
    <n v="58522"/>
    <s v="Unidade Vieiralves"/>
    <n v="1703776891"/>
    <m/>
  </r>
  <r>
    <x v="13"/>
    <x v="36"/>
    <s v="Diego Nobuyoshi de Souza Tsuji"/>
    <s v="Masculino"/>
    <x v="4"/>
    <x v="15"/>
    <s v="31601014 - Acupuntura (R$ 54,56)"/>
    <s v="Acupuntura"/>
    <n v="1704148798"/>
    <s v="Finalizado (4/5)"/>
    <n v="45.284799999999997"/>
    <n v="9.2751999999999999"/>
    <n v="54.56"/>
    <s v="Sessão Faturada"/>
    <n v="774981009148000"/>
    <n v="11130"/>
    <s v="Unidade Vieiralves"/>
    <n v="1704148798"/>
    <m/>
  </r>
  <r>
    <x v="13"/>
    <x v="40"/>
    <s v="Maria Ercilia Cavalcante Martins"/>
    <s v="Feminino"/>
    <x v="4"/>
    <x v="15"/>
    <s v="31601014 - Acupuntura (R$ 54,56)"/>
    <s v="Acupuntura"/>
    <n v="1701702148"/>
    <s v="Finalizado (5/5)"/>
    <n v="45.284799999999997"/>
    <n v="9.2751999999999999"/>
    <n v="54.56"/>
    <s v="Sessão Faturada"/>
    <n v="830425500043000"/>
    <n v="7701"/>
    <s v="Unidade Vieiralves"/>
    <n v="1701702148"/>
    <m/>
  </r>
  <r>
    <x v="13"/>
    <x v="35"/>
    <s v="Claudia Miyuki Muramoto Sako"/>
    <s v="Feminino"/>
    <x v="4"/>
    <x v="15"/>
    <s v="31601014 - Acupuntura (R$ 54,56)"/>
    <s v="Acupuntura"/>
    <n v="1701150857"/>
    <s v="Finalizado (4/5)"/>
    <n v="45.284799999999997"/>
    <n v="9.2751999999999999"/>
    <n v="54.56"/>
    <s v="Sessão Faturada"/>
    <n v="885854000132010"/>
    <n v="49229"/>
    <s v="Unidade Vieiralves"/>
    <n v="1701150857"/>
    <m/>
  </r>
  <r>
    <x v="13"/>
    <x v="37"/>
    <s v="Felipe da Cunha Margem"/>
    <s v="Masculino"/>
    <x v="4"/>
    <x v="15"/>
    <s v="31601014 - Acupuntura (R$ 54,56)"/>
    <s v="Acupuntura"/>
    <n v="1706278867"/>
    <s v="Finalizado (1/2)"/>
    <n v="45.284799999999997"/>
    <n v="9.2751999999999999"/>
    <n v="54.56"/>
    <s v="Sessão Faturada"/>
    <n v="850277500019010"/>
    <n v="498"/>
    <s v="Unidade Vieiralves"/>
    <n v="1706278867"/>
    <m/>
  </r>
  <r>
    <x v="14"/>
    <x v="44"/>
    <s v="Irene Mendonça dos Santos"/>
    <s v="Feminino"/>
    <x v="12"/>
    <x v="15"/>
    <s v="31601014 - Acupuntura (R$ 54,56)"/>
    <s v="Acupuntura"/>
    <n v="10270501"/>
    <s v="Finalizado (8/10)"/>
    <n v="45.284799999999997"/>
    <n v="9.2751999999999999"/>
    <n v="54.56"/>
    <s v="Sessão Faturada"/>
    <s v="000439138334850901"/>
    <n v="36951"/>
    <s v="Unidade Vieiralves"/>
    <n v="10270501"/>
    <m/>
  </r>
  <r>
    <x v="14"/>
    <x v="40"/>
    <s v="Maria Ercilia Cavalcante Martins"/>
    <s v="Feminino"/>
    <x v="4"/>
    <x v="15"/>
    <s v="31601014 - Acupuntura (R$ 54,56)"/>
    <s v="Acupuntura"/>
    <n v="1706690949"/>
    <s v="Finalizado (1/5)"/>
    <n v="45.284799999999997"/>
    <n v="9.2751999999999999"/>
    <n v="54.56"/>
    <s v="Sessão Faturada"/>
    <n v="830425500043000"/>
    <n v="7701"/>
    <s v="Unidade Vieiralves"/>
    <n v="1706690949"/>
    <m/>
  </r>
  <r>
    <x v="14"/>
    <x v="35"/>
    <s v="Jucileida Chagas de Souza"/>
    <s v="Feminino"/>
    <x v="4"/>
    <x v="15"/>
    <s v="31601014 - Acupuntura (R$ 54,56)"/>
    <s v="Acupuntura"/>
    <n v="1703712514"/>
    <s v="Finalizado (4/5)"/>
    <n v="45.284799999999997"/>
    <n v="9.2751999999999999"/>
    <n v="54.56"/>
    <s v="Sessão Faturada"/>
    <n v="771015057096020"/>
    <n v="59220"/>
    <s v="Unidade Vieiralves"/>
    <n v="1703712514"/>
    <m/>
  </r>
  <r>
    <x v="14"/>
    <x v="38"/>
    <s v="Auxiliadora Brito de Lima"/>
    <m/>
    <x v="6"/>
    <x v="15"/>
    <s v="31601014 - Acupuntura (R$ 51,33)"/>
    <s v="Acupuntura"/>
    <n v="169290"/>
    <s v="Finalizado (4/4)"/>
    <n v="42.603900000000003"/>
    <n v="8.7261000000000006"/>
    <n v="51.33"/>
    <s v="Sessão a Faturar"/>
    <s v="55788888491272530020"/>
    <n v="51936"/>
    <s v="Unidade Vieiralves"/>
    <n v="169290"/>
    <m/>
  </r>
  <r>
    <x v="14"/>
    <x v="39"/>
    <s v="Julliana Gadelha de Medeiros"/>
    <s v="Feminino"/>
    <x v="9"/>
    <x v="15"/>
    <s v="31601014 - Acupuntura (R$ 54,56)"/>
    <s v="Acupuntura"/>
    <n v="1706766950"/>
    <s v="Finalizado (2/5)"/>
    <n v="45.284799999999997"/>
    <n v="9.2751999999999999"/>
    <n v="54.56"/>
    <s v="Sessão Faturada"/>
    <n v="954600002968020"/>
    <n v="20663"/>
    <s v="Unidade Vieiralves"/>
    <n v="1706766950"/>
    <m/>
  </r>
  <r>
    <x v="14"/>
    <x v="39"/>
    <s v="Dea Ribeiro Margarido"/>
    <s v="Feminino"/>
    <x v="4"/>
    <x v="15"/>
    <s v="31601014 - Acupuntura (R$ 54,56)"/>
    <s v="Acupuntura"/>
    <n v="1703732544"/>
    <s v="Finalizado (4/5)"/>
    <n v="45.284799999999997"/>
    <n v="9.2751999999999999"/>
    <n v="54.56"/>
    <s v="Sessão Faturada"/>
    <n v="811010900736010"/>
    <n v="2849"/>
    <s v="Unidade Vieiralves"/>
    <n v="1703732544"/>
    <m/>
  </r>
  <r>
    <x v="14"/>
    <x v="43"/>
    <s v="Valdemira Almeida Rolim"/>
    <s v="Feminino"/>
    <x v="4"/>
    <x v="15"/>
    <s v="31601014 - Acupuntura (R$ 54,56)"/>
    <s v="Acupuntura"/>
    <n v="1703776891"/>
    <s v="Finalizado (4/5)"/>
    <n v="45.284799999999997"/>
    <n v="9.2751999999999999"/>
    <n v="54.56"/>
    <s v="Sessão Faturada"/>
    <n v="771015041971010"/>
    <n v="58522"/>
    <s v="Unidade Vieiralves"/>
    <n v="1703776891"/>
    <m/>
  </r>
  <r>
    <x v="14"/>
    <x v="43"/>
    <s v="Ednamar da Silva Barros"/>
    <s v="Feminino"/>
    <x v="4"/>
    <x v="15"/>
    <s v="31601014 - Acupuntura (R$ 54,56)"/>
    <s v="Acupuntura"/>
    <n v="1705691427"/>
    <s v="Finalizado (2/3)"/>
    <n v="45.284799999999997"/>
    <n v="9.2751999999999999"/>
    <n v="54.56"/>
    <s v="Sessão Faturada"/>
    <n v="771015041971000"/>
    <n v="58523"/>
    <s v="Unidade Vieiralves"/>
    <n v="1705691427"/>
    <m/>
  </r>
  <r>
    <x v="14"/>
    <x v="43"/>
    <s v="Henrique Douglas Macedo Mendes Júnior"/>
    <s v="Masculino"/>
    <x v="4"/>
    <x v="15"/>
    <s v="31601014 - Acupuntura (R$ 54,56)"/>
    <s v="Acupuntura"/>
    <n v="1706815109"/>
    <s v="Finalizado (1/5)"/>
    <n v="45.284799999999997"/>
    <n v="9.2751999999999999"/>
    <n v="54.56"/>
    <s v="Sessão Faturada"/>
    <n v="897702200019010"/>
    <n v="56664"/>
    <s v="Unidade Vieiralves"/>
    <n v="1706815109"/>
    <m/>
  </r>
  <r>
    <x v="15"/>
    <x v="36"/>
    <s v="Diego Nobuyoshi de Souza Tsuji"/>
    <s v="Masculino"/>
    <x v="4"/>
    <x v="15"/>
    <s v="31601014 - Acupuntura (R$ 54,56)"/>
    <s v="Acupuntura"/>
    <n v="1704148798"/>
    <s v="Finalizado (5/5)"/>
    <n v="45.284799999999997"/>
    <n v="9.2751999999999999"/>
    <n v="54.56"/>
    <s v="Sessão Faturada"/>
    <n v="774981009148000"/>
    <n v="11130"/>
    <s v="Unidade Vieiralves"/>
    <n v="1704148798"/>
    <m/>
  </r>
  <r>
    <x v="15"/>
    <x v="36"/>
    <s v="Nívea Rosangela Santos Barbosa"/>
    <s v="Feminino"/>
    <x v="6"/>
    <x v="15"/>
    <s v="31601014 - Acupuntura (R$ 51,33)"/>
    <s v="Acupuntura"/>
    <n v="168914"/>
    <s v="Finalizado (4/4)"/>
    <n v="42.603900000000003"/>
    <n v="8.7261000000000006"/>
    <n v="51.33"/>
    <s v="Sessão a Faturar"/>
    <s v="54588888018689220020"/>
    <n v="56297"/>
    <s v="Unidade Vieiralves"/>
    <n v="168914"/>
    <m/>
  </r>
  <r>
    <x v="15"/>
    <x v="35"/>
    <s v="Maria Jose Pinto da Mota"/>
    <m/>
    <x v="4"/>
    <x v="15"/>
    <s v="31601014 - Acupuntura (R$ 54,56)"/>
    <s v="Acupuntura"/>
    <n v="1707264137"/>
    <s v="Finalizado (1/4)"/>
    <n v="45.284799999999997"/>
    <n v="9.2751999999999999"/>
    <n v="54.56"/>
    <s v="Sessão Faturada"/>
    <n v="771015052531020"/>
    <n v="59060"/>
    <s v="Unidade Vieiralves"/>
    <n v="1707264137"/>
    <m/>
  </r>
  <r>
    <x v="15"/>
    <x v="35"/>
    <s v="Claudia Miyuki Muramoto Sako"/>
    <s v="Feminino"/>
    <x v="4"/>
    <x v="15"/>
    <s v="31601014 - Acupuntura (R$ 54,56)"/>
    <s v="Acupuntura"/>
    <n v="1701150857"/>
    <s v="Finalizado (5/5)"/>
    <n v="45.284799999999997"/>
    <n v="9.2751999999999999"/>
    <n v="54.56"/>
    <s v="Sessão Faturada"/>
    <n v="885854000132010"/>
    <n v="49229"/>
    <s v="Unidade Vieiralves"/>
    <n v="1701150857"/>
    <m/>
  </r>
  <r>
    <x v="16"/>
    <x v="41"/>
    <s v="Irene Mendonça dos Santos"/>
    <s v="Feminino"/>
    <x v="12"/>
    <x v="15"/>
    <s v="31601014 - Acupuntura (R$ 54,56)"/>
    <s v="Acupuntura"/>
    <n v="10270501"/>
    <s v="Não compareceu (9/10)"/>
    <n v="54.56"/>
    <n v="0"/>
    <n v="54.56"/>
    <s v="Sessão Faturada"/>
    <s v="000439138334850901"/>
    <n v="36951"/>
    <s v="Unidade Vieiralves"/>
    <n v="10270501"/>
    <m/>
  </r>
  <r>
    <x v="16"/>
    <x v="40"/>
    <s v="Maria Ercilia Cavalcante Martins"/>
    <s v="Feminino"/>
    <x v="4"/>
    <x v="15"/>
    <s v="31601014 - Acupuntura (R$ 54,56)"/>
    <s v="Acupuntura"/>
    <n v="1706690949"/>
    <s v="Finalizado (2/5)"/>
    <n v="45.284799999999997"/>
    <n v="9.2751999999999999"/>
    <n v="54.56"/>
    <s v="Sessão Faturada"/>
    <n v="830425500043000"/>
    <n v="7701"/>
    <s v="Unidade Vieiralves"/>
    <n v="1706690949"/>
    <m/>
  </r>
  <r>
    <x v="16"/>
    <x v="35"/>
    <s v="Jucileida Chagas de Souza"/>
    <s v="Feminino"/>
    <x v="4"/>
    <x v="15"/>
    <s v="31601014 - Acupuntura (R$ 54,56)"/>
    <s v="Acupuntura"/>
    <n v="1703712514"/>
    <s v="Finalizado (5/5)"/>
    <n v="45.284799999999997"/>
    <n v="9.2751999999999999"/>
    <n v="54.56"/>
    <s v="Sessão Faturada"/>
    <n v="771015057096020"/>
    <n v="59220"/>
    <s v="Unidade Vieiralves"/>
    <n v="1703712514"/>
    <m/>
  </r>
  <r>
    <x v="16"/>
    <x v="38"/>
    <s v="Edno Batista do Nascimento"/>
    <s v="Masculino"/>
    <x v="5"/>
    <x v="15"/>
    <s v="30730139 - Demais Aplicações - Terapias Por Onda de Choque Extracorpórea Em Partes Moles - 04/03/2026 (R$ 259,11)"/>
    <s v="Acupuntura"/>
    <n v="74935600"/>
    <s v="Finalizado (4/4)"/>
    <n v="259.11"/>
    <n v="0"/>
    <n v="259.11"/>
    <s v="Sessão Faturada"/>
    <s v="010047878204"/>
    <n v="171"/>
    <s v="Unidade Vieiralves"/>
    <n v="74935600"/>
    <m/>
  </r>
  <r>
    <x v="16"/>
    <x v="39"/>
    <s v="Julliana Gadelha de Medeiros"/>
    <s v="Feminino"/>
    <x v="9"/>
    <x v="15"/>
    <s v="31601014 - Acupuntura (R$ 54,56)"/>
    <s v="Acupuntura"/>
    <n v="1706766950"/>
    <s v="Finalizado (3/5)"/>
    <n v="45.284799999999997"/>
    <n v="9.2751999999999999"/>
    <n v="54.56"/>
    <s v="Sessão Faturada"/>
    <n v="954600002968020"/>
    <n v="20663"/>
    <s v="Unidade Vieiralves"/>
    <n v="1706766950"/>
    <m/>
  </r>
  <r>
    <x v="16"/>
    <x v="39"/>
    <s v="Dea Ribeiro Margarido"/>
    <s v="Feminino"/>
    <x v="4"/>
    <x v="15"/>
    <s v="31601014 - Acupuntura (R$ 54,56)"/>
    <s v="Acupuntura"/>
    <n v="1703732544"/>
    <s v="Finalizado (5/5)"/>
    <n v="45.284799999999997"/>
    <n v="9.2751999999999999"/>
    <n v="54.56"/>
    <s v="Sessão Faturada"/>
    <n v="811010900736010"/>
    <n v="2849"/>
    <s v="Unidade Vieiralves"/>
    <n v="1703732544"/>
    <m/>
  </r>
  <r>
    <x v="16"/>
    <x v="43"/>
    <s v="Daniele Guimarães Alves"/>
    <s v="Feminino"/>
    <x v="4"/>
    <x v="15"/>
    <s v="31601014 - Acupuntura (R$ 54,56)"/>
    <s v="Acupuntura"/>
    <n v="1707845519"/>
    <s v="Finalizado (1/5)"/>
    <n v="45.284799999999997"/>
    <n v="9.2751999999999999"/>
    <n v="54.56"/>
    <s v="Sessão Faturada"/>
    <n v="952650062103000"/>
    <n v="59353"/>
    <s v="Unidade Vieiralves"/>
    <n v="1707845519"/>
    <m/>
  </r>
  <r>
    <x v="21"/>
    <x v="40"/>
    <s v="Lauro Loureiro Yoshimura"/>
    <s v="Masculino"/>
    <x v="6"/>
    <x v="15"/>
    <s v="31601014 - Acupuntura (R$ 51,33)"/>
    <s v="Acupuntura"/>
    <n v="170037"/>
    <s v="Finalizado (2/2)"/>
    <n v="42.603900000000003"/>
    <n v="8.7261000000000006"/>
    <n v="51.33"/>
    <s v="Sessão a Faturar"/>
    <s v="58200789998000620040"/>
    <n v="44324"/>
    <s v="Unidade Vieiralves"/>
    <n v="170037"/>
    <m/>
  </r>
  <r>
    <x v="21"/>
    <x v="40"/>
    <s v="Katiuscia Rodrigues Leao"/>
    <s v="Feminino"/>
    <x v="9"/>
    <x v="15"/>
    <s v="31601014 - Acupuntura (R$ 54,56)"/>
    <s v="Acupuntura"/>
    <n v="1708216787"/>
    <s v="Finalizado (1/5)"/>
    <n v="45.284799999999997"/>
    <n v="9.2751999999999999"/>
    <n v="54.56"/>
    <s v="Sessão Faturada"/>
    <n v="954600007552000"/>
    <n v="30052"/>
    <s v="Unidade Vieiralves"/>
    <n v="1708216787"/>
    <m/>
  </r>
  <r>
    <x v="21"/>
    <x v="35"/>
    <s v="Clarice Branco Rocha"/>
    <s v="Feminino"/>
    <x v="6"/>
    <x v="15"/>
    <s v="31601014 - Acupuntura (R$ 51,33)"/>
    <s v="Acupuntura"/>
    <n v="169071"/>
    <s v="Finalizado (3/4)"/>
    <n v="42.603900000000003"/>
    <n v="8.7261000000000006"/>
    <n v="51.33"/>
    <s v="Sessão a Faturar"/>
    <s v="54563005000002620010"/>
    <n v="47458"/>
    <s v="Unidade Vieiralves"/>
    <n v="169071"/>
    <m/>
  </r>
  <r>
    <x v="21"/>
    <x v="35"/>
    <s v="Elaine de Araujo Silva"/>
    <s v="Feminino"/>
    <x v="13"/>
    <x v="15"/>
    <s v="31601014 - Acupuntura (R$ 42,00)"/>
    <s v="Acupuntura"/>
    <n v="12946020"/>
    <s v="Finalizado (7/8)"/>
    <n v="34.86"/>
    <n v="7.14"/>
    <n v="42"/>
    <s v="Sessão Faturada"/>
    <s v="00010300029078028"/>
    <n v="51004"/>
    <s v="Unidade Vieiralves"/>
    <n v="12946020"/>
    <m/>
  </r>
  <r>
    <x v="21"/>
    <x v="38"/>
    <s v="Francisco Lima da Silva"/>
    <s v="Masculino"/>
    <x v="4"/>
    <x v="15"/>
    <s v="31601014 - Acupuntura (R$ 54,56)"/>
    <s v="Acupuntura"/>
    <n v="1704928000"/>
    <s v="Finalizado (4/5)"/>
    <n v="45.284799999999997"/>
    <n v="9.2751999999999999"/>
    <n v="54.56"/>
    <s v="Sessão Faturada"/>
    <n v="774981007706010"/>
    <n v="52427"/>
    <s v="Unidade Vieiralves"/>
    <n v="1704928000"/>
    <m/>
  </r>
  <r>
    <x v="21"/>
    <x v="38"/>
    <s v="Icaro de Melo Amorim"/>
    <s v="Masculino"/>
    <x v="4"/>
    <x v="15"/>
    <s v="31601014 - Acupuntura (R$ 54,56)"/>
    <s v="Acupuntura"/>
    <n v="1703229811"/>
    <s v="Finalizado (3/3)"/>
    <n v="45.284799999999997"/>
    <n v="9.2751999999999999"/>
    <n v="54.56"/>
    <s v="Sessão Faturada"/>
    <n v="960019332171000"/>
    <n v="30492"/>
    <s v="Unidade Vieiralves"/>
    <n v="1703229811"/>
    <m/>
  </r>
  <r>
    <x v="21"/>
    <x v="38"/>
    <s v="Waldir dos Santos Fontes Junior"/>
    <s v="Masculino"/>
    <x v="4"/>
    <x v="15"/>
    <s v="31601014 - Acupuntura (R$ 54,56)"/>
    <s v="Acupuntura"/>
    <n v="1707541404"/>
    <s v="Finalizado (2/5)"/>
    <n v="45.284799999999997"/>
    <n v="9.2751999999999999"/>
    <n v="54.56"/>
    <s v="Sessão Faturada"/>
    <n v="772133000728000"/>
    <n v="51522"/>
    <s v="Unidade Vieiralves"/>
    <n v="1707541404"/>
    <m/>
  </r>
  <r>
    <x v="21"/>
    <x v="37"/>
    <s v="Henrique Douglas Macedo Mendes Júnior"/>
    <s v="Masculino"/>
    <x v="4"/>
    <x v="15"/>
    <s v="31601014 - Acupuntura (R$ 54,56)"/>
    <s v="Acupuntura"/>
    <n v="1706815109"/>
    <s v="Finalizado (2/5)"/>
    <n v="45.284799999999997"/>
    <n v="9.2751999999999999"/>
    <n v="54.56"/>
    <s v="Sessão Faturada"/>
    <n v="897702200019010"/>
    <n v="56664"/>
    <s v="Unidade Vieiralves"/>
    <n v="1706815109"/>
    <m/>
  </r>
  <r>
    <x v="21"/>
    <x v="37"/>
    <s v="Edla de Araujo Silva"/>
    <s v="Feminino"/>
    <x v="13"/>
    <x v="15"/>
    <s v="31601014 - Acupuntura (R$ 42,00)"/>
    <s v="Acupuntura"/>
    <n v="13534075"/>
    <s v="Finalizado (1/10)"/>
    <n v="34.86"/>
    <n v="7.14"/>
    <n v="42"/>
    <s v="Sessão Faturada"/>
    <s v="00010300011877026"/>
    <n v="50914"/>
    <s v="Unidade Vieiralves"/>
    <n v="13534075"/>
    <m/>
  </r>
  <r>
    <x v="21"/>
    <x v="39"/>
    <s v="Jose Ribamar Fontes Beleza"/>
    <s v="Masculino"/>
    <x v="7"/>
    <x v="15"/>
    <s v="Part Convenio - 3 - Acupuntura - Sessão (R$ 80,00)"/>
    <s v="Acupuntura"/>
    <m/>
    <s v="Finalizado (1/3)"/>
    <n v="66.400000000000006"/>
    <n v="13.6"/>
    <n v="80"/>
    <s v="Pago"/>
    <s v="55788888473329830020"/>
    <n v="59550"/>
    <s v="Unidade Vieiralves"/>
    <m/>
    <m/>
  </r>
  <r>
    <x v="21"/>
    <x v="39"/>
    <s v="Elke Silveira Ferreira de Souza"/>
    <s v="Feminino"/>
    <x v="4"/>
    <x v="15"/>
    <s v="31601014 - Acupuntura (R$ 54,56)"/>
    <s v="Acupuntura"/>
    <n v="1704941668"/>
    <s v="Finalizado (5/5)"/>
    <n v="45.284799999999997"/>
    <n v="9.2751999999999999"/>
    <n v="54.56"/>
    <s v="Sessão Faturada"/>
    <n v="774078000450020"/>
    <n v="40221"/>
    <s v="Unidade Vieiralves"/>
    <n v="1704941668"/>
    <m/>
  </r>
  <r>
    <x v="21"/>
    <x v="43"/>
    <s v="Nádia Margareth Souza Soares"/>
    <s v="Feminino"/>
    <x v="9"/>
    <x v="15"/>
    <s v="31601014 - Acupuntura (R$ 54,56)"/>
    <s v="Acupuntura"/>
    <n v="1702010396"/>
    <s v="Finalizado (3/3)"/>
    <n v="45.284799999999997"/>
    <n v="9.2751999999999999"/>
    <n v="54.56"/>
    <s v="Sessão Faturada"/>
    <n v="954600005924010"/>
    <n v="56316"/>
    <s v="Unidade Vieiralves"/>
    <n v="1702010396"/>
    <m/>
  </r>
  <r>
    <x v="21"/>
    <x v="43"/>
    <s v="Nathana César Bastos"/>
    <s v="Feminino"/>
    <x v="6"/>
    <x v="15"/>
    <s v="31601014 - Acupuntura (R$ 51,33)"/>
    <s v="Acupuntura"/>
    <n v="169873"/>
    <s v="Finalizado (4/4)"/>
    <n v="42.603900000000003"/>
    <n v="8.7261000000000006"/>
    <n v="51.33"/>
    <s v="Sessão a Faturar"/>
    <s v="54588888492204600017"/>
    <n v="59015"/>
    <s v="Unidade Vieiralves"/>
    <n v="169873"/>
    <m/>
  </r>
  <r>
    <x v="21"/>
    <x v="43"/>
    <s v="Daniele Guimarães Alves"/>
    <s v="Feminino"/>
    <x v="4"/>
    <x v="15"/>
    <s v="31601014 - Acupuntura (R$ 54,56)"/>
    <s v="Acupuntura"/>
    <n v="1707845519"/>
    <s v="Finalizado (2/5)"/>
    <n v="45.284799999999997"/>
    <n v="9.2751999999999999"/>
    <n v="54.56"/>
    <s v="Sessão Faturada"/>
    <n v="952650062103000"/>
    <n v="59353"/>
    <s v="Unidade Vieiralves"/>
    <n v="1707845519"/>
    <m/>
  </r>
  <r>
    <x v="17"/>
    <x v="41"/>
    <s v="Karina do Carmo de Souza"/>
    <s v="Feminino"/>
    <x v="4"/>
    <x v="15"/>
    <s v="31601014 - Acupuntura (R$ 54,56)"/>
    <s v="Acupuntura"/>
    <n v="1708816984"/>
    <s v="Finalizado (1/1)"/>
    <n v="45.284799999999997"/>
    <n v="9.2751999999999999"/>
    <n v="54.56"/>
    <s v="Sessão Faturada"/>
    <n v="774642019933000"/>
    <n v="9620"/>
    <s v="Unidade Vieiralves"/>
    <n v="1708816984"/>
    <m/>
  </r>
  <r>
    <x v="17"/>
    <x v="36"/>
    <s v="Irene Mendonça dos Santos"/>
    <s v="Feminino"/>
    <x v="12"/>
    <x v="15"/>
    <s v="31601014 - Acupuntura (R$ 54,56)"/>
    <s v="Acupuntura"/>
    <n v="10270501"/>
    <s v="Não compareceu (10/10)"/>
    <n v="54.56"/>
    <n v="0"/>
    <n v="54.56"/>
    <s v="Sessão Faturada"/>
    <s v="000439138334850901"/>
    <n v="36951"/>
    <s v="Unidade Vieiralves"/>
    <n v="10270501"/>
    <m/>
  </r>
  <r>
    <x v="17"/>
    <x v="36"/>
    <s v="Diego Nobuyoshi de Souza Tsuji"/>
    <s v="Masculino"/>
    <x v="4"/>
    <x v="15"/>
    <s v="31601014 - Acupuntura (R$ 54,56)"/>
    <s v="Acupuntura"/>
    <n v="1708805007"/>
    <s v="Finalizado (1/5)"/>
    <n v="45.284799999999997"/>
    <n v="9.2751999999999999"/>
    <n v="54.56"/>
    <s v="Sessão Faturada"/>
    <n v="774981009148000"/>
    <n v="11130"/>
    <s v="Unidade Vieiralves"/>
    <n v="1708805007"/>
    <m/>
  </r>
  <r>
    <x v="17"/>
    <x v="38"/>
    <s v="Auxiliadora Brito de Lima"/>
    <m/>
    <x v="6"/>
    <x v="15"/>
    <s v="31601014 - Acupuntura (R$ 51,33)"/>
    <s v="Acupuntura"/>
    <n v="170941"/>
    <s v="Finalizado (1/4)"/>
    <n v="42.603900000000003"/>
    <n v="8.7261000000000006"/>
    <n v="51.33"/>
    <s v="Sessão a Faturar"/>
    <s v="55788888491272530020"/>
    <n v="51936"/>
    <s v="Unidade Vieiralves"/>
    <n v="170941"/>
    <m/>
  </r>
  <r>
    <x v="17"/>
    <x v="39"/>
    <s v="Dea Ribeiro Margarido"/>
    <s v="Feminino"/>
    <x v="4"/>
    <x v="15"/>
    <s v="31601014 - Acupuntura (R$ 54,56)"/>
    <s v="Acupuntura"/>
    <n v="1708932555"/>
    <s v="Finalizado (1/1)"/>
    <n v="45.284799999999997"/>
    <n v="9.2751999999999999"/>
    <n v="54.56"/>
    <s v="Sessão Faturada"/>
    <n v="811010900736010"/>
    <n v="2849"/>
    <s v="Unidade Vieiralves"/>
    <n v="1708932555"/>
    <m/>
  </r>
  <r>
    <x v="17"/>
    <x v="39"/>
    <s v="Julliana Gadelha de Medeiros"/>
    <s v="Feminino"/>
    <x v="9"/>
    <x v="15"/>
    <s v="31601014 - Acupuntura (R$ 54,56)"/>
    <s v="Acupuntura"/>
    <n v="1706766950"/>
    <s v="Finalizado (4/5)"/>
    <n v="45.284799999999997"/>
    <n v="9.2751999999999999"/>
    <n v="54.56"/>
    <s v="Sessão Faturada"/>
    <n v="954600002968020"/>
    <n v="20663"/>
    <s v="Unidade Vieiralves"/>
    <n v="1706766950"/>
    <m/>
  </r>
  <r>
    <x v="17"/>
    <x v="43"/>
    <s v="Valdemira Almeida Rolim"/>
    <s v="Feminino"/>
    <x v="4"/>
    <x v="15"/>
    <s v="31601014 - Acupuntura (R$ 54,56)"/>
    <s v="Acupuntura"/>
    <n v="1703776891"/>
    <s v="Finalizado (5/5)"/>
    <n v="45.284799999999997"/>
    <n v="9.2751999999999999"/>
    <n v="54.56"/>
    <s v="Sessão Faturada"/>
    <n v="771015041971010"/>
    <n v="58522"/>
    <s v="Unidade Vieiralves"/>
    <n v="1703776891"/>
    <m/>
  </r>
  <r>
    <x v="18"/>
    <x v="36"/>
    <s v="Katiuscia Rodrigues Leao"/>
    <s v="Feminino"/>
    <x v="9"/>
    <x v="15"/>
    <s v="31601014 - Acupuntura (R$ 54,56)"/>
    <s v="Acupuntura"/>
    <n v="1708216787"/>
    <s v="Finalizado (2/5)"/>
    <n v="45.284799999999997"/>
    <n v="9.2751999999999999"/>
    <n v="54.56"/>
    <s v="Sessão Faturada"/>
    <n v="954600007552000"/>
    <n v="30052"/>
    <s v="Unidade Vieiralves"/>
    <n v="1708216787"/>
    <m/>
  </r>
  <r>
    <x v="18"/>
    <x v="36"/>
    <s v="Diego Nobuyoshi de Souza Tsuji"/>
    <s v="Masculino"/>
    <x v="4"/>
    <x v="15"/>
    <s v="31601014 - Acupuntura (R$ 54,56)"/>
    <s v="Acupuntura"/>
    <n v="1708805007"/>
    <s v="Finalizado (2/5)"/>
    <n v="45.284799999999997"/>
    <n v="9.2751999999999999"/>
    <n v="54.56"/>
    <s v="Sessão Faturada"/>
    <n v="774981009148000"/>
    <n v="11130"/>
    <s v="Unidade Vieiralves"/>
    <n v="1708805007"/>
    <m/>
  </r>
  <r>
    <x v="18"/>
    <x v="40"/>
    <s v="Maria Jose Pinto da Mota"/>
    <m/>
    <x v="4"/>
    <x v="15"/>
    <s v="31601014 - Acupuntura (R$ 54,56)"/>
    <s v="Acupuntura"/>
    <n v="1707264137"/>
    <s v="Finalizado (2/4)"/>
    <n v="45.284799999999997"/>
    <n v="9.2751999999999999"/>
    <n v="54.56"/>
    <s v="Sessão Faturada"/>
    <n v="771015052531020"/>
    <n v="59060"/>
    <s v="Unidade Vieiralves"/>
    <n v="1707264137"/>
    <m/>
  </r>
  <r>
    <x v="18"/>
    <x v="40"/>
    <s v="Maria Ercilia Cavalcante Martins"/>
    <s v="Feminino"/>
    <x v="4"/>
    <x v="15"/>
    <s v="31601014 - Acupuntura (R$ 54,56)"/>
    <s v="Acupuntura"/>
    <n v="1706690949"/>
    <s v="Finalizado (3/5)"/>
    <n v="45.284799999999997"/>
    <n v="9.2751999999999999"/>
    <n v="54.56"/>
    <s v="Sessão Faturada"/>
    <n v="830425500043000"/>
    <n v="7701"/>
    <s v="Unidade Vieiralves"/>
    <n v="1706690949"/>
    <m/>
  </r>
  <r>
    <x v="18"/>
    <x v="35"/>
    <s v="Claudia Miyuki Muramoto Sako"/>
    <s v="Feminino"/>
    <x v="4"/>
    <x v="15"/>
    <s v="31601014 - Acupuntura (R$ 54,56)"/>
    <s v="Acupuntura"/>
    <n v="1709453525"/>
    <s v="Finalizado (1/5)"/>
    <n v="45.284799999999997"/>
    <n v="9.2751999999999999"/>
    <n v="54.56"/>
    <s v="Sessão Faturada"/>
    <n v="885854000132010"/>
    <n v="49229"/>
    <s v="Unidade Vieiralves"/>
    <n v="1709453525"/>
    <m/>
  </r>
  <r>
    <x v="18"/>
    <x v="38"/>
    <s v="Felipe da Cunha Margem"/>
    <s v="Masculino"/>
    <x v="4"/>
    <x v="15"/>
    <s v="31601014 - Acupuntura (R$ 54,56)"/>
    <s v="Acupuntura"/>
    <n v="1706278867"/>
    <s v="Finalizado (2/2)"/>
    <n v="45.284799999999997"/>
    <n v="9.2751999999999999"/>
    <n v="54.56"/>
    <s v="Sessão Faturada"/>
    <n v="850277500019010"/>
    <n v="498"/>
    <s v="Unidade Vieiralves"/>
    <n v="1706278867"/>
    <m/>
  </r>
  <r>
    <x v="18"/>
    <x v="43"/>
    <s v="Daniele Guimarães Alves"/>
    <s v="Feminino"/>
    <x v="4"/>
    <x v="15"/>
    <s v="31601014 - Acupuntura (R$ 54,56)"/>
    <s v="Acupuntura"/>
    <n v="1707845519"/>
    <s v="Finalizado (3/5)"/>
    <n v="45.284799999999997"/>
    <n v="9.2751999999999999"/>
    <n v="54.56"/>
    <s v="Sessão Faturada"/>
    <n v="952650062103000"/>
    <n v="59353"/>
    <s v="Unidade Vieiralves"/>
    <n v="1707845519"/>
    <m/>
  </r>
  <r>
    <x v="22"/>
    <x v="44"/>
    <s v="Rita Emanuelle de Fonte Seixas"/>
    <s v="Feminino"/>
    <x v="5"/>
    <x v="15"/>
    <s v="31601014 - Acupuntura (R$ 90,51)"/>
    <s v="Acupuntura"/>
    <n v="78474840"/>
    <s v="Finalizado (1/2)"/>
    <n v="75.1233"/>
    <n v="15.386699999999999"/>
    <n v="90.51"/>
    <s v="Sessão a Faturar"/>
    <s v="0100758323010346"/>
    <n v="58917"/>
    <s v="Unidade Vieiralves"/>
    <n v="78474840"/>
    <m/>
  </r>
  <r>
    <x v="22"/>
    <x v="36"/>
    <s v="Bruno Marques da Silva"/>
    <s v="Masculino"/>
    <x v="6"/>
    <x v="15"/>
    <s v="31601014 - Acupuntura (R$ 51,33)"/>
    <s v="Acupuntura"/>
    <n v="170163"/>
    <s v="Finalizado (2/4)"/>
    <n v="42.603900000000003"/>
    <n v="8.7261000000000006"/>
    <n v="51.33"/>
    <s v="Sessão a Faturar"/>
    <s v="51588888485478760019"/>
    <n v="59478"/>
    <s v="Unidade Vieiralves"/>
    <n v="170163"/>
    <m/>
  </r>
  <r>
    <x v="22"/>
    <x v="36"/>
    <s v="Suzy Moraes de Souza"/>
    <s v="Feminino"/>
    <x v="4"/>
    <x v="15"/>
    <s v="31601014 - Acupuntura (R$ 54,56)"/>
    <s v="Acupuntura"/>
    <n v="1710080181"/>
    <s v="Finalizado (1/3)"/>
    <n v="45.284799999999997"/>
    <n v="9.2751999999999999"/>
    <n v="54.56"/>
    <s v="Sessão Faturada"/>
    <n v="973700010774020"/>
    <n v="48848"/>
    <s v="Unidade Vieiralves"/>
    <n v="1710080181"/>
    <m/>
  </r>
  <r>
    <x v="22"/>
    <x v="40"/>
    <s v="Edno Batista do Nascimento"/>
    <s v="Masculino"/>
    <x v="5"/>
    <x v="15"/>
    <s v="31601014 - Acupuntura (R$ 90,51)"/>
    <s v="Acupuntura"/>
    <n v="78719170"/>
    <s v="Finalizado (1/10)"/>
    <n v="75.1233"/>
    <n v="15.386699999999999"/>
    <n v="90.51"/>
    <s v="Sessão a Faturar"/>
    <s v="010047878204"/>
    <n v="171"/>
    <s v="Unidade Vieiralves"/>
    <n v="78719170"/>
    <m/>
  </r>
  <r>
    <x v="22"/>
    <x v="40"/>
    <s v="Maria Ercilia Cavalcante Martins"/>
    <s v="Feminino"/>
    <x v="4"/>
    <x v="15"/>
    <s v="31601014 - Acupuntura (R$ 54,56)"/>
    <s v="Acupuntura"/>
    <n v="1706690949"/>
    <s v="Finalizado (4/5)"/>
    <n v="45.284799999999997"/>
    <n v="9.2751999999999999"/>
    <n v="54.56"/>
    <s v="Sessão Faturada"/>
    <n v="830425500043000"/>
    <n v="7701"/>
    <s v="Unidade Vieiralves"/>
    <n v="1706690949"/>
    <m/>
  </r>
  <r>
    <x v="22"/>
    <x v="35"/>
    <s v="Juliana Leite de Carvalho Pinto"/>
    <s v="Feminino"/>
    <x v="7"/>
    <x v="15"/>
    <s v="Part Convenio - 4 - Acupuntura - Pacote (R$ 65,00)"/>
    <s v="Acupuntura"/>
    <n v="143833"/>
    <s v="Finalizado (10/10)"/>
    <n v="53.95"/>
    <n v="11.05"/>
    <n v="65"/>
    <s v="Pago"/>
    <s v="51588888488665300012"/>
    <n v="56490"/>
    <s v="Unidade Vieiralves"/>
    <n v="143833"/>
    <m/>
  </r>
  <r>
    <x v="22"/>
    <x v="39"/>
    <s v="Julliana Gadelha de Medeiros"/>
    <s v="Feminino"/>
    <x v="9"/>
    <x v="15"/>
    <s v="31601014 - Acupuntura (R$ 54,56)"/>
    <s v="Acupuntura"/>
    <n v="1706766950"/>
    <s v="Finalizado (5/5)"/>
    <n v="45.284799999999997"/>
    <n v="9.2751999999999999"/>
    <n v="54.56"/>
    <s v="Sessão Faturada"/>
    <n v="954600002968020"/>
    <n v="20663"/>
    <s v="Unidade Vieiralves"/>
    <n v="1706766950"/>
    <m/>
  </r>
  <r>
    <x v="22"/>
    <x v="43"/>
    <s v="Alessandra Silveira Rocha"/>
    <s v="Feminino"/>
    <x v="4"/>
    <x v="15"/>
    <s v="31601014 - Acupuntura (R$ 54,56)"/>
    <s v="Acupuntura"/>
    <n v="1707007677"/>
    <s v="Finalizado (3/5)"/>
    <n v="45.284799999999997"/>
    <n v="9.2751999999999999"/>
    <n v="54.56"/>
    <s v="Sessão Faturada"/>
    <n v="774063023809020"/>
    <n v="58966"/>
    <s v="Unidade Vieiralves"/>
    <n v="1707007677"/>
    <m/>
  </r>
  <r>
    <x v="19"/>
    <x v="41"/>
    <s v="Paulo Nonato  Aviz Dias"/>
    <s v="Masculino"/>
    <x v="4"/>
    <x v="15"/>
    <s v="31601014 - Acupuntura (R$ 54,56)"/>
    <s v="Acupuntura"/>
    <n v="1710778008"/>
    <s v="Finalizado (1/3)"/>
    <n v="45.284799999999997"/>
    <n v="9.2751999999999999"/>
    <n v="54.56"/>
    <s v="Sessão a Faturar"/>
    <n v="960016515126020"/>
    <n v="59476"/>
    <s v="Unidade Vieiralves"/>
    <n v="1710778008"/>
    <m/>
  </r>
  <r>
    <x v="19"/>
    <x v="36"/>
    <s v="Katiuscia Rodrigues Leao"/>
    <s v="Feminino"/>
    <x v="9"/>
    <x v="15"/>
    <s v="31601014 - Acupuntura (R$ 54,56)"/>
    <s v="Acupuntura"/>
    <n v="1708216787"/>
    <s v="Finalizado (3/5)"/>
    <n v="45.284799999999997"/>
    <n v="9.2751999999999999"/>
    <n v="54.56"/>
    <s v="Sessão Faturada"/>
    <n v="954600007552000"/>
    <n v="30052"/>
    <s v="Unidade Vieiralves"/>
    <n v="1708216787"/>
    <m/>
  </r>
  <r>
    <x v="19"/>
    <x v="36"/>
    <s v="Maressa de Jesus Souza"/>
    <s v="Masculino"/>
    <x v="6"/>
    <x v="15"/>
    <s v="31601014 - Acupuntura (R$ 51,33)"/>
    <s v="Acupuntura"/>
    <n v="171393"/>
    <s v="Finalizado (1/2)"/>
    <n v="42.603900000000003"/>
    <n v="8.7261000000000006"/>
    <n v="51.33"/>
    <s v="Sessão a Faturar"/>
    <s v="54588888483320840020"/>
    <n v="58992"/>
    <s v="Unidade Vieiralves"/>
    <n v="171393"/>
    <m/>
  </r>
  <r>
    <x v="19"/>
    <x v="40"/>
    <s v="Diego Nobuyoshi de Souza Tsuji"/>
    <s v="Masculino"/>
    <x v="4"/>
    <x v="15"/>
    <s v="31601014 - Acupuntura (R$ 54,56)"/>
    <s v="Acupuntura"/>
    <n v="1708805007"/>
    <s v="Finalizado (3/5)"/>
    <n v="45.284799999999997"/>
    <n v="9.2751999999999999"/>
    <n v="54.56"/>
    <s v="Sessão Faturada"/>
    <n v="774981009148000"/>
    <n v="11130"/>
    <s v="Unidade Vieiralves"/>
    <n v="1708805007"/>
    <m/>
  </r>
  <r>
    <x v="19"/>
    <x v="40"/>
    <s v="Suzy Moraes de Souza"/>
    <s v="Feminino"/>
    <x v="4"/>
    <x v="15"/>
    <s v="31601014 - Acupuntura (R$ 54,56)"/>
    <s v="Acupuntura"/>
    <n v="1710080181"/>
    <s v="Finalizado (2/3)"/>
    <n v="45.284799999999997"/>
    <n v="9.2751999999999999"/>
    <n v="54.56"/>
    <s v="Sessão Faturada"/>
    <n v="973700010774020"/>
    <n v="48848"/>
    <s v="Unidade Vieiralves"/>
    <n v="1710080181"/>
    <m/>
  </r>
  <r>
    <x v="19"/>
    <x v="40"/>
    <s v="Maria Jose Pinto da Mota"/>
    <m/>
    <x v="4"/>
    <x v="15"/>
    <s v="31601014 - Acupuntura (R$ 54,56)"/>
    <s v="Acupuntura"/>
    <n v="1707264137"/>
    <s v="Finalizado (3/4)"/>
    <n v="45.284799999999997"/>
    <n v="9.2751999999999999"/>
    <n v="54.56"/>
    <s v="Sessão Faturada"/>
    <n v="771015052531020"/>
    <n v="59060"/>
    <s v="Unidade Vieiralves"/>
    <n v="1707264137"/>
    <m/>
  </r>
  <r>
    <x v="19"/>
    <x v="35"/>
    <s v="Claudia Miyuki Muramoto Sako"/>
    <s v="Feminino"/>
    <x v="4"/>
    <x v="15"/>
    <s v="31601014 - Acupuntura (R$ 54,56)"/>
    <s v="Acupuntura"/>
    <n v="1709453525"/>
    <s v="Finalizado (2/5)"/>
    <n v="45.284799999999997"/>
    <n v="9.2751999999999999"/>
    <n v="54.56"/>
    <s v="Sessão Faturada"/>
    <n v="885854000132010"/>
    <n v="49229"/>
    <s v="Unidade Vieiralves"/>
    <n v="1709453525"/>
    <m/>
  </r>
  <r>
    <x v="19"/>
    <x v="39"/>
    <s v="Talita Ávila Lucena"/>
    <m/>
    <x v="20"/>
    <x v="15"/>
    <s v="00010987 - Acupuntura Por Sessão - 02/04/2026 (R$ 42,00)"/>
    <s v="Acupuntura"/>
    <n v="55599410"/>
    <s v="Finalizado (2/10)"/>
    <n v="34.86"/>
    <n v="7.14"/>
    <n v="42"/>
    <s v="Sessão a Faturar"/>
    <n v="1051100331140100"/>
    <n v="58568"/>
    <s v="Unidade Vieiralves"/>
    <n v="55599410"/>
    <m/>
  </r>
  <r>
    <x v="19"/>
    <x v="39"/>
    <s v="Franciane Paula da Silva"/>
    <s v="Feminino"/>
    <x v="4"/>
    <x v="15"/>
    <s v="31601014 - Acupuntura (R$ 54,56)"/>
    <s v="Acupuntura"/>
    <n v="1710845501"/>
    <s v="Finalizado (1/1)"/>
    <n v="45.284799999999997"/>
    <n v="9.2751999999999999"/>
    <n v="54.56"/>
    <s v="Sessão Faturada"/>
    <n v="772391049182000"/>
    <n v="59622"/>
    <s v="Unidade Vieiralves"/>
    <n v="1710845501"/>
    <m/>
  </r>
  <r>
    <x v="19"/>
    <x v="39"/>
    <s v="Heloísa Ribeiro Alves"/>
    <s v="Feminino"/>
    <x v="9"/>
    <x v="15"/>
    <s v="31601014 - Acupuntura (R$ 54,56)"/>
    <s v="Acupuntura"/>
    <n v="1708284176"/>
    <s v="Finalizado (3/5)"/>
    <n v="45.284799999999997"/>
    <n v="9.2751999999999999"/>
    <n v="54.56"/>
    <s v="Sessão Faturada"/>
    <n v="954600017590000"/>
    <n v="59570"/>
    <s v="Unidade Vieiralves"/>
    <n v="1708284176"/>
    <m/>
  </r>
  <r>
    <x v="20"/>
    <x v="40"/>
    <s v="Edno Batista do Nascimento"/>
    <s v="Masculino"/>
    <x v="5"/>
    <x v="15"/>
    <s v="31601014 - Acupuntura (R$ 90,51)"/>
    <s v="Acupuntura"/>
    <n v="78719170"/>
    <s v="Finalizado (2/10)"/>
    <n v="75.1233"/>
    <n v="15.386699999999999"/>
    <n v="90.51"/>
    <s v="Sessão a Faturar"/>
    <s v="010047878204"/>
    <n v="171"/>
    <s v="Unidade Vieiralves"/>
    <n v="78719170"/>
    <m/>
  </r>
  <r>
    <x v="20"/>
    <x v="40"/>
    <s v="Maria Ercilia Cavalcante Martins"/>
    <s v="Feminino"/>
    <x v="4"/>
    <x v="15"/>
    <s v="31601014 - Acupuntura (R$ 54,56)"/>
    <s v="Acupuntura"/>
    <n v="1706690949"/>
    <s v="Finalizado (5/5)"/>
    <n v="45.284799999999997"/>
    <n v="9.2751999999999999"/>
    <n v="54.56"/>
    <s v="Sessão Faturada"/>
    <n v="830425500043000"/>
    <n v="7701"/>
    <s v="Unidade Vieiralves"/>
    <n v="1706690949"/>
    <m/>
  </r>
  <r>
    <x v="20"/>
    <x v="38"/>
    <s v="Auxiliadora Brito de Lima"/>
    <m/>
    <x v="6"/>
    <x v="15"/>
    <s v="31601014 - Acupuntura (R$ 51,33)"/>
    <s v="Acupuntura"/>
    <n v="170941"/>
    <s v="Finalizado (2/4)"/>
    <n v="42.603900000000003"/>
    <n v="8.7261000000000006"/>
    <n v="51.33"/>
    <s v="Sessão a Faturar"/>
    <s v="55788888491272530020"/>
    <n v="51936"/>
    <s v="Unidade Vieiralves"/>
    <n v="170941"/>
    <m/>
  </r>
  <r>
    <x v="20"/>
    <x v="37"/>
    <s v="Suzy Moraes de Souza"/>
    <s v="Feminino"/>
    <x v="4"/>
    <x v="15"/>
    <s v="31601014 - Acupuntura (R$ 54,56)"/>
    <s v="Acupuntura"/>
    <n v="1710080181"/>
    <s v="Finalizado (3/3)"/>
    <n v="45.284799999999997"/>
    <n v="9.2751999999999999"/>
    <n v="54.56"/>
    <s v="Sessão Faturada"/>
    <n v="973700010774020"/>
    <n v="48848"/>
    <s v="Unidade Vieiralves"/>
    <n v="1710080181"/>
    <m/>
  </r>
  <r>
    <x v="20"/>
    <x v="39"/>
    <s v="Julliana Gadelha de Medeiros"/>
    <s v="Feminino"/>
    <x v="9"/>
    <x v="15"/>
    <s v="31601014 - Acupuntura (R$ 54,56)"/>
    <s v="Acupuntura"/>
    <n v="1711448781"/>
    <s v="Finalizado (1/5)"/>
    <n v="45.284799999999997"/>
    <n v="9.2751999999999999"/>
    <n v="54.56"/>
    <s v="Sessão Faturada"/>
    <n v="954600002968020"/>
    <n v="20663"/>
    <s v="Unidade Vieiralves"/>
    <n v="1711448781"/>
    <m/>
  </r>
  <r>
    <x v="20"/>
    <x v="43"/>
    <s v="Henrique Douglas Macedo Mendes Júnior"/>
    <s v="Masculino"/>
    <x v="4"/>
    <x v="15"/>
    <s v="31601014 - Acupuntura (R$ 54,56)"/>
    <s v="Acupuntura"/>
    <n v="1706815109"/>
    <s v="Finalizado (4/5)"/>
    <n v="45.284799999999997"/>
    <n v="9.2751999999999999"/>
    <n v="54.56"/>
    <s v="Sessão Faturada"/>
    <n v="897702200019010"/>
    <n v="56664"/>
    <s v="Unidade Vieiralves"/>
    <n v="1706815109"/>
    <m/>
  </r>
  <r>
    <x v="23"/>
    <x v="36"/>
    <s v="Elke Silveira Ferreira de Souza"/>
    <s v="Feminino"/>
    <x v="4"/>
    <x v="15"/>
    <s v="31601014 - Acupuntura (R$ 54,56)"/>
    <s v="Acupuntura"/>
    <n v="1711076238"/>
    <s v="Finalizado (3/5)"/>
    <n v="45.284799999999997"/>
    <n v="9.2751999999999999"/>
    <n v="54.56"/>
    <s v="Sessão Faturada"/>
    <n v="774078000450020"/>
    <n v="40221"/>
    <s v="Unidade Vieiralves"/>
    <n v="1711076238"/>
    <m/>
  </r>
  <r>
    <x v="23"/>
    <x v="36"/>
    <s v="Lauro Loureiro Yoshimura"/>
    <s v="Masculino"/>
    <x v="6"/>
    <x v="15"/>
    <s v="31601014 - Acupuntura (R$ 51,33)"/>
    <s v="Acupuntura"/>
    <n v="171721"/>
    <s v="Finalizado (1/4)"/>
    <n v="42.603900000000003"/>
    <n v="8.7261000000000006"/>
    <n v="51.33"/>
    <s v="Sessão a Faturar"/>
    <s v="58200789998000620040"/>
    <n v="44324"/>
    <s v="Unidade Vieiralves"/>
    <n v="171721"/>
    <m/>
  </r>
  <r>
    <x v="23"/>
    <x v="36"/>
    <s v="Katiuscia Rodrigues Leao"/>
    <s v="Feminino"/>
    <x v="9"/>
    <x v="15"/>
    <s v="31601014 - Acupuntura (R$ 54,56)"/>
    <s v="Acupuntura"/>
    <n v="1708216787"/>
    <s v="Finalizado (4/5)"/>
    <n v="45.284799999999997"/>
    <n v="9.2751999999999999"/>
    <n v="54.56"/>
    <s v="Sessão Faturada"/>
    <n v="954600007552000"/>
    <n v="30052"/>
    <s v="Unidade Vieiralves"/>
    <n v="1708216787"/>
    <m/>
  </r>
  <r>
    <x v="23"/>
    <x v="36"/>
    <s v="Valterlei Ribeiro Mendonça"/>
    <m/>
    <x v="4"/>
    <x v="15"/>
    <s v="31601014 - Acupuntura (R$ 54,56)"/>
    <s v="Acupuntura"/>
    <n v="1702119259"/>
    <s v="Finalizado (3/5)"/>
    <n v="45.284799999999997"/>
    <n v="9.2751999999999999"/>
    <n v="54.56"/>
    <s v="Sessão a Faturar"/>
    <n v="775494003360000"/>
    <n v="57982"/>
    <s v="Unidade Vieiralves"/>
    <n v="1702119259"/>
    <m/>
  </r>
  <r>
    <x v="23"/>
    <x v="35"/>
    <s v="Elaine de Araujo Silva"/>
    <s v="Feminino"/>
    <x v="13"/>
    <x v="15"/>
    <s v="31601014 - Acupuntura (R$ 42,00)"/>
    <s v="Acupuntura"/>
    <n v="12946020"/>
    <s v="Finalizado (8/8)"/>
    <n v="34.86"/>
    <n v="7.14"/>
    <n v="42"/>
    <s v="Sessão Faturada"/>
    <s v="00010300029078028"/>
    <n v="51004"/>
    <s v="Unidade Vieiralves"/>
    <n v="12946020"/>
    <m/>
  </r>
  <r>
    <x v="23"/>
    <x v="38"/>
    <s v="Clarice Branco Rocha"/>
    <s v="Feminino"/>
    <x v="6"/>
    <x v="15"/>
    <s v="31601014 - Acupuntura (R$ 51,33)"/>
    <s v="Acupuntura"/>
    <n v="169071"/>
    <s v="Finalizado (4/4)"/>
    <n v="42.603900000000003"/>
    <n v="8.7261000000000006"/>
    <n v="51.33"/>
    <s v="Sessão a Faturar"/>
    <s v="54563005000002620010"/>
    <n v="47458"/>
    <s v="Unidade Vieiralves"/>
    <n v="169071"/>
    <m/>
  </r>
  <r>
    <x v="23"/>
    <x v="39"/>
    <s v="Alice da Silva dos Santos"/>
    <m/>
    <x v="4"/>
    <x v="15"/>
    <s v="31601014 - Acupuntura (R$ 54,56)"/>
    <s v="Acupuntura"/>
    <n v="1709105588"/>
    <s v="Finalizado (4/5)"/>
    <n v="45.284799999999997"/>
    <n v="9.2751999999999999"/>
    <n v="54.56"/>
    <s v="Sessão Faturada"/>
    <n v="843486100604000"/>
    <n v="56112"/>
    <s v="Unidade Vieiralves"/>
    <n v="1709105588"/>
    <m/>
  </r>
  <r>
    <x v="23"/>
    <x v="43"/>
    <s v="Edla de Araujo Silva"/>
    <s v="Feminino"/>
    <x v="13"/>
    <x v="15"/>
    <s v="31601014 - Acupuntura (R$ 42,00)"/>
    <s v="Acupuntura"/>
    <n v="13534075"/>
    <s v="Finalizado (2/10)"/>
    <n v="34.86"/>
    <n v="7.14"/>
    <n v="42"/>
    <s v="Sessão Faturada"/>
    <s v="00010300011877026"/>
    <n v="50914"/>
    <s v="Unidade Vieiralves"/>
    <n v="13534075"/>
    <m/>
  </r>
  <r>
    <x v="23"/>
    <x v="43"/>
    <s v="Kaíny Medeiros Maciel"/>
    <s v="Feminino"/>
    <x v="4"/>
    <x v="15"/>
    <s v="31601014 - Acupuntura (R$ 54,56)"/>
    <s v="Acupuntura"/>
    <n v="1706488339"/>
    <s v="Finalizado (5/5)"/>
    <n v="45.284799999999997"/>
    <n v="9.2751999999999999"/>
    <n v="54.56"/>
    <s v="Sessão Faturada"/>
    <n v="774642015580010"/>
    <n v="59326"/>
    <s v="Unidade Vieiralves"/>
    <n v="1706488339"/>
    <m/>
  </r>
  <r>
    <x v="0"/>
    <x v="41"/>
    <s v="Waldir dos Santos Fontes Junior"/>
    <s v="Masculino"/>
    <x v="4"/>
    <x v="15"/>
    <s v="31601014 - Acupuntura (R$ 54,56)"/>
    <s v="Acupuntura"/>
    <n v="1707541404"/>
    <s v="Finalizado (5/5)"/>
    <n v="45.284799999999997"/>
    <n v="9.2751999999999999"/>
    <n v="54.56"/>
    <s v="Sessão Faturada"/>
    <n v="772133000728000"/>
    <n v="51522"/>
    <s v="Unidade Vieiralves"/>
    <n v="1707541404"/>
    <m/>
  </r>
  <r>
    <x v="0"/>
    <x v="36"/>
    <s v="Diego Nobuyoshi de Souza Tsuji"/>
    <s v="Masculino"/>
    <x v="4"/>
    <x v="15"/>
    <s v="31601014 - Acupuntura (R$ 54,56)"/>
    <s v="Acupuntura"/>
    <n v="1708805007"/>
    <s v="Finalizado (4/5)"/>
    <n v="45.284799999999997"/>
    <n v="9.2751999999999999"/>
    <n v="54.56"/>
    <s v="Sessão Faturada"/>
    <n v="774981009148000"/>
    <n v="11130"/>
    <s v="Unidade Vieiralves"/>
    <n v="1708805007"/>
    <m/>
  </r>
  <r>
    <x v="0"/>
    <x v="38"/>
    <s v="Auxiliadora Brito de Lima"/>
    <m/>
    <x v="6"/>
    <x v="15"/>
    <s v="31601014 - Acupuntura (R$ 51,33)"/>
    <s v="Acupuntura"/>
    <n v="170941"/>
    <s v="Finalizado (3/4)"/>
    <n v="42.603900000000003"/>
    <n v="8.7261000000000006"/>
    <n v="51.33"/>
    <s v="Sessão a Faturar"/>
    <s v="55788888491272530020"/>
    <n v="51936"/>
    <s v="Unidade Vieiralves"/>
    <n v="170941"/>
    <m/>
  </r>
  <r>
    <x v="1"/>
    <x v="36"/>
    <s v="Katiuscia Rodrigues Leao"/>
    <s v="Feminino"/>
    <x v="9"/>
    <x v="15"/>
    <s v="31601014 - Acupuntura (R$ 54,56)"/>
    <s v="Acupuntura"/>
    <n v="1708216787"/>
    <s v="Finalizado (5/5)"/>
    <n v="45.284799999999997"/>
    <n v="9.2751999999999999"/>
    <n v="54.56"/>
    <s v="Sessão Faturada"/>
    <n v="954600007552000"/>
    <n v="30052"/>
    <s v="Unidade Vieiralves"/>
    <n v="1708216787"/>
    <m/>
  </r>
  <r>
    <x v="1"/>
    <x v="40"/>
    <s v="Maria Ercilia Cavalcante Martins"/>
    <s v="Feminino"/>
    <x v="4"/>
    <x v="15"/>
    <s v="31601014 - Acupuntura (R$ 54,56)"/>
    <s v="Acupuntura"/>
    <n v="1713265441"/>
    <s v="Finalizado (1/5)"/>
    <n v="45.284799999999997"/>
    <n v="9.2751999999999999"/>
    <n v="54.56"/>
    <s v="Sessão Faturada"/>
    <n v="830425500043000"/>
    <n v="7701"/>
    <s v="Unidade Vieiralves"/>
    <n v="1713265441"/>
    <m/>
  </r>
  <r>
    <x v="1"/>
    <x v="40"/>
    <s v="Claudia Miyuki Muramoto Sako"/>
    <s v="Feminino"/>
    <x v="4"/>
    <x v="15"/>
    <s v="31601014 - Acupuntura (R$ 54,56)"/>
    <s v="Acupuntura"/>
    <n v="1709453525"/>
    <s v="Finalizado (3/5)"/>
    <n v="45.284799999999997"/>
    <n v="9.2751999999999999"/>
    <n v="54.56"/>
    <s v="Sessão Faturada"/>
    <n v="885854000132010"/>
    <n v="49229"/>
    <s v="Unidade Vieiralves"/>
    <n v="1709453525"/>
    <m/>
  </r>
  <r>
    <x v="1"/>
    <x v="35"/>
    <s v="Nívea Rosangela Santos Barbosa"/>
    <s v="Feminino"/>
    <x v="6"/>
    <x v="15"/>
    <s v="31601014 - Acupuntura (R$ 51,33)"/>
    <s v="Acupuntura"/>
    <n v="171937"/>
    <s v="Finalizado (1/2)"/>
    <n v="42.603900000000003"/>
    <n v="8.7261000000000006"/>
    <n v="51.33"/>
    <s v="Sessão a Faturar"/>
    <s v="54588888018689220020"/>
    <n v="56297"/>
    <s v="Unidade Vieiralves"/>
    <n v="171937"/>
    <m/>
  </r>
  <r>
    <x v="1"/>
    <x v="39"/>
    <s v="Julliana Gadelha de Medeiros"/>
    <s v="Feminino"/>
    <x v="9"/>
    <x v="15"/>
    <s v="31601014 - Acupuntura (R$ 54,56)"/>
    <s v="Acupuntura"/>
    <n v="1711448781"/>
    <s v="Finalizado (2/5)"/>
    <n v="45.284799999999997"/>
    <n v="9.2751999999999999"/>
    <n v="54.56"/>
    <s v="Sessão Faturada"/>
    <n v="954600002968020"/>
    <n v="20663"/>
    <s v="Unidade Vieiralves"/>
    <n v="1711448781"/>
    <m/>
  </r>
  <r>
    <x v="1"/>
    <x v="39"/>
    <s v="Aline Ferreira Pereira"/>
    <s v="Feminino"/>
    <x v="3"/>
    <x v="15"/>
    <s v="0002 - Acupuntura - Pacote Com 10 Sessões (R$ 80,00)"/>
    <s v="Acupuntura"/>
    <m/>
    <s v="Finalizado (1/10)"/>
    <n v="66.400000000000006"/>
    <n v="13.6"/>
    <n v="80"/>
    <s v="Sessão a Faturar"/>
    <n v="6741"/>
    <n v="59441"/>
    <s v="Unidade Vieiralves"/>
    <m/>
    <m/>
  </r>
  <r>
    <x v="1"/>
    <x v="43"/>
    <s v="Daniele Guimarães Alves"/>
    <s v="Feminino"/>
    <x v="4"/>
    <x v="15"/>
    <s v="31601014 - Acupuntura (R$ 54,56)"/>
    <s v="Acupuntura"/>
    <n v="1707845519"/>
    <s v="Finalizado (4/5)"/>
    <n v="45.284799999999997"/>
    <n v="9.2751999999999999"/>
    <n v="54.56"/>
    <s v="Sessão Faturada"/>
    <n v="952650062103000"/>
    <n v="59353"/>
    <s v="Unidade Vieiralves"/>
    <n v="1707845519"/>
    <m/>
  </r>
  <r>
    <x v="1"/>
    <x v="43"/>
    <s v="Rita de Cassia Balbi Alves"/>
    <s v="Feminino"/>
    <x v="19"/>
    <x v="15"/>
    <s v="90700319 - Acupuntura - 17/03/2026 (R$ 83,32)"/>
    <s v="Acupuntura"/>
    <n v="5150160"/>
    <s v="Finalizado (9/10)"/>
    <n v="69.155600000000007"/>
    <n v="14.164400000000001"/>
    <n v="83.32"/>
    <s v="Sessão Faturada"/>
    <s v="0001000034150505"/>
    <n v="37165"/>
    <s v="Unidade Vieiralves"/>
    <n v="5150160"/>
    <s v="GUIA ASSINADA "/>
  </r>
  <r>
    <x v="2"/>
    <x v="44"/>
    <s v="Bruno Marques da Silva"/>
    <s v="Masculino"/>
    <x v="6"/>
    <x v="15"/>
    <s v="31601014 - Acupuntura (R$ 51,33)"/>
    <s v="Acupuntura"/>
    <n v="170163"/>
    <s v="Finalizado (3/4)"/>
    <n v="42.603900000000003"/>
    <n v="8.7261000000000006"/>
    <n v="51.33"/>
    <s v="Sessão a Faturar"/>
    <s v="51588888485478760019"/>
    <n v="59478"/>
    <s v="Unidade Vieiralves"/>
    <n v="170163"/>
    <m/>
  </r>
  <r>
    <x v="2"/>
    <x v="36"/>
    <s v="Lucas Reniele Amorim de Andrade"/>
    <s v="Masculino"/>
    <x v="4"/>
    <x v="15"/>
    <s v="31601014 - Acupuntura (R$ 54,56)"/>
    <s v="Acupuntura"/>
    <n v="1711677518"/>
    <s v="Finalizado (2/4)"/>
    <n v="45.284799999999997"/>
    <n v="9.2751999999999999"/>
    <n v="54.56"/>
    <s v="Sessão Faturada"/>
    <n v="774642029297000"/>
    <n v="58737"/>
    <s v="Unidade Vieiralves"/>
    <n v="1711677518"/>
    <m/>
  </r>
  <r>
    <x v="2"/>
    <x v="40"/>
    <s v="Maria Ercilia Cavalcante Martins"/>
    <s v="Feminino"/>
    <x v="4"/>
    <x v="15"/>
    <s v="31601014 - Acupuntura (R$ 54,56)"/>
    <s v="Acupuntura"/>
    <n v="1713265441"/>
    <s v="Finalizado (2/5)"/>
    <n v="45.284799999999997"/>
    <n v="9.2751999999999999"/>
    <n v="54.56"/>
    <s v="Sessão Faturada"/>
    <n v="830425500043000"/>
    <n v="7701"/>
    <s v="Unidade Vieiralves"/>
    <n v="1713265441"/>
    <m/>
  </r>
  <r>
    <x v="2"/>
    <x v="35"/>
    <s v="Helen dos Santos Viana"/>
    <m/>
    <x v="4"/>
    <x v="15"/>
    <s v="31601014 - Acupuntura (R$ 54,56)"/>
    <s v="Acupuntura"/>
    <n v="1713901629"/>
    <s v="Finalizado (1/1)"/>
    <n v="45.284799999999997"/>
    <n v="9.2751999999999999"/>
    <n v="54.56"/>
    <s v="Sessão Faturada"/>
    <n v="774642026174020"/>
    <n v="59475"/>
    <s v="Unidade Vieiralves"/>
    <n v="1713901629"/>
    <m/>
  </r>
  <r>
    <x v="2"/>
    <x v="38"/>
    <s v="Auxiliadora Brito de Lima"/>
    <m/>
    <x v="6"/>
    <x v="15"/>
    <s v="31601014 - Acupuntura (R$ 51,33)"/>
    <s v="Acupuntura"/>
    <n v="170941"/>
    <s v="Finalizado (4/4)"/>
    <n v="42.603900000000003"/>
    <n v="8.7261000000000006"/>
    <n v="51.33"/>
    <s v="Sessão a Faturar"/>
    <s v="55788888491272530020"/>
    <n v="51936"/>
    <s v="Unidade Vieiralves"/>
    <n v="170941"/>
    <m/>
  </r>
  <r>
    <x v="2"/>
    <x v="38"/>
    <s v="Carlos Juliano Prado"/>
    <s v="Masculino"/>
    <x v="4"/>
    <x v="15"/>
    <s v="31601014 - Acupuntura (R$ 54,56)"/>
    <s v="Acupuntura"/>
    <n v="1713868051"/>
    <s v="Finalizado (1/5)"/>
    <n v="45.284799999999997"/>
    <n v="9.2751999999999999"/>
    <n v="54.56"/>
    <s v="Sessão Faturada"/>
    <n v="774981010073010"/>
    <n v="55509"/>
    <s v="Unidade Vieiralves"/>
    <n v="1713868051"/>
    <m/>
  </r>
  <r>
    <x v="2"/>
    <x v="37"/>
    <s v="Nadia Livia Dantas Farias"/>
    <m/>
    <x v="4"/>
    <x v="15"/>
    <s v="31601014 - Acupuntura (R$ 54,56)"/>
    <s v="Acupuntura"/>
    <n v="1713956464"/>
    <s v="Finalizado (1/1)"/>
    <n v="45.284799999999997"/>
    <n v="9.2751999999999999"/>
    <n v="54.56"/>
    <s v="Sessão a Faturar"/>
    <n v="812980300400020"/>
    <n v="59087"/>
    <s v="Unidade Vieiralves"/>
    <n v="1713956464"/>
    <m/>
  </r>
  <r>
    <x v="2"/>
    <x v="37"/>
    <s v="Fabíola Graziele Martins de Lima"/>
    <s v="Feminino"/>
    <x v="9"/>
    <x v="15"/>
    <s v="31601014 - Acupuntura (R$ 54,56)"/>
    <s v="Acupuntura"/>
    <n v="1713340607"/>
    <s v="Finalizado (2/5)"/>
    <n v="45.284799999999997"/>
    <n v="9.2751999999999999"/>
    <n v="54.56"/>
    <s v="Sessão Faturada"/>
    <n v="954590029556010"/>
    <n v="59043"/>
    <s v="Unidade Vieiralves"/>
    <n v="1713340607"/>
    <m/>
  </r>
  <r>
    <x v="2"/>
    <x v="37"/>
    <s v="Ana Carolina Bento Andrade da Encarnação"/>
    <s v="Feminino"/>
    <x v="4"/>
    <x v="15"/>
    <s v="31601014 - Acupuntura (R$ 54,56)"/>
    <s v="Acupuntura"/>
    <n v="1713614073"/>
    <s v="Finalizado (1/4)"/>
    <n v="45.284799999999997"/>
    <n v="9.2751999999999999"/>
    <n v="54.56"/>
    <s v="Sessão a Faturar"/>
    <n v="771015045292010"/>
    <n v="21604"/>
    <s v="Unidade Vieiralves"/>
    <n v="1713614073"/>
    <m/>
  </r>
  <r>
    <x v="2"/>
    <x v="39"/>
    <s v="Julliana Gadelha de Medeiros"/>
    <s v="Feminino"/>
    <x v="9"/>
    <x v="15"/>
    <s v="31601014 - Acupuntura (R$ 54,56)"/>
    <s v="Acupuntura"/>
    <n v="1711448781"/>
    <s v="Finalizado (3/5)"/>
    <n v="45.284799999999997"/>
    <n v="9.2751999999999999"/>
    <n v="54.56"/>
    <s v="Sessão Faturada"/>
    <n v="954600002968020"/>
    <n v="20663"/>
    <s v="Unidade Vieiralves"/>
    <n v="1711448781"/>
    <m/>
  </r>
  <r>
    <x v="2"/>
    <x v="39"/>
    <s v="Chirly Ribeiro de Souza Lira"/>
    <s v="Feminino"/>
    <x v="4"/>
    <x v="15"/>
    <s v="31601014 - Acupuntura (R$ 54,56)"/>
    <s v="Acupuntura"/>
    <n v="1711006753"/>
    <s v="Finalizado (3/3)"/>
    <n v="45.284799999999997"/>
    <n v="9.2751999999999999"/>
    <n v="54.56"/>
    <s v="Sessão Faturada"/>
    <n v="771015039004010"/>
    <n v="47661"/>
    <s v="Unidade Vieiralves"/>
    <n v="1711006753"/>
    <m/>
  </r>
  <r>
    <x v="2"/>
    <x v="39"/>
    <s v="Henrique Douglas Macedo Mendes Júnior"/>
    <s v="Masculino"/>
    <x v="4"/>
    <x v="15"/>
    <s v="31601014 - Acupuntura (R$ 54,56)"/>
    <s v="Acupuntura"/>
    <n v="1706815109"/>
    <s v="Finalizado (5/5)"/>
    <n v="45.284799999999997"/>
    <n v="9.2751999999999999"/>
    <n v="54.56"/>
    <s v="Sessão Faturada"/>
    <n v="897702200019010"/>
    <n v="56664"/>
    <s v="Unidade Vieiralves"/>
    <n v="1706815109"/>
    <m/>
  </r>
  <r>
    <x v="3"/>
    <x v="36"/>
    <s v="Diego Nobuyoshi de Souza Tsuji"/>
    <s v="Masculino"/>
    <x v="4"/>
    <x v="15"/>
    <s v="31601014 - Acupuntura (R$ 54,56)"/>
    <s v="Acupuntura"/>
    <n v="1708805007"/>
    <s v="Finalizado (5/5)"/>
    <n v="45.284799999999997"/>
    <n v="9.2751999999999999"/>
    <n v="54.56"/>
    <s v="Sessão Faturada"/>
    <n v="774981009148000"/>
    <n v="11130"/>
    <s v="Unidade Vieiralves"/>
    <n v="1708805007"/>
    <m/>
  </r>
  <r>
    <x v="3"/>
    <x v="40"/>
    <s v="Nívea Rosangela Santos Barbosa"/>
    <s v="Feminino"/>
    <x v="6"/>
    <x v="15"/>
    <s v="31601014 - Acupuntura (R$ 51,33)"/>
    <s v="Acupuntura"/>
    <n v="171937"/>
    <s v="Finalizado (2/2)"/>
    <n v="42.603900000000003"/>
    <n v="8.7261000000000006"/>
    <n v="51.33"/>
    <s v="Sessão a Faturar"/>
    <s v="54588888018689220020"/>
    <n v="56297"/>
    <s v="Unidade Vieiralves"/>
    <n v="171937"/>
    <m/>
  </r>
  <r>
    <x v="3"/>
    <x v="38"/>
    <s v="Dilcilene Angelim da Silva Santos"/>
    <m/>
    <x v="7"/>
    <x v="15"/>
    <s v="Vieiralves - 6 - Avaliação de Acupuntura (R$ 200,00)"/>
    <s v="Acupuntura"/>
    <m/>
    <s v="Finalizado (1/1)"/>
    <n v="180"/>
    <n v="20"/>
    <n v="200"/>
    <s v="Pago"/>
    <n v="59115"/>
    <n v="59115"/>
    <s v="Unidade Vieiralves"/>
    <m/>
    <m/>
  </r>
  <r>
    <x v="3"/>
    <x v="38"/>
    <s v="Eliana Araujo Pereira Miki"/>
    <s v="Feminino"/>
    <x v="4"/>
    <x v="15"/>
    <s v="31601014 - Acupuntura (R$ 54,56)"/>
    <s v="Acupuntura"/>
    <n v="1714486133"/>
    <s v="Finalizado (1/5)"/>
    <n v="45.284799999999997"/>
    <n v="9.2751999999999999"/>
    <n v="54.56"/>
    <s v="Sessão a Faturar"/>
    <n v="771015025992020"/>
    <n v="7512"/>
    <s v="Unidade Vieiralves"/>
    <n v="1714486133"/>
    <m/>
  </r>
  <r>
    <x v="4"/>
    <x v="41"/>
    <s v="Sandrea Flores Ferreira"/>
    <s v="Feminino"/>
    <x v="4"/>
    <x v="15"/>
    <s v="31601014 - Acupuntura (R$ 54,56)"/>
    <s v="Acupuntura"/>
    <n v="1714941278"/>
    <s v="Finalizado (1/2)"/>
    <n v="45.284799999999997"/>
    <n v="9.2751999999999999"/>
    <n v="54.56"/>
    <s v="Sessão a Faturar"/>
    <n v="960016290663000"/>
    <n v="55592"/>
    <s v="Unidade Vieiralves"/>
    <n v="1714941278"/>
    <m/>
  </r>
  <r>
    <x v="4"/>
    <x v="36"/>
    <s v="Lucas Reniele Amorim de Andrade"/>
    <s v="Masculino"/>
    <x v="4"/>
    <x v="15"/>
    <s v="31601014 - Acupuntura (R$ 54,56)"/>
    <s v="Acupuntura"/>
    <n v="1711677518"/>
    <s v="Finalizado (3/4)"/>
    <n v="45.284799999999997"/>
    <n v="9.2751999999999999"/>
    <n v="54.56"/>
    <s v="Sessão Faturada"/>
    <n v="774642029297000"/>
    <n v="58737"/>
    <s v="Unidade Vieiralves"/>
    <n v="1711677518"/>
    <m/>
  </r>
  <r>
    <x v="4"/>
    <x v="40"/>
    <s v="Claudia Miyuki Muramoto Sako"/>
    <s v="Feminino"/>
    <x v="4"/>
    <x v="15"/>
    <s v="31601014 - Acupuntura (R$ 54,56)"/>
    <s v="Acupuntura"/>
    <n v="1709453525"/>
    <s v="Finalizado (4/5)"/>
    <n v="45.284799999999997"/>
    <n v="9.2751999999999999"/>
    <n v="54.56"/>
    <s v="Sessão Faturada"/>
    <n v="885854000132010"/>
    <n v="49229"/>
    <s v="Unidade Vieiralves"/>
    <n v="1709453525"/>
    <m/>
  </r>
  <r>
    <x v="4"/>
    <x v="40"/>
    <s v="Maria Ercilia Cavalcante Martins"/>
    <s v="Feminino"/>
    <x v="4"/>
    <x v="15"/>
    <s v="31601014 - Acupuntura (R$ 54,56)"/>
    <s v="Acupuntura"/>
    <n v="1713265441"/>
    <s v="Finalizado (3/5)"/>
    <n v="45.284799999999997"/>
    <n v="9.2751999999999999"/>
    <n v="54.56"/>
    <s v="Sessão Faturada"/>
    <n v="830425500043000"/>
    <n v="7701"/>
    <s v="Unidade Vieiralves"/>
    <n v="1713265441"/>
    <m/>
  </r>
  <r>
    <x v="4"/>
    <x v="40"/>
    <s v="Carlos Juliano Prado"/>
    <s v="Masculino"/>
    <x v="4"/>
    <x v="15"/>
    <s v="31601014 - Acupuntura (R$ 54,56)"/>
    <s v="Acupuntura"/>
    <n v="1713868051"/>
    <s v="Finalizado (2/5)"/>
    <n v="45.284799999999997"/>
    <n v="9.2751999999999999"/>
    <n v="54.56"/>
    <s v="Sessão Faturada"/>
    <n v="774981010073010"/>
    <n v="55509"/>
    <s v="Unidade Vieiralves"/>
    <n v="1713868051"/>
    <m/>
  </r>
  <r>
    <x v="4"/>
    <x v="39"/>
    <s v="Julliana Gadelha de Medeiros"/>
    <s v="Feminino"/>
    <x v="9"/>
    <x v="15"/>
    <s v="31601014 - Acupuntura (R$ 54,56)"/>
    <s v="Acupuntura"/>
    <n v="1711448781"/>
    <s v="Finalizado (4/5)"/>
    <n v="45.284799999999997"/>
    <n v="9.2751999999999999"/>
    <n v="54.56"/>
    <s v="Sessão Faturada"/>
    <n v="954600002968020"/>
    <n v="20663"/>
    <s v="Unidade Vieiralves"/>
    <n v="1711448781"/>
    <m/>
  </r>
  <r>
    <x v="4"/>
    <x v="43"/>
    <s v="Leonice Soares Lira"/>
    <s v="Feminino"/>
    <x v="9"/>
    <x v="15"/>
    <s v="31601014 - Acupuntura (R$ 54,56)"/>
    <s v="Acupuntura"/>
    <n v="1715038863"/>
    <s v="Finalizado (1/5)"/>
    <n v="45.284799999999997"/>
    <n v="9.2751999999999999"/>
    <n v="54.56"/>
    <s v="Sessão a Faturar"/>
    <n v="954600008907000"/>
    <n v="59695"/>
    <s v="Unidade Vieiralves"/>
    <n v="1715038863"/>
    <m/>
  </r>
  <r>
    <x v="24"/>
    <x v="41"/>
    <s v="Luiza Silvestre da Silva"/>
    <s v="Feminino"/>
    <x v="4"/>
    <x v="15"/>
    <s v="31601014 - Acupuntura (R$ 54,56)"/>
    <s v="Acupuntura"/>
    <n v="1715410798"/>
    <s v="Finalizado (1/1)"/>
    <n v="45.284799999999997"/>
    <n v="9.2751999999999999"/>
    <n v="54.56"/>
    <s v="Sessão Faturada"/>
    <n v="770179021261010"/>
    <n v="11820"/>
    <s v="Unidade Vieiralves"/>
    <n v="1715410798"/>
    <m/>
  </r>
  <r>
    <x v="24"/>
    <x v="41"/>
    <s v="Janderson dos Santos Pereira"/>
    <s v="Masculino"/>
    <x v="4"/>
    <x v="15"/>
    <s v="31601014 - Acupuntura (R$ 54,56)"/>
    <s v="Acupuntura"/>
    <n v="1715400923"/>
    <s v="Finalizado (1/1)"/>
    <n v="45.284799999999997"/>
    <n v="9.2751999999999999"/>
    <n v="54.56"/>
    <s v="Sessão a Faturar"/>
    <n v="610611160057000"/>
    <n v="42788"/>
    <s v="Unidade Vieiralves"/>
    <n v="1715400923"/>
    <m/>
  </r>
  <r>
    <x v="24"/>
    <x v="41"/>
    <s v="Renato Pinheiro Costa"/>
    <s v="Masculino"/>
    <x v="4"/>
    <x v="15"/>
    <s v="31601014 - Acupuntura (R$ 54,56)"/>
    <s v="Acupuntura"/>
    <n v="1715405651"/>
    <s v="Finalizado (1/5)"/>
    <n v="45.284799999999997"/>
    <n v="9.2751999999999999"/>
    <n v="54.56"/>
    <s v="Sessão a Faturar"/>
    <n v="771015041750000"/>
    <n v="59729"/>
    <s v="Unidade Vieiralves"/>
    <n v="1715405651"/>
    <m/>
  </r>
  <r>
    <x v="24"/>
    <x v="36"/>
    <s v="Talita Ávila Lucena"/>
    <m/>
    <x v="20"/>
    <x v="15"/>
    <s v="00010987 - Acupuntura Por Sessão - 02/04/2026 (R$ 42,00)"/>
    <s v="Acupuntura"/>
    <n v="55599410"/>
    <s v="Finalizado (3/10)"/>
    <n v="34.86"/>
    <n v="7.14"/>
    <n v="42"/>
    <s v="Sessão a Faturar"/>
    <n v="1051100331140100"/>
    <n v="58568"/>
    <s v="Unidade Vieiralves"/>
    <n v="55599410"/>
    <m/>
  </r>
  <r>
    <x v="24"/>
    <x v="36"/>
    <s v="Lauro Loureiro Yoshimura"/>
    <s v="Masculino"/>
    <x v="6"/>
    <x v="15"/>
    <s v="31601014 - Acupuntura (R$ 51,33)"/>
    <s v="Acupuntura"/>
    <n v="171721"/>
    <s v="Finalizado (2/4)"/>
    <n v="42.603900000000003"/>
    <n v="8.7261000000000006"/>
    <n v="51.33"/>
    <s v="Sessão a Faturar"/>
    <s v="58200789998000620040"/>
    <n v="44324"/>
    <s v="Unidade Vieiralves"/>
    <n v="171721"/>
    <m/>
  </r>
  <r>
    <x v="24"/>
    <x v="40"/>
    <s v="Valterlei Ribeiro Mendonça"/>
    <m/>
    <x v="4"/>
    <x v="15"/>
    <s v="31601014 - Acupuntura (R$ 54,56)"/>
    <s v="Acupuntura"/>
    <n v="1702119259"/>
    <s v="Finalizado (4/5)"/>
    <n v="45.284799999999997"/>
    <n v="9.2751999999999999"/>
    <n v="54.56"/>
    <s v="Sessão a Faturar"/>
    <n v="775494003360000"/>
    <n v="57982"/>
    <s v="Unidade Vieiralves"/>
    <n v="1702119259"/>
    <m/>
  </r>
  <r>
    <x v="24"/>
    <x v="40"/>
    <s v="Renato Corrêa dos Santos"/>
    <s v="Masculino"/>
    <x v="4"/>
    <x v="15"/>
    <s v="31601014 - Acupuntura (R$ 54,56)"/>
    <s v="Acupuntura"/>
    <n v="1715451922"/>
    <s v="Finalizado (1/5)"/>
    <n v="45.284799999999997"/>
    <n v="9.2751999999999999"/>
    <n v="54.56"/>
    <s v="Sessão a Faturar"/>
    <n v="774634049832000"/>
    <n v="59688"/>
    <s v="Unidade Vieiralves"/>
    <n v="1715451922"/>
    <m/>
  </r>
  <r>
    <x v="24"/>
    <x v="35"/>
    <s v="Waldir dos Santos Fontes Junior"/>
    <s v="Masculino"/>
    <x v="4"/>
    <x v="15"/>
    <s v="31601014 - Acupuntura (R$ 54,56)"/>
    <s v="Acupuntura"/>
    <n v="1714245308"/>
    <s v="Finalizado (2/5)"/>
    <n v="45.284799999999997"/>
    <n v="9.2751999999999999"/>
    <n v="54.56"/>
    <s v="Sessão Faturada"/>
    <n v="772133000728000"/>
    <n v="51522"/>
    <s v="Unidade Vieiralves"/>
    <n v="1714245308"/>
    <m/>
  </r>
  <r>
    <x v="24"/>
    <x v="35"/>
    <s v="Clarice Branco Rocha"/>
    <s v="Feminino"/>
    <x v="6"/>
    <x v="15"/>
    <s v="31601014 - Acupuntura (R$ 51,33)"/>
    <s v="Acupuntura"/>
    <n v="172488"/>
    <s v="Finalizado (1/2)"/>
    <n v="42.603900000000003"/>
    <n v="8.7261000000000006"/>
    <n v="51.33"/>
    <s v="Sessão a Faturar"/>
    <s v="54563005000002620010"/>
    <n v="47458"/>
    <s v="Unidade Vieiralves"/>
    <n v="172488"/>
    <m/>
  </r>
  <r>
    <x v="24"/>
    <x v="38"/>
    <s v="Carlos Juliano Prado"/>
    <s v="Masculino"/>
    <x v="4"/>
    <x v="15"/>
    <s v="31601014 - Acupuntura (R$ 54,56)"/>
    <s v="Acupuntura"/>
    <n v="1713868051"/>
    <s v="Finalizado (3/5)"/>
    <n v="45.284799999999997"/>
    <n v="9.2751999999999999"/>
    <n v="54.56"/>
    <s v="Sessão Faturada"/>
    <n v="774981010073010"/>
    <n v="55509"/>
    <s v="Unidade Vieiralves"/>
    <n v="1713868051"/>
    <m/>
  </r>
  <r>
    <x v="24"/>
    <x v="37"/>
    <s v="Ormandina Martins Leão"/>
    <s v="Feminino"/>
    <x v="5"/>
    <x v="15"/>
    <s v="31601014 - Acupuntura - 04/03/2026 (R$ 86,81)"/>
    <s v="Acupuntura"/>
    <n v="76457810"/>
    <s v="Finalizado (9/10)"/>
    <n v="72.052300000000002"/>
    <n v="14.7577"/>
    <n v="86.81"/>
    <s v="Sessão Faturada"/>
    <s v="0100865562010408"/>
    <n v="275"/>
    <s v="Unidade Vieiralves"/>
    <n v="76457810"/>
    <m/>
  </r>
  <r>
    <x v="24"/>
    <x v="39"/>
    <s v="Elke Silveira Ferreira de Souza"/>
    <s v="Feminino"/>
    <x v="4"/>
    <x v="15"/>
    <s v="31601014 - Acupuntura (R$ 54,56)"/>
    <s v="Acupuntura"/>
    <n v="1711076238"/>
    <s v="Finalizado (4/5)"/>
    <n v="45.284799999999997"/>
    <n v="9.2751999999999999"/>
    <n v="54.56"/>
    <s v="Sessão Faturada"/>
    <n v="774078000450020"/>
    <n v="40221"/>
    <s v="Unidade Vieiralves"/>
    <n v="1711076238"/>
    <m/>
  </r>
  <r>
    <x v="24"/>
    <x v="43"/>
    <s v="Henrique Douglas Macedo Mendes Júnior"/>
    <s v="Masculino"/>
    <x v="4"/>
    <x v="15"/>
    <s v="31601014 - Acupuntura (R$ 54,56)"/>
    <s v="Acupuntura"/>
    <n v="1715483947"/>
    <s v="Finalizado (1/5)"/>
    <n v="45.284799999999997"/>
    <n v="9.2751999999999999"/>
    <n v="54.56"/>
    <s v="Sessão a Faturar"/>
    <n v="897702200019010"/>
    <n v="56664"/>
    <s v="Unidade Vieiralves"/>
    <n v="1715483947"/>
    <m/>
  </r>
  <r>
    <x v="5"/>
    <x v="36"/>
    <s v="Sandra Souza Cavalcante"/>
    <m/>
    <x v="4"/>
    <x v="15"/>
    <s v="31601014 - Acupuntura (R$ 54,56)"/>
    <s v="Acupuntura"/>
    <n v="1712538643"/>
    <s v="Finalizado (2/5)"/>
    <n v="45.284799999999997"/>
    <n v="9.2751999999999999"/>
    <n v="54.56"/>
    <s v="Sessão Faturada"/>
    <n v="773299001503000"/>
    <n v="59519"/>
    <s v="Unidade Vieiralves"/>
    <n v="1712538643"/>
    <m/>
  </r>
  <r>
    <x v="5"/>
    <x v="40"/>
    <s v="Maria Jose Pinto da Mota"/>
    <m/>
    <x v="4"/>
    <x v="15"/>
    <s v="31601014 - Acupuntura (R$ 54,56)"/>
    <s v="Acupuntura"/>
    <n v="1707264137"/>
    <s v="Finalizado (4/4)"/>
    <n v="45.284799999999997"/>
    <n v="9.2751999999999999"/>
    <n v="54.56"/>
    <s v="Sessão Faturada"/>
    <n v="771015052531020"/>
    <n v="59060"/>
    <s v="Unidade Vieiralves"/>
    <n v="1707264137"/>
    <m/>
  </r>
  <r>
    <x v="5"/>
    <x v="40"/>
    <s v="Carlos Juliano Prado"/>
    <s v="Masculino"/>
    <x v="4"/>
    <x v="15"/>
    <s v="31601014 - Acupuntura (R$ 54,56)"/>
    <s v="Acupuntura"/>
    <n v="1713868051"/>
    <s v="Finalizado (4/5)"/>
    <n v="45.284799999999997"/>
    <n v="9.2751999999999999"/>
    <n v="54.56"/>
    <s v="Sessão Faturada"/>
    <n v="774981010073010"/>
    <n v="55509"/>
    <s v="Unidade Vieiralves"/>
    <n v="1713868051"/>
    <m/>
  </r>
  <r>
    <x v="5"/>
    <x v="40"/>
    <s v="Maria Ercilia Cavalcante Martins"/>
    <s v="Feminino"/>
    <x v="4"/>
    <x v="15"/>
    <s v="31601014 - Acupuntura (R$ 54,56)"/>
    <s v="Acupuntura"/>
    <n v="1713265441"/>
    <s v="Finalizado (4/5)"/>
    <n v="45.284799999999997"/>
    <n v="9.2751999999999999"/>
    <n v="54.56"/>
    <s v="Sessão Faturada"/>
    <n v="830425500043000"/>
    <n v="7701"/>
    <s v="Unidade Vieiralves"/>
    <n v="1713265441"/>
    <m/>
  </r>
  <r>
    <x v="5"/>
    <x v="38"/>
    <s v="Auxiliadora Brito de Lima"/>
    <m/>
    <x v="6"/>
    <x v="15"/>
    <s v="31601014 - Acupuntura (R$ 51,33)"/>
    <s v="Acupuntura"/>
    <n v="172530"/>
    <s v="Finalizado (1/4)"/>
    <n v="42.603900000000003"/>
    <n v="8.7261000000000006"/>
    <n v="51.33"/>
    <s v="Sessão a Faturar"/>
    <s v="55788888491272530020"/>
    <n v="51936"/>
    <s v="Unidade Vieiralves"/>
    <n v="172530"/>
    <m/>
  </r>
  <r>
    <x v="6"/>
    <x v="36"/>
    <s v="Diego Nobuyoshi de Souza Tsuji"/>
    <s v="Masculino"/>
    <x v="4"/>
    <x v="15"/>
    <s v="31601014 - Acupuntura (R$ 54,56)"/>
    <s v="Acupuntura"/>
    <n v="1716425052"/>
    <s v="Finalizado (1/5)"/>
    <n v="45.284799999999997"/>
    <n v="9.2751999999999999"/>
    <n v="54.56"/>
    <s v="Sessão a Faturar"/>
    <n v="774981009148000"/>
    <n v="11130"/>
    <s v="Unidade Vieiralves"/>
    <n v="1716425052"/>
    <m/>
  </r>
  <r>
    <x v="6"/>
    <x v="35"/>
    <s v="Claudia Miyuki Muramoto Sako"/>
    <s v="Feminino"/>
    <x v="4"/>
    <x v="15"/>
    <s v="31601014 - Acupuntura (R$ 54,56)"/>
    <s v="Acupuntura"/>
    <n v="1709453525"/>
    <s v="Finalizado (5/5)"/>
    <n v="45.284799999999997"/>
    <n v="9.2751999999999999"/>
    <n v="54.56"/>
    <s v="Sessão Faturada"/>
    <n v="885854000132010"/>
    <n v="49229"/>
    <s v="Unidade Vieiralves"/>
    <n v="1709453525"/>
    <m/>
  </r>
  <r>
    <x v="6"/>
    <x v="37"/>
    <s v="Arlene Maria de Souza Pacheco"/>
    <s v="Feminino"/>
    <x v="7"/>
    <x v="15"/>
    <s v="Vieiralves - 6 - Avaliação de Acupuntura (R$ 200,00)"/>
    <s v="Acupuntura"/>
    <m/>
    <s v="Finalizado (1/1)"/>
    <n v="180"/>
    <n v="20"/>
    <n v="200"/>
    <s v="Pago"/>
    <s v="00"/>
    <n v="7658"/>
    <s v="Unidade Vieiralves"/>
    <m/>
    <m/>
  </r>
  <r>
    <x v="6"/>
    <x v="39"/>
    <s v="Lucivane Ramos Pereira"/>
    <s v="Feminino"/>
    <x v="22"/>
    <x v="15"/>
    <s v="00000000 - Acupuntura (R$ 0,00)"/>
    <s v="Acupuntura"/>
    <m/>
    <s v="Finalizado (1/10)"/>
    <n v="0"/>
    <n v="0"/>
    <n v="0"/>
    <s v="Sessão a Faturar"/>
    <m/>
    <n v="56150"/>
    <s v="Unidade Vieiralves"/>
    <m/>
    <m/>
  </r>
  <r>
    <x v="6"/>
    <x v="43"/>
    <s v="Daniele Guimarães Alves"/>
    <s v="Feminino"/>
    <x v="4"/>
    <x v="15"/>
    <s v="31601014 - Acupuntura (R$ 54,56)"/>
    <s v="Acupuntura"/>
    <n v="1707845519"/>
    <s v="Finalizado (5/5)"/>
    <n v="45.284799999999997"/>
    <n v="9.2751999999999999"/>
    <n v="54.56"/>
    <s v="Sessão Faturada"/>
    <n v="952650062103000"/>
    <n v="59353"/>
    <s v="Unidade Vieiralves"/>
    <n v="1707845519"/>
    <m/>
  </r>
  <r>
    <x v="7"/>
    <x v="41"/>
    <s v="Sandra Souza Cavalcante"/>
    <m/>
    <x v="4"/>
    <x v="15"/>
    <s v="31601014 - Acupuntura (R$ 54,56)"/>
    <s v="Acupuntura"/>
    <n v="1712538643"/>
    <s v="Finalizado (3/5)"/>
    <n v="45.284799999999997"/>
    <n v="9.2751999999999999"/>
    <n v="54.56"/>
    <s v="Sessão Faturada"/>
    <n v="773299001503000"/>
    <n v="59519"/>
    <s v="Unidade Vieiralves"/>
    <n v="1712538643"/>
    <m/>
  </r>
  <r>
    <x v="7"/>
    <x v="40"/>
    <s v="Maria Ercilia Cavalcante Martins"/>
    <s v="Feminino"/>
    <x v="4"/>
    <x v="15"/>
    <s v="31601014 - Acupuntura (R$ 54,56)"/>
    <s v="Acupuntura"/>
    <n v="1713265441"/>
    <s v="Finalizado (5/5)"/>
    <n v="45.284799999999997"/>
    <n v="9.2751999999999999"/>
    <n v="54.56"/>
    <s v="Sessão Faturada"/>
    <n v="830425500043000"/>
    <n v="7701"/>
    <s v="Unidade Vieiralves"/>
    <n v="1713265441"/>
    <m/>
  </r>
  <r>
    <x v="7"/>
    <x v="38"/>
    <s v="Auxiliadora Brito de Lima"/>
    <m/>
    <x v="6"/>
    <x v="15"/>
    <s v="31601014 - Acupuntura (R$ 51,33)"/>
    <s v="Acupuntura"/>
    <n v="172530"/>
    <s v="Finalizado (2/4)"/>
    <n v="42.603900000000003"/>
    <n v="8.7261000000000006"/>
    <n v="51.33"/>
    <s v="Sessão a Faturar"/>
    <s v="55788888491272530020"/>
    <n v="51936"/>
    <s v="Unidade Vieiralves"/>
    <n v="172530"/>
    <m/>
  </r>
  <r>
    <x v="7"/>
    <x v="38"/>
    <s v="Henrique Douglas Macedo Mendes Júnior"/>
    <s v="Masculino"/>
    <x v="4"/>
    <x v="15"/>
    <s v="31601014 - Acupuntura (R$ 54,56)"/>
    <s v="Acupuntura"/>
    <n v="1715483947"/>
    <s v="Finalizado (2/5)"/>
    <n v="45.284799999999997"/>
    <n v="9.2751999999999999"/>
    <n v="54.56"/>
    <s v="Sessão a Faturar"/>
    <n v="897702200019010"/>
    <n v="56664"/>
    <s v="Unidade Vieiralves"/>
    <n v="1715483947"/>
    <m/>
  </r>
  <r>
    <x v="7"/>
    <x v="39"/>
    <s v="Milton Correa Prudente Costa"/>
    <s v="Masculino"/>
    <x v="4"/>
    <x v="15"/>
    <s v="31601014 - Acupuntura (R$ 54,56)"/>
    <s v="Acupuntura"/>
    <n v="1717049735"/>
    <s v="Finalizado (1/5)"/>
    <n v="45.284799999999997"/>
    <n v="9.2751999999999999"/>
    <n v="54.56"/>
    <s v="Sessão a Faturar"/>
    <n v="960019385179020"/>
    <n v="5417"/>
    <s v="Unidade Vieiralves"/>
    <n v="1717049735"/>
    <m/>
  </r>
  <r>
    <x v="7"/>
    <x v="39"/>
    <s v="Julliana Gadelha de Medeiros"/>
    <s v="Feminino"/>
    <x v="9"/>
    <x v="15"/>
    <s v="31601014 - Acupuntura (R$ 54,56)"/>
    <s v="Acupuntura"/>
    <n v="1711448781"/>
    <s v="Finalizado (5/5)"/>
    <n v="45.284799999999997"/>
    <n v="9.2751999999999999"/>
    <n v="54.56"/>
    <s v="Sessão Faturada"/>
    <n v="954600002968020"/>
    <n v="20663"/>
    <s v="Unidade Vieiralves"/>
    <n v="1711448781"/>
    <m/>
  </r>
  <r>
    <x v="7"/>
    <x v="39"/>
    <s v="Leonice Soares Lira"/>
    <s v="Feminino"/>
    <x v="9"/>
    <x v="15"/>
    <s v="31601014 - Acupuntura (R$ 54,56)"/>
    <s v="Acupuntura"/>
    <n v="1715038863"/>
    <s v="Finalizado (2/5)"/>
    <n v="45.284799999999997"/>
    <n v="9.2751999999999999"/>
    <n v="54.56"/>
    <s v="Sessão a Faturar"/>
    <n v="954600008907000"/>
    <n v="59695"/>
    <s v="Unidade Vieiralves"/>
    <n v="1715038863"/>
    <m/>
  </r>
  <r>
    <x v="8"/>
    <x v="36"/>
    <s v="Diego Nobuyoshi de Souza Tsuji"/>
    <s v="Masculino"/>
    <x v="4"/>
    <x v="15"/>
    <s v="31601014 - Acupuntura (R$ 54,56)"/>
    <s v="Acupuntura"/>
    <n v="1716425052"/>
    <s v="Finalizado (2/5)"/>
    <n v="45.284799999999997"/>
    <n v="9.2751999999999999"/>
    <n v="54.56"/>
    <s v="Sessão a Faturar"/>
    <n v="774981009148000"/>
    <n v="11130"/>
    <s v="Unidade Vieiralves"/>
    <n v="1716425052"/>
    <m/>
  </r>
  <r>
    <x v="8"/>
    <x v="36"/>
    <s v="Katiuscia Rodrigues Leao"/>
    <s v="Feminino"/>
    <x v="4"/>
    <x v="15"/>
    <s v="31601014 - Acupuntura (R$ 54,56)"/>
    <s v="Acupuntura"/>
    <n v="1717433633"/>
    <s v="Finalizado (1/5)"/>
    <n v="45.284799999999997"/>
    <n v="9.2751999999999999"/>
    <n v="54.56"/>
    <s v="Sessão a Faturar"/>
    <n v="954600007552000"/>
    <n v="30052"/>
    <s v="Unidade Vieiralves"/>
    <n v="1717433633"/>
    <m/>
  </r>
  <r>
    <x v="8"/>
    <x v="40"/>
    <s v="Katia Cilene Jardim da Costa"/>
    <s v="Feminino"/>
    <x v="4"/>
    <x v="15"/>
    <s v="31601014 - Acupuntura (R$ 54,56)"/>
    <s v="Acupuntura"/>
    <n v="1717521577"/>
    <s v="Finalizado (1/5)"/>
    <n v="45.284799999999997"/>
    <n v="9.2751999999999999"/>
    <n v="54.56"/>
    <s v="Sessão a Faturar"/>
    <n v="771015041750020"/>
    <n v="37973"/>
    <s v="Unidade Vieiralves"/>
    <n v="1717521577"/>
    <m/>
  </r>
  <r>
    <x v="8"/>
    <x v="35"/>
    <s v="Edenilson Gomes Bezerra"/>
    <s v="Masculino"/>
    <x v="4"/>
    <x v="15"/>
    <s v="31601014 - Acupuntura (R$ 54,56)"/>
    <s v="Acupuntura"/>
    <n v="1717500097"/>
    <s v="Finalizado (1/5)"/>
    <n v="45.284799999999997"/>
    <n v="9.2751999999999999"/>
    <n v="54.56"/>
    <s v="Sessão a Faturar"/>
    <n v="837081300442010"/>
    <n v="58804"/>
    <s v="Unidade Vieiralves"/>
    <n v="1717500097"/>
    <m/>
  </r>
  <r>
    <x v="8"/>
    <x v="35"/>
    <s v="Sandrea Flores Ferreira"/>
    <s v="Feminino"/>
    <x v="4"/>
    <x v="15"/>
    <s v="31601014 - Acupuntura (R$ 54,56)"/>
    <s v="Acupuntura"/>
    <n v="1714941278"/>
    <s v="Finalizado (2/2)"/>
    <n v="45.284799999999997"/>
    <n v="9.2751999999999999"/>
    <n v="54.56"/>
    <s v="Sessão a Faturar"/>
    <n v="960016290663000"/>
    <n v="55592"/>
    <s v="Unidade Vieiralves"/>
    <n v="1714941278"/>
    <m/>
  </r>
  <r>
    <x v="8"/>
    <x v="35"/>
    <s v="Claudia Miyuki Muramoto Sako"/>
    <s v="Feminino"/>
    <x v="4"/>
    <x v="15"/>
    <s v="31601014 - Acupuntura (R$ 54,56)"/>
    <s v="Acupuntura"/>
    <n v="1717460500"/>
    <s v="Finalizado (1/5)"/>
    <n v="45.284799999999997"/>
    <n v="9.2751999999999999"/>
    <n v="54.56"/>
    <s v="Sessão a Faturar"/>
    <n v="885854000132010"/>
    <n v="49229"/>
    <s v="Unidade Vieiralves"/>
    <n v="1717460500"/>
    <m/>
  </r>
  <r>
    <x v="8"/>
    <x v="39"/>
    <s v="Rita de Cassia Balbi Alves"/>
    <s v="Feminino"/>
    <x v="19"/>
    <x v="15"/>
    <s v="90700319 - Acupuntura - 17/03/2026 (R$ 83,32)"/>
    <s v="Acupuntura"/>
    <n v="5150160"/>
    <s v="Finalizado (10/10)"/>
    <n v="69.155600000000007"/>
    <n v="14.164400000000001"/>
    <n v="83.32"/>
    <s v="Sessão Faturada"/>
    <s v="0001000034150505"/>
    <n v="37165"/>
    <s v="Unidade Vieiralves"/>
    <n v="5150160"/>
    <s v="GUIA ASSINADA "/>
  </r>
  <r>
    <x v="9"/>
    <x v="41"/>
    <s v="Sandra Souza Cavalcante"/>
    <m/>
    <x v="4"/>
    <x v="15"/>
    <s v="31601014 - Acupuntura (R$ 54,56)"/>
    <s v="Acupuntura"/>
    <n v="1712538643"/>
    <s v="Finalizado (4/5)"/>
    <n v="45.284799999999997"/>
    <n v="9.2751999999999999"/>
    <n v="54.56"/>
    <s v="Sessão Faturada"/>
    <n v="773299001503000"/>
    <n v="59519"/>
    <s v="Unidade Vieiralves"/>
    <n v="1712538643"/>
    <m/>
  </r>
  <r>
    <x v="9"/>
    <x v="40"/>
    <s v="Maria Ercilia Cavalcante Martins"/>
    <s v="Feminino"/>
    <x v="4"/>
    <x v="15"/>
    <s v="31601014 - Acupuntura (R$ 54,56)"/>
    <s v="Acupuntura"/>
    <n v="1717993464"/>
    <s v="Finalizado (1/5)"/>
    <n v="45.284799999999997"/>
    <n v="9.2751999999999999"/>
    <n v="54.56"/>
    <s v="Sessão a Faturar"/>
    <n v="830425500043000"/>
    <n v="7701"/>
    <s v="Unidade Vieiralves"/>
    <n v="1717993464"/>
    <m/>
  </r>
  <r>
    <x v="9"/>
    <x v="40"/>
    <s v="Carlos Juliano Prado"/>
    <s v="Masculino"/>
    <x v="4"/>
    <x v="15"/>
    <s v="31601014 - Acupuntura (R$ 54,56)"/>
    <s v="Acupuntura"/>
    <n v="1713868051"/>
    <s v="Finalizado (5/5)"/>
    <n v="45.284799999999997"/>
    <n v="9.2751999999999999"/>
    <n v="54.56"/>
    <s v="Sessão Faturada"/>
    <n v="774981010073010"/>
    <n v="55509"/>
    <s v="Unidade Vieiralves"/>
    <n v="1713868051"/>
    <m/>
  </r>
  <r>
    <x v="9"/>
    <x v="35"/>
    <s v="Marcos Andre de Noronha Bezerra"/>
    <s v="Masculino"/>
    <x v="24"/>
    <x v="15"/>
    <s v="02 - Acupuntura - Pacote Com 10 Sessões (R$ 80,00)"/>
    <s v="Acupuntura"/>
    <n v="140813"/>
    <s v="Finalizado (2/10)"/>
    <n v="66.400000000000006"/>
    <n v="13.6"/>
    <n v="80"/>
    <s v="Sessão a Faturar"/>
    <n v="42296"/>
    <n v="42296"/>
    <s v="Unidade Vieiralves"/>
    <n v="140813"/>
    <m/>
  </r>
  <r>
    <x v="9"/>
    <x v="35"/>
    <s v="Eloise Miranda dos Santos"/>
    <s v="Feminino"/>
    <x v="4"/>
    <x v="15"/>
    <s v="31601014 - Acupuntura (R$ 54,56)"/>
    <s v="Acupuntura"/>
    <n v="1718005193"/>
    <s v="Finalizado (1/5)"/>
    <n v="45.284799999999997"/>
    <n v="9.2751999999999999"/>
    <n v="54.56"/>
    <s v="Sessão a Faturar"/>
    <n v="774642019992020"/>
    <n v="56839"/>
    <s v="Unidade Vieiralves"/>
    <n v="1718005193"/>
    <m/>
  </r>
  <r>
    <x v="9"/>
    <x v="35"/>
    <s v="Leonice Soares Lira"/>
    <s v="Feminino"/>
    <x v="9"/>
    <x v="15"/>
    <s v="31601014 - Acupuntura (R$ 54,56)"/>
    <s v="Acupuntura"/>
    <n v="1715038863"/>
    <s v="Finalizado (3/5)"/>
    <n v="45.284799999999997"/>
    <n v="9.2751999999999999"/>
    <n v="54.56"/>
    <s v="Sessão a Faturar"/>
    <n v="954600008907000"/>
    <n v="59695"/>
    <s v="Unidade Vieiralves"/>
    <n v="1715038863"/>
    <m/>
  </r>
  <r>
    <x v="9"/>
    <x v="38"/>
    <s v="Edno Batista do Nascimento"/>
    <s v="Masculino"/>
    <x v="5"/>
    <x v="15"/>
    <s v="31601014 - Acupuntura (R$ 90,51)"/>
    <s v="Acupuntura"/>
    <n v="78719170"/>
    <s v="Finalizado (5/10)"/>
    <n v="75.1233"/>
    <n v="15.386699999999999"/>
    <n v="90.51"/>
    <s v="Sessão a Faturar"/>
    <s v="010047878204"/>
    <n v="171"/>
    <s v="Unidade Vieiralves"/>
    <n v="78719170"/>
    <m/>
  </r>
  <r>
    <x v="9"/>
    <x v="37"/>
    <s v="Henrique Douglas Macedo Mendes Júnior"/>
    <s v="Masculino"/>
    <x v="4"/>
    <x v="15"/>
    <s v="31601014 - Acupuntura (R$ 54,56)"/>
    <s v="Acupuntura"/>
    <n v="1715483947"/>
    <s v="Finalizado (3/5)"/>
    <n v="45.284799999999997"/>
    <n v="9.2751999999999999"/>
    <n v="54.56"/>
    <s v="Sessão a Faturar"/>
    <n v="897702200019010"/>
    <n v="56664"/>
    <s v="Unidade Vieiralves"/>
    <n v="1715483947"/>
    <m/>
  </r>
  <r>
    <x v="9"/>
    <x v="39"/>
    <s v="Lucivane Ramos Pereira"/>
    <s v="Feminino"/>
    <x v="22"/>
    <x v="15"/>
    <s v="00000000 - Acupuntura (R$ 0,00)"/>
    <s v="Acupuntura"/>
    <m/>
    <s v="Finalizado (2/10)"/>
    <n v="0"/>
    <n v="0"/>
    <n v="0"/>
    <s v="Sessão a Faturar"/>
    <m/>
    <n v="56150"/>
    <s v="Unidade Vieiralves"/>
    <m/>
    <m/>
  </r>
  <r>
    <x v="9"/>
    <x v="43"/>
    <s v="Daniele Guimarães Alves"/>
    <s v="Feminino"/>
    <x v="4"/>
    <x v="15"/>
    <s v="31601014 - Acupuntura (R$ 54,56)"/>
    <s v="Acupuntura"/>
    <n v="1718089427"/>
    <s v="Finalizado (1/5)"/>
    <n v="45.284799999999997"/>
    <n v="9.2751999999999999"/>
    <n v="54.56"/>
    <s v="Sessão a Faturar"/>
    <n v="952650062103000"/>
    <n v="59353"/>
    <s v="Unidade Vieiralves"/>
    <n v="1718089427"/>
    <m/>
  </r>
  <r>
    <x v="9"/>
    <x v="43"/>
    <s v="Julliana Gadelha de Medeiros"/>
    <s v="Feminino"/>
    <x v="9"/>
    <x v="15"/>
    <s v="31601014 - Acupuntura (R$ 54,56)"/>
    <s v="Acupuntura"/>
    <n v="1718073993"/>
    <s v="Finalizado (1/5)"/>
    <n v="45.284799999999997"/>
    <n v="9.2751999999999999"/>
    <n v="54.56"/>
    <s v="Sessão a Faturar"/>
    <n v="954600002968020"/>
    <n v="20663"/>
    <s v="Unidade Vieiralves"/>
    <n v="1718073993"/>
    <m/>
  </r>
  <r>
    <x v="25"/>
    <x v="41"/>
    <s v="Katia Cilene Jardim da Costa"/>
    <s v="Feminino"/>
    <x v="4"/>
    <x v="15"/>
    <s v="31601014 - Acupuntura (R$ 54,56)"/>
    <s v="Acupuntura"/>
    <n v="1717521577"/>
    <s v="Finalizado (2/5)"/>
    <n v="45.284799999999997"/>
    <n v="9.2751999999999999"/>
    <n v="54.56"/>
    <s v="Sessão a Faturar"/>
    <n v="771015041750020"/>
    <n v="37973"/>
    <s v="Unidade Vieiralves"/>
    <n v="1717521577"/>
    <m/>
  </r>
  <r>
    <x v="25"/>
    <x v="41"/>
    <s v="Renato Pinheiro Costa"/>
    <s v="Masculino"/>
    <x v="4"/>
    <x v="15"/>
    <s v="31601014 - Acupuntura (R$ 54,56)"/>
    <s v="Acupuntura"/>
    <n v="1715405651"/>
    <s v="Finalizado (2/5)"/>
    <n v="45.284799999999997"/>
    <n v="9.2751999999999999"/>
    <n v="54.56"/>
    <s v="Sessão a Faturar"/>
    <n v="771015041750000"/>
    <n v="59729"/>
    <s v="Unidade Vieiralves"/>
    <n v="1715405651"/>
    <m/>
  </r>
  <r>
    <x v="25"/>
    <x v="36"/>
    <s v="Lauro Loureiro Yoshimura"/>
    <s v="Masculino"/>
    <x v="6"/>
    <x v="15"/>
    <s v="31601014 - Acupuntura (R$ 51,33)"/>
    <s v="Acupuntura"/>
    <n v="171721"/>
    <s v="Finalizado (3/4)"/>
    <n v="42.603900000000003"/>
    <n v="8.7261000000000006"/>
    <n v="51.33"/>
    <s v="Sessão a Faturar"/>
    <s v="58200789998000620040"/>
    <n v="44324"/>
    <s v="Unidade Vieiralves"/>
    <n v="171721"/>
    <m/>
  </r>
  <r>
    <x v="25"/>
    <x v="40"/>
    <s v="Valterlei Ribeiro Mendonça"/>
    <m/>
    <x v="4"/>
    <x v="15"/>
    <s v="31601014 - Acupuntura (R$ 54,56)"/>
    <s v="Acupuntura"/>
    <n v="1702119259"/>
    <s v="Finalizado (5/5)"/>
    <n v="45.284799999999997"/>
    <n v="9.2751999999999999"/>
    <n v="54.56"/>
    <s v="Sessão a Faturar"/>
    <n v="775494003360000"/>
    <n v="57982"/>
    <s v="Unidade Vieiralves"/>
    <n v="1702119259"/>
    <m/>
  </r>
  <r>
    <x v="25"/>
    <x v="40"/>
    <s v="Carlos Juliano Prado"/>
    <s v="Masculino"/>
    <x v="4"/>
    <x v="15"/>
    <s v="31601014 - Acupuntura (R$ 54,56)"/>
    <s v="Acupuntura"/>
    <n v="1718398391"/>
    <s v="Finalizado (1/5)"/>
    <n v="45.284799999999997"/>
    <n v="9.2751999999999999"/>
    <n v="54.56"/>
    <s v="Sessão a Faturar"/>
    <n v="774981010073010"/>
    <n v="55509"/>
    <s v="Unidade Vieiralves"/>
    <n v="1718398391"/>
    <m/>
  </r>
  <r>
    <x v="25"/>
    <x v="35"/>
    <s v="Clarice Branco Rocha"/>
    <s v="Feminino"/>
    <x v="6"/>
    <x v="15"/>
    <s v="31601014 - Acupuntura (R$ 51,33)"/>
    <s v="Acupuntura"/>
    <n v="172488"/>
    <s v="Finalizado (2/2)"/>
    <n v="42.603900000000003"/>
    <n v="8.7261000000000006"/>
    <n v="51.33"/>
    <s v="Sessão a Faturar"/>
    <s v="54563005000002620010"/>
    <n v="47458"/>
    <s v="Unidade Vieiralves"/>
    <n v="172488"/>
    <m/>
  </r>
  <r>
    <x v="25"/>
    <x v="38"/>
    <s v="Ormandina Martins Leão"/>
    <s v="Feminino"/>
    <x v="5"/>
    <x v="15"/>
    <s v="31601014 - Acupuntura - 04/03/2026 (R$ 86,81)"/>
    <s v="Acupuntura"/>
    <n v="76457810"/>
    <s v="Finalizado (10/10)"/>
    <n v="72.052300000000002"/>
    <n v="14.7577"/>
    <n v="86.81"/>
    <s v="Sessão Faturada"/>
    <s v="0100865562010408"/>
    <n v="275"/>
    <s v="Unidade Vieiralves"/>
    <n v="76457810"/>
    <m/>
  </r>
  <r>
    <x v="25"/>
    <x v="38"/>
    <s v="Leonice Soares Lira"/>
    <s v="Feminino"/>
    <x v="9"/>
    <x v="15"/>
    <s v="31601014 - Acupuntura (R$ 54,56)"/>
    <s v="Acupuntura"/>
    <n v="1715038863"/>
    <s v="Finalizado (4/5)"/>
    <n v="45.284799999999997"/>
    <n v="9.2751999999999999"/>
    <n v="54.56"/>
    <s v="Sessão a Faturar"/>
    <n v="954600008907000"/>
    <n v="59695"/>
    <s v="Unidade Vieiralves"/>
    <n v="1715038863"/>
    <m/>
  </r>
  <r>
    <x v="25"/>
    <x v="37"/>
    <s v="Waldir dos Santos Fontes Junior"/>
    <s v="Masculino"/>
    <x v="4"/>
    <x v="15"/>
    <s v="31601014 - Acupuntura (R$ 54,56)"/>
    <s v="Acupuntura"/>
    <n v="1714245308"/>
    <s v="Finalizado (3/5)"/>
    <n v="45.284799999999997"/>
    <n v="9.2751999999999999"/>
    <n v="54.56"/>
    <s v="Sessão Faturada"/>
    <n v="772133000728000"/>
    <n v="51522"/>
    <s v="Unidade Vieiralves"/>
    <n v="1714245308"/>
    <m/>
  </r>
  <r>
    <x v="25"/>
    <x v="37"/>
    <s v="Icaro de Melo Amorim"/>
    <s v="Masculino"/>
    <x v="4"/>
    <x v="15"/>
    <s v="31601014 - Acupuntura (R$ 54,56)"/>
    <s v="Acupuntura"/>
    <n v="1718474055"/>
    <s v="Finalizado (1/5)"/>
    <n v="45.284799999999997"/>
    <n v="9.2751999999999999"/>
    <n v="54.56"/>
    <s v="Sessão a Faturar"/>
    <n v="960019332171000"/>
    <n v="30492"/>
    <s v="Unidade Vieiralves"/>
    <n v="1718474055"/>
    <m/>
  </r>
  <r>
    <x v="25"/>
    <x v="37"/>
    <s v="Elem Poliana Carvalho de Brito"/>
    <s v="Feminino"/>
    <x v="4"/>
    <x v="15"/>
    <s v="31601014 - Acupuntura (R$ 54,56)"/>
    <s v="Acupuntura"/>
    <m/>
    <s v="Finalizado (1/1)"/>
    <n v="45.284799999999997"/>
    <n v="9.2751999999999999"/>
    <n v="54.56"/>
    <s v="Sessão a Faturar"/>
    <n v="960019332171040"/>
    <n v="11880"/>
    <s v="Unidade Vieiralves"/>
    <m/>
    <m/>
  </r>
  <r>
    <x v="25"/>
    <x v="39"/>
    <s v="Gisele Coelho da Roza"/>
    <s v="Feminino"/>
    <x v="7"/>
    <x v="15"/>
    <s v="Part Convenio - 4 - Acupuntura - Pacote (R$ 65,00)"/>
    <s v="Acupuntura"/>
    <m/>
    <s v="Finalizado (9/10)"/>
    <n v="53.95"/>
    <n v="11.05"/>
    <n v="65"/>
    <s v="Pago"/>
    <n v="1101013266380400"/>
    <n v="54408"/>
    <s v="Unidade Vieiralves"/>
    <m/>
    <m/>
  </r>
  <r>
    <x v="25"/>
    <x v="39"/>
    <s v="Kaíny Medeiros Maciel"/>
    <s v="Feminino"/>
    <x v="4"/>
    <x v="15"/>
    <s v="31601014 - Acupuntura (R$ 54,56)"/>
    <s v="Acupuntura"/>
    <n v="1718495444"/>
    <s v="Finalizado (1/5)"/>
    <n v="45.284799999999997"/>
    <n v="9.2751999999999999"/>
    <n v="54.56"/>
    <s v="Sessão a Faturar"/>
    <n v="774642015580010"/>
    <n v="59326"/>
    <s v="Unidade Vieiralves"/>
    <n v="1718495444"/>
    <m/>
  </r>
  <r>
    <x v="25"/>
    <x v="39"/>
    <s v="Lucas Reniele Amorim de Andrade"/>
    <s v="Masculino"/>
    <x v="4"/>
    <x v="15"/>
    <s v="31601014 - Acupuntura (R$ 54,56)"/>
    <s v="Acupuntura"/>
    <n v="1711677518"/>
    <s v="Finalizado (4/4)"/>
    <n v="45.284799999999997"/>
    <n v="9.2751999999999999"/>
    <n v="54.56"/>
    <s v="Sessão Faturada"/>
    <n v="774642029297000"/>
    <n v="58737"/>
    <s v="Unidade Vieiralves"/>
    <n v="1711677518"/>
    <m/>
  </r>
  <r>
    <x v="25"/>
    <x v="43"/>
    <s v="Daniele Guimarães Alves"/>
    <s v="Feminino"/>
    <x v="4"/>
    <x v="15"/>
    <s v="31601014 - Acupuntura (R$ 54,56)"/>
    <s v="Acupuntura"/>
    <n v="1718089427"/>
    <s v="Finalizado (2/5)"/>
    <n v="45.284799999999997"/>
    <n v="9.2751999999999999"/>
    <n v="54.56"/>
    <s v="Sessão a Faturar"/>
    <n v="952650062103000"/>
    <n v="59353"/>
    <s v="Unidade Vieiralves"/>
    <n v="1718089427"/>
    <m/>
  </r>
  <r>
    <x v="10"/>
    <x v="41"/>
    <s v="Sandra Souza Cavalcante"/>
    <m/>
    <x v="4"/>
    <x v="15"/>
    <s v="31601014 - Acupuntura (R$ 54,56)"/>
    <s v="Acupuntura"/>
    <n v="1712538643"/>
    <s v="Finalizado (5/5)"/>
    <n v="45.284799999999997"/>
    <n v="9.2751999999999999"/>
    <n v="54.56"/>
    <s v="Sessão Faturada"/>
    <n v="773299001503000"/>
    <n v="59519"/>
    <s v="Unidade Vieiralves"/>
    <n v="1712538643"/>
    <m/>
  </r>
  <r>
    <x v="10"/>
    <x v="36"/>
    <s v="Katiuscia Rodrigues Leao"/>
    <s v="Feminino"/>
    <x v="4"/>
    <x v="15"/>
    <s v="31601014 - Acupuntura (R$ 54,56)"/>
    <s v="Acupuntura"/>
    <n v="1717433633"/>
    <s v="Finalizado (2/5)"/>
    <n v="45.284799999999997"/>
    <n v="9.2751999999999999"/>
    <n v="54.56"/>
    <s v="Sessão a Faturar"/>
    <n v="954600007552000"/>
    <n v="30052"/>
    <s v="Unidade Vieiralves"/>
    <n v="1717433633"/>
    <m/>
  </r>
  <r>
    <x v="10"/>
    <x v="36"/>
    <s v="Katia Cilene Jardim da Costa"/>
    <s v="Feminino"/>
    <x v="4"/>
    <x v="15"/>
    <s v="31601014 - Acupuntura (R$ 54,56)"/>
    <s v="Acupuntura"/>
    <n v="1717521577"/>
    <s v="Finalizado (3/5)"/>
    <n v="45.284799999999997"/>
    <n v="9.2751999999999999"/>
    <n v="54.56"/>
    <s v="Sessão a Faturar"/>
    <n v="771015041750020"/>
    <n v="37973"/>
    <s v="Unidade Vieiralves"/>
    <n v="1717521577"/>
    <m/>
  </r>
  <r>
    <x v="10"/>
    <x v="36"/>
    <s v="Diego Nobuyoshi de Souza Tsuji"/>
    <s v="Masculino"/>
    <x v="4"/>
    <x v="15"/>
    <s v="31601014 - Acupuntura (R$ 54,56)"/>
    <s v="Acupuntura"/>
    <n v="1716425052"/>
    <s v="Finalizado (3/5)"/>
    <n v="45.284799999999997"/>
    <n v="9.2751999999999999"/>
    <n v="54.56"/>
    <s v="Sessão a Faturar"/>
    <n v="774981009148000"/>
    <n v="11130"/>
    <s v="Unidade Vieiralves"/>
    <n v="1716425052"/>
    <m/>
  </r>
  <r>
    <x v="10"/>
    <x v="40"/>
    <s v="Greice Ribeiro Siqueira"/>
    <s v="Feminino"/>
    <x v="10"/>
    <x v="15"/>
    <s v="31601014 - Acupuntura Por Sessão (R$ 25,00)"/>
    <s v="Acupuntura"/>
    <n v="23002907"/>
    <s v="Finalizado (1/10)"/>
    <n v="20.75"/>
    <n v="4.25"/>
    <n v="25"/>
    <s v="Sessão a Faturar"/>
    <s v="00010064268117005"/>
    <n v="58505"/>
    <s v="Unidade Vieiralves"/>
    <n v="23002907"/>
    <s v="GUIA ASSINADA"/>
  </r>
  <r>
    <x v="10"/>
    <x v="40"/>
    <s v="Franciane de Souza Gomes"/>
    <s v="Feminino"/>
    <x v="4"/>
    <x v="15"/>
    <s v="31601014 - Acupuntura (R$ 54,56)"/>
    <s v="Acupuntura"/>
    <n v="1718773186"/>
    <s v="Finalizado (1/5)"/>
    <n v="45.284799999999997"/>
    <n v="9.2751999999999999"/>
    <n v="54.56"/>
    <s v="Sessão a Faturar"/>
    <n v="973700009598000"/>
    <n v="16642"/>
    <s v="Unidade Vieiralves"/>
    <n v="1718773186"/>
    <m/>
  </r>
  <r>
    <x v="10"/>
    <x v="35"/>
    <s v="Marcos Andre de Noronha Bezerra"/>
    <s v="Masculino"/>
    <x v="24"/>
    <x v="15"/>
    <s v="02 - Acupuntura - Pacote Com 10 Sessões (R$ 80,00)"/>
    <s v="Acupuntura"/>
    <n v="140813"/>
    <s v="Finalizado (3/10)"/>
    <n v="66.400000000000006"/>
    <n v="13.6"/>
    <n v="80"/>
    <s v="Sessão a Faturar"/>
    <n v="42296"/>
    <n v="42296"/>
    <s v="Unidade Vieiralves"/>
    <n v="140813"/>
    <m/>
  </r>
  <r>
    <x v="10"/>
    <x v="35"/>
    <s v="Leonice Soares Lira"/>
    <s v="Feminino"/>
    <x v="9"/>
    <x v="15"/>
    <s v="31601014 - Acupuntura (R$ 54,56)"/>
    <s v="Acupuntura"/>
    <n v="1715038863"/>
    <s v="Finalizado (5/5)"/>
    <n v="45.284799999999997"/>
    <n v="9.2751999999999999"/>
    <n v="54.56"/>
    <s v="Sessão a Faturar"/>
    <n v="954600008907000"/>
    <n v="59695"/>
    <s v="Unidade Vieiralves"/>
    <n v="1715038863"/>
    <m/>
  </r>
  <r>
    <x v="10"/>
    <x v="38"/>
    <s v="Auxiliadora Brito de Lima"/>
    <m/>
    <x v="6"/>
    <x v="15"/>
    <s v="31601014 - Acupuntura (R$ 51,33)"/>
    <s v="Acupuntura"/>
    <n v="172530"/>
    <s v="Não compareceu (3/4)"/>
    <n v="51.33"/>
    <n v="0"/>
    <n v="51.33"/>
    <s v="Sessão a Faturar"/>
    <s v="55788888491272530020"/>
    <n v="51936"/>
    <s v="Unidade Vieiralves"/>
    <n v="172530"/>
    <m/>
  </r>
  <r>
    <x v="10"/>
    <x v="37"/>
    <s v="Marilia Bezerra de Freitas Marques da Silva"/>
    <s v="Feminino"/>
    <x v="7"/>
    <x v="15"/>
    <s v="Vieiralves - 32 - Acupuntura Unitário - Pacote (R$ 144,00)"/>
    <s v="Acupuntura"/>
    <n v="172562"/>
    <s v="Finalizado (1/10)"/>
    <n v="119.52"/>
    <n v="24.48"/>
    <n v="144"/>
    <s v="Pago"/>
    <s v="001"/>
    <n v="48227"/>
    <s v="Unidade Vieiralves"/>
    <n v="172562"/>
    <m/>
  </r>
  <r>
    <x v="10"/>
    <x v="39"/>
    <s v="Lucivane Ramos Pereira"/>
    <s v="Feminino"/>
    <x v="22"/>
    <x v="15"/>
    <s v="00000000 - Acupuntura (R$ 0,00)"/>
    <s v="Acupuntura"/>
    <m/>
    <s v="Finalizado (3/10)"/>
    <n v="0"/>
    <n v="0"/>
    <n v="0"/>
    <s v="Sessão a Faturar"/>
    <m/>
    <n v="56150"/>
    <s v="Unidade Vieiralves"/>
    <m/>
    <m/>
  </r>
  <r>
    <x v="10"/>
    <x v="43"/>
    <s v="Lauridece da Silva Souza"/>
    <s v="Feminino"/>
    <x v="12"/>
    <x v="15"/>
    <s v="31601014 - Acupuntura (R$ 54,56)"/>
    <s v="Acupuntura"/>
    <n v="10362283"/>
    <s v="Finalizado (1/1)"/>
    <n v="45.284799999999997"/>
    <n v="9.2751999999999999"/>
    <n v="54.56"/>
    <s v="Sessão a Faturar"/>
    <s v="000435792574640202"/>
    <n v="58312"/>
    <s v="Unidade Vieiralves"/>
    <n v="10362283"/>
    <m/>
  </r>
  <r>
    <x v="10"/>
    <x v="43"/>
    <s v="Lauridece da Silva Souza"/>
    <s v="Feminino"/>
    <x v="12"/>
    <x v="15"/>
    <s v="31601014 - Acupuntura (R$ 54,56)"/>
    <s v="Acupuntura"/>
    <n v="10364700"/>
    <s v="Finalizado (1/10)"/>
    <n v="45.284799999999997"/>
    <n v="9.2751999999999999"/>
    <n v="54.56"/>
    <s v="Sessão a Faturar"/>
    <s v="000435792574640202"/>
    <n v="58312"/>
    <s v="Unidade Vieiralves"/>
    <n v="10364700"/>
    <m/>
  </r>
  <r>
    <x v="11"/>
    <x v="36"/>
    <s v="Maria Raimunda da Silva Guedes Lima"/>
    <s v="Feminino"/>
    <x v="4"/>
    <x v="15"/>
    <s v="31601014 - Acupuntura (R$ 54,56)"/>
    <s v="Acupuntura"/>
    <n v="1716407081"/>
    <s v="Finalizado (3/5)"/>
    <n v="45.284799999999997"/>
    <n v="9.2751999999999999"/>
    <n v="54.56"/>
    <s v="Sessão a Faturar"/>
    <n v="960016575471000"/>
    <n v="21019"/>
    <s v="Unidade Vieiralves"/>
    <n v="1716407081"/>
    <m/>
  </r>
  <r>
    <x v="11"/>
    <x v="40"/>
    <s v="Claudia Miyuki Muramoto Sako"/>
    <s v="Feminino"/>
    <x v="4"/>
    <x v="15"/>
    <s v="31601014 - Acupuntura (R$ 54,56)"/>
    <s v="Acupuntura"/>
    <n v="1717460500"/>
    <s v="Finalizado (2/5)"/>
    <n v="45.284799999999997"/>
    <n v="9.2751999999999999"/>
    <n v="54.56"/>
    <s v="Sessão a Faturar"/>
    <n v="885854000132010"/>
    <n v="49229"/>
    <s v="Unidade Vieiralves"/>
    <n v="1717460500"/>
    <m/>
  </r>
  <r>
    <x v="11"/>
    <x v="40"/>
    <s v="Carlos Juliano Prado"/>
    <s v="Masculino"/>
    <x v="4"/>
    <x v="15"/>
    <s v="31601014 - Acupuntura (R$ 54,56)"/>
    <s v="Acupuntura"/>
    <n v="1718398391"/>
    <s v="Finalizado (2/5)"/>
    <n v="45.284799999999997"/>
    <n v="9.2751999999999999"/>
    <n v="54.56"/>
    <s v="Sessão a Faturar"/>
    <n v="774981010073010"/>
    <n v="55509"/>
    <s v="Unidade Vieiralves"/>
    <n v="1718398391"/>
    <m/>
  </r>
  <r>
    <x v="11"/>
    <x v="40"/>
    <s v="Greice Ribeiro Siqueira"/>
    <s v="Feminino"/>
    <x v="10"/>
    <x v="15"/>
    <s v="31601014 - Acupuntura Por Sessão (R$ 25,00)"/>
    <s v="Acupuntura"/>
    <n v="23002907"/>
    <s v="Finalizado (2/10)"/>
    <n v="20.75"/>
    <n v="4.25"/>
    <n v="25"/>
    <s v="Sessão a Faturar"/>
    <s v="00010064268117005"/>
    <n v="58505"/>
    <s v="Unidade Vieiralves"/>
    <n v="23002907"/>
    <s v="GUIA ASSINADA"/>
  </r>
  <r>
    <x v="11"/>
    <x v="40"/>
    <s v="Eloise Miranda dos Santos"/>
    <s v="Feminino"/>
    <x v="4"/>
    <x v="15"/>
    <s v="31601014 - Acupuntura (R$ 54,56)"/>
    <s v="Acupuntura"/>
    <n v="1718005193"/>
    <s v="Finalizado (2/5)"/>
    <n v="45.284799999999997"/>
    <n v="9.2751999999999999"/>
    <n v="54.56"/>
    <s v="Sessão a Faturar"/>
    <n v="774642019992020"/>
    <n v="56839"/>
    <s v="Unidade Vieiralves"/>
    <n v="1718005193"/>
    <m/>
  </r>
  <r>
    <x v="11"/>
    <x v="35"/>
    <s v="Cristina dos Santos Braga"/>
    <m/>
    <x v="20"/>
    <x v="15"/>
    <s v="00010987 - Acupuntura Por Sessão - 02/04/2026 (R$ 42,00)"/>
    <s v="Acupuntura"/>
    <n v="55730050"/>
    <s v="Finalizado (6/10)"/>
    <n v="34.86"/>
    <n v="7.14"/>
    <n v="42"/>
    <s v="Sessão a Faturar"/>
    <n v="10511000263700"/>
    <n v="59694"/>
    <s v="Unidade Vieiralves"/>
    <n v="55730050"/>
    <m/>
  </r>
  <r>
    <x v="11"/>
    <x v="38"/>
    <s v="Aline de Paula Lima"/>
    <s v="Feminino"/>
    <x v="9"/>
    <x v="15"/>
    <s v="31601014 - Acupuntura (R$ 54,56)"/>
    <s v="Acupuntura"/>
    <n v="1716507577"/>
    <s v="Finalizado (2/5)"/>
    <n v="45.284799999999997"/>
    <n v="9.2751999999999999"/>
    <n v="54.56"/>
    <s v="Sessão a Faturar"/>
    <n v="954600033081030"/>
    <n v="47919"/>
    <s v="Unidade Vieiralves"/>
    <n v="1716507577"/>
    <m/>
  </r>
  <r>
    <x v="11"/>
    <x v="37"/>
    <s v="Marciane de Oliveira Miranda"/>
    <s v="Feminino"/>
    <x v="22"/>
    <x v="15"/>
    <s v="00000000 - Acupuntura (R$ 0,00)"/>
    <s v="Acupuntura"/>
    <m/>
    <s v="Finalizado (1/10)"/>
    <n v="0"/>
    <n v="0"/>
    <n v="0"/>
    <s v="Sessão a Faturar"/>
    <s v="00"/>
    <n v="54666"/>
    <s v="Unidade Vieiralves"/>
    <m/>
    <m/>
  </r>
  <r>
    <x v="11"/>
    <x v="37"/>
    <s v="Flavia Simoes Correa"/>
    <m/>
    <x v="18"/>
    <x v="15"/>
    <s v="31601014 - Acupuntura - Pacote (R$ 40,00)"/>
    <s v="Acupuntura"/>
    <n v="172134"/>
    <s v="Finalizado (4/10)"/>
    <n v="33.200000000000003"/>
    <n v="6.8"/>
    <n v="40"/>
    <s v="Sessão a Faturar"/>
    <n v="36000000100"/>
    <n v="54680"/>
    <s v="Unidade Vieiralves"/>
    <n v="172134"/>
    <m/>
  </r>
  <r>
    <x v="11"/>
    <x v="39"/>
    <s v="Lauridece da Silva Souza"/>
    <s v="Feminino"/>
    <x v="12"/>
    <x v="15"/>
    <s v="31601014 - Acupuntura (R$ 54,56)"/>
    <s v="Acupuntura"/>
    <n v="10364700"/>
    <s v="Finalizado (2/10)"/>
    <n v="45.284799999999997"/>
    <n v="9.2751999999999999"/>
    <n v="54.56"/>
    <s v="Sessão a Faturar"/>
    <s v="000435792574640202"/>
    <n v="58312"/>
    <s v="Unidade Vieiralves"/>
    <n v="10364700"/>
    <m/>
  </r>
  <r>
    <x v="11"/>
    <x v="43"/>
    <s v="Julliana Gadelha de Medeiros"/>
    <s v="Feminino"/>
    <x v="9"/>
    <x v="15"/>
    <s v="31601014 - Acupuntura (R$ 54,56)"/>
    <s v="Acupuntura"/>
    <m/>
    <s v="Finalizado (1/5)"/>
    <n v="45.284799999999997"/>
    <n v="9.2751999999999999"/>
    <n v="54.56"/>
    <s v="Sessão a Faturar"/>
    <n v="954600002968020"/>
    <n v="20663"/>
    <s v="Unidade Vieiralves"/>
    <m/>
    <m/>
  </r>
  <r>
    <x v="12"/>
    <x v="36"/>
    <s v="Mateus Mota Nóbrega"/>
    <s v="Masculino"/>
    <x v="2"/>
    <x v="16"/>
    <s v="50000446 - Rpg (R$ 36,71)"/>
    <s v="Rpg"/>
    <n v="1701282614"/>
    <s v="Finalizado (3/3)"/>
    <n v="29.367999999999999"/>
    <n v="7.3419999999999996"/>
    <n v="36.71"/>
    <s v="Sessão Faturada"/>
    <n v="774981008516000"/>
    <n v="50878"/>
    <s v="Unidade Vieiralves"/>
    <n v="1701282614"/>
    <m/>
  </r>
  <r>
    <x v="12"/>
    <x v="37"/>
    <s v="Julliana Gadelha de Medeiros"/>
    <s v="Feminino"/>
    <x v="8"/>
    <x v="16"/>
    <s v="50000446 - Reeducação Postural Global (R$ 36,71)"/>
    <s v="Rpg"/>
    <n v="1701215192"/>
    <s v="Finalizado (5/5)"/>
    <n v="29.367999999999999"/>
    <n v="7.3419999999999996"/>
    <n v="36.71"/>
    <s v="Sessão Faturada"/>
    <n v="954600002968020"/>
    <n v="20663"/>
    <s v="Unidade Vieiralves"/>
    <n v="1701215192"/>
    <m/>
  </r>
  <r>
    <x v="12"/>
    <x v="37"/>
    <s v="Dea Ribeiro Margarido"/>
    <s v="Feminino"/>
    <x v="2"/>
    <x v="16"/>
    <s v="50000446 - Rpg (R$ 36,71)"/>
    <s v="Rpg"/>
    <n v="1702679690"/>
    <s v="Finalizado (4/5)"/>
    <n v="29.367999999999999"/>
    <n v="7.3419999999999996"/>
    <n v="36.71"/>
    <s v="Sessão Faturada"/>
    <n v="811010900736010"/>
    <n v="2849"/>
    <s v="Unidade Vieiralves"/>
    <n v="1702679690"/>
    <m/>
  </r>
  <r>
    <x v="12"/>
    <x v="39"/>
    <s v="Rose Mayre Vieira Barreto"/>
    <s v="Feminino"/>
    <x v="2"/>
    <x v="16"/>
    <s v="50000446 - Rpg (R$ 36,71)"/>
    <s v="Rpg"/>
    <n v="1701791743"/>
    <s v="Finalizado (4/5)"/>
    <n v="29.367999999999999"/>
    <n v="7.3419999999999996"/>
    <n v="36.71"/>
    <s v="Sessão Faturada"/>
    <n v="813312700027000"/>
    <n v="17029"/>
    <s v="Unidade Vieiralves"/>
    <n v="1701791743"/>
    <m/>
  </r>
  <r>
    <x v="12"/>
    <x v="43"/>
    <s v="Rita de Cassia Balbi Alves"/>
    <s v="Feminino"/>
    <x v="19"/>
    <x v="16"/>
    <s v="90050061 - Reeducaçao Postural Global (R$ 83,47)"/>
    <s v="Rpg"/>
    <n v="5872340"/>
    <s v="Finalizado (1/10)"/>
    <n v="66.775999999999996"/>
    <n v="16.693999999999999"/>
    <n v="83.47"/>
    <s v="Sessão Faturada"/>
    <s v="0001000034150505"/>
    <n v="37165"/>
    <s v="Unidade Vieiralves"/>
    <n v="5872340"/>
    <s v="Guia assinada!"/>
  </r>
  <r>
    <x v="13"/>
    <x v="41"/>
    <s v="Claudia Miyuki Muramoto Sako"/>
    <s v="Feminino"/>
    <x v="2"/>
    <x v="16"/>
    <s v="50000446 - Rpg (R$ 36,71)"/>
    <s v="Rpg"/>
    <n v="1701190434"/>
    <s v="Finalizado (4/5)"/>
    <n v="29.367999999999999"/>
    <n v="7.3419999999999996"/>
    <n v="36.71"/>
    <s v="Sessão Faturada"/>
    <n v="885854000132010"/>
    <n v="49229"/>
    <s v="Unidade Vieiralves"/>
    <n v="1701190434"/>
    <m/>
  </r>
  <r>
    <x v="13"/>
    <x v="36"/>
    <s v="Maria Raimunda da Silva Guedes Lima"/>
    <s v="Feminino"/>
    <x v="2"/>
    <x v="16"/>
    <s v="50000446 - Rpg (R$ 36,71)"/>
    <s v="Rpg"/>
    <n v="1703616703"/>
    <s v="Finalizado (3/5)"/>
    <n v="29.367999999999999"/>
    <n v="7.3419999999999996"/>
    <n v="36.71"/>
    <s v="Sessão Faturada"/>
    <n v="960016575471000"/>
    <n v="21019"/>
    <s v="Unidade Vieiralves"/>
    <n v="1703616703"/>
    <m/>
  </r>
  <r>
    <x v="13"/>
    <x v="36"/>
    <s v="Yasmin Guedes Lima"/>
    <s v="Feminino"/>
    <x v="2"/>
    <x v="16"/>
    <s v="50000446 - Rpg (R$ 36,71)"/>
    <s v="Rpg"/>
    <n v="1703118507"/>
    <s v="Finalizado (4/5)"/>
    <n v="29.367999999999999"/>
    <n v="7.3419999999999996"/>
    <n v="36.71"/>
    <s v="Sessão Faturada"/>
    <n v="960016575471020"/>
    <n v="35978"/>
    <s v="Unidade Vieiralves"/>
    <n v="1703118507"/>
    <m/>
  </r>
  <r>
    <x v="13"/>
    <x v="40"/>
    <s v="Carlos Jose Cavalcante Martins"/>
    <s v="Masculino"/>
    <x v="2"/>
    <x v="16"/>
    <s v="50000446 - Rpg (R$ 36,71)"/>
    <s v="Rpg"/>
    <n v="1703662649"/>
    <s v="Finalizado (3/5)"/>
    <n v="29.367999999999999"/>
    <n v="7.3419999999999996"/>
    <n v="36.71"/>
    <s v="Sessão Faturada"/>
    <n v="830425500051000"/>
    <n v="59320"/>
    <s v="Unidade Vieiralves"/>
    <n v="1703662649"/>
    <m/>
  </r>
  <r>
    <x v="13"/>
    <x v="40"/>
    <s v="Jacineide Garcia de Carvalho Neves"/>
    <m/>
    <x v="0"/>
    <x v="16"/>
    <s v="50000446 - Rpg (R$ 62,75)"/>
    <s v="Rpg"/>
    <s v="42263120260220316178"/>
    <s v="Finalizado (4/10)"/>
    <n v="50.2"/>
    <n v="12.55"/>
    <n v="62.75"/>
    <s v="Sessão Faturada"/>
    <s v="010650432906"/>
    <n v="59393"/>
    <s v="Unidade Vieiralves"/>
    <s v="42263120260220316178"/>
    <m/>
  </r>
  <r>
    <x v="13"/>
    <x v="35"/>
    <s v="Darlan da Silva Picanço"/>
    <s v="Feminino"/>
    <x v="7"/>
    <x v="16"/>
    <s v="Part Convenio - 2 - Rpg - Pacote (R$ 55,00)"/>
    <s v="Rpg"/>
    <n v="170060"/>
    <s v="Finalizado (1/10)"/>
    <n v="41.25"/>
    <n v="13.75"/>
    <n v="55"/>
    <s v="Pago"/>
    <s v="0901013959170057"/>
    <n v="15532"/>
    <s v="Unidade Vieiralves"/>
    <n v="170060"/>
    <m/>
  </r>
  <r>
    <x v="13"/>
    <x v="38"/>
    <s v="Tanira Rozane Eder Martins"/>
    <s v="Feminino"/>
    <x v="19"/>
    <x v="16"/>
    <s v="90050061 - Reeducaçao Postural Global - 17/03/2026 (R$ 80,26)"/>
    <s v="Rpg"/>
    <n v="5827090"/>
    <s v="Finalizado (3/10)"/>
    <n v="64.207999999999998"/>
    <n v="16.052"/>
    <n v="80.260000000000005"/>
    <s v="Sessão Faturada"/>
    <s v="0001000033690081"/>
    <n v="4997"/>
    <s v="Unidade Vieiralves"/>
    <n v="5827090"/>
    <m/>
  </r>
  <r>
    <x v="13"/>
    <x v="38"/>
    <s v="Jose Ivan Alves de Souza"/>
    <s v="Masculino"/>
    <x v="0"/>
    <x v="16"/>
    <s v="50000446 - Rpg (R$ 62,75)"/>
    <s v="Rpg"/>
    <s v="42263120260221324726"/>
    <s v="Finalizado (3/10)"/>
    <n v="50.2"/>
    <n v="12.55"/>
    <n v="62.75"/>
    <s v="Sessão Faturada"/>
    <s v="010650919000"/>
    <n v="8870"/>
    <s v="Unidade Vieiralves"/>
    <s v="42263120260221324726"/>
    <m/>
  </r>
  <r>
    <x v="14"/>
    <x v="40"/>
    <s v="Carlos Jose Cavalcante Martins"/>
    <s v="Masculino"/>
    <x v="2"/>
    <x v="16"/>
    <s v="50000446 - Rpg (R$ 36,71)"/>
    <s v="Rpg"/>
    <n v="1703662649"/>
    <s v="Finalizado (4/5)"/>
    <n v="29.367999999999999"/>
    <n v="7.3419999999999996"/>
    <n v="36.71"/>
    <s v="Sessão Faturada"/>
    <n v="830425500051000"/>
    <n v="59320"/>
    <s v="Unidade Vieiralves"/>
    <n v="1703662649"/>
    <m/>
  </r>
  <r>
    <x v="14"/>
    <x v="37"/>
    <s v="Dea Ribeiro Margarido"/>
    <s v="Feminino"/>
    <x v="2"/>
    <x v="16"/>
    <s v="50000446 - Rpg (R$ 36,71)"/>
    <s v="Rpg"/>
    <n v="1702679690"/>
    <s v="Finalizado (5/5)"/>
    <n v="29.367999999999999"/>
    <n v="7.3419999999999996"/>
    <n v="36.71"/>
    <s v="Sessão Faturada"/>
    <n v="811010900736010"/>
    <n v="2849"/>
    <s v="Unidade Vieiralves"/>
    <n v="1702679690"/>
    <m/>
  </r>
  <r>
    <x v="14"/>
    <x v="37"/>
    <s v="Julliana Gadelha de Medeiros"/>
    <s v="Feminino"/>
    <x v="8"/>
    <x v="16"/>
    <s v="50000446 - Reeducação Postural Global (R$ 36,71)"/>
    <s v="Rpg"/>
    <n v="1706767317"/>
    <s v="Finalizado (1/5)"/>
    <n v="29.367999999999999"/>
    <n v="7.3419999999999996"/>
    <n v="36.71"/>
    <s v="Sessão Faturada"/>
    <n v="954600002968020"/>
    <n v="20663"/>
    <s v="Unidade Vieiralves"/>
    <n v="1706767317"/>
    <m/>
  </r>
  <r>
    <x v="14"/>
    <x v="39"/>
    <s v="Rose Mayre Vieira Barreto"/>
    <s v="Feminino"/>
    <x v="2"/>
    <x v="16"/>
    <s v="50000446 - Rpg (R$ 36,71)"/>
    <s v="Rpg"/>
    <n v="1701791743"/>
    <s v="Finalizado (5/5)"/>
    <n v="29.367999999999999"/>
    <n v="7.3419999999999996"/>
    <n v="36.71"/>
    <s v="Sessão Faturada"/>
    <n v="813312700027000"/>
    <n v="17029"/>
    <s v="Unidade Vieiralves"/>
    <n v="1701791743"/>
    <m/>
  </r>
  <r>
    <x v="14"/>
    <x v="39"/>
    <s v="Raimunda Carvalho Caldas"/>
    <s v="Feminino"/>
    <x v="2"/>
    <x v="16"/>
    <s v="50000446 - Rpg (R$ 36,71)"/>
    <s v="Rpg"/>
    <n v="1706779218"/>
    <s v="Não compareceu (1/5)"/>
    <n v="36.71"/>
    <n v="0"/>
    <n v="36.71"/>
    <s v="Sessão Faturada"/>
    <n v="952480013332000"/>
    <n v="14710"/>
    <s v="Unidade Vieiralves"/>
    <n v="1706779218"/>
    <m/>
  </r>
  <r>
    <x v="15"/>
    <x v="44"/>
    <s v="Maria Jose Pinto da Mota"/>
    <m/>
    <x v="2"/>
    <x v="16"/>
    <s v="50000446 - Rpg (R$ 36,71)"/>
    <s v="Rpg"/>
    <n v="1707152228"/>
    <s v="Finalizado (1/3)"/>
    <n v="29.367999999999999"/>
    <n v="7.3419999999999996"/>
    <n v="36.71"/>
    <s v="Sessão Faturada"/>
    <n v="771015052531020"/>
    <n v="59060"/>
    <s v="Unidade Vieiralves"/>
    <n v="1707152228"/>
    <m/>
  </r>
  <r>
    <x v="15"/>
    <x v="41"/>
    <s v="Claudia Miyuki Muramoto Sako"/>
    <s v="Feminino"/>
    <x v="2"/>
    <x v="16"/>
    <s v="50000446 - Rpg (R$ 36,71)"/>
    <s v="Rpg"/>
    <n v="1701190434"/>
    <s v="Finalizado (5/5)"/>
    <n v="29.367999999999999"/>
    <n v="7.3419999999999996"/>
    <n v="36.71"/>
    <s v="Sessão Faturada"/>
    <n v="885854000132010"/>
    <n v="49229"/>
    <s v="Unidade Vieiralves"/>
    <n v="1701190434"/>
    <m/>
  </r>
  <r>
    <x v="15"/>
    <x v="41"/>
    <s v="Maria Raimunda da Silva Guedes Lima"/>
    <s v="Feminino"/>
    <x v="2"/>
    <x v="16"/>
    <s v="50000446 - Rpg (R$ 36,71)"/>
    <s v="Rpg"/>
    <n v="1703616703"/>
    <s v="Finalizado (5/5)"/>
    <n v="29.367999999999999"/>
    <n v="7.3419999999999996"/>
    <n v="36.71"/>
    <s v="Sessão Faturada"/>
    <n v="960016575471000"/>
    <n v="21019"/>
    <s v="Unidade Vieiralves"/>
    <n v="1703616703"/>
    <m/>
  </r>
  <r>
    <x v="15"/>
    <x v="36"/>
    <s v="Yasmin Guedes Lima"/>
    <s v="Feminino"/>
    <x v="2"/>
    <x v="16"/>
    <s v="50000446 - Rpg (R$ 36,71)"/>
    <s v="Rpg"/>
    <n v="1707146642"/>
    <s v="Finalizado (1/5)"/>
    <n v="29.367999999999999"/>
    <n v="7.3419999999999996"/>
    <n v="36.71"/>
    <s v="Sessão Faturada"/>
    <n v="960016575471020"/>
    <n v="35978"/>
    <s v="Unidade Vieiralves"/>
    <n v="1707146642"/>
    <m/>
  </r>
  <r>
    <x v="15"/>
    <x v="36"/>
    <s v="Sandra Souza Cavalcante"/>
    <m/>
    <x v="2"/>
    <x v="16"/>
    <s v="50000446 - Rpg (R$ 36,71)"/>
    <s v="Rpg"/>
    <n v="1707153723"/>
    <s v="Finalizado (1/5)"/>
    <n v="29.367999999999999"/>
    <n v="7.3419999999999996"/>
    <n v="36.71"/>
    <s v="Sessão Faturada"/>
    <n v="773299001503000"/>
    <n v="59519"/>
    <s v="Unidade Vieiralves"/>
    <n v="1707153723"/>
    <m/>
  </r>
  <r>
    <x v="15"/>
    <x v="40"/>
    <s v="Katia Cilene Jardim da Costa"/>
    <s v="Feminino"/>
    <x v="2"/>
    <x v="16"/>
    <s v="50000446 - Rpg (R$ 36,71)"/>
    <s v="Rpg"/>
    <n v="1707255961"/>
    <s v="Finalizado (1/5)"/>
    <n v="29.367999999999999"/>
    <n v="7.3419999999999996"/>
    <n v="36.71"/>
    <s v="Sessão Faturada"/>
    <n v="771015041750020"/>
    <n v="37973"/>
    <s v="Unidade Vieiralves"/>
    <n v="1707255961"/>
    <m/>
  </r>
  <r>
    <x v="15"/>
    <x v="40"/>
    <s v="Jacineide Garcia de Carvalho Neves"/>
    <m/>
    <x v="0"/>
    <x v="16"/>
    <s v="50000446 - Rpg (R$ 62,75)"/>
    <s v="Rpg"/>
    <s v="42263120260220316178"/>
    <s v="Finalizado (5/10)"/>
    <n v="50.2"/>
    <n v="12.55"/>
    <n v="62.75"/>
    <s v="Sessão Faturada"/>
    <s v="010650432906"/>
    <n v="59393"/>
    <s v="Unidade Vieiralves"/>
    <s v="42263120260220316178"/>
    <m/>
  </r>
  <r>
    <x v="15"/>
    <x v="35"/>
    <s v="Miguel Ângelo Cabral Moreira"/>
    <m/>
    <x v="5"/>
    <x v="16"/>
    <s v="50000446 - Rpg (R$ 54,45)"/>
    <s v="Rpg"/>
    <n v="170471"/>
    <s v="Finalizado (1/10)"/>
    <n v="43.56"/>
    <n v="10.89"/>
    <n v="54.45"/>
    <s v="Sessão a Faturar"/>
    <n v="5500000889750200"/>
    <n v="59526"/>
    <s v="Unidade Vieiralves"/>
    <n v="170471"/>
    <m/>
  </r>
  <r>
    <x v="15"/>
    <x v="35"/>
    <s v="Darlan da Silva Picanço"/>
    <s v="Feminino"/>
    <x v="7"/>
    <x v="16"/>
    <s v="Part Convenio - 2 - Rpg - Pacote (R$ 55,00)"/>
    <s v="Rpg"/>
    <n v="170060"/>
    <s v="Finalizado (2/10)"/>
    <n v="41.25"/>
    <n v="13.75"/>
    <n v="55"/>
    <s v="Pago"/>
    <s v="0901013959170057"/>
    <n v="15532"/>
    <s v="Unidade Vieiralves"/>
    <n v="170060"/>
    <m/>
  </r>
  <r>
    <x v="15"/>
    <x v="38"/>
    <s v="Jose Ivan Alves de Souza"/>
    <s v="Masculino"/>
    <x v="0"/>
    <x v="16"/>
    <s v="50000446 - Rpg (R$ 62,75)"/>
    <s v="Rpg"/>
    <s v="42263120260221324726"/>
    <s v="Finalizado (4/10)"/>
    <n v="50.2"/>
    <n v="12.55"/>
    <n v="62.75"/>
    <s v="Sessão Faturada"/>
    <s v="010650919000"/>
    <n v="8870"/>
    <s v="Unidade Vieiralves"/>
    <s v="42263120260221324726"/>
    <m/>
  </r>
  <r>
    <x v="15"/>
    <x v="39"/>
    <s v="Tanira Rozane Eder Martins"/>
    <s v="Feminino"/>
    <x v="19"/>
    <x v="16"/>
    <s v="90050061 - Reeducaçao Postural Global - 17/03/2026 (R$ 80,26)"/>
    <s v="Rpg"/>
    <n v="5827090"/>
    <s v="Finalizado (4/10)"/>
    <n v="64.207999999999998"/>
    <n v="16.052"/>
    <n v="80.260000000000005"/>
    <s v="Sessão Faturada"/>
    <s v="0001000033690081"/>
    <n v="4997"/>
    <s v="Unidade Vieiralves"/>
    <n v="5827090"/>
    <m/>
  </r>
  <r>
    <x v="15"/>
    <x v="39"/>
    <s v="Raimunda Carvalho Caldas"/>
    <s v="Feminino"/>
    <x v="2"/>
    <x v="16"/>
    <s v="50000446 - Rpg (R$ 36,71)"/>
    <s v="Rpg"/>
    <n v="1706779218"/>
    <s v="Finalizado (2/5)"/>
    <n v="29.367999999999999"/>
    <n v="7.3419999999999996"/>
    <n v="36.71"/>
    <s v="Sessão Faturada"/>
    <n v="952480013332000"/>
    <n v="14710"/>
    <s v="Unidade Vieiralves"/>
    <n v="1706779218"/>
    <m/>
  </r>
  <r>
    <x v="16"/>
    <x v="41"/>
    <s v="Sandra Souza Cavalcante"/>
    <m/>
    <x v="2"/>
    <x v="16"/>
    <s v="50000446 - Rpg (R$ 36,71)"/>
    <s v="Rpg"/>
    <n v="1707153723"/>
    <s v="Finalizado (2/5)"/>
    <n v="29.367999999999999"/>
    <n v="7.3419999999999996"/>
    <n v="36.71"/>
    <s v="Sessão Faturada"/>
    <n v="773299001503000"/>
    <n v="59519"/>
    <s v="Unidade Vieiralves"/>
    <n v="1707153723"/>
    <m/>
  </r>
  <r>
    <x v="16"/>
    <x v="36"/>
    <s v="Katia Cilene Jardim da Costa"/>
    <s v="Feminino"/>
    <x v="2"/>
    <x v="16"/>
    <s v="50000446 - Rpg (R$ 36,71)"/>
    <s v="Rpg"/>
    <n v="1707255961"/>
    <s v="Finalizado (2/5)"/>
    <n v="29.367999999999999"/>
    <n v="7.3419999999999996"/>
    <n v="36.71"/>
    <s v="Sessão Faturada"/>
    <n v="771015041750020"/>
    <n v="37973"/>
    <s v="Unidade Vieiralves"/>
    <n v="1707255961"/>
    <m/>
  </r>
  <r>
    <x v="16"/>
    <x v="40"/>
    <s v="Carlos Jose Cavalcante Martins"/>
    <s v="Masculino"/>
    <x v="2"/>
    <x v="16"/>
    <s v="50000446 - Rpg (R$ 36,71)"/>
    <s v="Rpg"/>
    <n v="1703662649"/>
    <s v="Finalizado (5/5)"/>
    <n v="29.367999999999999"/>
    <n v="7.3419999999999996"/>
    <n v="36.71"/>
    <s v="Sessão Faturada"/>
    <n v="830425500051000"/>
    <n v="59320"/>
    <s v="Unidade Vieiralves"/>
    <n v="1703662649"/>
    <m/>
  </r>
  <r>
    <x v="16"/>
    <x v="35"/>
    <s v="Raimunda Carvalho Caldas"/>
    <s v="Feminino"/>
    <x v="2"/>
    <x v="16"/>
    <s v="50000446 - Rpg (R$ 36,71)"/>
    <s v="Rpg"/>
    <n v="1706779218"/>
    <s v="Finalizado (3/5)"/>
    <n v="29.367999999999999"/>
    <n v="7.3419999999999996"/>
    <n v="36.71"/>
    <s v="Sessão Faturada"/>
    <n v="952480013332000"/>
    <n v="14710"/>
    <s v="Unidade Vieiralves"/>
    <n v="1706779218"/>
    <m/>
  </r>
  <r>
    <x v="16"/>
    <x v="38"/>
    <s v="Jose Ivan Alves de Souza"/>
    <s v="Masculino"/>
    <x v="0"/>
    <x v="16"/>
    <s v="50000446 - Rpg (R$ 62,75)"/>
    <s v="Rpg"/>
    <s v="42263120260221324726"/>
    <s v="Finalizado (5/10)"/>
    <n v="50.2"/>
    <n v="12.55"/>
    <n v="62.75"/>
    <s v="Sessão Faturada"/>
    <s v="010650919000"/>
    <n v="8870"/>
    <s v="Unidade Vieiralves"/>
    <s v="42263120260221324726"/>
    <m/>
  </r>
  <r>
    <x v="16"/>
    <x v="37"/>
    <s v="Dea Ribeiro Margarido"/>
    <s v="Feminino"/>
    <x v="2"/>
    <x v="16"/>
    <s v="50000446 - Rpg (R$ 36,71)"/>
    <s v="Rpg"/>
    <n v="1707804432"/>
    <s v="Finalizado (1/2)"/>
    <n v="29.367999999999999"/>
    <n v="7.3419999999999996"/>
    <n v="36.71"/>
    <s v="Sessão Faturada"/>
    <n v="811010900736010"/>
    <n v="2849"/>
    <s v="Unidade Vieiralves"/>
    <n v="1707804432"/>
    <m/>
  </r>
  <r>
    <x v="16"/>
    <x v="37"/>
    <s v="Julliana Gadelha de Medeiros"/>
    <s v="Feminino"/>
    <x v="8"/>
    <x v="16"/>
    <s v="50000446 - Reeducação Postural Global (R$ 36,71)"/>
    <s v="Rpg"/>
    <n v="1706767317"/>
    <s v="Finalizado (2/5)"/>
    <n v="29.367999999999999"/>
    <n v="7.3419999999999996"/>
    <n v="36.71"/>
    <s v="Sessão Faturada"/>
    <n v="954600002968020"/>
    <n v="20663"/>
    <s v="Unidade Vieiralves"/>
    <n v="1706767317"/>
    <m/>
  </r>
  <r>
    <x v="16"/>
    <x v="39"/>
    <s v="Rose Mayre Vieira Barreto"/>
    <s v="Feminino"/>
    <x v="2"/>
    <x v="16"/>
    <s v="50000446 - Rpg (R$ 36,71)"/>
    <s v="Rpg"/>
    <n v="1707814942"/>
    <s v="Finalizado (1/5)"/>
    <n v="29.367999999999999"/>
    <n v="7.3419999999999996"/>
    <n v="36.71"/>
    <s v="Sessão Faturada"/>
    <n v="813312700027000"/>
    <n v="17029"/>
    <s v="Unidade Vieiralves"/>
    <n v="1707814942"/>
    <m/>
  </r>
  <r>
    <x v="16"/>
    <x v="39"/>
    <s v="Daniele Guimarães Alves"/>
    <s v="Feminino"/>
    <x v="2"/>
    <x v="16"/>
    <s v="50000446 - Rpg (R$ 36,71)"/>
    <s v="Rpg"/>
    <n v="1707843589"/>
    <s v="Finalizado (1/3)"/>
    <n v="29.367999999999999"/>
    <n v="7.3419999999999996"/>
    <n v="36.71"/>
    <s v="Sessão Faturada"/>
    <n v="952650062103000"/>
    <n v="59353"/>
    <s v="Unidade Vieiralves"/>
    <n v="1707843589"/>
    <m/>
  </r>
  <r>
    <x v="21"/>
    <x v="44"/>
    <s v="Sandra Souza Cavalcante"/>
    <m/>
    <x v="2"/>
    <x v="16"/>
    <s v="50000446 - Rpg (R$ 36,71)"/>
    <s v="Rpg"/>
    <n v="1707153723"/>
    <s v="Finalizado (3/5)"/>
    <n v="29.367999999999999"/>
    <n v="7.3419999999999996"/>
    <n v="36.71"/>
    <s v="Sessão Faturada"/>
    <n v="773299001503000"/>
    <n v="59519"/>
    <s v="Unidade Vieiralves"/>
    <n v="1707153723"/>
    <m/>
  </r>
  <r>
    <x v="21"/>
    <x v="41"/>
    <s v="Sergio Senga"/>
    <s v="Masculino"/>
    <x v="2"/>
    <x v="16"/>
    <s v="50000446 - Rpg (R$ 36,71)"/>
    <s v="Rpg"/>
    <n v="1700216969"/>
    <s v="Finalizado (3/3)"/>
    <n v="29.367999999999999"/>
    <n v="7.3419999999999996"/>
    <n v="36.71"/>
    <s v="Sessão Faturada"/>
    <n v="771015040932000"/>
    <n v="37516"/>
    <s v="Unidade Vieiralves"/>
    <n v="1700216969"/>
    <m/>
  </r>
  <r>
    <x v="21"/>
    <x v="36"/>
    <s v="Francisco Lima da Silva"/>
    <s v="Masculino"/>
    <x v="2"/>
    <x v="16"/>
    <s v="50000446 - Rpg (R$ 36,71)"/>
    <s v="Rpg"/>
    <n v="1704926490"/>
    <s v="Finalizado (4/5)"/>
    <n v="29.367999999999999"/>
    <n v="7.3419999999999996"/>
    <n v="36.71"/>
    <s v="Sessão Faturada"/>
    <n v="774981007706010"/>
    <n v="52427"/>
    <s v="Unidade Vieiralves"/>
    <n v="1704926490"/>
    <m/>
  </r>
  <r>
    <x v="21"/>
    <x v="36"/>
    <s v="Luiza Silvestre da Silva"/>
    <s v="Feminino"/>
    <x v="2"/>
    <x v="16"/>
    <s v="50000446 - Rpg (R$ 36,71)"/>
    <s v="Rpg"/>
    <n v="1708243247"/>
    <s v="Finalizado (1/1)"/>
    <n v="29.367999999999999"/>
    <n v="7.3419999999999996"/>
    <n v="36.71"/>
    <s v="Sessão Faturada"/>
    <n v="770179021261010"/>
    <n v="11820"/>
    <s v="Unidade Vieiralves"/>
    <n v="1708243247"/>
    <m/>
  </r>
  <r>
    <x v="21"/>
    <x v="40"/>
    <s v="Isadora Vitorino Grana"/>
    <s v="Feminino"/>
    <x v="7"/>
    <x v="16"/>
    <s v="Part Convenio - 2 - Rpg - Pacote (R$ 55,00)"/>
    <s v="Rpg"/>
    <n v="170056"/>
    <s v="Finalizado (3/10)"/>
    <n v="41.25"/>
    <n v="13.75"/>
    <n v="55"/>
    <s v="Pago"/>
    <s v="00010300035963020"/>
    <n v="56556"/>
    <s v="Unidade Vieiralves"/>
    <n v="170056"/>
    <m/>
  </r>
  <r>
    <x v="21"/>
    <x v="35"/>
    <s v="Darlan da Silva Picanço"/>
    <s v="Feminino"/>
    <x v="7"/>
    <x v="16"/>
    <s v="Part Convenio - 2 - Rpg - Pacote (R$ 55,00)"/>
    <s v="Rpg"/>
    <n v="170060"/>
    <s v="Finalizado (3/10)"/>
    <n v="41.25"/>
    <n v="13.75"/>
    <n v="55"/>
    <s v="Pago"/>
    <s v="0901013959170057"/>
    <n v="15532"/>
    <s v="Unidade Vieiralves"/>
    <n v="170060"/>
    <m/>
  </r>
  <r>
    <x v="21"/>
    <x v="35"/>
    <s v="Luiz Alberto  Monjeló Bisneto"/>
    <m/>
    <x v="2"/>
    <x v="16"/>
    <s v="50000446 - Rpg (R$ 36,71)"/>
    <s v="Rpg"/>
    <n v="1705190990"/>
    <s v="Finalizado (2/2)"/>
    <n v="29.367999999999999"/>
    <n v="7.3419999999999996"/>
    <n v="36.71"/>
    <s v="Sessão Faturada"/>
    <n v="812094300132030"/>
    <n v="59175"/>
    <s v="Unidade Vieiralves"/>
    <n v="1705190990"/>
    <m/>
  </r>
  <r>
    <x v="21"/>
    <x v="38"/>
    <s v="Jacineide Garcia de Carvalho Neves"/>
    <m/>
    <x v="0"/>
    <x v="16"/>
    <s v="50000446 - Rpg (R$ 62,75)"/>
    <s v="Rpg"/>
    <s v="42263120260220316178"/>
    <s v="Finalizado (6/10)"/>
    <n v="50.2"/>
    <n v="12.55"/>
    <n v="62.75"/>
    <s v="Sessão Faturada"/>
    <s v="010650432906"/>
    <n v="59393"/>
    <s v="Unidade Vieiralves"/>
    <s v="42263120260220316178"/>
    <m/>
  </r>
  <r>
    <x v="21"/>
    <x v="37"/>
    <s v="Waldir dos Santos Fontes Junior"/>
    <s v="Masculino"/>
    <x v="2"/>
    <x v="16"/>
    <s v="50000446 - Rpg (R$ 36,71)"/>
    <s v="Rpg"/>
    <n v="1707540923"/>
    <s v="Finalizado (2/5)"/>
    <n v="29.367999999999999"/>
    <n v="7.3419999999999996"/>
    <n v="36.71"/>
    <s v="Sessão Faturada"/>
    <n v="772133000728000"/>
    <n v="51522"/>
    <s v="Unidade Vieiralves"/>
    <n v="1707540923"/>
    <m/>
  </r>
  <r>
    <x v="21"/>
    <x v="39"/>
    <s v="Nádia Margareth Souza Soares"/>
    <s v="Feminino"/>
    <x v="8"/>
    <x v="16"/>
    <s v="50000446 - Reeducação Postural Global (R$ 36,71)"/>
    <s v="Rpg"/>
    <n v="1702010719"/>
    <s v="Finalizado (3/3)"/>
    <n v="29.367999999999999"/>
    <n v="7.3419999999999996"/>
    <n v="36.71"/>
    <s v="Sessão a Faturar"/>
    <n v="954600005924010"/>
    <n v="56316"/>
    <s v="Unidade Vieiralves"/>
    <n v="1702010719"/>
    <m/>
  </r>
  <r>
    <x v="21"/>
    <x v="39"/>
    <s v="Daniele Guimarães Alves"/>
    <s v="Feminino"/>
    <x v="2"/>
    <x v="16"/>
    <s v="50000446 - Rpg (R$ 36,71)"/>
    <s v="Rpg"/>
    <n v="1707843589"/>
    <s v="Finalizado (2/3)"/>
    <n v="29.367999999999999"/>
    <n v="7.3419999999999996"/>
    <n v="36.71"/>
    <s v="Sessão Faturada"/>
    <n v="952650062103000"/>
    <n v="59353"/>
    <s v="Unidade Vieiralves"/>
    <n v="1707843589"/>
    <m/>
  </r>
  <r>
    <x v="21"/>
    <x v="43"/>
    <s v="Joyce Sales de Sousa Guedes"/>
    <s v="Feminino"/>
    <x v="2"/>
    <x v="16"/>
    <s v="50000144 - Avaliação de Fisioterapia (R$ 51,42)"/>
    <s v="Rpg"/>
    <n v="1708334428"/>
    <s v="Finalizado (1/1)"/>
    <n v="46.277999999999999"/>
    <n v="5.1420000000000003"/>
    <n v="51.42"/>
    <s v="Sessão Faturada"/>
    <n v="960019317525010"/>
    <n v="59107"/>
    <s v="Unidade Vieiralves"/>
    <n v="1708334428"/>
    <m/>
  </r>
  <r>
    <x v="21"/>
    <x v="43"/>
    <s v="Joyce Sales de Sousa Guedes"/>
    <s v="Feminino"/>
    <x v="2"/>
    <x v="16"/>
    <s v="50000446 - Rpg (R$ 36,71)"/>
    <s v="Rpg"/>
    <n v="1708335000"/>
    <s v="Finalizado (1/5)"/>
    <n v="29.367999999999999"/>
    <n v="7.3419999999999996"/>
    <n v="36.71"/>
    <s v="Sessão Faturada"/>
    <n v="960019317525010"/>
    <n v="59107"/>
    <s v="Unidade Vieiralves"/>
    <n v="1708335000"/>
    <m/>
  </r>
  <r>
    <x v="17"/>
    <x v="44"/>
    <s v="Karina do Carmo de Souza"/>
    <s v="Feminino"/>
    <x v="2"/>
    <x v="16"/>
    <s v="50000446 - Rpg (R$ 36,71)"/>
    <s v="Rpg"/>
    <n v="1701670368"/>
    <s v="Finalizado (3/5)"/>
    <n v="29.367999999999999"/>
    <n v="7.3419999999999996"/>
    <n v="36.71"/>
    <s v="Sessão Faturada"/>
    <n v="774642019933000"/>
    <n v="9620"/>
    <s v="Unidade Vieiralves"/>
    <n v="1701670368"/>
    <m/>
  </r>
  <r>
    <x v="17"/>
    <x v="44"/>
    <s v="Adriane Cavalcante Xavier"/>
    <s v="Feminino"/>
    <x v="2"/>
    <x v="16"/>
    <s v="50000446 - Rpg (R$ 36,71)"/>
    <s v="Rpg"/>
    <n v="1708785578"/>
    <s v="Finalizado (1/2)"/>
    <n v="29.367999999999999"/>
    <n v="7.3419999999999996"/>
    <n v="36.71"/>
    <s v="Sessão Faturada"/>
    <n v="811285500019020"/>
    <n v="43789"/>
    <s v="Unidade Vieiralves"/>
    <n v="1708785578"/>
    <m/>
  </r>
  <r>
    <x v="17"/>
    <x v="36"/>
    <s v="Katia Cilene Jardim da Costa"/>
    <s v="Feminino"/>
    <x v="2"/>
    <x v="16"/>
    <s v="50000446 - Rpg (R$ 36,71)"/>
    <s v="Rpg"/>
    <n v="1707255961"/>
    <s v="Finalizado (3/5)"/>
    <n v="29.367999999999999"/>
    <n v="7.3419999999999996"/>
    <n v="36.71"/>
    <s v="Sessão Faturada"/>
    <n v="771015041750020"/>
    <n v="37973"/>
    <s v="Unidade Vieiralves"/>
    <n v="1707255961"/>
    <m/>
  </r>
  <r>
    <x v="17"/>
    <x v="38"/>
    <s v="Darlan da Silva Picanço"/>
    <s v="Feminino"/>
    <x v="7"/>
    <x v="16"/>
    <s v="Part Convenio - 2 - Rpg - Pacote (R$ 55,00)"/>
    <s v="Rpg"/>
    <n v="170060"/>
    <s v="Finalizado (4/10)"/>
    <n v="41.25"/>
    <n v="13.75"/>
    <n v="55"/>
    <s v="Pago"/>
    <s v="0901013959170057"/>
    <n v="15532"/>
    <s v="Unidade Vieiralves"/>
    <n v="170060"/>
    <m/>
  </r>
  <r>
    <x v="17"/>
    <x v="38"/>
    <s v="Denise de Souza Lima Herzog"/>
    <s v="Feminino"/>
    <x v="2"/>
    <x v="16"/>
    <s v="50000446 - Rpg (R$ 36,71)"/>
    <s v="Rpg"/>
    <n v="1708945419"/>
    <s v="Finalizado (1/5)"/>
    <n v="29.367999999999999"/>
    <n v="7.3419999999999996"/>
    <n v="36.71"/>
    <s v="Sessão Faturada"/>
    <n v="810177500019010"/>
    <n v="52971"/>
    <s v="Unidade Vieiralves"/>
    <n v="1708945419"/>
    <m/>
  </r>
  <r>
    <x v="17"/>
    <x v="37"/>
    <s v="Julliana Gadelha de Medeiros"/>
    <s v="Feminino"/>
    <x v="8"/>
    <x v="16"/>
    <s v="50000446 - Reeducação Postural Global (R$ 36,71)"/>
    <s v="Rpg"/>
    <n v="1706767317"/>
    <s v="Finalizado (3/5)"/>
    <n v="29.367999999999999"/>
    <n v="7.3419999999999996"/>
    <n v="36.71"/>
    <s v="Sessão Faturada"/>
    <n v="954600002968020"/>
    <n v="20663"/>
    <s v="Unidade Vieiralves"/>
    <n v="1706767317"/>
    <m/>
  </r>
  <r>
    <x v="17"/>
    <x v="37"/>
    <s v="Dea Ribeiro Margarido"/>
    <s v="Feminino"/>
    <x v="2"/>
    <x v="16"/>
    <s v="50000446 - Rpg (R$ 36,71)"/>
    <s v="Rpg"/>
    <n v="1707804432"/>
    <s v="Finalizado (2/2)"/>
    <n v="29.367999999999999"/>
    <n v="7.3419999999999996"/>
    <n v="36.71"/>
    <s v="Sessão Faturada"/>
    <n v="811010900736010"/>
    <n v="2849"/>
    <s v="Unidade Vieiralves"/>
    <n v="1707804432"/>
    <m/>
  </r>
  <r>
    <x v="17"/>
    <x v="39"/>
    <s v="Raimunda Carvalho Caldas"/>
    <s v="Feminino"/>
    <x v="2"/>
    <x v="16"/>
    <s v="50000446 - Rpg (R$ 36,71)"/>
    <s v="Rpg"/>
    <n v="1706779218"/>
    <s v="Finalizado (4/5)"/>
    <n v="29.367999999999999"/>
    <n v="7.3419999999999996"/>
    <n v="36.71"/>
    <s v="Sessão Faturada"/>
    <n v="952480013332000"/>
    <n v="14710"/>
    <s v="Unidade Vieiralves"/>
    <n v="1706779218"/>
    <m/>
  </r>
  <r>
    <x v="17"/>
    <x v="39"/>
    <s v="Rita de Cassia Balbi Alves"/>
    <s v="Feminino"/>
    <x v="19"/>
    <x v="16"/>
    <s v="90050061 - Reeducaçao Postural Global (R$ 83,47)"/>
    <s v="Rpg"/>
    <n v="5872340"/>
    <s v="Finalizado (2/10)"/>
    <n v="66.775999999999996"/>
    <n v="16.693999999999999"/>
    <n v="83.47"/>
    <s v="Sessão Faturada"/>
    <s v="0001000034150505"/>
    <n v="37165"/>
    <s v="Unidade Vieiralves"/>
    <n v="5872340"/>
    <s v="Guia assinada!"/>
  </r>
  <r>
    <x v="18"/>
    <x v="44"/>
    <s v="Maria Jose Pinto da Mota"/>
    <m/>
    <x v="2"/>
    <x v="16"/>
    <s v="50000446 - Rpg (R$ 36,71)"/>
    <s v="Rpg"/>
    <n v="1707152228"/>
    <s v="Finalizado (2/3)"/>
    <n v="29.367999999999999"/>
    <n v="7.3419999999999996"/>
    <n v="36.71"/>
    <s v="Sessão Faturada"/>
    <n v="771015052531020"/>
    <n v="59060"/>
    <s v="Unidade Vieiralves"/>
    <n v="1707152228"/>
    <m/>
  </r>
  <r>
    <x v="18"/>
    <x v="41"/>
    <s v="Maria Raimunda da Silva Guedes Lima"/>
    <s v="Feminino"/>
    <x v="2"/>
    <x v="16"/>
    <s v="50000446 - Rpg (R$ 36,71)"/>
    <s v="Rpg"/>
    <n v="1709428211"/>
    <s v="Finalizado (1/5)"/>
    <n v="29.367999999999999"/>
    <n v="7.3419999999999996"/>
    <n v="36.71"/>
    <s v="Sessão Faturada"/>
    <n v="960016575471000"/>
    <n v="21019"/>
    <s v="Unidade Vieiralves"/>
    <n v="1709428211"/>
    <m/>
  </r>
  <r>
    <x v="18"/>
    <x v="41"/>
    <s v="Claudia Miyuki Muramoto Sako"/>
    <s v="Feminino"/>
    <x v="2"/>
    <x v="16"/>
    <s v="50000446 - Rpg (R$ 36,71)"/>
    <s v="Rpg"/>
    <n v="1709451057"/>
    <s v="Finalizado (1/5)"/>
    <n v="29.367999999999999"/>
    <n v="7.3419999999999996"/>
    <n v="36.71"/>
    <s v="Sessão Faturada"/>
    <n v="885854000132010"/>
    <n v="49229"/>
    <s v="Unidade Vieiralves"/>
    <n v="1709451057"/>
    <m/>
  </r>
  <r>
    <x v="18"/>
    <x v="36"/>
    <s v="Yasmin Guedes Lima"/>
    <s v="Feminino"/>
    <x v="2"/>
    <x v="16"/>
    <s v="50000446 - Rpg (R$ 36,71)"/>
    <s v="Rpg"/>
    <n v="1707146642"/>
    <s v="Finalizado (2/5)"/>
    <n v="29.367999999999999"/>
    <n v="7.3419999999999996"/>
    <n v="36.71"/>
    <s v="Sessão Faturada"/>
    <n v="960016575471020"/>
    <n v="35978"/>
    <s v="Unidade Vieiralves"/>
    <n v="1707146642"/>
    <m/>
  </r>
  <r>
    <x v="18"/>
    <x v="36"/>
    <s v="Carlos Jose Cavalcante Martins"/>
    <s v="Masculino"/>
    <x v="2"/>
    <x v="16"/>
    <s v="50000446 - Rpg (R$ 36,71)"/>
    <s v="Rpg"/>
    <n v="1709490752"/>
    <s v="Finalizado (1/5)"/>
    <n v="29.367999999999999"/>
    <n v="7.3419999999999996"/>
    <n v="36.71"/>
    <s v="Sessão Faturada"/>
    <n v="830425500051000"/>
    <n v="59320"/>
    <s v="Unidade Vieiralves"/>
    <n v="1709490752"/>
    <m/>
  </r>
  <r>
    <x v="18"/>
    <x v="40"/>
    <s v="Jacineide Garcia de Carvalho Neves"/>
    <m/>
    <x v="0"/>
    <x v="16"/>
    <s v="50000446 - Rpg (R$ 62,75)"/>
    <s v="Rpg"/>
    <s v="42263120260220316178"/>
    <s v="Finalizado (7/10)"/>
    <n v="50.2"/>
    <n v="12.55"/>
    <n v="62.75"/>
    <s v="Sessão Faturada"/>
    <s v="010650432906"/>
    <n v="59393"/>
    <s v="Unidade Vieiralves"/>
    <s v="42263120260220316178"/>
    <m/>
  </r>
  <r>
    <x v="18"/>
    <x v="35"/>
    <s v="Rose Mayre Vieira Barreto"/>
    <s v="Feminino"/>
    <x v="2"/>
    <x v="16"/>
    <s v="50000446 - Rpg (R$ 36,71)"/>
    <s v="Rpg"/>
    <n v="1707814942"/>
    <s v="Finalizado (2/5)"/>
    <n v="29.367999999999999"/>
    <n v="7.3419999999999996"/>
    <n v="36.71"/>
    <s v="Sessão Faturada"/>
    <n v="813312700027000"/>
    <n v="17029"/>
    <s v="Unidade Vieiralves"/>
    <n v="1707814942"/>
    <m/>
  </r>
  <r>
    <x v="18"/>
    <x v="37"/>
    <s v="Heloísa Ribeiro Alves"/>
    <s v="Feminino"/>
    <x v="8"/>
    <x v="16"/>
    <s v="50000446 - Reeducação Postural Global (R$ 36,71)"/>
    <s v="Rpg"/>
    <n v="1709622581"/>
    <s v="Finalizado (1/4)"/>
    <n v="29.367999999999999"/>
    <n v="7.3419999999999996"/>
    <n v="36.71"/>
    <s v="Sessão a Faturar"/>
    <n v="954600017590000"/>
    <n v="59570"/>
    <s v="Unidade Vieiralves"/>
    <n v="1709622581"/>
    <m/>
  </r>
  <r>
    <x v="18"/>
    <x v="39"/>
    <s v="Tanira Rozane Eder Martins"/>
    <s v="Feminino"/>
    <x v="19"/>
    <x v="16"/>
    <s v="90050061 - Reeducaçao Postural Global - 17/03/2026 (R$ 80,26)"/>
    <s v="Rpg"/>
    <n v="5827090"/>
    <s v="Não compareceu (5/10)"/>
    <n v="80.260000000000005"/>
    <n v="0"/>
    <n v="80.260000000000005"/>
    <s v="Sessão Faturada"/>
    <s v="0001000033690081"/>
    <n v="4997"/>
    <s v="Unidade Vieiralves"/>
    <n v="5827090"/>
    <m/>
  </r>
  <r>
    <x v="18"/>
    <x v="39"/>
    <s v="Daniele Guimarães Alves"/>
    <s v="Feminino"/>
    <x v="2"/>
    <x v="16"/>
    <s v="50000446 - Rpg (R$ 36,71)"/>
    <s v="Rpg"/>
    <n v="1707843589"/>
    <s v="Finalizado (3/3)"/>
    <n v="29.367999999999999"/>
    <n v="7.3419999999999996"/>
    <n v="36.71"/>
    <s v="Sessão Faturada"/>
    <n v="952650062103000"/>
    <n v="59353"/>
    <s v="Unidade Vieiralves"/>
    <n v="1707843589"/>
    <m/>
  </r>
  <r>
    <x v="22"/>
    <x v="44"/>
    <s v="Sandra Souza Cavalcante"/>
    <m/>
    <x v="2"/>
    <x v="16"/>
    <s v="50000446 - Rpg (R$ 36,71)"/>
    <s v="Rpg"/>
    <n v="1707153723"/>
    <s v="Finalizado (4/5)"/>
    <n v="29.367999999999999"/>
    <n v="7.3419999999999996"/>
    <n v="36.71"/>
    <s v="Sessão Faturada"/>
    <n v="773299001503000"/>
    <n v="59519"/>
    <s v="Unidade Vieiralves"/>
    <n v="1707153723"/>
    <m/>
  </r>
  <r>
    <x v="22"/>
    <x v="41"/>
    <s v="Katia Cilene Jardim da Costa"/>
    <s v="Feminino"/>
    <x v="2"/>
    <x v="16"/>
    <s v="50000446 - Rpg (R$ 36,71)"/>
    <s v="Rpg"/>
    <n v="1707255961"/>
    <s v="Finalizado (4/5)"/>
    <n v="29.367999999999999"/>
    <n v="7.3419999999999996"/>
    <n v="36.71"/>
    <s v="Sessão Faturada"/>
    <n v="771015041750020"/>
    <n v="37973"/>
    <s v="Unidade Vieiralves"/>
    <n v="1707255961"/>
    <m/>
  </r>
  <r>
    <x v="22"/>
    <x v="41"/>
    <s v="Maria Raimunda da Silva Guedes Lima"/>
    <s v="Feminino"/>
    <x v="2"/>
    <x v="16"/>
    <s v="50000446 - Rpg (R$ 36,71)"/>
    <s v="Rpg"/>
    <n v="1709428211"/>
    <s v="Finalizado (2/5)"/>
    <n v="29.367999999999999"/>
    <n v="7.3419999999999996"/>
    <n v="36.71"/>
    <s v="Sessão Faturada"/>
    <n v="960016575471000"/>
    <n v="21019"/>
    <s v="Unidade Vieiralves"/>
    <n v="1709428211"/>
    <m/>
  </r>
  <r>
    <x v="22"/>
    <x v="36"/>
    <s v="Adriane Cavalcante Xavier"/>
    <s v="Feminino"/>
    <x v="2"/>
    <x v="16"/>
    <s v="50000446 - Rpg (R$ 36,71)"/>
    <s v="Rpg"/>
    <n v="1708785578"/>
    <s v="Finalizado (2/2)"/>
    <n v="29.367999999999999"/>
    <n v="7.3419999999999996"/>
    <n v="36.71"/>
    <s v="Sessão Faturada"/>
    <n v="811285500019020"/>
    <n v="43789"/>
    <s v="Unidade Vieiralves"/>
    <n v="1708785578"/>
    <m/>
  </r>
  <r>
    <x v="22"/>
    <x v="35"/>
    <s v="Darlan da Silva Picanço"/>
    <s v="Feminino"/>
    <x v="7"/>
    <x v="16"/>
    <s v="Part Convenio - 2 - Rpg - Pacote (R$ 55,00)"/>
    <s v="Rpg"/>
    <n v="170060"/>
    <s v="Finalizado (5/10)"/>
    <n v="41.25"/>
    <n v="13.75"/>
    <n v="55"/>
    <s v="Pago"/>
    <s v="0901013959170057"/>
    <n v="15532"/>
    <s v="Unidade Vieiralves"/>
    <n v="170060"/>
    <m/>
  </r>
  <r>
    <x v="22"/>
    <x v="38"/>
    <s v="Denise de Souza Lima Herzog"/>
    <s v="Feminino"/>
    <x v="2"/>
    <x v="16"/>
    <s v="50000446 - Rpg (R$ 36,71)"/>
    <s v="Rpg"/>
    <n v="1708945419"/>
    <s v="Finalizado (2/5)"/>
    <n v="29.367999999999999"/>
    <n v="7.3419999999999996"/>
    <n v="36.71"/>
    <s v="Sessão Faturada"/>
    <n v="810177500019010"/>
    <n v="52971"/>
    <s v="Unidade Vieiralves"/>
    <n v="1708945419"/>
    <m/>
  </r>
  <r>
    <x v="22"/>
    <x v="37"/>
    <s v="Julliana Gadelha de Medeiros"/>
    <s v="Feminino"/>
    <x v="8"/>
    <x v="16"/>
    <s v="50000446 - Reeducação Postural Global (R$ 36,71)"/>
    <s v="Rpg"/>
    <n v="1706767317"/>
    <s v="Finalizado (4/5)"/>
    <n v="29.367999999999999"/>
    <n v="7.3419999999999996"/>
    <n v="36.71"/>
    <s v="Sessão Faturada"/>
    <n v="954600002968020"/>
    <n v="20663"/>
    <s v="Unidade Vieiralves"/>
    <n v="1706767317"/>
    <m/>
  </r>
  <r>
    <x v="22"/>
    <x v="43"/>
    <s v="Raimunda Carvalho Caldas"/>
    <s v="Feminino"/>
    <x v="2"/>
    <x v="16"/>
    <s v="50000446 - Rpg (R$ 36,71)"/>
    <s v="Rpg"/>
    <n v="1706779218"/>
    <s v="Finalizado (5/5)"/>
    <n v="29.367999999999999"/>
    <n v="7.3419999999999996"/>
    <n v="36.71"/>
    <s v="Sessão Faturada"/>
    <n v="952480013332000"/>
    <n v="14710"/>
    <s v="Unidade Vieiralves"/>
    <n v="1706779218"/>
    <m/>
  </r>
  <r>
    <x v="19"/>
    <x v="44"/>
    <s v="Maria Jose Pinto da Mota"/>
    <m/>
    <x v="2"/>
    <x v="16"/>
    <s v="50000446 - Rpg (R$ 36,71)"/>
    <s v="Rpg"/>
    <n v="1707152228"/>
    <s v="Finalizado (3/3)"/>
    <n v="29.367999999999999"/>
    <n v="7.3419999999999996"/>
    <n v="36.71"/>
    <s v="Sessão Faturada"/>
    <n v="771015052531020"/>
    <n v="59060"/>
    <s v="Unidade Vieiralves"/>
    <n v="1707152228"/>
    <m/>
  </r>
  <r>
    <x v="19"/>
    <x v="41"/>
    <s v="Maria Raimunda da Silva Guedes Lima"/>
    <s v="Feminino"/>
    <x v="2"/>
    <x v="16"/>
    <s v="50000446 - Rpg (R$ 36,71)"/>
    <s v="Rpg"/>
    <n v="1709428211"/>
    <s v="Finalizado (3/5)"/>
    <n v="29.367999999999999"/>
    <n v="7.3419999999999996"/>
    <n v="36.71"/>
    <s v="Sessão Faturada"/>
    <n v="960016575471000"/>
    <n v="21019"/>
    <s v="Unidade Vieiralves"/>
    <n v="1709428211"/>
    <m/>
  </r>
  <r>
    <x v="19"/>
    <x v="41"/>
    <s v="Claudia Miyuki Muramoto Sako"/>
    <s v="Feminino"/>
    <x v="2"/>
    <x v="16"/>
    <s v="50000446 - Rpg (R$ 36,71)"/>
    <s v="Rpg"/>
    <n v="1709451057"/>
    <s v="Finalizado (2/5)"/>
    <n v="29.367999999999999"/>
    <n v="7.3419999999999996"/>
    <n v="36.71"/>
    <s v="Sessão Faturada"/>
    <n v="885854000132010"/>
    <n v="49229"/>
    <s v="Unidade Vieiralves"/>
    <n v="1709451057"/>
    <m/>
  </r>
  <r>
    <x v="19"/>
    <x v="36"/>
    <s v="Yasmin Guedes Lima"/>
    <s v="Feminino"/>
    <x v="2"/>
    <x v="16"/>
    <s v="50000446 - Rpg (R$ 36,71)"/>
    <s v="Rpg"/>
    <n v="1707146642"/>
    <s v="Finalizado (4/5)"/>
    <n v="29.367999999999999"/>
    <n v="7.3419999999999996"/>
    <n v="36.71"/>
    <s v="Sessão Faturada"/>
    <n v="960016575471020"/>
    <n v="35978"/>
    <s v="Unidade Vieiralves"/>
    <n v="1707146642"/>
    <m/>
  </r>
  <r>
    <x v="19"/>
    <x v="36"/>
    <s v="Paulo Nonato  Aviz Dias"/>
    <s v="Masculino"/>
    <x v="2"/>
    <x v="16"/>
    <s v="50000446 - Rpg (R$ 36,71)"/>
    <s v="Rpg"/>
    <n v="1710778983"/>
    <s v="Finalizado (1/5)"/>
    <n v="29.367999999999999"/>
    <n v="7.3419999999999996"/>
    <n v="36.71"/>
    <s v="Sessão Faturada"/>
    <n v="960016515126020"/>
    <n v="59476"/>
    <s v="Unidade Vieiralves"/>
    <n v="1710778983"/>
    <m/>
  </r>
  <r>
    <x v="19"/>
    <x v="40"/>
    <s v="Jacineide Garcia de Carvalho Neves"/>
    <m/>
    <x v="0"/>
    <x v="16"/>
    <s v="50000446 - Rpg (R$ 62,75)"/>
    <s v="Rpg"/>
    <s v="42263120260220316178"/>
    <s v="Finalizado (8/10)"/>
    <n v="50.2"/>
    <n v="12.55"/>
    <n v="62.75"/>
    <s v="Sessão Faturada"/>
    <s v="010650432906"/>
    <n v="59393"/>
    <s v="Unidade Vieiralves"/>
    <s v="42263120260220316178"/>
    <m/>
  </r>
  <r>
    <x v="19"/>
    <x v="40"/>
    <s v="Heloísa Ribeiro Alves"/>
    <s v="Feminino"/>
    <x v="8"/>
    <x v="16"/>
    <s v="50000446 - Reeducação Postural Global (R$ 36,71)"/>
    <s v="Rpg"/>
    <n v="1709622581"/>
    <s v="Finalizado (2/4)"/>
    <n v="29.367999999999999"/>
    <n v="7.3419999999999996"/>
    <n v="36.71"/>
    <s v="Sessão a Faturar"/>
    <n v="954600017590000"/>
    <n v="59570"/>
    <s v="Unidade Vieiralves"/>
    <n v="1709622581"/>
    <m/>
  </r>
  <r>
    <x v="19"/>
    <x v="35"/>
    <s v="Suzy Moraes de Souza"/>
    <s v="Feminino"/>
    <x v="2"/>
    <x v="16"/>
    <s v="50000446 - Rpg (R$ 36,71)"/>
    <s v="Rpg"/>
    <n v="1710074840"/>
    <s v="Finalizado (2/3)"/>
    <n v="29.367999999999999"/>
    <n v="7.3419999999999996"/>
    <n v="36.71"/>
    <s v="Sessão Faturada"/>
    <n v="973700010774020"/>
    <n v="48848"/>
    <s v="Unidade Vieiralves"/>
    <n v="1710074840"/>
    <m/>
  </r>
  <r>
    <x v="19"/>
    <x v="38"/>
    <s v="Rose Mayre Vieira Barreto"/>
    <s v="Feminino"/>
    <x v="2"/>
    <x v="16"/>
    <s v="50000446 - Rpg (R$ 36,71)"/>
    <s v="Rpg"/>
    <n v="1707814942"/>
    <s v="Finalizado (3/5)"/>
    <n v="29.367999999999999"/>
    <n v="7.3419999999999996"/>
    <n v="36.71"/>
    <s v="Sessão Faturada"/>
    <n v="813312700027000"/>
    <n v="17029"/>
    <s v="Unidade Vieiralves"/>
    <n v="1707814942"/>
    <m/>
  </r>
  <r>
    <x v="19"/>
    <x v="39"/>
    <s v="Tanira Rozane Eder Martins"/>
    <s v="Feminino"/>
    <x v="19"/>
    <x v="16"/>
    <s v="90050061 - Reeducaçao Postural Global - 17/03/2026 (R$ 80,26)"/>
    <s v="Rpg"/>
    <n v="5827090"/>
    <s v="Finalizado (6/10)"/>
    <n v="64.207999999999998"/>
    <n v="16.052"/>
    <n v="80.260000000000005"/>
    <s v="Sessão Faturada"/>
    <s v="0001000033690081"/>
    <n v="4997"/>
    <s v="Unidade Vieiralves"/>
    <n v="5827090"/>
    <m/>
  </r>
  <r>
    <x v="19"/>
    <x v="43"/>
    <s v="Talita Ávila Lucena"/>
    <m/>
    <x v="20"/>
    <x v="16"/>
    <s v="25100050 - Rpg (R$ 28,80)"/>
    <s v="Rpg"/>
    <n v="55599300"/>
    <s v="Finalizado (2/10)"/>
    <n v="23.04"/>
    <n v="5.76"/>
    <n v="28.8"/>
    <s v="Sessão a Faturar"/>
    <n v="1051100331140100"/>
    <n v="58568"/>
    <s v="Unidade Vieiralves"/>
    <n v="55599300"/>
    <m/>
  </r>
  <r>
    <x v="19"/>
    <x v="43"/>
    <s v="Franciane Paula da Silva"/>
    <s v="Feminino"/>
    <x v="2"/>
    <x v="16"/>
    <s v="50000144 - Avaliação de Fisioterapia (R$ 51,42)"/>
    <s v="Rpg"/>
    <n v="1710843465"/>
    <s v="Finalizado (1/1)"/>
    <n v="46.277999999999999"/>
    <n v="5.1420000000000003"/>
    <n v="51.42"/>
    <s v="Sessão Faturada"/>
    <n v="772391049182000"/>
    <n v="59622"/>
    <s v="Unidade Vieiralves"/>
    <n v="1710843465"/>
    <m/>
  </r>
  <r>
    <x v="19"/>
    <x v="66"/>
    <s v="Franciane Paula da Silva"/>
    <s v="Feminino"/>
    <x v="2"/>
    <x v="16"/>
    <s v="50000446 - Rpg (R$ 36,71)"/>
    <s v="Rpg"/>
    <n v="1710844748"/>
    <s v="Finalizado (1/1)"/>
    <n v="29.367999999999999"/>
    <n v="7.3419999999999996"/>
    <n v="36.71"/>
    <s v="Sessão Faturada"/>
    <n v="772391049182000"/>
    <n v="59622"/>
    <s v="Unidade Vieiralves"/>
    <n v="1710844748"/>
    <m/>
  </r>
  <r>
    <x v="20"/>
    <x v="40"/>
    <s v="Katia Cilene Jardim da Costa"/>
    <s v="Feminino"/>
    <x v="2"/>
    <x v="16"/>
    <s v="50000446 - Rpg (R$ 36,71)"/>
    <s v="Rpg"/>
    <n v="1707255961"/>
    <s v="Finalizado (5/5)"/>
    <n v="29.367999999999999"/>
    <n v="7.3419999999999996"/>
    <n v="36.71"/>
    <s v="Sessão Faturada"/>
    <n v="771015041750020"/>
    <n v="37973"/>
    <s v="Unidade Vieiralves"/>
    <n v="1707255961"/>
    <m/>
  </r>
  <r>
    <x v="20"/>
    <x v="40"/>
    <s v="Carlos Jose Cavalcante Martins"/>
    <s v="Masculino"/>
    <x v="2"/>
    <x v="16"/>
    <s v="50000446 - Rpg (R$ 36,71)"/>
    <s v="Rpg"/>
    <n v="1709490752"/>
    <s v="Finalizado (2/5)"/>
    <n v="29.367999999999999"/>
    <n v="7.3419999999999996"/>
    <n v="36.71"/>
    <s v="Sessão Faturada"/>
    <n v="830425500051000"/>
    <n v="59320"/>
    <s v="Unidade Vieiralves"/>
    <n v="1709490752"/>
    <m/>
  </r>
  <r>
    <x v="20"/>
    <x v="35"/>
    <s v="Darlan da Silva Picanço"/>
    <s v="Feminino"/>
    <x v="7"/>
    <x v="16"/>
    <s v="Part Convenio - 2 - Rpg - Pacote (R$ 55,00)"/>
    <s v="Rpg"/>
    <n v="170060"/>
    <s v="Finalizado (6/10)"/>
    <n v="41.25"/>
    <n v="13.75"/>
    <n v="55"/>
    <s v="Pago"/>
    <s v="0901013959170057"/>
    <n v="15532"/>
    <s v="Unidade Vieiralves"/>
    <n v="170060"/>
    <m/>
  </r>
  <r>
    <x v="20"/>
    <x v="37"/>
    <s v="Julliana Gadelha de Medeiros"/>
    <s v="Feminino"/>
    <x v="8"/>
    <x v="16"/>
    <s v="50000446 - Reeducação Postural Global (R$ 36,71)"/>
    <s v="Rpg"/>
    <n v="1706767317"/>
    <s v="Finalizado (5/5)"/>
    <n v="29.367999999999999"/>
    <n v="7.3419999999999996"/>
    <n v="36.71"/>
    <s v="Sessão Faturada"/>
    <n v="954600002968020"/>
    <n v="20663"/>
    <s v="Unidade Vieiralves"/>
    <n v="1706767317"/>
    <m/>
  </r>
  <r>
    <x v="20"/>
    <x v="39"/>
    <s v="Raimunda Carvalho Caldas"/>
    <s v="Feminino"/>
    <x v="2"/>
    <x v="16"/>
    <s v="50000446 - Rpg (R$ 36,71)"/>
    <s v="Rpg"/>
    <n v="1711416495"/>
    <s v="Finalizado (1/5)"/>
    <n v="29.367999999999999"/>
    <n v="7.3419999999999996"/>
    <n v="36.71"/>
    <s v="Sessão Faturada"/>
    <n v="952480013332000"/>
    <n v="14710"/>
    <s v="Unidade Vieiralves"/>
    <n v="1711416495"/>
    <m/>
  </r>
  <r>
    <x v="23"/>
    <x v="44"/>
    <s v="Sergio Senga"/>
    <s v="Masculino"/>
    <x v="2"/>
    <x v="16"/>
    <s v="50000446 - Rpg (R$ 36,71)"/>
    <s v="Rpg"/>
    <n v="1711854875"/>
    <s v="Finalizado (1/3)"/>
    <n v="29.367999999999999"/>
    <n v="7.3419999999999996"/>
    <n v="36.71"/>
    <s v="Sessão a Faturar"/>
    <n v="771015040932000"/>
    <n v="37516"/>
    <s v="Unidade Vieiralves"/>
    <n v="1711854875"/>
    <m/>
  </r>
  <r>
    <x v="23"/>
    <x v="40"/>
    <s v="Valterlei Ribeiro Mendonça"/>
    <m/>
    <x v="2"/>
    <x v="16"/>
    <s v="50000446 - Rpg (R$ 36,71)"/>
    <s v="Rpg"/>
    <n v="1702117385"/>
    <s v="Finalizado (3/5)"/>
    <n v="29.367999999999999"/>
    <n v="7.3419999999999996"/>
    <n v="36.71"/>
    <s v="Sessão Faturada"/>
    <n v="775494003360000"/>
    <n v="57982"/>
    <s v="Unidade Vieiralves"/>
    <n v="1702117385"/>
    <m/>
  </r>
  <r>
    <x v="23"/>
    <x v="35"/>
    <s v="Isadora Vitorino Grana"/>
    <s v="Feminino"/>
    <x v="7"/>
    <x v="16"/>
    <s v="Part Convenio - 2 - Rpg - Pacote (R$ 55,00)"/>
    <s v="Rpg"/>
    <n v="170056"/>
    <s v="Finalizado (6/10)"/>
    <n v="41.25"/>
    <n v="13.75"/>
    <n v="55"/>
    <s v="Pago"/>
    <s v="00010300035963020"/>
    <n v="56556"/>
    <s v="Unidade Vieiralves"/>
    <n v="170056"/>
    <m/>
  </r>
  <r>
    <x v="23"/>
    <x v="35"/>
    <s v="Josicleide Nunes Santos"/>
    <s v="Feminino"/>
    <x v="2"/>
    <x v="16"/>
    <s v="50000446 - Rpg (R$ 36,71)"/>
    <s v="Rpg"/>
    <n v="1705941178"/>
    <s v="Finalizado (4/5)"/>
    <n v="29.367999999999999"/>
    <n v="7.3419999999999996"/>
    <n v="36.71"/>
    <s v="Sessão a Faturar"/>
    <n v="774981001279000"/>
    <n v="20120"/>
    <s v="Unidade Vieiralves"/>
    <n v="1705941178"/>
    <m/>
  </r>
  <r>
    <x v="23"/>
    <x v="38"/>
    <s v="Rose Mayre Vieira Barreto"/>
    <s v="Feminino"/>
    <x v="2"/>
    <x v="16"/>
    <s v="50000446 - Rpg (R$ 36,71)"/>
    <s v="Rpg"/>
    <n v="1707814942"/>
    <s v="Finalizado (4/5)"/>
    <n v="29.367999999999999"/>
    <n v="7.3419999999999996"/>
    <n v="36.71"/>
    <s v="Sessão Faturada"/>
    <n v="813312700027000"/>
    <n v="17029"/>
    <s v="Unidade Vieiralves"/>
    <n v="1707814942"/>
    <m/>
  </r>
  <r>
    <x v="23"/>
    <x v="37"/>
    <s v="Thiago Martins Leão"/>
    <s v="Masculino"/>
    <x v="5"/>
    <x v="16"/>
    <s v="50000446 - Rpg (R$ 54,45)"/>
    <s v="Rpg"/>
    <n v="168430"/>
    <s v="Finalizado (6/10)"/>
    <n v="43.56"/>
    <n v="10.89"/>
    <n v="54.45"/>
    <s v="Sessão Faturada"/>
    <s v="010086556202"/>
    <n v="57073"/>
    <s v="Unidade Vieiralves"/>
    <n v="168430"/>
    <m/>
  </r>
  <r>
    <x v="23"/>
    <x v="37"/>
    <s v="Mariane Aquino de Souza"/>
    <m/>
    <x v="2"/>
    <x v="16"/>
    <s v="50000446 - Rpg (R$ 36,71)"/>
    <s v="Rpg"/>
    <n v="1711969341"/>
    <s v="Finalizado (1/1)"/>
    <n v="29.367999999999999"/>
    <n v="7.3419999999999996"/>
    <n v="36.71"/>
    <s v="Sessão Faturada"/>
    <n v="774063014001010"/>
    <n v="59628"/>
    <s v="Unidade Vieiralves"/>
    <n v="1711969341"/>
    <m/>
  </r>
  <r>
    <x v="23"/>
    <x v="39"/>
    <s v="Joyce Sales de Sousa Guedes"/>
    <s v="Feminino"/>
    <x v="2"/>
    <x v="16"/>
    <s v="50000446 - Rpg (R$ 36,71)"/>
    <s v="Rpg"/>
    <n v="1708335000"/>
    <s v="Finalizado (4/5)"/>
    <n v="29.367999999999999"/>
    <n v="7.3419999999999996"/>
    <n v="36.71"/>
    <s v="Sessão Faturada"/>
    <n v="960019317525010"/>
    <n v="59107"/>
    <s v="Unidade Vieiralves"/>
    <n v="1708335000"/>
    <m/>
  </r>
  <r>
    <x v="23"/>
    <x v="39"/>
    <s v="Kaíny Medeiros Maciel"/>
    <s v="Feminino"/>
    <x v="2"/>
    <x v="16"/>
    <s v="50000446 - Rpg (R$ 36,71)"/>
    <s v="Rpg"/>
    <n v="1705204666"/>
    <s v="Finalizado (5/5)"/>
    <n v="29.367999999999999"/>
    <n v="7.3419999999999996"/>
    <n v="36.71"/>
    <s v="Sessão Faturada"/>
    <n v="774642015580010"/>
    <n v="59326"/>
    <s v="Unidade Vieiralves"/>
    <n v="1705204666"/>
    <m/>
  </r>
  <r>
    <x v="23"/>
    <x v="43"/>
    <s v="Guilerme Sergio Lopes da Silva"/>
    <s v="Masculino"/>
    <x v="2"/>
    <x v="16"/>
    <s v="50000446 - Rpg (R$ 36,71)"/>
    <s v="Rpg"/>
    <n v="1711991624"/>
    <s v="Finalizado (1/1)"/>
    <n v="29.367999999999999"/>
    <n v="7.3419999999999996"/>
    <n v="36.71"/>
    <s v="Sessão a Faturar"/>
    <n v="690019457394010"/>
    <n v="17974"/>
    <s v="Unidade Vieiralves"/>
    <n v="1711991624"/>
    <m/>
  </r>
  <r>
    <x v="0"/>
    <x v="44"/>
    <s v="Waldir dos Santos Fontes Junior"/>
    <s v="Masculino"/>
    <x v="2"/>
    <x v="16"/>
    <s v="50000446 - Rpg (R$ 36,71)"/>
    <s v="Rpg"/>
    <n v="1707540923"/>
    <s v="Finalizado (5/5)"/>
    <n v="29.367999999999999"/>
    <n v="7.3419999999999996"/>
    <n v="36.71"/>
    <s v="Sessão Faturada"/>
    <n v="772133000728000"/>
    <n v="51522"/>
    <s v="Unidade Vieiralves"/>
    <n v="1707540923"/>
    <m/>
  </r>
  <r>
    <x v="0"/>
    <x v="41"/>
    <s v="Sandra Souza Cavalcante"/>
    <m/>
    <x v="2"/>
    <x v="16"/>
    <s v="50000446 - Rpg (R$ 36,71)"/>
    <s v="Rpg"/>
    <n v="1707153723"/>
    <s v="Finalizado (5/5)"/>
    <n v="29.367999999999999"/>
    <n v="7.3419999999999996"/>
    <n v="36.71"/>
    <s v="Sessão Faturada"/>
    <n v="773299001503000"/>
    <n v="59519"/>
    <s v="Unidade Vieiralves"/>
    <n v="1707153723"/>
    <m/>
  </r>
  <r>
    <x v="0"/>
    <x v="36"/>
    <s v="Katia Cilene Jardim da Costa"/>
    <s v="Feminino"/>
    <x v="2"/>
    <x v="16"/>
    <s v="50000446 - Rpg (R$ 36,71)"/>
    <s v="Rpg"/>
    <n v="1712550456"/>
    <s v="Finalizado (1/5)"/>
    <n v="29.367999999999999"/>
    <n v="7.3419999999999996"/>
    <n v="36.71"/>
    <s v="Sessão Faturada"/>
    <n v="771015041750020"/>
    <n v="37973"/>
    <s v="Unidade Vieiralves"/>
    <n v="1712550456"/>
    <m/>
  </r>
  <r>
    <x v="0"/>
    <x v="36"/>
    <s v="Wendel de Mendonça de Souza"/>
    <s v="Masculino"/>
    <x v="2"/>
    <x v="16"/>
    <s v="50000446 - Rpg (R$ 36,71)"/>
    <s v="Rpg"/>
    <n v="1708868765"/>
    <s v="Finalizado (4/5)"/>
    <n v="29.367999999999999"/>
    <n v="7.3419999999999996"/>
    <n v="36.71"/>
    <s v="Sessão Faturada"/>
    <n v="854778700183020"/>
    <n v="59572"/>
    <s v="Unidade Vieiralves"/>
    <n v="1708868765"/>
    <m/>
  </r>
  <r>
    <x v="0"/>
    <x v="35"/>
    <s v="Darlan da Silva Picanço"/>
    <s v="Feminino"/>
    <x v="7"/>
    <x v="16"/>
    <s v="Part Convenio - 2 - Rpg - Pacote (R$ 55,00)"/>
    <s v="Rpg"/>
    <n v="170060"/>
    <s v="Finalizado (7/10)"/>
    <n v="41.25"/>
    <n v="13.75"/>
    <n v="55"/>
    <s v="Pago"/>
    <s v="0901013959170057"/>
    <n v="15532"/>
    <s v="Unidade Vieiralves"/>
    <n v="170060"/>
    <m/>
  </r>
  <r>
    <x v="0"/>
    <x v="38"/>
    <s v="Denise de Souza Lima Herzog"/>
    <s v="Feminino"/>
    <x v="2"/>
    <x v="16"/>
    <s v="50000446 - Rpg (R$ 36,71)"/>
    <s v="Rpg"/>
    <n v="1708945419"/>
    <s v="Finalizado (3/5)"/>
    <n v="29.367999999999999"/>
    <n v="7.3419999999999996"/>
    <n v="36.71"/>
    <s v="Sessão Faturada"/>
    <n v="810177500019010"/>
    <n v="52971"/>
    <s v="Unidade Vieiralves"/>
    <n v="1708945419"/>
    <m/>
  </r>
  <r>
    <x v="0"/>
    <x v="37"/>
    <s v="Nadia Livia Dantas Farias"/>
    <m/>
    <x v="2"/>
    <x v="16"/>
    <s v="50000446 - Rpg (R$ 36,71)"/>
    <s v="Rpg"/>
    <n v="1710792536"/>
    <s v="Finalizado (2/5)"/>
    <n v="29.367999999999999"/>
    <n v="7.3419999999999996"/>
    <n v="36.71"/>
    <s v="Sessão Faturada"/>
    <n v="812980300400020"/>
    <n v="59087"/>
    <s v="Unidade Vieiralves"/>
    <n v="1710792536"/>
    <m/>
  </r>
  <r>
    <x v="0"/>
    <x v="37"/>
    <s v="Angela Maria Brasil Batista"/>
    <s v="Feminino"/>
    <x v="2"/>
    <x v="16"/>
    <s v="50000446 - Rpg (R$ 36,71)"/>
    <s v="Rpg"/>
    <n v="1712710842"/>
    <s v="Finalizado (1/4)"/>
    <n v="29.367999999999999"/>
    <n v="7.3419999999999996"/>
    <n v="36.71"/>
    <s v="Sessão a Faturar"/>
    <n v="774634051578010"/>
    <n v="59260"/>
    <s v="Unidade Vieiralves"/>
    <n v="1712710842"/>
    <m/>
  </r>
  <r>
    <x v="1"/>
    <x v="44"/>
    <s v="Claudia Miyuki Muramoto Sako"/>
    <s v="Feminino"/>
    <x v="2"/>
    <x v="16"/>
    <s v="50000446 - Rpg (R$ 36,71)"/>
    <s v="Rpg"/>
    <n v="1709451057"/>
    <s v="Finalizado (3/5)"/>
    <n v="29.367999999999999"/>
    <n v="7.3419999999999996"/>
    <n v="36.71"/>
    <s v="Sessão Faturada"/>
    <n v="885854000132010"/>
    <n v="49229"/>
    <s v="Unidade Vieiralves"/>
    <n v="1709451057"/>
    <m/>
  </r>
  <r>
    <x v="1"/>
    <x v="41"/>
    <s v="Maria Raimunda da Silva Guedes Lima"/>
    <s v="Feminino"/>
    <x v="2"/>
    <x v="16"/>
    <s v="50000446 - Rpg (R$ 36,71)"/>
    <s v="Rpg"/>
    <n v="1709428211"/>
    <s v="Finalizado (4/5)"/>
    <n v="29.367999999999999"/>
    <n v="7.3419999999999996"/>
    <n v="36.71"/>
    <s v="Sessão Faturada"/>
    <n v="960016575471000"/>
    <n v="21019"/>
    <s v="Unidade Vieiralves"/>
    <n v="1709428211"/>
    <m/>
  </r>
  <r>
    <x v="1"/>
    <x v="41"/>
    <s v="Sandra Souza Cavalcante"/>
    <m/>
    <x v="2"/>
    <x v="16"/>
    <s v="50000446 - Rpg (R$ 36,71)"/>
    <s v="Rpg"/>
    <n v="1713200117"/>
    <s v="Finalizado (1/3)"/>
    <n v="29.367999999999999"/>
    <n v="7.3419999999999996"/>
    <n v="36.71"/>
    <s v="Sessão a Faturar"/>
    <n v="773299001503000"/>
    <n v="59519"/>
    <s v="Unidade Vieiralves"/>
    <n v="1713200117"/>
    <m/>
  </r>
  <r>
    <x v="1"/>
    <x v="36"/>
    <s v="Yasmin Guedes Lima"/>
    <s v="Feminino"/>
    <x v="2"/>
    <x v="16"/>
    <s v="50000446 - Rpg (R$ 36,71)"/>
    <s v="Rpg"/>
    <n v="1707146642"/>
    <s v="Finalizado (5/5)"/>
    <n v="29.367999999999999"/>
    <n v="7.3419999999999996"/>
    <n v="36.71"/>
    <s v="Sessão Faturada"/>
    <n v="960016575471020"/>
    <n v="35978"/>
    <s v="Unidade Vieiralves"/>
    <n v="1707146642"/>
    <m/>
  </r>
  <r>
    <x v="1"/>
    <x v="40"/>
    <s v="Jacineide Garcia de Carvalho Neves"/>
    <m/>
    <x v="0"/>
    <x v="16"/>
    <s v="50000446 - Rpg (R$ 62,75)"/>
    <s v="Rpg"/>
    <s v="42263120260220316178"/>
    <s v="Finalizado (9/10)"/>
    <n v="50.2"/>
    <n v="12.55"/>
    <n v="62.75"/>
    <s v="Sessão Faturada"/>
    <s v="010650432906"/>
    <n v="59393"/>
    <s v="Unidade Vieiralves"/>
    <s v="42263120260220316178"/>
    <m/>
  </r>
  <r>
    <x v="1"/>
    <x v="40"/>
    <s v="Carlos Jose Cavalcante Martins"/>
    <s v="Masculino"/>
    <x v="2"/>
    <x v="16"/>
    <s v="50000446 - Rpg (R$ 36,71)"/>
    <s v="Rpg"/>
    <n v="1709490752"/>
    <s v="Finalizado (3/5)"/>
    <n v="29.367999999999999"/>
    <n v="7.3419999999999996"/>
    <n v="36.71"/>
    <s v="Sessão Faturada"/>
    <n v="830425500051000"/>
    <n v="59320"/>
    <s v="Unidade Vieiralves"/>
    <n v="1709490752"/>
    <m/>
  </r>
  <r>
    <x v="1"/>
    <x v="35"/>
    <s v="Heloísa Ribeiro Alves"/>
    <s v="Feminino"/>
    <x v="8"/>
    <x v="16"/>
    <s v="50000446 - Reeducação Postural Global (R$ 36,71)"/>
    <s v="Rpg"/>
    <n v="1709622581"/>
    <s v="Finalizado (3/4)"/>
    <n v="29.367999999999999"/>
    <n v="7.3419999999999996"/>
    <n v="36.71"/>
    <s v="Sessão a Faturar"/>
    <n v="954600017590000"/>
    <n v="59570"/>
    <s v="Unidade Vieiralves"/>
    <n v="1709622581"/>
    <m/>
  </r>
  <r>
    <x v="1"/>
    <x v="35"/>
    <s v="Marcia Lúcia Souza de Magalhães"/>
    <m/>
    <x v="0"/>
    <x v="16"/>
    <s v="50000446 - Rpg (R$ 62,75)"/>
    <s v="Rpg"/>
    <s v="42263120260318501135"/>
    <s v="Finalizado (1/10)"/>
    <n v="50.2"/>
    <n v="12.55"/>
    <n v="62.75"/>
    <s v="Sessão a Faturar"/>
    <s v="010650325307"/>
    <n v="59632"/>
    <s v="Unidade Vieiralves"/>
    <s v="42263120260318501135"/>
    <s v="GUIA ASSINADA"/>
  </r>
  <r>
    <x v="1"/>
    <x v="38"/>
    <s v="Jose Ivan Alves de Souza"/>
    <s v="Masculino"/>
    <x v="0"/>
    <x v="16"/>
    <s v="50000446 - Rpg (R$ 62,75)"/>
    <s v="Rpg"/>
    <s v="42263120260221324726"/>
    <s v="Finalizado (6/10)"/>
    <n v="50.2"/>
    <n v="12.55"/>
    <n v="62.75"/>
    <s v="Sessão Faturada"/>
    <s v="010650919000"/>
    <n v="8870"/>
    <s v="Unidade Vieiralves"/>
    <s v="42263120260221324726"/>
    <m/>
  </r>
  <r>
    <x v="1"/>
    <x v="38"/>
    <s v="Rose Mayre Vieira Barreto"/>
    <s v="Feminino"/>
    <x v="2"/>
    <x v="16"/>
    <s v="50000446 - Rpg (R$ 36,71)"/>
    <s v="Rpg"/>
    <n v="1707814942"/>
    <s v="Finalizado (5/5)"/>
    <n v="29.367999999999999"/>
    <n v="7.3419999999999996"/>
    <n v="36.71"/>
    <s v="Sessão Faturada"/>
    <n v="813312700027000"/>
    <n v="17029"/>
    <s v="Unidade Vieiralves"/>
    <n v="1707814942"/>
    <m/>
  </r>
  <r>
    <x v="1"/>
    <x v="37"/>
    <s v="Emanuele Menezes da Silva"/>
    <s v="Feminino"/>
    <x v="2"/>
    <x v="16"/>
    <s v="50000446 - Rpg (R$ 36,71)"/>
    <s v="Rpg"/>
    <n v="1708857845"/>
    <s v="Finalizado (4/4)"/>
    <n v="29.367999999999999"/>
    <n v="7.3419999999999996"/>
    <n v="36.71"/>
    <s v="Sessão Faturada"/>
    <n v="774642014893010"/>
    <n v="44534"/>
    <s v="Unidade Vieiralves"/>
    <n v="1708857845"/>
    <m/>
  </r>
  <r>
    <x v="1"/>
    <x v="39"/>
    <s v="Daniele Guimarães Alves"/>
    <s v="Feminino"/>
    <x v="2"/>
    <x v="16"/>
    <s v="50000446 - Rpg (R$ 36,71)"/>
    <s v="Rpg"/>
    <n v="1713359209"/>
    <s v="Finalizado (1/4)"/>
    <n v="29.367999999999999"/>
    <n v="7.3419999999999996"/>
    <n v="36.71"/>
    <s v="Sessão a Faturar"/>
    <n v="952650062103000"/>
    <n v="59353"/>
    <s v="Unidade Vieiralves"/>
    <n v="1713359209"/>
    <m/>
  </r>
  <r>
    <x v="1"/>
    <x v="39"/>
    <s v="Tanira Rozane Eder Martins"/>
    <s v="Feminino"/>
    <x v="19"/>
    <x v="16"/>
    <s v="90050061 - Reeducaçao Postural Global - 17/03/2026 (R$ 80,26)"/>
    <s v="Rpg"/>
    <n v="5827090"/>
    <s v="Finalizado (7/10)"/>
    <n v="64.207999999999998"/>
    <n v="16.052"/>
    <n v="80.260000000000005"/>
    <s v="Sessão Faturada"/>
    <s v="0001000033690081"/>
    <n v="4997"/>
    <s v="Unidade Vieiralves"/>
    <n v="5827090"/>
    <m/>
  </r>
  <r>
    <x v="1"/>
    <x v="43"/>
    <s v="Raimunda Carvalho Caldas"/>
    <s v="Feminino"/>
    <x v="2"/>
    <x v="16"/>
    <s v="50000446 - Rpg (R$ 36,71)"/>
    <s v="Rpg"/>
    <n v="1711416495"/>
    <s v="Finalizado (2/5)"/>
    <n v="29.367999999999999"/>
    <n v="7.3419999999999996"/>
    <n v="36.71"/>
    <s v="Sessão Faturada"/>
    <n v="952480013332000"/>
    <n v="14710"/>
    <s v="Unidade Vieiralves"/>
    <n v="1711416495"/>
    <m/>
  </r>
  <r>
    <x v="1"/>
    <x v="43"/>
    <s v="Julliana Gadelha de Medeiros"/>
    <s v="Feminino"/>
    <x v="8"/>
    <x v="16"/>
    <s v="50000446 - Reeducação Postural Global (R$ 36,71)"/>
    <s v="Rpg"/>
    <n v="1713436222"/>
    <s v="Finalizado (1/5)"/>
    <n v="29.367999999999999"/>
    <n v="7.3419999999999996"/>
    <n v="36.71"/>
    <s v="Sessão Faturada"/>
    <n v="954600002968020"/>
    <n v="20663"/>
    <s v="Unidade Vieiralves"/>
    <n v="1713436222"/>
    <m/>
  </r>
  <r>
    <x v="2"/>
    <x v="36"/>
    <s v="Katia Cilene Jardim da Costa"/>
    <s v="Feminino"/>
    <x v="2"/>
    <x v="16"/>
    <s v="50000446 - Rpg (R$ 36,71)"/>
    <s v="Rpg"/>
    <n v="1712550456"/>
    <s v="Finalizado (2/5)"/>
    <n v="29.367999999999999"/>
    <n v="7.3419999999999996"/>
    <n v="36.71"/>
    <s v="Sessão Faturada"/>
    <n v="771015041750020"/>
    <n v="37973"/>
    <s v="Unidade Vieiralves"/>
    <n v="1712550456"/>
    <m/>
  </r>
  <r>
    <x v="2"/>
    <x v="36"/>
    <s v="Yasmin Guedes Lima"/>
    <s v="Feminino"/>
    <x v="2"/>
    <x v="16"/>
    <s v="50000446 - Rpg (R$ 36,71)"/>
    <s v="Rpg"/>
    <n v="1713908537"/>
    <s v="Finalizado (1/5)"/>
    <n v="29.367999999999999"/>
    <n v="7.3419999999999996"/>
    <n v="36.71"/>
    <s v="Sessão Faturada"/>
    <n v="960016575471020"/>
    <n v="35978"/>
    <s v="Unidade Vieiralves"/>
    <n v="1713908537"/>
    <m/>
  </r>
  <r>
    <x v="2"/>
    <x v="40"/>
    <s v="Carlos Juliano Prado"/>
    <s v="Masculino"/>
    <x v="2"/>
    <x v="16"/>
    <s v="50000446 - Rpg (R$ 36,71)"/>
    <s v="Rpg"/>
    <n v="1713866551"/>
    <s v="Finalizado (1/5)"/>
    <n v="29.367999999999999"/>
    <n v="7.3419999999999996"/>
    <n v="36.71"/>
    <s v="Sessão Faturada"/>
    <n v="774981010073010"/>
    <n v="55509"/>
    <s v="Unidade Vieiralves"/>
    <n v="1713866551"/>
    <m/>
  </r>
  <r>
    <x v="2"/>
    <x v="40"/>
    <s v="Carlos Jose Cavalcante Martins"/>
    <s v="Masculino"/>
    <x v="2"/>
    <x v="16"/>
    <s v="50000446 - Rpg (R$ 36,71)"/>
    <s v="Rpg"/>
    <n v="1709490752"/>
    <s v="Finalizado (4/5)"/>
    <n v="29.367999999999999"/>
    <n v="7.3419999999999996"/>
    <n v="36.71"/>
    <s v="Sessão Faturada"/>
    <n v="830425500051000"/>
    <n v="59320"/>
    <s v="Unidade Vieiralves"/>
    <n v="1709490752"/>
    <m/>
  </r>
  <r>
    <x v="2"/>
    <x v="35"/>
    <s v="Darlan da Silva Picanço"/>
    <s v="Feminino"/>
    <x v="7"/>
    <x v="16"/>
    <s v="Part Convenio - 2 - Rpg - Pacote (R$ 55,00)"/>
    <s v="Rpg"/>
    <n v="170060"/>
    <s v="Finalizado (8/10)"/>
    <n v="41.25"/>
    <n v="13.75"/>
    <n v="55"/>
    <s v="Pago"/>
    <s v="0901013959170057"/>
    <n v="15532"/>
    <s v="Unidade Vieiralves"/>
    <n v="170060"/>
    <m/>
  </r>
  <r>
    <x v="2"/>
    <x v="35"/>
    <s v="Remulo Jose Nascimento Filho"/>
    <s v="Masculino"/>
    <x v="2"/>
    <x v="16"/>
    <s v="50000446 - Rpg (R$ 36,71)"/>
    <s v="Rpg"/>
    <n v="1713910265"/>
    <s v="Finalizado (1/2)"/>
    <n v="29.367999999999999"/>
    <n v="7.3419999999999996"/>
    <n v="36.71"/>
    <s v="Sessão a Faturar"/>
    <s v="56788888022609450103"/>
    <n v="45990"/>
    <s v="Unidade Vieiralves"/>
    <n v="1713910265"/>
    <m/>
  </r>
  <r>
    <x v="2"/>
    <x v="38"/>
    <s v="Denise de Souza Lima Herzog"/>
    <s v="Feminino"/>
    <x v="2"/>
    <x v="16"/>
    <s v="50000446 - Rpg (R$ 36,71)"/>
    <s v="Rpg"/>
    <n v="1708945419"/>
    <s v="Finalizado (4/5)"/>
    <n v="29.367999999999999"/>
    <n v="7.3419999999999996"/>
    <n v="36.71"/>
    <s v="Sessão Faturada"/>
    <n v="810177500019010"/>
    <n v="52971"/>
    <s v="Unidade Vieiralves"/>
    <n v="1708945419"/>
    <m/>
  </r>
  <r>
    <x v="2"/>
    <x v="38"/>
    <s v="Ana Carolina Bento Andrade da Encarnação"/>
    <s v="Feminino"/>
    <x v="2"/>
    <x v="16"/>
    <s v="50000446 - Rpg (R$ 36,71)"/>
    <s v="Rpg"/>
    <n v="1713612881"/>
    <s v="Finalizado (2/5)"/>
    <n v="29.367999999999999"/>
    <n v="7.3419999999999996"/>
    <n v="36.71"/>
    <s v="Sessão Faturada"/>
    <n v="771015045292010"/>
    <n v="21604"/>
    <s v="Unidade Vieiralves"/>
    <n v="1713612881"/>
    <m/>
  </r>
  <r>
    <x v="2"/>
    <x v="37"/>
    <s v="Julliana Gadelha de Medeiros"/>
    <s v="Feminino"/>
    <x v="8"/>
    <x v="16"/>
    <s v="50000446 - Reeducação Postural Global (R$ 36,71)"/>
    <s v="Rpg"/>
    <n v="1713436222"/>
    <s v="Finalizado (2/5)"/>
    <n v="29.367999999999999"/>
    <n v="7.3419999999999996"/>
    <n v="36.71"/>
    <s v="Sessão Faturada"/>
    <n v="954600002968020"/>
    <n v="20663"/>
    <s v="Unidade Vieiralves"/>
    <n v="1713436222"/>
    <m/>
  </r>
  <r>
    <x v="2"/>
    <x v="39"/>
    <s v="Nadia Livia Dantas Farias"/>
    <m/>
    <x v="2"/>
    <x v="16"/>
    <s v="50000446 - Rpg (R$ 36,71)"/>
    <s v="Rpg"/>
    <n v="1710792536"/>
    <s v="Finalizado (3/5)"/>
    <n v="29.367999999999999"/>
    <n v="7.3419999999999996"/>
    <n v="36.71"/>
    <s v="Sessão Faturada"/>
    <n v="812980300400020"/>
    <n v="59087"/>
    <s v="Unidade Vieiralves"/>
    <n v="1710792536"/>
    <m/>
  </r>
  <r>
    <x v="2"/>
    <x v="39"/>
    <s v="Simone de Oliveira Vasconcelos"/>
    <s v="Feminino"/>
    <x v="2"/>
    <x v="16"/>
    <s v="50000446 - Rpg (R$ 36,71)"/>
    <s v="Rpg"/>
    <n v="1713991603"/>
    <s v="Finalizado (1/4)"/>
    <n v="29.367999999999999"/>
    <n v="7.3419999999999996"/>
    <n v="36.71"/>
    <s v="Sessão a Faturar"/>
    <n v="771015038954010"/>
    <n v="54706"/>
    <s v="Unidade Vieiralves"/>
    <n v="1713991603"/>
    <m/>
  </r>
  <r>
    <x v="2"/>
    <x v="43"/>
    <s v="Raimunda Carvalho Caldas"/>
    <s v="Feminino"/>
    <x v="2"/>
    <x v="16"/>
    <s v="50000446 - Rpg (R$ 36,71)"/>
    <s v="Rpg"/>
    <n v="1711416495"/>
    <s v="Finalizado (3/5)"/>
    <n v="29.367999999999999"/>
    <n v="7.3419999999999996"/>
    <n v="36.71"/>
    <s v="Sessão Faturada"/>
    <n v="952480013332000"/>
    <n v="14710"/>
    <s v="Unidade Vieiralves"/>
    <n v="1711416495"/>
    <m/>
  </r>
  <r>
    <x v="3"/>
    <x v="44"/>
    <s v="Yasmin Guedes Lima"/>
    <s v="Feminino"/>
    <x v="2"/>
    <x v="16"/>
    <s v="50000446 - Rpg (R$ 36,71)"/>
    <s v="Rpg"/>
    <n v="1713908537"/>
    <s v="Finalizado (2/5)"/>
    <n v="29.367999999999999"/>
    <n v="7.3419999999999996"/>
    <n v="36.71"/>
    <s v="Sessão Faturada"/>
    <n v="960016575471020"/>
    <n v="35978"/>
    <s v="Unidade Vieiralves"/>
    <n v="1713908537"/>
    <m/>
  </r>
  <r>
    <x v="3"/>
    <x v="41"/>
    <s v="Maria Raimunda da Silva Guedes Lima"/>
    <s v="Feminino"/>
    <x v="2"/>
    <x v="16"/>
    <s v="50000446 - Rpg (R$ 36,71)"/>
    <s v="Rpg"/>
    <n v="1709428211"/>
    <s v="Finalizado (5/5)"/>
    <n v="29.367999999999999"/>
    <n v="7.3419999999999996"/>
    <n v="36.71"/>
    <s v="Sessão Faturada"/>
    <n v="960016575471000"/>
    <n v="21019"/>
    <s v="Unidade Vieiralves"/>
    <n v="1709428211"/>
    <m/>
  </r>
  <r>
    <x v="3"/>
    <x v="40"/>
    <s v="Jacineide Garcia de Carvalho Neves"/>
    <m/>
    <x v="0"/>
    <x v="16"/>
    <s v="50000446 - Rpg (R$ 62,75)"/>
    <s v="Rpg"/>
    <s v="42263120260220316178"/>
    <s v="Finalizado (10/10)"/>
    <n v="50.2"/>
    <n v="12.55"/>
    <n v="62.75"/>
    <s v="Sessão Faturada"/>
    <s v="010650432906"/>
    <n v="59393"/>
    <s v="Unidade Vieiralves"/>
    <s v="42263120260220316178"/>
    <m/>
  </r>
  <r>
    <x v="3"/>
    <x v="35"/>
    <s v="Ana Carolina Bento Andrade da Encarnação"/>
    <s v="Feminino"/>
    <x v="2"/>
    <x v="16"/>
    <s v="50000446 - Rpg (R$ 36,71)"/>
    <s v="Rpg"/>
    <n v="1713612881"/>
    <s v="Finalizado (3/5)"/>
    <n v="29.367999999999999"/>
    <n v="7.3419999999999996"/>
    <n v="36.71"/>
    <s v="Sessão Faturada"/>
    <n v="771015045292010"/>
    <n v="21604"/>
    <s v="Unidade Vieiralves"/>
    <n v="1713612881"/>
    <m/>
  </r>
  <r>
    <x v="3"/>
    <x v="35"/>
    <s v="Cristina dos Santos Braga"/>
    <m/>
    <x v="20"/>
    <x v="16"/>
    <s v="25100050 - Rpg (R$ 28,80)"/>
    <s v="Rpg"/>
    <n v="22729960"/>
    <s v="Finalizado (1/10)"/>
    <n v="23.04"/>
    <n v="5.76"/>
    <n v="28.8"/>
    <s v="Sessão a Faturar"/>
    <n v="10511000263700"/>
    <n v="59694"/>
    <s v="Unidade Vieiralves"/>
    <n v="22729960"/>
    <m/>
  </r>
  <r>
    <x v="3"/>
    <x v="38"/>
    <s v="Jose Ivan Alves de Souza"/>
    <s v="Masculino"/>
    <x v="0"/>
    <x v="16"/>
    <s v="50000446 - Rpg (R$ 62,75)"/>
    <s v="Rpg"/>
    <s v="42263120260221324726"/>
    <s v="Finalizado (7/10)"/>
    <n v="50.2"/>
    <n v="12.55"/>
    <n v="62.75"/>
    <s v="Sessão Faturada"/>
    <s v="010650919000"/>
    <n v="8870"/>
    <s v="Unidade Vieiralves"/>
    <s v="42263120260221324726"/>
    <m/>
  </r>
  <r>
    <x v="3"/>
    <x v="38"/>
    <s v="Rose Mayre Vieira Barreto"/>
    <s v="Feminino"/>
    <x v="2"/>
    <x v="16"/>
    <s v="50000446 - Rpg (R$ 36,71)"/>
    <s v="Rpg"/>
    <n v="1714506912"/>
    <s v="Finalizado (1/5)"/>
    <n v="29.367999999999999"/>
    <n v="7.3419999999999996"/>
    <n v="36.71"/>
    <s v="Sessão Faturada"/>
    <n v="813312700027000"/>
    <n v="17029"/>
    <s v="Unidade Vieiralves"/>
    <n v="1714506912"/>
    <m/>
  </r>
  <r>
    <x v="3"/>
    <x v="37"/>
    <s v="Eliana Araujo Pereira Miki"/>
    <s v="Feminino"/>
    <x v="2"/>
    <x v="16"/>
    <s v="50000446 - Rpg (R$ 36,71)"/>
    <s v="Rpg"/>
    <n v="1714487635"/>
    <s v="Finalizado (1/2)"/>
    <n v="29.367999999999999"/>
    <n v="7.3419999999999996"/>
    <n v="36.71"/>
    <s v="Sessão a Faturar"/>
    <n v="771015025992020"/>
    <n v="7512"/>
    <s v="Unidade Vieiralves"/>
    <n v="1714487635"/>
    <m/>
  </r>
  <r>
    <x v="3"/>
    <x v="39"/>
    <s v="Luciana Levinthal da Silva"/>
    <s v="Feminino"/>
    <x v="11"/>
    <x v="16"/>
    <s v="90001001 - Rpg (R$ 65,10)"/>
    <s v="Rpg"/>
    <n v="3606"/>
    <s v="Finalizado (2/10)"/>
    <n v="52.08"/>
    <n v="13.02"/>
    <n v="65.099999999999994"/>
    <s v="Sessão a Faturar"/>
    <s v="01685-F-1"/>
    <n v="59646"/>
    <s v="Unidade Vieiralves"/>
    <n v="3606"/>
    <m/>
  </r>
  <r>
    <x v="3"/>
    <x v="39"/>
    <s v="Tanira Rozane Eder Martins"/>
    <s v="Feminino"/>
    <x v="19"/>
    <x v="16"/>
    <s v="90050061 - Reeducaçao Postural Global - 17/03/2026 (R$ 80,26)"/>
    <s v="Rpg"/>
    <n v="5827090"/>
    <s v="Finalizado (8/10)"/>
    <n v="64.207999999999998"/>
    <n v="16.052"/>
    <n v="80.260000000000005"/>
    <s v="Sessão Faturada"/>
    <s v="0001000033690081"/>
    <n v="4997"/>
    <s v="Unidade Vieiralves"/>
    <n v="5827090"/>
    <m/>
  </r>
  <r>
    <x v="3"/>
    <x v="43"/>
    <s v="Flavia Simoes Correa"/>
    <m/>
    <x v="18"/>
    <x v="16"/>
    <s v="50000446 - Rpg - Pacote (R$ 45,00)"/>
    <s v="Rpg"/>
    <n v="172135"/>
    <s v="Finalizado (1/10)"/>
    <n v="36"/>
    <n v="9"/>
    <n v="45"/>
    <s v="Sessão a Faturar"/>
    <n v="36000000100"/>
    <n v="54680"/>
    <s v="Unidade Vieiralves"/>
    <n v="172135"/>
    <m/>
  </r>
  <r>
    <x v="4"/>
    <x v="44"/>
    <s v="Carlos Juliano Prado"/>
    <s v="Masculino"/>
    <x v="2"/>
    <x v="16"/>
    <s v="50000446 - Rpg (R$ 36,71)"/>
    <s v="Rpg"/>
    <n v="1713866551"/>
    <s v="Finalizado (2/5)"/>
    <n v="29.367999999999999"/>
    <n v="7.3419999999999996"/>
    <n v="36.71"/>
    <s v="Sessão Faturada"/>
    <n v="774981010073010"/>
    <n v="55509"/>
    <s v="Unidade Vieiralves"/>
    <n v="1713866551"/>
    <m/>
  </r>
  <r>
    <x v="4"/>
    <x v="44"/>
    <s v="Angela Maria Brasil Batista"/>
    <s v="Feminino"/>
    <x v="2"/>
    <x v="16"/>
    <s v="50000446 - Rpg (R$ 36,71)"/>
    <s v="Rpg"/>
    <n v="1712710842"/>
    <s v="Finalizado (2/4)"/>
    <n v="29.367999999999999"/>
    <n v="7.3419999999999996"/>
    <n v="36.71"/>
    <s v="Sessão a Faturar"/>
    <n v="774634051578010"/>
    <n v="59260"/>
    <s v="Unidade Vieiralves"/>
    <n v="1712710842"/>
    <m/>
  </r>
  <r>
    <x v="4"/>
    <x v="41"/>
    <s v="Ana Carolina Bento Andrade da Encarnação"/>
    <s v="Feminino"/>
    <x v="2"/>
    <x v="16"/>
    <s v="50000446 - Rpg (R$ 36,71)"/>
    <s v="Rpg"/>
    <n v="1713612881"/>
    <s v="Finalizado (4/5)"/>
    <n v="29.367999999999999"/>
    <n v="7.3419999999999996"/>
    <n v="36.71"/>
    <s v="Sessão Faturada"/>
    <n v="771015045292010"/>
    <n v="21604"/>
    <s v="Unidade Vieiralves"/>
    <n v="1713612881"/>
    <m/>
  </r>
  <r>
    <x v="4"/>
    <x v="41"/>
    <s v="Wendel de Mendonça de Souza"/>
    <s v="Masculino"/>
    <x v="2"/>
    <x v="16"/>
    <s v="50000446 - Rpg (R$ 36,71)"/>
    <s v="Rpg"/>
    <n v="1708868765"/>
    <s v="Finalizado (5/5)"/>
    <n v="29.367999999999999"/>
    <n v="7.3419999999999996"/>
    <n v="36.71"/>
    <s v="Sessão Faturada"/>
    <n v="854778700183020"/>
    <n v="59572"/>
    <s v="Unidade Vieiralves"/>
    <n v="1708868765"/>
    <m/>
  </r>
  <r>
    <x v="4"/>
    <x v="36"/>
    <s v="Katia Cilene Jardim da Costa"/>
    <s v="Feminino"/>
    <x v="2"/>
    <x v="16"/>
    <s v="50000446 - Rpg (R$ 36,71)"/>
    <s v="Rpg"/>
    <n v="1712550456"/>
    <s v="Finalizado (3/5)"/>
    <n v="29.367999999999999"/>
    <n v="7.3419999999999996"/>
    <n v="36.71"/>
    <s v="Sessão Faturada"/>
    <n v="771015041750020"/>
    <n v="37973"/>
    <s v="Unidade Vieiralves"/>
    <n v="1712550456"/>
    <m/>
  </r>
  <r>
    <x v="4"/>
    <x v="36"/>
    <s v="Claudia Miyuki Muramoto Sako"/>
    <s v="Feminino"/>
    <x v="2"/>
    <x v="16"/>
    <s v="50000446 - Rpg (R$ 36,71)"/>
    <s v="Rpg"/>
    <n v="1709451057"/>
    <s v="Finalizado (4/5)"/>
    <n v="29.367999999999999"/>
    <n v="7.3419999999999996"/>
    <n v="36.71"/>
    <s v="Sessão Faturada"/>
    <n v="885854000132010"/>
    <n v="49229"/>
    <s v="Unidade Vieiralves"/>
    <n v="1709451057"/>
    <m/>
  </r>
  <r>
    <x v="4"/>
    <x v="40"/>
    <s v="Carlos Jose Cavalcante Martins"/>
    <s v="Masculino"/>
    <x v="2"/>
    <x v="16"/>
    <s v="50000446 - Rpg (R$ 36,71)"/>
    <s v="Rpg"/>
    <n v="1709490752"/>
    <s v="Finalizado (5/5)"/>
    <n v="29.367999999999999"/>
    <n v="7.3419999999999996"/>
    <n v="36.71"/>
    <s v="Sessão Faturada"/>
    <n v="830425500051000"/>
    <n v="59320"/>
    <s v="Unidade Vieiralves"/>
    <n v="1709490752"/>
    <m/>
  </r>
  <r>
    <x v="4"/>
    <x v="35"/>
    <s v="Darlan da Silva Picanço"/>
    <s v="Feminino"/>
    <x v="7"/>
    <x v="16"/>
    <s v="Part Convenio - 2 - Rpg - Pacote (R$ 55,00)"/>
    <s v="Rpg"/>
    <n v="170060"/>
    <s v="Finalizado (9/10)"/>
    <n v="41.25"/>
    <n v="13.75"/>
    <n v="55"/>
    <s v="Pago"/>
    <s v="0901013959170057"/>
    <n v="15532"/>
    <s v="Unidade Vieiralves"/>
    <n v="170060"/>
    <m/>
  </r>
  <r>
    <x v="4"/>
    <x v="35"/>
    <s v="Remulo Jose Nascimento Filho"/>
    <s v="Masculino"/>
    <x v="2"/>
    <x v="16"/>
    <s v="50000446 - Rpg (R$ 36,71)"/>
    <s v="Rpg"/>
    <n v="1713910265"/>
    <s v="Finalizado (2/2)"/>
    <n v="29.367999999999999"/>
    <n v="7.3419999999999996"/>
    <n v="36.71"/>
    <s v="Sessão a Faturar"/>
    <s v="56788888022609450103"/>
    <n v="45990"/>
    <s v="Unidade Vieiralves"/>
    <n v="1713910265"/>
    <m/>
  </r>
  <r>
    <x v="4"/>
    <x v="38"/>
    <s v="Jose Ivan Alves de Souza"/>
    <s v="Masculino"/>
    <x v="0"/>
    <x v="16"/>
    <s v="50000446 - Rpg (R$ 62,75)"/>
    <s v="Rpg"/>
    <s v="42263120260221324726"/>
    <s v="Finalizado (8/10)"/>
    <n v="50.2"/>
    <n v="12.55"/>
    <n v="62.75"/>
    <s v="Sessão Faturada"/>
    <s v="010650919000"/>
    <n v="8870"/>
    <s v="Unidade Vieiralves"/>
    <s v="42263120260221324726"/>
    <m/>
  </r>
  <r>
    <x v="4"/>
    <x v="38"/>
    <s v="Denise de Souza Lima Herzog"/>
    <s v="Feminino"/>
    <x v="2"/>
    <x v="16"/>
    <s v="50000446 - Rpg (R$ 36,71)"/>
    <s v="Rpg"/>
    <n v="1708945419"/>
    <s v="Finalizado (5/5)"/>
    <n v="29.367999999999999"/>
    <n v="7.3419999999999996"/>
    <n v="36.71"/>
    <s v="Sessão Faturada"/>
    <n v="810177500019010"/>
    <n v="52971"/>
    <s v="Unidade Vieiralves"/>
    <n v="1708945419"/>
    <m/>
  </r>
  <r>
    <x v="4"/>
    <x v="37"/>
    <s v="Julliana Gadelha de Medeiros"/>
    <s v="Feminino"/>
    <x v="8"/>
    <x v="16"/>
    <s v="50000446 - Reeducação Postural Global (R$ 36,71)"/>
    <s v="Rpg"/>
    <n v="1713436222"/>
    <s v="Finalizado (3/5)"/>
    <n v="29.367999999999999"/>
    <n v="7.3419999999999996"/>
    <n v="36.71"/>
    <s v="Sessão Faturada"/>
    <n v="954600002968020"/>
    <n v="20663"/>
    <s v="Unidade Vieiralves"/>
    <n v="1713436222"/>
    <m/>
  </r>
  <r>
    <x v="4"/>
    <x v="39"/>
    <s v="Leonice Soares Lira"/>
    <s v="Feminino"/>
    <x v="8"/>
    <x v="16"/>
    <s v="50000446 - Reeducação Postural Global (R$ 36,71)"/>
    <s v="Rpg"/>
    <n v="1715037547"/>
    <s v="Finalizado (1/5)"/>
    <n v="29.367999999999999"/>
    <n v="7.3419999999999996"/>
    <n v="36.71"/>
    <s v="Sessão a Faturar"/>
    <n v="954600008907000"/>
    <n v="59695"/>
    <s v="Unidade Vieiralves"/>
    <n v="1715037547"/>
    <m/>
  </r>
  <r>
    <x v="4"/>
    <x v="39"/>
    <s v="Jefferson Castro Simplicio"/>
    <s v="Masculino"/>
    <x v="2"/>
    <x v="16"/>
    <s v="50000446 - Rpg (R$ 36,71)"/>
    <s v="Rpg"/>
    <n v="1707992298"/>
    <s v="Finalizado (4/5)"/>
    <n v="29.367999999999999"/>
    <n v="7.3419999999999996"/>
    <n v="36.71"/>
    <s v="Sessão Faturada"/>
    <n v="960130225177000"/>
    <n v="43518"/>
    <s v="Unidade Vieiralves"/>
    <n v="1707992298"/>
    <m/>
  </r>
  <r>
    <x v="4"/>
    <x v="43"/>
    <s v="Raimunda Carvalho Caldas"/>
    <s v="Feminino"/>
    <x v="2"/>
    <x v="16"/>
    <s v="50000446 - Rpg (R$ 36,71)"/>
    <s v="Rpg"/>
    <n v="1711416495"/>
    <s v="Finalizado (4/5)"/>
    <n v="29.367999999999999"/>
    <n v="7.3419999999999996"/>
    <n v="36.71"/>
    <s v="Sessão Faturada"/>
    <n v="952480013332000"/>
    <n v="14710"/>
    <s v="Unidade Vieiralves"/>
    <n v="1711416495"/>
    <m/>
  </r>
  <r>
    <x v="24"/>
    <x v="44"/>
    <s v="Luciana Rodrigues Silva Sebestyen"/>
    <s v="Feminino"/>
    <x v="2"/>
    <x v="16"/>
    <s v="50000446 - Rpg (R$ 36,71)"/>
    <s v="Rpg"/>
    <n v="1715403261"/>
    <s v="Finalizado (1/5)"/>
    <n v="29.367999999999999"/>
    <n v="7.3419999999999996"/>
    <n v="36.71"/>
    <s v="Sessão a Faturar"/>
    <n v="960019373935000"/>
    <n v="59282"/>
    <s v="Unidade Vieiralves"/>
    <n v="1715403261"/>
    <m/>
  </r>
  <r>
    <x v="24"/>
    <x v="44"/>
    <s v="Josicleide Nunes Santos"/>
    <s v="Feminino"/>
    <x v="2"/>
    <x v="16"/>
    <s v="50000446 - Rpg (R$ 36,71)"/>
    <s v="Rpg"/>
    <n v="1705941178"/>
    <s v="Finalizado (5/5)"/>
    <n v="29.367999999999999"/>
    <n v="7.3419999999999996"/>
    <n v="36.71"/>
    <s v="Sessão a Faturar"/>
    <n v="774981001279000"/>
    <n v="20120"/>
    <s v="Unidade Vieiralves"/>
    <n v="1705941178"/>
    <m/>
  </r>
  <r>
    <x v="24"/>
    <x v="41"/>
    <s v="Talita Ávila Lucena"/>
    <m/>
    <x v="20"/>
    <x v="16"/>
    <s v="25100050 - Rpg (R$ 28,80)"/>
    <s v="Rpg"/>
    <n v="55599300"/>
    <s v="Finalizado (3/10)"/>
    <n v="23.04"/>
    <n v="5.76"/>
    <n v="28.8"/>
    <s v="Sessão a Faturar"/>
    <n v="1051100331140100"/>
    <n v="58568"/>
    <s v="Unidade Vieiralves"/>
    <n v="55599300"/>
    <m/>
  </r>
  <r>
    <x v="24"/>
    <x v="41"/>
    <s v="Sergio Senga"/>
    <s v="Masculino"/>
    <x v="2"/>
    <x v="16"/>
    <s v="50000446 - Rpg (R$ 36,71)"/>
    <s v="Rpg"/>
    <n v="1711854875"/>
    <s v="Finalizado (2/3)"/>
    <n v="29.367999999999999"/>
    <n v="7.3419999999999996"/>
    <n v="36.71"/>
    <s v="Sessão a Faturar"/>
    <n v="771015040932000"/>
    <n v="37516"/>
    <s v="Unidade Vieiralves"/>
    <n v="1711854875"/>
    <m/>
  </r>
  <r>
    <x v="24"/>
    <x v="36"/>
    <s v="Valterlei Ribeiro Mendonça"/>
    <m/>
    <x v="2"/>
    <x v="16"/>
    <s v="50000446 - Rpg (R$ 36,71)"/>
    <s v="Rpg"/>
    <n v="1702117385"/>
    <s v="Finalizado (4/5)"/>
    <n v="29.367999999999999"/>
    <n v="7.3419999999999996"/>
    <n v="36.71"/>
    <s v="Sessão Faturada"/>
    <n v="775494003360000"/>
    <n v="57982"/>
    <s v="Unidade Vieiralves"/>
    <n v="1702117385"/>
    <m/>
  </r>
  <r>
    <x v="24"/>
    <x v="40"/>
    <s v="Waldir dos Santos Fontes Junior"/>
    <s v="Masculino"/>
    <x v="2"/>
    <x v="16"/>
    <s v="50000446 - Rpg (R$ 36,71)"/>
    <s v="Rpg"/>
    <n v="1714248538"/>
    <s v="Finalizado (2/5)"/>
    <n v="29.367999999999999"/>
    <n v="7.3419999999999996"/>
    <n v="36.71"/>
    <s v="Sessão a Faturar"/>
    <n v="772133000728000"/>
    <n v="51522"/>
    <s v="Unidade Vieiralves"/>
    <n v="1714248538"/>
    <m/>
  </r>
  <r>
    <x v="24"/>
    <x v="35"/>
    <s v="Isadora Vitorino Grana"/>
    <s v="Feminino"/>
    <x v="7"/>
    <x v="16"/>
    <s v="Part Convenio - 2 - Rpg - Pacote (R$ 55,00)"/>
    <s v="Rpg"/>
    <n v="170056"/>
    <s v="Finalizado (9/10)"/>
    <n v="41.25"/>
    <n v="13.75"/>
    <n v="55"/>
    <s v="Pago"/>
    <s v="00010300035963020"/>
    <n v="56556"/>
    <s v="Unidade Vieiralves"/>
    <n v="170056"/>
    <m/>
  </r>
  <r>
    <x v="24"/>
    <x v="35"/>
    <s v="Carlos Juliano Prado"/>
    <s v="Masculino"/>
    <x v="2"/>
    <x v="16"/>
    <s v="50000446 - Rpg (R$ 36,71)"/>
    <s v="Rpg"/>
    <n v="1713866551"/>
    <s v="Finalizado (3/5)"/>
    <n v="29.367999999999999"/>
    <n v="7.3419999999999996"/>
    <n v="36.71"/>
    <s v="Sessão Faturada"/>
    <n v="774981010073010"/>
    <n v="55509"/>
    <s v="Unidade Vieiralves"/>
    <n v="1713866551"/>
    <m/>
  </r>
  <r>
    <x v="24"/>
    <x v="38"/>
    <s v="Rose Mayre Vieira Barreto"/>
    <s v="Feminino"/>
    <x v="2"/>
    <x v="16"/>
    <s v="50000446 - Rpg (R$ 36,71)"/>
    <s v="Rpg"/>
    <n v="1714506912"/>
    <s v="Finalizado (2/5)"/>
    <n v="29.367999999999999"/>
    <n v="7.3419999999999996"/>
    <n v="36.71"/>
    <s v="Sessão Faturada"/>
    <n v="813312700027000"/>
    <n v="17029"/>
    <s v="Unidade Vieiralves"/>
    <n v="1714506912"/>
    <m/>
  </r>
  <r>
    <x v="24"/>
    <x v="39"/>
    <s v="Simone de Oliveira Vasconcelos"/>
    <s v="Feminino"/>
    <x v="2"/>
    <x v="16"/>
    <s v="50000446 - Rpg (R$ 36,71)"/>
    <s v="Rpg"/>
    <n v="1713991603"/>
    <s v="Finalizado (2/4)"/>
    <n v="29.367999999999999"/>
    <n v="7.3419999999999996"/>
    <n v="36.71"/>
    <s v="Sessão a Faturar"/>
    <n v="771015038954010"/>
    <n v="54706"/>
    <s v="Unidade Vieiralves"/>
    <n v="1713991603"/>
    <m/>
  </r>
  <r>
    <x v="24"/>
    <x v="43"/>
    <s v="Thiago Martins Leão"/>
    <s v="Masculino"/>
    <x v="5"/>
    <x v="16"/>
    <s v="50000446 - Rpg (R$ 54,45)"/>
    <s v="Rpg"/>
    <n v="168430"/>
    <s v="Finalizado (7/10)"/>
    <n v="43.56"/>
    <n v="10.89"/>
    <n v="54.45"/>
    <s v="Sessão Faturada"/>
    <s v="010086556202"/>
    <n v="57073"/>
    <s v="Unidade Vieiralves"/>
    <n v="168430"/>
    <m/>
  </r>
  <r>
    <x v="5"/>
    <x v="44"/>
    <s v="Katia Cilene Jardim da Costa"/>
    <s v="Feminino"/>
    <x v="2"/>
    <x v="16"/>
    <s v="50000446 - Rpg (R$ 36,71)"/>
    <s v="Rpg"/>
    <n v="1712550456"/>
    <s v="Finalizado (4/5)"/>
    <n v="29.367999999999999"/>
    <n v="7.3419999999999996"/>
    <n v="36.71"/>
    <s v="Sessão Faturada"/>
    <n v="771015041750020"/>
    <n v="37973"/>
    <s v="Unidade Vieiralves"/>
    <n v="1712550456"/>
    <m/>
  </r>
  <r>
    <x v="5"/>
    <x v="41"/>
    <s v="Sandra Souza Cavalcante"/>
    <m/>
    <x v="2"/>
    <x v="16"/>
    <s v="50000446 - Rpg (R$ 36,71)"/>
    <s v="Rpg"/>
    <n v="1713200117"/>
    <s v="Finalizado (2/3)"/>
    <n v="29.367999999999999"/>
    <n v="7.3419999999999996"/>
    <n v="36.71"/>
    <s v="Sessão a Faturar"/>
    <n v="773299001503000"/>
    <n v="59519"/>
    <s v="Unidade Vieiralves"/>
    <n v="1713200117"/>
    <m/>
  </r>
  <r>
    <x v="5"/>
    <x v="36"/>
    <s v="Carlos Juliano Prado"/>
    <s v="Masculino"/>
    <x v="2"/>
    <x v="16"/>
    <s v="50000446 - Rpg (R$ 36,71)"/>
    <s v="Rpg"/>
    <n v="1713866551"/>
    <s v="Finalizado (4/5)"/>
    <n v="29.367999999999999"/>
    <n v="7.3419999999999996"/>
    <n v="36.71"/>
    <s v="Sessão Faturada"/>
    <n v="774981010073010"/>
    <n v="55509"/>
    <s v="Unidade Vieiralves"/>
    <n v="1713866551"/>
    <m/>
  </r>
  <r>
    <x v="5"/>
    <x v="36"/>
    <s v="Maria Jose Pinto da Mota"/>
    <m/>
    <x v="2"/>
    <x v="16"/>
    <s v="50000446 - Rpg (R$ 36,71)"/>
    <s v="Rpg"/>
    <n v="1715831496"/>
    <s v="Finalizado (1/1)"/>
    <n v="29.367999999999999"/>
    <n v="7.3419999999999996"/>
    <n v="36.71"/>
    <s v="Sessão a Faturar"/>
    <n v="771015052531020"/>
    <n v="59060"/>
    <s v="Unidade Vieiralves"/>
    <n v="1715831496"/>
    <m/>
  </r>
  <r>
    <x v="5"/>
    <x v="40"/>
    <s v="Cristina dos Santos Braga"/>
    <m/>
    <x v="20"/>
    <x v="16"/>
    <s v="25100050 - Rpg (R$ 28,80)"/>
    <s v="Rpg"/>
    <n v="22729960"/>
    <s v="Finalizado (2/10)"/>
    <n v="23.04"/>
    <n v="5.76"/>
    <n v="28.8"/>
    <s v="Sessão a Faturar"/>
    <n v="10511000263700"/>
    <n v="59694"/>
    <s v="Unidade Vieiralves"/>
    <n v="22729960"/>
    <m/>
  </r>
  <r>
    <x v="5"/>
    <x v="40"/>
    <s v="Carlos Jose Cavalcante Martins"/>
    <s v="Masculino"/>
    <x v="2"/>
    <x v="16"/>
    <s v="50000446 - Rpg (R$ 36,71)"/>
    <s v="Rpg"/>
    <n v="1715902820"/>
    <s v="Finalizado (1/5)"/>
    <n v="29.367999999999999"/>
    <n v="7.3419999999999996"/>
    <n v="36.71"/>
    <s v="Sessão a Faturar"/>
    <n v="830425500051000"/>
    <n v="59320"/>
    <s v="Unidade Vieiralves"/>
    <n v="1715902820"/>
    <m/>
  </r>
  <r>
    <x v="5"/>
    <x v="35"/>
    <s v="Angela Maria Brasil Batista"/>
    <s v="Feminino"/>
    <x v="2"/>
    <x v="16"/>
    <s v="50000446 - Rpg (R$ 36,71)"/>
    <s v="Rpg"/>
    <n v="1712710842"/>
    <s v="Finalizado (3/4)"/>
    <n v="29.367999999999999"/>
    <n v="7.3419999999999996"/>
    <n v="36.71"/>
    <s v="Sessão a Faturar"/>
    <n v="774634051578010"/>
    <n v="59260"/>
    <s v="Unidade Vieiralves"/>
    <n v="1712710842"/>
    <m/>
  </r>
  <r>
    <x v="5"/>
    <x v="35"/>
    <s v="Darlan da Silva Picanço"/>
    <s v="Feminino"/>
    <x v="7"/>
    <x v="16"/>
    <s v="Part Convenio - 2 - Rpg - Pacote (R$ 55,00)"/>
    <s v="Rpg"/>
    <n v="170060"/>
    <s v="Finalizado (10/10)"/>
    <n v="41.25"/>
    <n v="13.75"/>
    <n v="55"/>
    <s v="Pago"/>
    <s v="0901013959170057"/>
    <n v="15532"/>
    <s v="Unidade Vieiralves"/>
    <n v="170060"/>
    <m/>
  </r>
  <r>
    <x v="5"/>
    <x v="38"/>
    <s v="Denise de Souza Lima Herzog"/>
    <s v="Feminino"/>
    <x v="2"/>
    <x v="16"/>
    <s v="50000446 - Rpg (R$ 36,71)"/>
    <s v="Rpg"/>
    <n v="1715999585"/>
    <s v="Finalizado (1/5)"/>
    <n v="29.367999999999999"/>
    <n v="7.3419999999999996"/>
    <n v="36.71"/>
    <s v="Sessão Faturada"/>
    <n v="810177500019010"/>
    <n v="52971"/>
    <s v="Unidade Vieiralves"/>
    <n v="1715999585"/>
    <m/>
  </r>
  <r>
    <x v="5"/>
    <x v="37"/>
    <s v="Simone de Oliveira Vasconcelos"/>
    <s v="Feminino"/>
    <x v="2"/>
    <x v="16"/>
    <s v="50000446 - Rpg (R$ 36,71)"/>
    <s v="Rpg"/>
    <n v="1713991603"/>
    <s v="Finalizado (3/4)"/>
    <n v="29.367999999999999"/>
    <n v="7.3419999999999996"/>
    <n v="36.71"/>
    <s v="Sessão a Faturar"/>
    <n v="771015038954010"/>
    <n v="54706"/>
    <s v="Unidade Vieiralves"/>
    <n v="1713991603"/>
    <m/>
  </r>
  <r>
    <x v="5"/>
    <x v="39"/>
    <s v="Raimunda Carvalho Caldas"/>
    <s v="Feminino"/>
    <x v="2"/>
    <x v="16"/>
    <s v="50000446 - Rpg (R$ 36,71)"/>
    <s v="Rpg"/>
    <n v="1711416495"/>
    <s v="Finalizado (5/5)"/>
    <n v="29.367999999999999"/>
    <n v="7.3419999999999996"/>
    <n v="36.71"/>
    <s v="Sessão Faturada"/>
    <n v="952480013332000"/>
    <n v="14710"/>
    <s v="Unidade Vieiralves"/>
    <n v="1711416495"/>
    <m/>
  </r>
  <r>
    <x v="5"/>
    <x v="39"/>
    <s v="Luciana Levinthal da Silva"/>
    <s v="Feminino"/>
    <x v="11"/>
    <x v="16"/>
    <s v="90001001 - Rpg (R$ 65,10)"/>
    <s v="Rpg"/>
    <n v="3606"/>
    <s v="Finalizado (3/10)"/>
    <n v="52.08"/>
    <n v="13.02"/>
    <n v="65.099999999999994"/>
    <s v="Sessão a Faturar"/>
    <s v="01685-F-1"/>
    <n v="59646"/>
    <s v="Unidade Vieiralves"/>
    <n v="3606"/>
    <m/>
  </r>
  <r>
    <x v="6"/>
    <x v="44"/>
    <s v="Alice Viana Franklin"/>
    <s v="Feminino"/>
    <x v="2"/>
    <x v="16"/>
    <s v="50000446 - Rpg (R$ 36,71)"/>
    <s v="Rpg"/>
    <n v="1716403110"/>
    <s v="Finalizado (1/5)"/>
    <n v="29.367999999999999"/>
    <n v="7.3419999999999996"/>
    <n v="36.71"/>
    <s v="Sessão a Faturar"/>
    <n v="812980300922010"/>
    <n v="59437"/>
    <s v="Unidade Vieiralves"/>
    <n v="1716403110"/>
    <m/>
  </r>
  <r>
    <x v="6"/>
    <x v="44"/>
    <s v="Cristina dos Santos Braga"/>
    <m/>
    <x v="20"/>
    <x v="16"/>
    <s v="25100050 - Rpg (R$ 28,80)"/>
    <s v="Rpg"/>
    <n v="22729960"/>
    <s v="Finalizado (3/10)"/>
    <n v="23.04"/>
    <n v="5.76"/>
    <n v="28.8"/>
    <s v="Sessão a Faturar"/>
    <n v="10511000263700"/>
    <n v="59694"/>
    <s v="Unidade Vieiralves"/>
    <n v="22729960"/>
    <m/>
  </r>
  <r>
    <x v="6"/>
    <x v="41"/>
    <s v="Claudia Miyuki Muramoto Sako"/>
    <s v="Feminino"/>
    <x v="2"/>
    <x v="16"/>
    <s v="50000446 - Rpg (R$ 36,71)"/>
    <s v="Rpg"/>
    <n v="1709451057"/>
    <s v="Finalizado (5/5)"/>
    <n v="29.367999999999999"/>
    <n v="7.3419999999999996"/>
    <n v="36.71"/>
    <s v="Sessão Faturada"/>
    <n v="885854000132010"/>
    <n v="49229"/>
    <s v="Unidade Vieiralves"/>
    <n v="1709451057"/>
    <m/>
  </r>
  <r>
    <x v="6"/>
    <x v="36"/>
    <s v="Yasmin Guedes Lima"/>
    <s v="Feminino"/>
    <x v="2"/>
    <x v="16"/>
    <s v="50000446 - Rpg (R$ 36,71)"/>
    <s v="Rpg"/>
    <n v="1713908537"/>
    <s v="Finalizado (3/5)"/>
    <n v="29.367999999999999"/>
    <n v="7.3419999999999996"/>
    <n v="36.71"/>
    <s v="Sessão Faturada"/>
    <n v="960016575471020"/>
    <n v="35978"/>
    <s v="Unidade Vieiralves"/>
    <n v="1713908537"/>
    <m/>
  </r>
  <r>
    <x v="6"/>
    <x v="40"/>
    <s v="Eloise Miranda dos Santos"/>
    <s v="Feminino"/>
    <x v="2"/>
    <x v="16"/>
    <s v="50000446 - Rpg (R$ 36,71)"/>
    <s v="Rpg"/>
    <n v="1716494172"/>
    <s v="Finalizado (1/5)"/>
    <n v="29.367999999999999"/>
    <n v="7.3419999999999996"/>
    <n v="36.71"/>
    <s v="Sessão a Faturar"/>
    <n v="774642019992020"/>
    <n v="56839"/>
    <s v="Unidade Vieiralves"/>
    <n v="1716494172"/>
    <m/>
  </r>
  <r>
    <x v="6"/>
    <x v="38"/>
    <s v="Rose Mayre Vieira Barreto"/>
    <s v="Feminino"/>
    <x v="2"/>
    <x v="16"/>
    <s v="50000446 - Rpg (R$ 36,71)"/>
    <s v="Rpg"/>
    <n v="1714506912"/>
    <s v="Finalizado (3/5)"/>
    <n v="29.367999999999999"/>
    <n v="7.3419999999999996"/>
    <n v="36.71"/>
    <s v="Sessão Faturada"/>
    <n v="813312700027000"/>
    <n v="17029"/>
    <s v="Unidade Vieiralves"/>
    <n v="1714506912"/>
    <m/>
  </r>
  <r>
    <x v="6"/>
    <x v="38"/>
    <s v="Flavia Simoes Correa"/>
    <m/>
    <x v="18"/>
    <x v="16"/>
    <s v="50000446 - Rpg - Pacote (R$ 45,00)"/>
    <s v="Rpg"/>
    <n v="172135"/>
    <s v="Finalizado (2/10)"/>
    <n v="36"/>
    <n v="9"/>
    <n v="45"/>
    <s v="Sessão a Faturar"/>
    <n v="36000000100"/>
    <n v="54680"/>
    <s v="Unidade Vieiralves"/>
    <n v="172135"/>
    <m/>
  </r>
  <r>
    <x v="6"/>
    <x v="37"/>
    <s v="Jackeline de Oliveira"/>
    <s v="Feminino"/>
    <x v="2"/>
    <x v="16"/>
    <s v="50000446 - Rpg (R$ 36,71)"/>
    <s v="Rpg"/>
    <n v="1716583446"/>
    <s v="Finalizado (1/5)"/>
    <n v="29.367999999999999"/>
    <n v="7.3419999999999996"/>
    <n v="36.71"/>
    <s v="Sessão a Faturar"/>
    <n v="895789500019010"/>
    <n v="3659"/>
    <s v="Unidade Vieiralves"/>
    <n v="1716583446"/>
    <m/>
  </r>
  <r>
    <x v="6"/>
    <x v="37"/>
    <s v="Anna Danielle Oliveira dos Santos Cardozo"/>
    <s v="Feminino"/>
    <x v="2"/>
    <x v="16"/>
    <s v="50000446 - Rpg (R$ 36,71)"/>
    <s v="Rpg"/>
    <n v="1713520356"/>
    <s v="Finalizado (2/2)"/>
    <n v="29.367999999999999"/>
    <n v="7.3419999999999996"/>
    <n v="36.71"/>
    <s v="Sessão a Faturar"/>
    <n v="830416700230010"/>
    <n v="57193"/>
    <s v="Unidade Vieiralves"/>
    <n v="1713520356"/>
    <m/>
  </r>
  <r>
    <x v="6"/>
    <x v="39"/>
    <s v="Daniele Guimarães Alves"/>
    <s v="Feminino"/>
    <x v="2"/>
    <x v="16"/>
    <s v="50000446 - Rpg (R$ 36,71)"/>
    <s v="Rpg"/>
    <n v="1713359209"/>
    <s v="Finalizado (2/4)"/>
    <n v="29.367999999999999"/>
    <n v="7.3419999999999996"/>
    <n v="36.71"/>
    <s v="Sessão a Faturar"/>
    <n v="952650062103000"/>
    <n v="59353"/>
    <s v="Unidade Vieiralves"/>
    <n v="1713359209"/>
    <m/>
  </r>
  <r>
    <x v="6"/>
    <x v="39"/>
    <s v="Tanira Rozane Eder Martins"/>
    <s v="Feminino"/>
    <x v="19"/>
    <x v="16"/>
    <s v="90050061 - Reeducaçao Postural Global - 17/03/2026 (R$ 80,26)"/>
    <s v="Rpg"/>
    <n v="5827090"/>
    <s v="Finalizado (9/10)"/>
    <n v="64.207999999999998"/>
    <n v="16.052"/>
    <n v="80.260000000000005"/>
    <s v="Sessão Faturada"/>
    <s v="0001000033690081"/>
    <n v="4997"/>
    <s v="Unidade Vieiralves"/>
    <n v="5827090"/>
    <m/>
  </r>
  <r>
    <x v="6"/>
    <x v="43"/>
    <s v="Rita de Cassia Balbi Alves"/>
    <s v="Feminino"/>
    <x v="19"/>
    <x v="16"/>
    <s v="90050061 - Reeducaçao Postural Global (R$ 83,47)"/>
    <s v="Rpg"/>
    <n v="5872340"/>
    <s v="Finalizado (3/10)"/>
    <n v="66.775999999999996"/>
    <n v="16.693999999999999"/>
    <n v="83.47"/>
    <s v="Sessão Faturada"/>
    <s v="0001000034150505"/>
    <n v="37165"/>
    <s v="Unidade Vieiralves"/>
    <n v="5872340"/>
    <s v="Guia assinada!"/>
  </r>
  <r>
    <x v="7"/>
    <x v="44"/>
    <s v="Katia Cilene Jardim da Costa"/>
    <s v="Feminino"/>
    <x v="2"/>
    <x v="16"/>
    <s v="50000446 - Rpg (R$ 36,71)"/>
    <s v="Rpg"/>
    <n v="1712550456"/>
    <s v="Finalizado (5/5)"/>
    <n v="29.367999999999999"/>
    <n v="7.3419999999999996"/>
    <n v="36.71"/>
    <s v="Sessão Faturada"/>
    <n v="771015041750020"/>
    <n v="37973"/>
    <s v="Unidade Vieiralves"/>
    <n v="1712550456"/>
    <m/>
  </r>
  <r>
    <x v="7"/>
    <x v="41"/>
    <s v="Wendel de Mendonça de Souza"/>
    <s v="Masculino"/>
    <x v="2"/>
    <x v="16"/>
    <s v="50000446 - Rpg (R$ 36,71)"/>
    <s v="Rpg"/>
    <n v="1716494728"/>
    <s v="Finalizado (1/5)"/>
    <n v="29.367999999999999"/>
    <n v="7.3419999999999996"/>
    <n v="36.71"/>
    <s v="Sessão a Faturar"/>
    <n v="854778700183020"/>
    <n v="59572"/>
    <s v="Unidade Vieiralves"/>
    <n v="1716494728"/>
    <m/>
  </r>
  <r>
    <x v="7"/>
    <x v="36"/>
    <s v="Jackeline de Oliveira"/>
    <s v="Feminino"/>
    <x v="2"/>
    <x v="16"/>
    <s v="50000446 - Rpg (R$ 36,71)"/>
    <s v="Rpg"/>
    <n v="1716583446"/>
    <s v="Finalizado (2/5)"/>
    <n v="29.367999999999999"/>
    <n v="7.3419999999999996"/>
    <n v="36.71"/>
    <s v="Sessão a Faturar"/>
    <n v="895789500019010"/>
    <n v="3659"/>
    <s v="Unidade Vieiralves"/>
    <n v="1716583446"/>
    <m/>
  </r>
  <r>
    <x v="7"/>
    <x v="40"/>
    <s v="Cristina dos Santos Braga"/>
    <m/>
    <x v="20"/>
    <x v="16"/>
    <s v="25100050 - Rpg (R$ 28,80)"/>
    <s v="Rpg"/>
    <n v="22729960"/>
    <s v="Finalizado (4/10)"/>
    <n v="23.04"/>
    <n v="5.76"/>
    <n v="28.8"/>
    <s v="Sessão a Faturar"/>
    <n v="10511000263700"/>
    <n v="59694"/>
    <s v="Unidade Vieiralves"/>
    <n v="22729960"/>
    <m/>
  </r>
  <r>
    <x v="7"/>
    <x v="40"/>
    <s v="Carlos Jose Cavalcante Martins"/>
    <s v="Masculino"/>
    <x v="2"/>
    <x v="16"/>
    <s v="50000446 - Rpg (R$ 36,71)"/>
    <s v="Rpg"/>
    <n v="1715902820"/>
    <s v="Finalizado (2/5)"/>
    <n v="29.367999999999999"/>
    <n v="7.3419999999999996"/>
    <n v="36.71"/>
    <s v="Sessão a Faturar"/>
    <n v="830425500051000"/>
    <n v="59320"/>
    <s v="Unidade Vieiralves"/>
    <n v="1715902820"/>
    <m/>
  </r>
  <r>
    <x v="7"/>
    <x v="35"/>
    <s v="Leonice Soares Lira"/>
    <s v="Feminino"/>
    <x v="8"/>
    <x v="16"/>
    <s v="50000446 - Reeducação Postural Global (R$ 36,71)"/>
    <s v="Rpg"/>
    <n v="1715037547"/>
    <s v="Finalizado (2/5)"/>
    <n v="29.367999999999999"/>
    <n v="7.3419999999999996"/>
    <n v="36.71"/>
    <s v="Sessão a Faturar"/>
    <n v="954600008907000"/>
    <n v="59695"/>
    <s v="Unidade Vieiralves"/>
    <n v="1715037547"/>
    <m/>
  </r>
  <r>
    <x v="7"/>
    <x v="38"/>
    <s v="Julliana Gadelha de Medeiros"/>
    <s v="Feminino"/>
    <x v="8"/>
    <x v="16"/>
    <s v="50000446 - Reeducação Postural Global (R$ 36,71)"/>
    <s v="Rpg"/>
    <n v="1713436222"/>
    <s v="Finalizado (4/5)"/>
    <n v="29.367999999999999"/>
    <n v="7.3419999999999996"/>
    <n v="36.71"/>
    <s v="Sessão Faturada"/>
    <n v="954600002968020"/>
    <n v="20663"/>
    <s v="Unidade Vieiralves"/>
    <n v="1713436222"/>
    <m/>
  </r>
  <r>
    <x v="7"/>
    <x v="37"/>
    <s v="Eliana Araujo Pereira Miki"/>
    <s v="Feminino"/>
    <x v="2"/>
    <x v="16"/>
    <s v="50000446 - Rpg (R$ 36,71)"/>
    <s v="Rpg"/>
    <n v="1714487635"/>
    <s v="Finalizado (2/2)"/>
    <n v="29.367999999999999"/>
    <n v="7.3419999999999996"/>
    <n v="36.71"/>
    <s v="Sessão a Faturar"/>
    <n v="771015025992020"/>
    <n v="7512"/>
    <s v="Unidade Vieiralves"/>
    <n v="1714487635"/>
    <m/>
  </r>
  <r>
    <x v="7"/>
    <x v="37"/>
    <s v="Nadia Livia Dantas Farias"/>
    <m/>
    <x v="2"/>
    <x v="16"/>
    <s v="50000446 - Rpg (R$ 36,71)"/>
    <s v="Rpg"/>
    <n v="1710792536"/>
    <s v="Finalizado (4/5)"/>
    <n v="29.367999999999999"/>
    <n v="7.3419999999999996"/>
    <n v="36.71"/>
    <s v="Sessão Faturada"/>
    <n v="812980300400020"/>
    <n v="59087"/>
    <s v="Unidade Vieiralves"/>
    <n v="1710792536"/>
    <m/>
  </r>
  <r>
    <x v="7"/>
    <x v="39"/>
    <s v="Leandro Nascimento da Silva Tachy"/>
    <s v="Masculino"/>
    <x v="2"/>
    <x v="16"/>
    <s v="50000446 - Rpg (R$ 36,71)"/>
    <s v="Rpg"/>
    <n v="1717068262"/>
    <s v="Finalizado (1/5)"/>
    <n v="29.367999999999999"/>
    <n v="7.3419999999999996"/>
    <n v="36.71"/>
    <s v="Sessão a Faturar"/>
    <n v="774063008605000"/>
    <n v="59722"/>
    <s v="Unidade Vieiralves"/>
    <n v="1717068262"/>
    <m/>
  </r>
  <r>
    <x v="7"/>
    <x v="43"/>
    <s v="Denise de Souza Lima Herzog"/>
    <s v="Feminino"/>
    <x v="2"/>
    <x v="16"/>
    <s v="50000446 - Rpg (R$ 36,71)"/>
    <s v="Rpg"/>
    <n v="1715999585"/>
    <s v="Finalizado (2/5)"/>
    <n v="29.367999999999999"/>
    <n v="7.3419999999999996"/>
    <n v="36.71"/>
    <s v="Sessão Faturada"/>
    <n v="810177500019010"/>
    <n v="52971"/>
    <s v="Unidade Vieiralves"/>
    <n v="1715999585"/>
    <m/>
  </r>
  <r>
    <x v="7"/>
    <x v="43"/>
    <s v="Milton Correa Prudente Costa"/>
    <s v="Masculino"/>
    <x v="2"/>
    <x v="16"/>
    <s v="50000446 - Rpg (R$ 36,71)"/>
    <s v="Rpg"/>
    <n v="1717048847"/>
    <s v="Finalizado (1/5)"/>
    <n v="29.367999999999999"/>
    <n v="7.3419999999999996"/>
    <n v="36.71"/>
    <s v="Sessão a Faturar"/>
    <n v="960019385179020"/>
    <n v="5417"/>
    <s v="Unidade Vieiralves"/>
    <n v="1717048847"/>
    <m/>
  </r>
  <r>
    <x v="8"/>
    <x v="44"/>
    <s v="Alice Viana Franklin"/>
    <s v="Feminino"/>
    <x v="2"/>
    <x v="16"/>
    <s v="50000446 - Rpg (R$ 36,71)"/>
    <s v="Rpg"/>
    <n v="1716403110"/>
    <s v="Finalizado (2/5)"/>
    <n v="29.367999999999999"/>
    <n v="7.3419999999999996"/>
    <n v="36.71"/>
    <s v="Sessão a Faturar"/>
    <n v="812980300922010"/>
    <n v="59437"/>
    <s v="Unidade Vieiralves"/>
    <n v="1716403110"/>
    <m/>
  </r>
  <r>
    <x v="8"/>
    <x v="44"/>
    <s v="Merizethe Barroso Gadelha"/>
    <s v="Feminino"/>
    <x v="2"/>
    <x v="16"/>
    <s v="50000446 - Rpg (R$ 36,71)"/>
    <s v="Rpg"/>
    <n v="1716902848"/>
    <s v="Finalizado (1/5)"/>
    <n v="29.367999999999999"/>
    <n v="7.3419999999999996"/>
    <n v="36.71"/>
    <s v="Sessão Faturada"/>
    <n v="774812000566020"/>
    <n v="59738"/>
    <s v="Unidade Vieiralves"/>
    <n v="1716902848"/>
    <m/>
  </r>
  <r>
    <x v="8"/>
    <x v="41"/>
    <s v="Maria Raimunda da Silva Guedes Lima"/>
    <s v="Feminino"/>
    <x v="2"/>
    <x v="16"/>
    <s v="50000446 - Rpg (R$ 36,71)"/>
    <s v="Rpg"/>
    <n v="1716405819"/>
    <s v="Finalizado (1/5)"/>
    <n v="29.367999999999999"/>
    <n v="7.3419999999999996"/>
    <n v="36.71"/>
    <s v="Sessão a Faturar"/>
    <n v="960016575471000"/>
    <n v="21019"/>
    <s v="Unidade Vieiralves"/>
    <n v="1716405819"/>
    <m/>
  </r>
  <r>
    <x v="8"/>
    <x v="41"/>
    <s v="Claudia Miyuki Muramoto Sako"/>
    <s v="Feminino"/>
    <x v="2"/>
    <x v="16"/>
    <s v="50000446 - Rpg (R$ 36,71)"/>
    <s v="Rpg"/>
    <n v="1717458832"/>
    <s v="Finalizado (1/5)"/>
    <n v="29.367999999999999"/>
    <n v="7.3419999999999996"/>
    <n v="36.71"/>
    <s v="Sessão a Faturar"/>
    <n v="885854000132010"/>
    <n v="49229"/>
    <s v="Unidade Vieiralves"/>
    <n v="1717458832"/>
    <m/>
  </r>
  <r>
    <x v="8"/>
    <x v="40"/>
    <s v="Eloise Miranda dos Santos"/>
    <s v="Feminino"/>
    <x v="2"/>
    <x v="16"/>
    <s v="50000446 - Rpg (R$ 36,71)"/>
    <s v="Rpg"/>
    <n v="1716494172"/>
    <s v="Finalizado (2/5)"/>
    <n v="29.367999999999999"/>
    <n v="7.3419999999999996"/>
    <n v="36.71"/>
    <s v="Sessão a Faturar"/>
    <n v="774642019992020"/>
    <n v="56839"/>
    <s v="Unidade Vieiralves"/>
    <n v="1716494172"/>
    <m/>
  </r>
  <r>
    <x v="8"/>
    <x v="35"/>
    <s v="Jorge Angelo Fernandes Siqueira"/>
    <s v="Masculino"/>
    <x v="10"/>
    <x v="16"/>
    <s v="50000446 - Rpg (R$ 29,84)"/>
    <s v="Rpg"/>
    <n v="23005879"/>
    <s v="Finalizado (1/10)"/>
    <n v="23.872"/>
    <n v="5.968"/>
    <n v="29.84"/>
    <s v="Sessão a Faturar"/>
    <s v="00010064268113001"/>
    <n v="59699"/>
    <s v="Unidade Vieiralves"/>
    <n v="23005879"/>
    <m/>
  </r>
  <r>
    <x v="8"/>
    <x v="35"/>
    <s v="Miguel Ângelo Cabral Moreira"/>
    <m/>
    <x v="5"/>
    <x v="16"/>
    <s v="50000446 - Rpg (R$ 54,45)"/>
    <s v="Rpg"/>
    <n v="170471"/>
    <s v="Finalizado (2/10)"/>
    <n v="43.56"/>
    <n v="10.89"/>
    <n v="54.45"/>
    <s v="Sessão a Faturar"/>
    <n v="5500000889750200"/>
    <n v="59526"/>
    <s v="Unidade Vieiralves"/>
    <n v="170471"/>
    <m/>
  </r>
  <r>
    <x v="8"/>
    <x v="38"/>
    <s v="Rose Mayre Vieira Barreto"/>
    <s v="Feminino"/>
    <x v="2"/>
    <x v="16"/>
    <s v="50000446 - Rpg (R$ 36,71)"/>
    <s v="Rpg"/>
    <n v="1714506912"/>
    <s v="Finalizado (4/5)"/>
    <n v="29.367999999999999"/>
    <n v="7.3419999999999996"/>
    <n v="36.71"/>
    <s v="Sessão Faturada"/>
    <n v="813312700027000"/>
    <n v="17029"/>
    <s v="Unidade Vieiralves"/>
    <n v="1714506912"/>
    <m/>
  </r>
  <r>
    <x v="8"/>
    <x v="37"/>
    <s v="Flavia Simoes Correa"/>
    <m/>
    <x v="18"/>
    <x v="16"/>
    <s v="50000446 - Rpg - Pacote (R$ 45,00)"/>
    <s v="Rpg"/>
    <n v="172135"/>
    <s v="Finalizado (3/10)"/>
    <n v="36"/>
    <n v="9"/>
    <n v="45"/>
    <s v="Sessão a Faturar"/>
    <n v="36000000100"/>
    <n v="54680"/>
    <s v="Unidade Vieiralves"/>
    <n v="172135"/>
    <m/>
  </r>
  <r>
    <x v="8"/>
    <x v="39"/>
    <s v="Tanira Rozane Eder Martins"/>
    <s v="Feminino"/>
    <x v="19"/>
    <x v="16"/>
    <s v="90050061 - Reeducaçao Postural Global - 17/03/2026 (R$ 80,26)"/>
    <s v="Rpg"/>
    <n v="5827090"/>
    <s v="Finalizado (10/10)"/>
    <n v="64.207999999999998"/>
    <n v="16.052"/>
    <n v="80.260000000000005"/>
    <s v="Sessão Faturada"/>
    <s v="0001000033690081"/>
    <n v="4997"/>
    <s v="Unidade Vieiralves"/>
    <n v="5827090"/>
    <m/>
  </r>
  <r>
    <x v="8"/>
    <x v="43"/>
    <s v="Vania Mara Aguiar Barcellos"/>
    <s v="Feminino"/>
    <x v="7"/>
    <x v="16"/>
    <s v="Part Convenio - 2 - Rpg - Pacote (R$ 55,00)"/>
    <s v="Rpg"/>
    <n v="172711"/>
    <s v="Finalizado (1/10)"/>
    <n v="41.25"/>
    <n v="13.75"/>
    <n v="55"/>
    <s v="No Prazo"/>
    <s v="0201013975240093"/>
    <n v="59762"/>
    <s v="Unidade Vieiralves"/>
    <n v="172711"/>
    <m/>
  </r>
  <r>
    <x v="25"/>
    <x v="44"/>
    <s v="Renato Pinheiro Costa"/>
    <s v="Masculino"/>
    <x v="2"/>
    <x v="16"/>
    <s v="50000446 - Rpg (R$ 36,71)"/>
    <s v="Rpg"/>
    <n v="1718389609"/>
    <s v="Finalizado (1/5)"/>
    <n v="29.367999999999999"/>
    <n v="7.3419999999999996"/>
    <n v="36.71"/>
    <s v="Sessão a Faturar"/>
    <n v="771015041750000"/>
    <n v="59729"/>
    <s v="Unidade Vieiralves"/>
    <n v="1718389609"/>
    <m/>
  </r>
  <r>
    <x v="25"/>
    <x v="41"/>
    <s v="Sergio Senga"/>
    <s v="Masculino"/>
    <x v="2"/>
    <x v="16"/>
    <s v="50000446 - Rpg (R$ 36,71)"/>
    <s v="Rpg"/>
    <n v="1711854875"/>
    <s v="Finalizado (3/3)"/>
    <n v="29.367999999999999"/>
    <n v="7.3419999999999996"/>
    <n v="36.71"/>
    <s v="Sessão a Faturar"/>
    <n v="771015040932000"/>
    <n v="37516"/>
    <s v="Unidade Vieiralves"/>
    <n v="1711854875"/>
    <m/>
  </r>
  <r>
    <x v="25"/>
    <x v="41"/>
    <s v="Merizethe Barroso Gadelha"/>
    <s v="Feminino"/>
    <x v="2"/>
    <x v="16"/>
    <s v="50000446 - Rpg (R$ 36,71)"/>
    <s v="Rpg"/>
    <n v="1716902848"/>
    <s v="Finalizado (3/5)"/>
    <n v="29.367999999999999"/>
    <n v="7.3419999999999996"/>
    <n v="36.71"/>
    <s v="Sessão Faturada"/>
    <n v="774812000566020"/>
    <n v="59738"/>
    <s v="Unidade Vieiralves"/>
    <n v="1716902848"/>
    <m/>
  </r>
  <r>
    <x v="25"/>
    <x v="36"/>
    <s v="Valterlei Ribeiro Mendonça"/>
    <m/>
    <x v="2"/>
    <x v="16"/>
    <s v="50000446 - Rpg (R$ 36,71)"/>
    <s v="Rpg"/>
    <n v="1702117385"/>
    <s v="Finalizado (5/5)"/>
    <n v="29.367999999999999"/>
    <n v="7.3419999999999996"/>
    <n v="36.71"/>
    <s v="Sessão Faturada"/>
    <n v="775494003360000"/>
    <n v="57982"/>
    <s v="Unidade Vieiralves"/>
    <n v="1702117385"/>
    <m/>
  </r>
  <r>
    <x v="25"/>
    <x v="36"/>
    <s v="Carlos Juliano Prado"/>
    <s v="Masculino"/>
    <x v="2"/>
    <x v="16"/>
    <s v="50000446 - Rpg (R$ 36,71)"/>
    <s v="Rpg"/>
    <n v="1718397682"/>
    <s v="Finalizado (1/5)"/>
    <n v="29.367999999999999"/>
    <n v="7.3419999999999996"/>
    <n v="36.71"/>
    <s v="Sessão a Faturar"/>
    <n v="774981010073010"/>
    <n v="55509"/>
    <s v="Unidade Vieiralves"/>
    <n v="1718397682"/>
    <m/>
  </r>
  <r>
    <x v="25"/>
    <x v="40"/>
    <s v="Thiago Martins Leão"/>
    <s v="Masculino"/>
    <x v="5"/>
    <x v="16"/>
    <s v="50000446 - Rpg (R$ 54,45)"/>
    <s v="Rpg"/>
    <n v="168430"/>
    <s v="Finalizado (8/10)"/>
    <n v="43.56"/>
    <n v="10.89"/>
    <n v="54.45"/>
    <s v="Sessão Faturada"/>
    <s v="010086556202"/>
    <n v="57073"/>
    <s v="Unidade Vieiralves"/>
    <n v="168430"/>
    <m/>
  </r>
  <r>
    <x v="25"/>
    <x v="40"/>
    <s v="Jose Ivan Alves de Souza"/>
    <s v="Masculino"/>
    <x v="0"/>
    <x v="16"/>
    <s v="50000446 - Rpg (R$ 62,75)"/>
    <s v="Rpg"/>
    <s v="42263120260221324726"/>
    <s v="Finalizado (9/10)"/>
    <n v="50.2"/>
    <n v="12.55"/>
    <n v="62.75"/>
    <s v="Sessão Faturada"/>
    <s v="010650919000"/>
    <n v="8870"/>
    <s v="Unidade Vieiralves"/>
    <s v="42263120260221324726"/>
    <m/>
  </r>
  <r>
    <x v="25"/>
    <x v="35"/>
    <s v="Leonice Soares Lira"/>
    <s v="Feminino"/>
    <x v="8"/>
    <x v="16"/>
    <s v="50000446 - Reeducação Postural Global (R$ 36,71)"/>
    <s v="Rpg"/>
    <n v="1715037547"/>
    <s v="Finalizado (3/5)"/>
    <n v="29.367999999999999"/>
    <n v="7.3419999999999996"/>
    <n v="36.71"/>
    <s v="Sessão a Faturar"/>
    <n v="954600008907000"/>
    <n v="59695"/>
    <s v="Unidade Vieiralves"/>
    <n v="1715037547"/>
    <m/>
  </r>
  <r>
    <x v="25"/>
    <x v="38"/>
    <s v="Rose Mayre Vieira Barreto"/>
    <s v="Feminino"/>
    <x v="2"/>
    <x v="16"/>
    <s v="50000446 - Rpg (R$ 36,71)"/>
    <s v="Rpg"/>
    <n v="1714506912"/>
    <s v="Finalizado (5/5)"/>
    <n v="29.367999999999999"/>
    <n v="7.3419999999999996"/>
    <n v="36.71"/>
    <s v="Sessão Faturada"/>
    <n v="813312700027000"/>
    <n v="17029"/>
    <s v="Unidade Vieiralves"/>
    <n v="1714506912"/>
    <m/>
  </r>
  <r>
    <x v="25"/>
    <x v="38"/>
    <s v="Waldir dos Santos Fontes Junior"/>
    <s v="Masculino"/>
    <x v="2"/>
    <x v="16"/>
    <s v="50000446 - Rpg (R$ 36,71)"/>
    <s v="Rpg"/>
    <n v="1714248538"/>
    <s v="Finalizado (3/5)"/>
    <n v="29.367999999999999"/>
    <n v="7.3419999999999996"/>
    <n v="36.71"/>
    <s v="Sessão a Faturar"/>
    <n v="772133000728000"/>
    <n v="51522"/>
    <s v="Unidade Vieiralves"/>
    <n v="1714248538"/>
    <m/>
  </r>
  <r>
    <x v="25"/>
    <x v="37"/>
    <s v="Kaíny Medeiros Maciel"/>
    <s v="Feminino"/>
    <x v="2"/>
    <x v="16"/>
    <s v="50000446 - Rpg (R$ 36,71)"/>
    <s v="Rpg"/>
    <n v="1718494746"/>
    <s v="Finalizado (1/5)"/>
    <n v="29.367999999999999"/>
    <n v="7.3419999999999996"/>
    <n v="36.71"/>
    <s v="Sessão a Faturar"/>
    <n v="774642015580010"/>
    <n v="59326"/>
    <s v="Unidade Vieiralves"/>
    <n v="1718494746"/>
    <m/>
  </r>
  <r>
    <x v="25"/>
    <x v="39"/>
    <s v="Josicleide Nunes Santos"/>
    <s v="Feminino"/>
    <x v="2"/>
    <x v="16"/>
    <s v="50000446 - Rpg (R$ 36,71)"/>
    <s v="Rpg"/>
    <n v="1717821364"/>
    <s v="Finalizado (2/5)"/>
    <n v="29.367999999999999"/>
    <n v="7.3419999999999996"/>
    <n v="36.71"/>
    <s v="Sessão a Faturar"/>
    <n v="774981001279000"/>
    <n v="20120"/>
    <s v="Unidade Vieiralves"/>
    <n v="1717821364"/>
    <m/>
  </r>
  <r>
    <x v="25"/>
    <x v="39"/>
    <s v="Daniele Guimarães Alves"/>
    <s v="Feminino"/>
    <x v="2"/>
    <x v="16"/>
    <s v="50000446 - Rpg (R$ 36,71)"/>
    <s v="Rpg"/>
    <n v="1713359209"/>
    <s v="Finalizado (4/4)"/>
    <n v="29.367999999999999"/>
    <n v="7.3419999999999996"/>
    <n v="36.71"/>
    <s v="Sessão a Faturar"/>
    <n v="952650062103000"/>
    <n v="59353"/>
    <s v="Unidade Vieiralves"/>
    <n v="1713359209"/>
    <m/>
  </r>
  <r>
    <x v="25"/>
    <x v="43"/>
    <s v="Carla Rabelo de Oliveira"/>
    <s v="Feminino"/>
    <x v="2"/>
    <x v="16"/>
    <s v="50000446 - Rpg (R$ 36,71)"/>
    <s v="Rpg"/>
    <n v="1717977005"/>
    <s v="Finalizado (2/5)"/>
    <n v="29.367999999999999"/>
    <n v="7.3419999999999996"/>
    <n v="36.71"/>
    <s v="Sessão a Faturar"/>
    <n v="772682029653000"/>
    <n v="59566"/>
    <s v="Unidade Vieiralves"/>
    <n v="1717977005"/>
    <m/>
  </r>
  <r>
    <x v="25"/>
    <x v="43"/>
    <s v="Marcia Maria de Souza Miranda"/>
    <s v="Feminino"/>
    <x v="2"/>
    <x v="16"/>
    <s v="50000446 - Rpg (R$ 36,71)"/>
    <s v="Rpg"/>
    <n v="1718471935"/>
    <s v="Finalizado (1/5)"/>
    <n v="29.367999999999999"/>
    <n v="7.3419999999999996"/>
    <n v="36.71"/>
    <s v="Sessão a Faturar"/>
    <n v="884774402038000"/>
    <n v="59779"/>
    <s v="Unidade Vieiralves"/>
    <n v="1718471935"/>
    <m/>
  </r>
  <r>
    <x v="11"/>
    <x v="44"/>
    <s v="Claudia Miyuki Muramoto Sako"/>
    <s v="Feminino"/>
    <x v="2"/>
    <x v="16"/>
    <s v="50000446 - Rpg (R$ 36,71)"/>
    <s v="Rpg"/>
    <n v="1717458832"/>
    <s v="Finalizado (2/5)"/>
    <n v="29.367999999999999"/>
    <n v="7.3419999999999996"/>
    <n v="36.71"/>
    <s v="Sessão a Faturar"/>
    <n v="885854000132010"/>
    <n v="49229"/>
    <s v="Unidade Vieiralves"/>
    <n v="1717458832"/>
    <m/>
  </r>
  <r>
    <x v="11"/>
    <x v="41"/>
    <s v="Maria Raimunda da Silva Guedes Lima"/>
    <s v="Feminino"/>
    <x v="2"/>
    <x v="16"/>
    <s v="50000446 - Rpg (R$ 36,71)"/>
    <s v="Rpg"/>
    <n v="1716405819"/>
    <s v="Finalizado (2/5)"/>
    <n v="29.367999999999999"/>
    <n v="7.3419999999999996"/>
    <n v="36.71"/>
    <s v="Sessão a Faturar"/>
    <n v="960016575471000"/>
    <n v="21019"/>
    <s v="Unidade Vieiralves"/>
    <n v="1716405819"/>
    <m/>
  </r>
  <r>
    <x v="11"/>
    <x v="41"/>
    <s v="Katia Cilene Jardim da Costa"/>
    <s v="Feminino"/>
    <x v="2"/>
    <x v="16"/>
    <s v="50000446 - Rpg (R$ 36,71)"/>
    <s v="Rpg"/>
    <n v="1717933008"/>
    <s v="Finalizado (2/5)"/>
    <n v="29.367999999999999"/>
    <n v="7.3419999999999996"/>
    <n v="36.71"/>
    <s v="Sessão a Faturar"/>
    <n v="771015041750020"/>
    <n v="37973"/>
    <s v="Unidade Vieiralves"/>
    <n v="1717933008"/>
    <m/>
  </r>
  <r>
    <x v="11"/>
    <x v="36"/>
    <s v="Carlos Juliano Prado"/>
    <s v="Masculino"/>
    <x v="2"/>
    <x v="16"/>
    <s v="50000446 - Rpg (R$ 36,71)"/>
    <s v="Rpg"/>
    <n v="1718397682"/>
    <s v="Finalizado (2/5)"/>
    <n v="29.367999999999999"/>
    <n v="7.3419999999999996"/>
    <n v="36.71"/>
    <s v="Sessão a Faturar"/>
    <n v="774981010073010"/>
    <n v="55509"/>
    <s v="Unidade Vieiralves"/>
    <n v="1718397682"/>
    <m/>
  </r>
  <r>
    <x v="11"/>
    <x v="36"/>
    <s v="Yasmin Guedes Lima"/>
    <s v="Feminino"/>
    <x v="2"/>
    <x v="16"/>
    <s v="50000446 - Rpg (R$ 36,71)"/>
    <s v="Rpg"/>
    <n v="1713908537"/>
    <s v="Finalizado (4/5)"/>
    <n v="29.367999999999999"/>
    <n v="7.3419999999999996"/>
    <n v="36.71"/>
    <s v="Sessão Faturada"/>
    <n v="960016575471020"/>
    <n v="35978"/>
    <s v="Unidade Vieiralves"/>
    <n v="1713908537"/>
    <m/>
  </r>
  <r>
    <x v="11"/>
    <x v="40"/>
    <s v="Carlos Jose Cavalcante Martins"/>
    <s v="Masculino"/>
    <x v="2"/>
    <x v="16"/>
    <s v="50000446 - Rpg (R$ 36,71)"/>
    <s v="Rpg"/>
    <n v="1715902820"/>
    <s v="Finalizado (4/5)"/>
    <n v="29.367999999999999"/>
    <n v="7.3419999999999996"/>
    <n v="36.71"/>
    <s v="Sessão a Faturar"/>
    <n v="830425500051000"/>
    <n v="59320"/>
    <s v="Unidade Vieiralves"/>
    <n v="1715902820"/>
    <m/>
  </r>
  <r>
    <x v="11"/>
    <x v="40"/>
    <s v="Cristina dos Santos Braga"/>
    <m/>
    <x v="20"/>
    <x v="16"/>
    <s v="25100050 - Rpg (R$ 28,80)"/>
    <s v="Rpg"/>
    <n v="22729960"/>
    <s v="Finalizado (6/10)"/>
    <n v="23.04"/>
    <n v="5.76"/>
    <n v="28.8"/>
    <s v="Sessão a Faturar"/>
    <n v="10511000263700"/>
    <n v="59694"/>
    <s v="Unidade Vieiralves"/>
    <n v="22729960"/>
    <m/>
  </r>
  <r>
    <x v="11"/>
    <x v="35"/>
    <s v="Heloísa Ribeiro Alves"/>
    <s v="Feminino"/>
    <x v="8"/>
    <x v="16"/>
    <s v="50000446 - Reeducação Postural Global (R$ 36,71)"/>
    <s v="Rpg"/>
    <n v="1709622581"/>
    <s v="Finalizado (4/4)"/>
    <n v="29.367999999999999"/>
    <n v="7.3419999999999996"/>
    <n v="36.71"/>
    <s v="Sessão a Faturar"/>
    <n v="954600017590000"/>
    <n v="59570"/>
    <s v="Unidade Vieiralves"/>
    <n v="1709622581"/>
    <m/>
  </r>
  <r>
    <x v="11"/>
    <x v="35"/>
    <s v="Miguel Ângelo Cabral Moreira"/>
    <m/>
    <x v="5"/>
    <x v="16"/>
    <s v="50000446 - Rpg (R$ 54,45)"/>
    <s v="Rpg"/>
    <n v="170471"/>
    <s v="Finalizado (3/10)"/>
    <n v="43.56"/>
    <n v="10.89"/>
    <n v="54.45"/>
    <s v="Sessão a Faturar"/>
    <n v="5500000889750200"/>
    <n v="59526"/>
    <s v="Unidade Vieiralves"/>
    <n v="170471"/>
    <m/>
  </r>
  <r>
    <x v="11"/>
    <x v="38"/>
    <s v="Flavia Simoes Correa"/>
    <m/>
    <x v="18"/>
    <x v="16"/>
    <s v="50000446 - Rpg - Pacote (R$ 45,00)"/>
    <s v="Rpg"/>
    <n v="172135"/>
    <s v="Finalizado (4/10)"/>
    <n v="36"/>
    <n v="9"/>
    <n v="45"/>
    <s v="Sessão a Faturar"/>
    <n v="36000000100"/>
    <n v="54680"/>
    <s v="Unidade Vieiralves"/>
    <n v="172135"/>
    <m/>
  </r>
  <r>
    <x v="11"/>
    <x v="38"/>
    <s v="Marciane de Oliveira Miranda"/>
    <s v="Feminino"/>
    <x v="22"/>
    <x v="16"/>
    <s v="00000000 - Rpg (R$ 0,00)"/>
    <s v="Rpg"/>
    <m/>
    <s v="Finalizado (1/10)"/>
    <n v="0"/>
    <n v="0"/>
    <n v="0"/>
    <s v="Sessão a Faturar"/>
    <s v="00"/>
    <n v="54666"/>
    <s v="Unidade Vieiralves"/>
    <m/>
    <m/>
  </r>
  <r>
    <x v="11"/>
    <x v="37"/>
    <s v="Denise de Souza Lima Herzog"/>
    <s v="Feminino"/>
    <x v="2"/>
    <x v="16"/>
    <s v="50000446 - Rpg (R$ 36,71)"/>
    <s v="Rpg"/>
    <n v="1715999585"/>
    <s v="Finalizado (5/5)"/>
    <n v="29.367999999999999"/>
    <n v="7.3419999999999996"/>
    <n v="36.71"/>
    <s v="Sessão Faturada"/>
    <n v="810177500019010"/>
    <n v="52971"/>
    <s v="Unidade Vieiralves"/>
    <n v="1715999585"/>
    <m/>
  </r>
  <r>
    <x v="11"/>
    <x v="39"/>
    <s v="Tanira Rozane Eder Martins"/>
    <s v="Feminino"/>
    <x v="19"/>
    <x v="16"/>
    <s v="90050061 - Reeducaçao Postural Global (R$ 83,47)"/>
    <s v="Rpg"/>
    <n v="173033"/>
    <s v="Finalizado (1/10)"/>
    <n v="66.775999999999996"/>
    <n v="16.693999999999999"/>
    <n v="83.47"/>
    <s v="Sessão a Faturar"/>
    <s v="0001000033690081"/>
    <n v="4997"/>
    <s v="Unidade Vieiralves"/>
    <n v="173033"/>
    <m/>
  </r>
  <r>
    <x v="11"/>
    <x v="43"/>
    <s v="Rita de Cassia Balbi Alves"/>
    <s v="Feminino"/>
    <x v="19"/>
    <x v="16"/>
    <s v="90050061 - Reeducaçao Postural Global (R$ 83,47)"/>
    <s v="Rpg"/>
    <n v="5872340"/>
    <s v="Finalizado (4/10)"/>
    <n v="66.775999999999996"/>
    <n v="16.693999999999999"/>
    <n v="83.47"/>
    <s v="Sessão Faturada"/>
    <s v="0001000034150505"/>
    <n v="37165"/>
    <s v="Unidade Vieiralves"/>
    <n v="5872340"/>
    <s v="Guia assinada!"/>
  </r>
  <r>
    <x v="11"/>
    <x v="43"/>
    <s v="Antonio de Castro dos Santos"/>
    <s v="Masculino"/>
    <x v="8"/>
    <x v="16"/>
    <s v="50000446 - Reeducação Postural Global (R$ 36,71)"/>
    <s v="Rpg"/>
    <n v="1719464191"/>
    <s v="Finalizado (1/5)"/>
    <n v="29.367999999999999"/>
    <n v="7.3419999999999996"/>
    <n v="36.71"/>
    <s v="Sessão a Faturar"/>
    <n v="954600038407000"/>
    <n v="59698"/>
    <s v="Unidade Vieiralves"/>
    <n v="1719464191"/>
    <m/>
  </r>
  <r>
    <x v="12"/>
    <x v="44"/>
    <s v="Mylene Dutra Barbosa"/>
    <s v="Feminino"/>
    <x v="1"/>
    <x v="17"/>
    <s v="50000160 - Fisioterapia Ortopédica (R$ 20,00), 98980327 - Taxa de Eletroterapia (Tens) (R$ 15,00)"/>
    <s v="Fisioterapia"/>
    <n v="8897151"/>
    <s v="Finalizado (8/10)"/>
    <n v="30.8"/>
    <n v="4.2"/>
    <n v="35"/>
    <s v="Sessão Faturada"/>
    <n v="1902013384500000"/>
    <n v="59375"/>
    <s v="Unidade Vieralves (ANEXO)"/>
    <n v="8897151"/>
    <m/>
  </r>
  <r>
    <x v="12"/>
    <x v="44"/>
    <s v="Jamile Macêdo Abrahão"/>
    <s v="Feminino"/>
    <x v="2"/>
    <x v="17"/>
    <s v="20103492 - Fisioterapia - Patologia Em Dois Ou Mais Membros (R$ 14,83), 20103514 - Fisioterapia - Patologia Em Diferentes Segmentos da Coluna (R$ 14,83)"/>
    <s v="Fisioterapia"/>
    <n v="1705546670"/>
    <s v="Finalizado (1/1)"/>
    <n v="26.1008"/>
    <n v="3.5592000000000001"/>
    <n v="29.66"/>
    <s v="Sessão Faturada"/>
    <n v="751127000086000"/>
    <n v="59017"/>
    <s v="Unidade Vieralves (ANEXO)"/>
    <n v="1705546670"/>
    <m/>
  </r>
  <r>
    <x v="12"/>
    <x v="60"/>
    <s v="Jamile Macêdo Abrahão"/>
    <s v="Feminino"/>
    <x v="2"/>
    <x v="17"/>
    <s v="20103115 - Atividade Reflexa Cinesioterápica (R$ 20,81)"/>
    <s v="Fisioterapia"/>
    <n v="1705547882"/>
    <s v="Finalizado (1/1)"/>
    <n v="18.312799999999999"/>
    <n v="2.4971999999999999"/>
    <n v="20.81"/>
    <s v="Sessão Faturada"/>
    <n v="751127000086000"/>
    <n v="59017"/>
    <s v="Unidade Vieralves (ANEXO)"/>
    <n v="1705547882"/>
    <m/>
  </r>
  <r>
    <x v="12"/>
    <x v="41"/>
    <s v="Mychaela de Souza Marques"/>
    <s v="Feminino"/>
    <x v="8"/>
    <x v="17"/>
    <s v="20103484 - Patologia Em Um Membro (R$ 12,22), 20103514 - Patologia Em Diferentes Segmentos da Coluna (R$ 14,83)"/>
    <s v="Fisioterapia"/>
    <n v="1703161444"/>
    <s v="Finalizado (4/5)"/>
    <n v="23.803999999999998"/>
    <n v="3.246"/>
    <n v="27.05"/>
    <s v="Sessão Faturada"/>
    <n v="954510032670000"/>
    <n v="48506"/>
    <s v="Unidade Vieralves (ANEXO)"/>
    <n v="1703161444"/>
    <m/>
  </r>
  <r>
    <x v="12"/>
    <x v="41"/>
    <s v="Celia Regina Simonetti Barbalho"/>
    <s v="Feminino"/>
    <x v="1"/>
    <x v="17"/>
    <s v="50000160 - Fisioterapia Ortopédica (R$ 20,00), 98980327 - Taxa de Eletroterapia (Tens) (R$ 15,00)"/>
    <s v="Fisioterapia"/>
    <n v="8947651"/>
    <s v="Finalizado (6/10)"/>
    <n v="30.8"/>
    <n v="4.2"/>
    <n v="35"/>
    <s v="Sessão Faturada"/>
    <s v="0901012965130039"/>
    <n v="36041"/>
    <s v="Unidade Vieralves (ANEXO)"/>
    <n v="8947651"/>
    <m/>
  </r>
  <r>
    <x v="12"/>
    <x v="65"/>
    <s v="Mychaela de Souza Marques"/>
    <s v="Feminino"/>
    <x v="8"/>
    <x v="17"/>
    <s v="20103115 - Atividade Reflexa Cinesioterápica (R$ 20,81)"/>
    <s v="Fisioterapia"/>
    <n v="1703163464"/>
    <s v="Finalizado (4/5)"/>
    <n v="18.312799999999999"/>
    <n v="2.4971999999999999"/>
    <n v="20.81"/>
    <s v="Sessão Faturada"/>
    <n v="954510032670000"/>
    <n v="48506"/>
    <s v="Unidade Vieralves (ANEXO)"/>
    <n v="1703163464"/>
    <m/>
  </r>
  <r>
    <x v="12"/>
    <x v="36"/>
    <s v="Irlane da Silva Magno Viana"/>
    <s v="Feminino"/>
    <x v="10"/>
    <x v="17"/>
    <s v="50000160 - Fisioterapia Ortopédica (R$ 15,00)"/>
    <s v="Fisioterapia"/>
    <n v="15075095"/>
    <s v="Finalizado (5/10)"/>
    <n v="13.2"/>
    <n v="1.8"/>
    <n v="15"/>
    <s v="Sessão Faturada"/>
    <s v="00010064272636003"/>
    <n v="59401"/>
    <s v="Unidade Vieralves (ANEXO)"/>
    <n v="15075095"/>
    <m/>
  </r>
  <r>
    <x v="12"/>
    <x v="36"/>
    <s v="Maria Das Graças Barroso Colares"/>
    <s v="Feminino"/>
    <x v="6"/>
    <x v="17"/>
    <s v="20103484 - Patologia Em Um Membro (R$ 14,16)"/>
    <s v="Fisioterapia"/>
    <n v="169288"/>
    <s v="Finalizado (4/5)"/>
    <n v="12.460800000000001"/>
    <n v="1.6992"/>
    <n v="14.16"/>
    <s v="Sessão a Faturar"/>
    <s v="55788888480524480019"/>
    <n v="50617"/>
    <s v="Unidade Vieralves (ANEXO)"/>
    <n v="169288"/>
    <m/>
  </r>
  <r>
    <x v="12"/>
    <x v="61"/>
    <s v="Maria Das Graças Barroso Colares"/>
    <s v="Feminino"/>
    <x v="6"/>
    <x v="17"/>
    <s v="31602185 - Estimulação Elétrica Transcutanea (Tens) (R$ 40,00)"/>
    <s v="Fisioterapia"/>
    <n v="169289"/>
    <s v="Finalizado (4/5)"/>
    <n v="35.200000000000003"/>
    <n v="4.8"/>
    <n v="40"/>
    <s v="Sessão a Faturar"/>
    <s v="55788888480524480019"/>
    <n v="50617"/>
    <s v="Unidade Vieralves (ANEXO)"/>
    <n v="169289"/>
    <m/>
  </r>
  <r>
    <x v="12"/>
    <x v="40"/>
    <s v="Luis Sergio da Silva"/>
    <s v="Feminino"/>
    <x v="17"/>
    <x v="17"/>
    <s v="50000160 - Fisioterapia Ortopedica (R$ 45,00)"/>
    <s v="Fisioterapia"/>
    <n v="3968226"/>
    <s v="Finalizado (7/10)"/>
    <n v="39.6"/>
    <n v="5.4"/>
    <n v="45"/>
    <s v="Sessão a Faturar"/>
    <s v="000915777694800"/>
    <n v="59395"/>
    <s v="Unidade Vieralves (ANEXO)"/>
    <n v="3968226"/>
    <m/>
  </r>
  <r>
    <x v="12"/>
    <x v="38"/>
    <s v="Marcos Alexandre Bolson"/>
    <s v="Masculino"/>
    <x v="1"/>
    <x v="17"/>
    <s v="50000160 - Fisioterapia Ortopédica (R$ 20,00), 98980327 - Taxa de Eletroterapia (Tens) (R$ 15,00)"/>
    <s v="Fisioterapia"/>
    <n v="8914969"/>
    <s v="Finalizado (5/10)"/>
    <n v="30.8"/>
    <n v="4.2"/>
    <n v="35"/>
    <s v="Sessão Faturada"/>
    <n v="1901013631570100"/>
    <n v="59302"/>
    <s v="Unidade Vieralves (ANEXO)"/>
    <n v="8914969"/>
    <m/>
  </r>
  <r>
    <x v="12"/>
    <x v="38"/>
    <s v="Nilda da Fonseca de Albuquerque"/>
    <s v="Feminino"/>
    <x v="7"/>
    <x v="17"/>
    <s v="Vieiralves - 1 - Fisioterapia Ortopedica - Pacote (R$ 80,00)"/>
    <s v="Fisioterapia"/>
    <n v="169533"/>
    <s v="Finalizado (4/10)"/>
    <n v="62.4"/>
    <n v="17.600000000000001"/>
    <n v="80"/>
    <s v="No Prazo"/>
    <n v="0"/>
    <n v="40274"/>
    <s v="Unidade Vieralves (ANEXO)"/>
    <n v="169533"/>
    <m/>
  </r>
  <r>
    <x v="12"/>
    <x v="39"/>
    <s v="Getulio Henrique Rocha Lima"/>
    <s v="Masculino"/>
    <x v="6"/>
    <x v="17"/>
    <s v="31602185 - Estimulação Elétrica Transcutanea (Tens) (R$ 40,00)"/>
    <s v="Fisioterapia"/>
    <n v="169686"/>
    <s v="Finalizado (4/5)"/>
    <n v="35.200000000000003"/>
    <n v="4.8"/>
    <n v="40"/>
    <s v="Sessão a Faturar"/>
    <s v="54588888010667990014"/>
    <n v="59110"/>
    <s v="Unidade Vieralves (ANEXO)"/>
    <n v="169686"/>
    <m/>
  </r>
  <r>
    <x v="12"/>
    <x v="39"/>
    <s v="Matheus de Oliveira Melo"/>
    <s v="Masculino"/>
    <x v="13"/>
    <x v="17"/>
    <s v="20103484 - Patologia Em Um Membro (R$ 24,41)"/>
    <s v="Fisioterapia"/>
    <n v="13509292"/>
    <s v="Finalizado (2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12"/>
    <x v="39"/>
    <s v="Maria Salete Braga da Costa Amoedo"/>
    <s v="Feminino"/>
    <x v="2"/>
    <x v="17"/>
    <s v="20103484 - Fisioterapia - Patologia Em Um Membro (R$ 12,22)"/>
    <s v="Fisioterapia"/>
    <n v="1704776860"/>
    <s v="Finalizado (2/5)"/>
    <n v="10.7536"/>
    <n v="1.4663999999999999"/>
    <n v="12.22"/>
    <s v="Sessão Faturada"/>
    <n v="952480018525020"/>
    <n v="44062"/>
    <s v="Unidade Vieralves (ANEXO)"/>
    <n v="1704776860"/>
    <m/>
  </r>
  <r>
    <x v="12"/>
    <x v="39"/>
    <s v="Jandeson Silva da Costa"/>
    <s v="Masculino"/>
    <x v="6"/>
    <x v="17"/>
    <s v="20103484 - Patologia Em Um Membro (R$ 14,16)"/>
    <s v="Fisioterapia"/>
    <n v="169851"/>
    <s v="Finalizado (3/5)"/>
    <n v="12.460800000000001"/>
    <n v="1.6992"/>
    <n v="14.16"/>
    <s v="Sessão a Faturar"/>
    <s v="54588888476378450019"/>
    <n v="46916"/>
    <s v="Unidade Vieralves (ANEXO)"/>
    <n v="169851"/>
    <m/>
  </r>
  <r>
    <x v="12"/>
    <x v="39"/>
    <s v="Sidnea Batista Vieira"/>
    <s v="Feminino"/>
    <x v="17"/>
    <x v="17"/>
    <s v="50000160 - Fisioterapia Ortopedica (R$ 45,00)"/>
    <s v="Fisioterapia"/>
    <n v="3981027"/>
    <s v="Finalizado (1/10)"/>
    <n v="39.6"/>
    <n v="5.4"/>
    <n v="45"/>
    <s v="Sessão a Faturar"/>
    <s v="000915777624101"/>
    <n v="56158"/>
    <s v="Unidade Vieralves (ANEXO)"/>
    <n v="3981027"/>
    <m/>
  </r>
  <r>
    <x v="12"/>
    <x v="64"/>
    <s v="Jandeson Silva da Costa"/>
    <s v="Masculino"/>
    <x v="6"/>
    <x v="17"/>
    <s v="31602185 - Estimulação Elétrica Transcutanea (Tens) (R$ 40,00)"/>
    <s v="Fisioterapia"/>
    <n v="169852"/>
    <s v="Finalizado (3/5)"/>
    <n v="35.200000000000003"/>
    <n v="4.8"/>
    <n v="40"/>
    <s v="Sessão a Faturar"/>
    <s v="54588888476378450019"/>
    <n v="46916"/>
    <s v="Unidade Vieralves (ANEXO)"/>
    <n v="169852"/>
    <m/>
  </r>
  <r>
    <x v="12"/>
    <x v="64"/>
    <s v="Getulio Henrique Rocha Lima"/>
    <s v="Masculino"/>
    <x v="6"/>
    <x v="17"/>
    <s v="20103484 - Patologia Em Um Membro (R$ 14,16)"/>
    <s v="Fisioterapia"/>
    <n v="169685"/>
    <s v="Finalizado (4/5)"/>
    <n v="12.460800000000001"/>
    <n v="1.6992"/>
    <n v="14.16"/>
    <s v="Sessão a Faturar"/>
    <s v="54588888010667990014"/>
    <n v="59110"/>
    <s v="Unidade Vieralves (ANEXO)"/>
    <n v="169685"/>
    <m/>
  </r>
  <r>
    <x v="12"/>
    <x v="64"/>
    <s v="Maria Salete Braga da Costa Amoedo"/>
    <s v="Feminino"/>
    <x v="2"/>
    <x v="17"/>
    <s v="20103115 - Atividade Reflexa Cinesioterápica (R$ 20,81)"/>
    <s v="Fisioterapia"/>
    <n v="1704777522"/>
    <s v="Finalizado (2/4)"/>
    <n v="18.312799999999999"/>
    <n v="2.4971999999999999"/>
    <n v="20.81"/>
    <s v="Sessão Faturada"/>
    <n v="952480018525020"/>
    <n v="44062"/>
    <s v="Unidade Vieralves (ANEXO)"/>
    <n v="1704777522"/>
    <m/>
  </r>
  <r>
    <x v="13"/>
    <x v="44"/>
    <s v="Francisca Martins da Silveira"/>
    <s v="Feminino"/>
    <x v="3"/>
    <x v="17"/>
    <s v="0006 - Fisioterapia Ortopédica - Pacote Com 10 Sessões (R$ 40,00)"/>
    <s v="Fisioterapia"/>
    <n v="168131"/>
    <s v="Finalizado (5/10)"/>
    <n v="31.2"/>
    <n v="8.8000000000000007"/>
    <n v="40"/>
    <s v="Sessão a Faturar"/>
    <n v="2687"/>
    <n v="59016"/>
    <s v="Unidade Vieralves (ANEXO)"/>
    <n v="168131"/>
    <m/>
  </r>
  <r>
    <x v="13"/>
    <x v="41"/>
    <s v="Moacir Leal da Silva Neto"/>
    <s v="Masculino"/>
    <x v="2"/>
    <x v="17"/>
    <s v="20103484 - Fisioterapia - Patologia Em Um Membro (R$ 12,22)"/>
    <s v="Fisioterapia"/>
    <n v="1701682501"/>
    <s v="Finalizado (4/5)"/>
    <n v="10.7536"/>
    <n v="1.4663999999999999"/>
    <n v="12.22"/>
    <s v="Sessão Faturada"/>
    <n v="774642019992000"/>
    <n v="56958"/>
    <s v="Unidade Vieralves (ANEXO)"/>
    <n v="1701682501"/>
    <m/>
  </r>
  <r>
    <x v="13"/>
    <x v="41"/>
    <s v="Mychaela de Souza Marques"/>
    <s v="Feminino"/>
    <x v="8"/>
    <x v="17"/>
    <s v="20103484 - Patologia Em Um Membro (R$ 12,22), 20103514 - Patologia Em Diferentes Segmentos da Coluna (R$ 14,83)"/>
    <s v="Fisioterapia"/>
    <n v="1703161444"/>
    <s v="Finalizado (5/5)"/>
    <n v="23.803999999999998"/>
    <n v="3.246"/>
    <n v="27.05"/>
    <s v="Sessão Faturada"/>
    <n v="954510032670000"/>
    <n v="48506"/>
    <s v="Unidade Vieralves (ANEXO)"/>
    <n v="1703161444"/>
    <m/>
  </r>
  <r>
    <x v="13"/>
    <x v="41"/>
    <s v="Anderson Souza da Costa"/>
    <s v="Masculino"/>
    <x v="6"/>
    <x v="17"/>
    <s v="20103484 - Patologia Em Um Membro (R$ 14,16)"/>
    <s v="Fisioterapia"/>
    <n v="169904"/>
    <s v="Finalizado (3/5)"/>
    <n v="12.460800000000001"/>
    <n v="1.6992"/>
    <n v="14.16"/>
    <s v="Sessão a Faturar"/>
    <s v="58201065998059740014"/>
    <n v="58756"/>
    <s v="Unidade Vieralves (ANEXO)"/>
    <n v="169904"/>
    <m/>
  </r>
  <r>
    <x v="13"/>
    <x v="65"/>
    <s v="Mychaela de Souza Marques"/>
    <s v="Feminino"/>
    <x v="8"/>
    <x v="17"/>
    <s v="20103115 - Atividade Reflexa Cinesioterápica (R$ 20,81)"/>
    <s v="Fisioterapia"/>
    <n v="1703163464"/>
    <s v="Finalizado (5/5)"/>
    <n v="18.312799999999999"/>
    <n v="2.4971999999999999"/>
    <n v="20.81"/>
    <s v="Sessão Faturada"/>
    <n v="954510032670000"/>
    <n v="48506"/>
    <s v="Unidade Vieralves (ANEXO)"/>
    <n v="1703163464"/>
    <m/>
  </r>
  <r>
    <x v="13"/>
    <x v="65"/>
    <s v="Anderson Souza da Costa"/>
    <s v="Masculino"/>
    <x v="6"/>
    <x v="17"/>
    <s v="31602185 - Estimulação Elétrica Transcutanea (Tens) (R$ 40,00)"/>
    <s v="Fisioterapia"/>
    <n v="170245"/>
    <s v="Finalizado (1/5)"/>
    <n v="35.200000000000003"/>
    <n v="4.8"/>
    <n v="40"/>
    <s v="Sessão a Faturar"/>
    <s v="58201065998059740014"/>
    <n v="58756"/>
    <s v="Unidade Vieralves (ANEXO)"/>
    <n v="170245"/>
    <m/>
  </r>
  <r>
    <x v="13"/>
    <x v="65"/>
    <s v="Moacir Leal da Silva Neto"/>
    <s v="Masculino"/>
    <x v="2"/>
    <x v="17"/>
    <s v="20103115 - Atividade Reflexa Cinesioterápica (R$ 20,81)"/>
    <s v="Fisioterapia"/>
    <n v="1701683528"/>
    <s v="Finalizado (4/5)"/>
    <n v="18.312799999999999"/>
    <n v="2.4971999999999999"/>
    <n v="20.81"/>
    <s v="Sessão Faturada"/>
    <n v="774642019992000"/>
    <n v="56958"/>
    <s v="Unidade Vieralves (ANEXO)"/>
    <n v="1701683528"/>
    <m/>
  </r>
  <r>
    <x v="13"/>
    <x v="36"/>
    <s v="Rita de Cássia da Rocha Fonseca"/>
    <s v="Feminino"/>
    <x v="1"/>
    <x v="17"/>
    <s v="50000160 - Fisioterapia Ortopédica (R$ 20,00), 98980327 - Taxa de Eletroterapia (Tens) (R$ 15,00)"/>
    <s v="Fisioterapia"/>
    <n v="8385753"/>
    <s v="Finalizado (6/10)"/>
    <n v="30.8"/>
    <n v="4.2"/>
    <n v="35"/>
    <s v="Sessão Faturada"/>
    <n v="2001013821610000"/>
    <n v="51948"/>
    <s v="Unidade Vieralves (ANEXO)"/>
    <n v="8385753"/>
    <s v="Guia assinada! 22/01"/>
  </r>
  <r>
    <x v="13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1/10)"/>
    <n v="30.8"/>
    <n v="4.2"/>
    <n v="35"/>
    <s v="Sessão a Faturar"/>
    <n v="2001013243020000"/>
    <n v="57366"/>
    <s v="Unidade Vieralves (ANEXO)"/>
    <n v="9639442"/>
    <m/>
  </r>
  <r>
    <x v="13"/>
    <x v="35"/>
    <s v="Alison Moura da Gama"/>
    <s v="Masculino"/>
    <x v="6"/>
    <x v="17"/>
    <s v="20103484 - Patologia Em Um Membro (R$ 14,16)"/>
    <s v="Fisioterapia"/>
    <n v="168892"/>
    <s v="Finalizado (3/5)"/>
    <n v="12.460800000000001"/>
    <n v="1.6992"/>
    <n v="14.16"/>
    <s v="Sessão a Faturar"/>
    <s v="54588888460743530017"/>
    <n v="44296"/>
    <s v="Unidade Vieralves (ANEXO)"/>
    <n v="168892"/>
    <m/>
  </r>
  <r>
    <x v="13"/>
    <x v="35"/>
    <s v="Maria Eulina da Cruz Marinho"/>
    <s v="Feminino"/>
    <x v="0"/>
    <x v="17"/>
    <s v="50000160 - Fisioterapia Ortopedica (R$ 49,72)"/>
    <s v="Fisioterapia"/>
    <s v="42263120260212286210"/>
    <s v="Finalizado (8/10)"/>
    <n v="43.753599999999999"/>
    <n v="5.9664000000000001"/>
    <n v="49.72"/>
    <s v="Sessão Faturada"/>
    <s v="010650643906"/>
    <n v="57178"/>
    <s v="Unidade Vieralves (ANEXO)"/>
    <s v="42263120260212286210"/>
    <m/>
  </r>
  <r>
    <x v="13"/>
    <x v="35"/>
    <s v="Antônio Edivaldo Pereira Nunes"/>
    <s v="Masculino"/>
    <x v="12"/>
    <x v="17"/>
    <s v="20103506 - Patol. Em Um Segmento Na Coluna (R$ 12,22)"/>
    <s v="Fisioterapia"/>
    <n v="170237"/>
    <s v="Finalizado (1/10)"/>
    <n v="10.7536"/>
    <n v="1.4663999999999999"/>
    <n v="12.22"/>
    <s v="Sessão a Faturar"/>
    <n v="9.5125782212117005E+17"/>
    <n v="57571"/>
    <s v="Unidade Vieralves (ANEXO)"/>
    <n v="170237"/>
    <m/>
  </r>
  <r>
    <x v="13"/>
    <x v="42"/>
    <s v="Maria Eulina da Cruz Marinho"/>
    <s v="Feminino"/>
    <x v="0"/>
    <x v="17"/>
    <s v="31602185 - Estimulação Elétrica Transcutânea Fisioterapia (Novo - 01/12) (R$ 54,13)"/>
    <s v="Fisioterapia"/>
    <s v="42263120260212286236"/>
    <s v="Finalizado (8/10)"/>
    <n v="47.634399999999999"/>
    <n v="6.4955999999999996"/>
    <n v="54.13"/>
    <s v="Sessão Faturada"/>
    <s v="010650643906"/>
    <n v="57178"/>
    <s v="Unidade Vieralves (ANEXO)"/>
    <s v="42263120260212286236"/>
    <m/>
  </r>
  <r>
    <x v="13"/>
    <x v="42"/>
    <s v="Alison Moura da Gama"/>
    <s v="Masculino"/>
    <x v="6"/>
    <x v="17"/>
    <s v="31602185 - Estimulação Elétrica Transcutanea (Tens) (R$ 40,00)"/>
    <s v="Fisioterapia"/>
    <n v="169463"/>
    <s v="Finalizado (3/5)"/>
    <n v="35.200000000000003"/>
    <n v="4.8"/>
    <n v="40"/>
    <s v="Sessão a Faturar"/>
    <s v="54588888460743530017"/>
    <n v="44296"/>
    <s v="Unidade Vieralves (ANEXO)"/>
    <n v="169463"/>
    <m/>
  </r>
  <r>
    <x v="13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2/10)"/>
    <n v="30.8"/>
    <n v="4.2"/>
    <n v="35"/>
    <s v="Sessão a Faturar"/>
    <s v="0801012899750000"/>
    <n v="56109"/>
    <s v="Unidade Vieralves (ANEXO)"/>
    <n v="9639936"/>
    <s v="Guia assinada! 24.03"/>
  </r>
  <r>
    <x v="13"/>
    <x v="38"/>
    <s v="Nilda da Fonseca de Albuquerque"/>
    <s v="Feminino"/>
    <x v="7"/>
    <x v="17"/>
    <s v="Vieiralves - 1 - Fisioterapia Ortopedica - Pacote (R$ 80,00)"/>
    <s v="Fisioterapia"/>
    <n v="169533"/>
    <s v="Finalizado (5/10)"/>
    <n v="62.4"/>
    <n v="17.600000000000001"/>
    <n v="80"/>
    <s v="No Prazo"/>
    <n v="0"/>
    <n v="40274"/>
    <s v="Unidade Vieralves (ANEXO)"/>
    <n v="169533"/>
    <m/>
  </r>
  <r>
    <x v="13"/>
    <x v="39"/>
    <s v="Magaly Portela Regis"/>
    <s v="Feminino"/>
    <x v="2"/>
    <x v="17"/>
    <s v="20103484 - Fisioterapia - Patologia Em Um Membro (R$ 12,22)"/>
    <s v="Fisioterapia"/>
    <n v="1701298129"/>
    <s v="Finalizado (5/5)"/>
    <n v="10.7536"/>
    <n v="1.4663999999999999"/>
    <n v="12.22"/>
    <s v="Sessão Faturada"/>
    <n v="838224200051000"/>
    <n v="16940"/>
    <s v="Unidade Vieralves (ANEXO)"/>
    <n v="1701298129"/>
    <m/>
  </r>
  <r>
    <x v="13"/>
    <x v="39"/>
    <s v="Matheus de Oliveira Melo"/>
    <s v="Masculino"/>
    <x v="13"/>
    <x v="17"/>
    <s v="20103484 - Patologia Em Um Membro (R$ 24,41)"/>
    <s v="Fisioterapia"/>
    <n v="13509292"/>
    <s v="Finalizado (3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13"/>
    <x v="39"/>
    <s v="Jandeson Silva da Costa"/>
    <s v="Masculino"/>
    <x v="6"/>
    <x v="17"/>
    <s v="20103484 - Patologia Em Um Membro (R$ 14,16)"/>
    <s v="Fisioterapia"/>
    <n v="169851"/>
    <s v="Finalizado (4/5)"/>
    <n v="12.460800000000001"/>
    <n v="1.6992"/>
    <n v="14.16"/>
    <s v="Sessão a Faturar"/>
    <s v="54588888476378450019"/>
    <n v="46916"/>
    <s v="Unidade Vieralves (ANEXO)"/>
    <n v="169851"/>
    <m/>
  </r>
  <r>
    <x v="13"/>
    <x v="64"/>
    <s v="Magaly Portela Regis"/>
    <s v="Feminino"/>
    <x v="2"/>
    <x v="17"/>
    <s v="20103115 - Atividade Reflexa Cinesioterápica (R$ 20,81)"/>
    <s v="Fisioterapia"/>
    <n v="1701298702"/>
    <s v="Finalizado (5/5)"/>
    <n v="18.312799999999999"/>
    <n v="2.4971999999999999"/>
    <n v="20.81"/>
    <s v="Sessão Faturada"/>
    <n v="838224200051000"/>
    <n v="16940"/>
    <s v="Unidade Vieralves (ANEXO)"/>
    <n v="1701298702"/>
    <m/>
  </r>
  <r>
    <x v="13"/>
    <x v="64"/>
    <s v="Jandeson Silva da Costa"/>
    <s v="Masculino"/>
    <x v="6"/>
    <x v="17"/>
    <s v="31602185 - Estimulação Elétrica Transcutanea (Tens) (R$ 40,00)"/>
    <s v="Fisioterapia"/>
    <n v="169852"/>
    <s v="Finalizado (4/5)"/>
    <n v="35.200000000000003"/>
    <n v="4.8"/>
    <n v="40"/>
    <s v="Sessão a Faturar"/>
    <s v="54588888476378450019"/>
    <n v="46916"/>
    <s v="Unidade Vieralves (ANEXO)"/>
    <n v="169852"/>
    <m/>
  </r>
  <r>
    <x v="14"/>
    <x v="44"/>
    <s v="Mylene Dutra Barbosa"/>
    <s v="Feminino"/>
    <x v="1"/>
    <x v="17"/>
    <s v="50000160 - Fisioterapia Ortopédica (R$ 20,00), 98980327 - Taxa de Eletroterapia (Tens) (R$ 15,00)"/>
    <s v="Fisioterapia"/>
    <n v="8897151"/>
    <s v="Finalizado (9/10)"/>
    <n v="30.8"/>
    <n v="4.2"/>
    <n v="35"/>
    <s v="Sessão Faturada"/>
    <n v="1902013384500000"/>
    <n v="59375"/>
    <s v="Unidade Vieralves (ANEXO)"/>
    <n v="8897151"/>
    <m/>
  </r>
  <r>
    <x v="14"/>
    <x v="44"/>
    <s v="Ivanilsa de Castro Amorim"/>
    <s v="Feminino"/>
    <x v="29"/>
    <x v="17"/>
    <s v="50000160 - Fisioterapia Ortopedica/Neurológica (R$ 33,00)"/>
    <s v="Fisioterapia"/>
    <n v="1075008"/>
    <s v="Finalizado (3/10)"/>
    <n v="29.04"/>
    <n v="3.96"/>
    <n v="33"/>
    <s v="Sessão Faturada"/>
    <n v="130260024272010"/>
    <n v="52811"/>
    <s v="Unidade Vieralves (ANEXO)"/>
    <n v="1075008"/>
    <m/>
  </r>
  <r>
    <x v="14"/>
    <x v="60"/>
    <s v="Ivanilsa de Castro Amorim"/>
    <s v="Feminino"/>
    <x v="29"/>
    <x v="17"/>
    <s v="31602185 - Estimulação Elétrica Transcutanea (R$ 87,74)"/>
    <s v="Fisioterapia"/>
    <n v="1075035"/>
    <s v="Finalizado (3/10)"/>
    <n v="77.211200000000005"/>
    <n v="10.5288"/>
    <n v="87.74"/>
    <s v="Sessão Faturada"/>
    <n v="130260024272010"/>
    <n v="52811"/>
    <s v="Unidade Vieralves (ANEXO)"/>
    <n v="1075035"/>
    <m/>
  </r>
  <r>
    <x v="14"/>
    <x v="41"/>
    <s v="Celia Regina Simonetti Barbalho"/>
    <s v="Feminino"/>
    <x v="1"/>
    <x v="17"/>
    <s v="50000160 - Fisioterapia Ortopédica (R$ 20,00), 98980327 - Taxa de Eletroterapia (Tens) (R$ 15,00)"/>
    <s v="Fisioterapia"/>
    <n v="8947651"/>
    <s v="Finalizado (7/10)"/>
    <n v="30.8"/>
    <n v="4.2"/>
    <n v="35"/>
    <s v="Sessão Faturada"/>
    <s v="0901012965130039"/>
    <n v="36041"/>
    <s v="Unidade Vieralves (ANEXO)"/>
    <n v="8947651"/>
    <m/>
  </r>
  <r>
    <x v="14"/>
    <x v="36"/>
    <s v="Maria Das Graças Barroso Colares"/>
    <s v="Feminino"/>
    <x v="6"/>
    <x v="17"/>
    <s v="20103484 - Patologia Em Um Membro (R$ 14,16)"/>
    <s v="Fisioterapia"/>
    <n v="169288"/>
    <s v="Finalizado (5/5)"/>
    <n v="12.460800000000001"/>
    <n v="1.6992"/>
    <n v="14.16"/>
    <s v="Sessão a Faturar"/>
    <s v="55788888480524480019"/>
    <n v="50617"/>
    <s v="Unidade Vieralves (ANEXO)"/>
    <n v="169288"/>
    <m/>
  </r>
  <r>
    <x v="14"/>
    <x v="36"/>
    <s v="Irlane da Silva Magno Viana"/>
    <s v="Feminino"/>
    <x v="10"/>
    <x v="17"/>
    <s v="50000160 - Fisioterapia Ortopédica (R$ 15,00)"/>
    <s v="Fisioterapia"/>
    <n v="15075095"/>
    <s v="Finalizado (6/10)"/>
    <n v="13.2"/>
    <n v="1.8"/>
    <n v="15"/>
    <s v="Sessão Faturada"/>
    <s v="00010064272636003"/>
    <n v="59401"/>
    <s v="Unidade Vieralves (ANEXO)"/>
    <n v="15075095"/>
    <m/>
  </r>
  <r>
    <x v="14"/>
    <x v="61"/>
    <s v="Maria Das Graças Barroso Colares"/>
    <s v="Feminino"/>
    <x v="6"/>
    <x v="17"/>
    <s v="31602185 - Estimulação Elétrica Transcutanea (Tens) (R$ 40,00)"/>
    <s v="Fisioterapia"/>
    <n v="169289"/>
    <s v="Finalizado (5/5)"/>
    <n v="35.200000000000003"/>
    <n v="4.8"/>
    <n v="40"/>
    <s v="Sessão a Faturar"/>
    <s v="55788888480524480019"/>
    <n v="50617"/>
    <s v="Unidade Vieralves (ANEXO)"/>
    <n v="169289"/>
    <m/>
  </r>
  <r>
    <x v="14"/>
    <x v="40"/>
    <s v="Luis Sergio da Silva"/>
    <s v="Feminino"/>
    <x v="17"/>
    <x v="17"/>
    <s v="50000160 - Fisioterapia Ortopedica (R$ 45,00)"/>
    <s v="Fisioterapia"/>
    <n v="3968226"/>
    <s v="Finalizado (8/10)"/>
    <n v="39.6"/>
    <n v="5.4"/>
    <n v="45"/>
    <s v="Sessão a Faturar"/>
    <s v="000915777694800"/>
    <n v="59395"/>
    <s v="Unidade Vieralves (ANEXO)"/>
    <n v="3968226"/>
    <m/>
  </r>
  <r>
    <x v="14"/>
    <x v="35"/>
    <s v="Maria Eulina da Cruz Marinho"/>
    <s v="Feminino"/>
    <x v="0"/>
    <x v="17"/>
    <s v="31602185 - Estimulação Elétrica Transcutânea Fisioterapia (Novo - 01/12) (R$ 54,13)"/>
    <s v="Fisioterapia"/>
    <s v="42263120260212286236"/>
    <s v="Finalizado (9/10)"/>
    <n v="47.634399999999999"/>
    <n v="6.4955999999999996"/>
    <n v="54.13"/>
    <s v="Sessão Faturada"/>
    <s v="010650643906"/>
    <n v="57178"/>
    <s v="Unidade Vieralves (ANEXO)"/>
    <s v="42263120260212286236"/>
    <m/>
  </r>
  <r>
    <x v="14"/>
    <x v="35"/>
    <s v="Jaime Lopes Pereira"/>
    <s v="Masculino"/>
    <x v="3"/>
    <x v="17"/>
    <s v="0006 - Fisioterapia Ortopédica - Pacote Com 10 Sessões (R$ 40,00)"/>
    <s v="Fisioterapia"/>
    <n v="170054"/>
    <s v="Finalizado (1/10)"/>
    <n v="31.2"/>
    <n v="8.8000000000000007"/>
    <n v="40"/>
    <s v="Sessão a Faturar"/>
    <n v="18481"/>
    <n v="59088"/>
    <s v="Unidade Vieralves (ANEXO)"/>
    <n v="170054"/>
    <m/>
  </r>
  <r>
    <x v="14"/>
    <x v="35"/>
    <s v="Christie Rachel Amazonas"/>
    <s v="Feminino"/>
    <x v="2"/>
    <x v="17"/>
    <s v="20103506 - Fisioterapia - Patologia Em Um Segmento da Coluna (R$ 12,22)"/>
    <s v="Fisioterapia"/>
    <n v="1703512818"/>
    <s v="Finalizado (2/2)"/>
    <n v="10.7536"/>
    <n v="1.4663999999999999"/>
    <n v="12.22"/>
    <s v="Sessão Faturada"/>
    <n v="839064800019030"/>
    <n v="58462"/>
    <s v="Unidade Vieralves (ANEXO)"/>
    <n v="1703512818"/>
    <m/>
  </r>
  <r>
    <x v="14"/>
    <x v="42"/>
    <s v="Christie Rachel Amazonas"/>
    <s v="Feminino"/>
    <x v="2"/>
    <x v="17"/>
    <s v="20103115 - Atividade Reflexa Cinesioterápica (R$ 20,81)"/>
    <s v="Fisioterapia"/>
    <n v="1703513184"/>
    <s v="Finalizado (2/2)"/>
    <n v="18.312799999999999"/>
    <n v="2.4971999999999999"/>
    <n v="20.81"/>
    <s v="Sessão Faturada"/>
    <n v="839064800019030"/>
    <n v="58462"/>
    <s v="Unidade Vieralves (ANEXO)"/>
    <n v="1703513184"/>
    <m/>
  </r>
  <r>
    <x v="14"/>
    <x v="42"/>
    <s v="Maria Eulina da Cruz Marinho"/>
    <s v="Feminino"/>
    <x v="0"/>
    <x v="17"/>
    <s v="50000160 - Fisioterapia Ortopedica (R$ 49,72)"/>
    <s v="Fisioterapia"/>
    <s v="42263120260212286210"/>
    <s v="Finalizado (9/10)"/>
    <n v="43.753599999999999"/>
    <n v="5.9664000000000001"/>
    <n v="49.72"/>
    <s v="Sessão Faturada"/>
    <s v="010650643906"/>
    <n v="57178"/>
    <s v="Unidade Vieralves (ANEXO)"/>
    <s v="42263120260212286210"/>
    <m/>
  </r>
  <r>
    <x v="14"/>
    <x v="38"/>
    <s v="Kayth Anny Barbosa Ayden"/>
    <s v="Feminino"/>
    <x v="1"/>
    <x v="17"/>
    <s v="50000160 - Fisioterapia Ortopédica (R$ 20,00), 98980327 - Taxa de Eletroterapia (Tens) (R$ 15,00)"/>
    <s v="Fisioterapia"/>
    <n v="8796045"/>
    <s v="Finalizado (8/8)"/>
    <n v="30.8"/>
    <n v="4.2"/>
    <n v="35"/>
    <s v="Sessão Faturada"/>
    <s v="0901013122960084"/>
    <n v="56309"/>
    <s v="Unidade Vieralves (ANEXO)"/>
    <n v="8796045"/>
    <m/>
  </r>
  <r>
    <x v="14"/>
    <x v="38"/>
    <s v="Marcos Alexandre Bolson"/>
    <s v="Masculino"/>
    <x v="1"/>
    <x v="17"/>
    <s v="50000160 - Fisioterapia Ortopédica (R$ 20,00), 98980327 - Taxa de Eletroterapia (Tens) (R$ 15,00)"/>
    <s v="Fisioterapia"/>
    <n v="8914969"/>
    <s v="Finalizado (6/10)"/>
    <n v="30.8"/>
    <n v="4.2"/>
    <n v="35"/>
    <s v="Sessão Faturada"/>
    <n v="1901013631570100"/>
    <n v="59302"/>
    <s v="Unidade Vieralves (ANEXO)"/>
    <n v="8914969"/>
    <m/>
  </r>
  <r>
    <x v="14"/>
    <x v="38"/>
    <s v="Nilda da Fonseca de Albuquerque"/>
    <s v="Feminino"/>
    <x v="7"/>
    <x v="17"/>
    <s v="Vieiralves - 1 - Fisioterapia Ortopedica - Pacote (R$ 80,00)"/>
    <s v="Fisioterapia"/>
    <n v="169533"/>
    <s v="Finalizado (6/10)"/>
    <n v="62.4"/>
    <n v="17.600000000000001"/>
    <n v="80"/>
    <s v="No Prazo"/>
    <n v="0"/>
    <n v="40274"/>
    <s v="Unidade Vieralves (ANEXO)"/>
    <n v="169533"/>
    <m/>
  </r>
  <r>
    <x v="14"/>
    <x v="37"/>
    <s v="Waleska Gravena"/>
    <s v="Feminino"/>
    <x v="1"/>
    <x v="17"/>
    <s v="50000160 - Fisioterapia Ortopédica (R$ 20,00), 98980327 - Taxa de Eletroterapia (Tens) (R$ 15,00)"/>
    <s v="Fisioterapia"/>
    <n v="8872536"/>
    <s v="Finalizado (5/10)"/>
    <n v="30.8"/>
    <n v="4.2"/>
    <n v="35"/>
    <s v="Sessão Faturada"/>
    <s v="0701013990930087"/>
    <n v="18715"/>
    <s v="Unidade Vieralves (ANEXO)"/>
    <n v="8872536"/>
    <s v="Guia assinada! 04/03"/>
  </r>
  <r>
    <x v="14"/>
    <x v="39"/>
    <s v="Maria Salete Braga da Costa Amoedo"/>
    <s v="Feminino"/>
    <x v="2"/>
    <x v="17"/>
    <s v="20103115 - Atividade Reflexa Cinesioterápica (R$ 20,81)"/>
    <s v="Fisioterapia"/>
    <n v="1704777522"/>
    <s v="Finalizado (3/4)"/>
    <n v="18.312799999999999"/>
    <n v="2.4971999999999999"/>
    <n v="20.81"/>
    <s v="Sessão Faturada"/>
    <n v="952480018525020"/>
    <n v="44062"/>
    <s v="Unidade Vieralves (ANEXO)"/>
    <n v="1704777522"/>
    <m/>
  </r>
  <r>
    <x v="14"/>
    <x v="39"/>
    <s v="Matheus de Oliveira Melo"/>
    <s v="Masculino"/>
    <x v="13"/>
    <x v="17"/>
    <s v="20103484 - Patologia Em Um Membro (R$ 24,41)"/>
    <s v="Fisioterapia"/>
    <n v="13509292"/>
    <s v="Finalizado (4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14"/>
    <x v="39"/>
    <s v="Jandeson Silva da Costa"/>
    <s v="Masculino"/>
    <x v="6"/>
    <x v="17"/>
    <s v="20103484 - Patologia Em Um Membro (R$ 14,16)"/>
    <s v="Fisioterapia"/>
    <n v="169851"/>
    <s v="Finalizado (5/5)"/>
    <n v="12.460800000000001"/>
    <n v="1.6992"/>
    <n v="14.16"/>
    <s v="Sessão a Faturar"/>
    <s v="54588888476378450019"/>
    <n v="46916"/>
    <s v="Unidade Vieralves (ANEXO)"/>
    <n v="169851"/>
    <m/>
  </r>
  <r>
    <x v="14"/>
    <x v="39"/>
    <s v="Jandeson Silva da Costa"/>
    <s v="Masculino"/>
    <x v="6"/>
    <x v="17"/>
    <s v="31602185 - Estimulação Elétrica Transcutanea (Tens) (R$ 40,00)"/>
    <s v="Fisioterapia"/>
    <n v="169852"/>
    <s v="Finalizado (5/5)"/>
    <n v="35.200000000000003"/>
    <n v="4.8"/>
    <n v="40"/>
    <s v="Sessão a Faturar"/>
    <s v="54588888476378450019"/>
    <n v="46916"/>
    <s v="Unidade Vieralves (ANEXO)"/>
    <n v="169852"/>
    <m/>
  </r>
  <r>
    <x v="14"/>
    <x v="64"/>
    <s v="Maria Salete Braga da Costa Amoedo"/>
    <s v="Feminino"/>
    <x v="2"/>
    <x v="17"/>
    <s v="20103484 - Fisioterapia - Patologia Em Um Membro (R$ 12,22)"/>
    <s v="Fisioterapia"/>
    <n v="1704776860"/>
    <s v="Finalizado (3/5)"/>
    <n v="10.7536"/>
    <n v="1.4663999999999999"/>
    <n v="12.22"/>
    <s v="Sessão Faturada"/>
    <n v="952480018525020"/>
    <n v="44062"/>
    <s v="Unidade Vieralves (ANEXO)"/>
    <n v="1704776860"/>
    <m/>
  </r>
  <r>
    <x v="15"/>
    <x v="44"/>
    <s v="Francisca Eldi Frazao de Souza"/>
    <m/>
    <x v="1"/>
    <x v="17"/>
    <s v="50000144 - Consulta de Fisioterapia (R$ 16,00)"/>
    <s v="Fisioterapia"/>
    <n v="9173884"/>
    <s v="Finalizado (1/1)"/>
    <n v="14.4"/>
    <n v="1.6"/>
    <n v="16"/>
    <s v="Sessão Faturada"/>
    <n v="1301011611080200"/>
    <n v="59503"/>
    <s v="Unidade Vieralves (ANEXO)"/>
    <n v="9173884"/>
    <m/>
  </r>
  <r>
    <x v="15"/>
    <x v="44"/>
    <s v="Ivanilsa de Castro Amorim"/>
    <s v="Feminino"/>
    <x v="29"/>
    <x v="17"/>
    <s v="50000160 - Fisioterapia Ortopedica/Neurológica (R$ 33,00)"/>
    <s v="Fisioterapia"/>
    <n v="1075008"/>
    <s v="Finalizado (4/10)"/>
    <n v="29.04"/>
    <n v="3.96"/>
    <n v="33"/>
    <s v="Sessão Faturada"/>
    <n v="130260024272010"/>
    <n v="52811"/>
    <s v="Unidade Vieralves (ANEXO)"/>
    <n v="1075008"/>
    <m/>
  </r>
  <r>
    <x v="15"/>
    <x v="60"/>
    <s v="Ivanilsa de Castro Amorim"/>
    <s v="Feminino"/>
    <x v="29"/>
    <x v="17"/>
    <s v="31602185 - Estimulação Elétrica Transcutanea (R$ 87,74)"/>
    <s v="Fisioterapia"/>
    <n v="1075035"/>
    <s v="Finalizado (4/10)"/>
    <n v="77.211200000000005"/>
    <n v="10.5288"/>
    <n v="87.74"/>
    <s v="Sessão Faturada"/>
    <n v="130260024272010"/>
    <n v="52811"/>
    <s v="Unidade Vieralves (ANEXO)"/>
    <n v="1075035"/>
    <m/>
  </r>
  <r>
    <x v="15"/>
    <x v="60"/>
    <s v="Francisca Eldi Frazao de Souza"/>
    <m/>
    <x v="1"/>
    <x v="17"/>
    <s v="50000160 - Fisioterapia Ortopédica (R$ 20,00), 98980327 - Taxa de Eletroterapia (Tens) (R$ 15,00)"/>
    <s v="Fisioterapia"/>
    <n v="9173975"/>
    <s v="Finalizado (1/10)"/>
    <n v="30.8"/>
    <n v="4.2"/>
    <n v="35"/>
    <s v="Sessão Faturada"/>
    <n v="1301011611080200"/>
    <n v="59503"/>
    <s v="Unidade Vieralves (ANEXO)"/>
    <n v="9173975"/>
    <m/>
  </r>
  <r>
    <x v="15"/>
    <x v="41"/>
    <s v="Fabiana Nunes de Souza"/>
    <s v="Feminino"/>
    <x v="10"/>
    <x v="17"/>
    <s v="50000160 - Fisioterapia Ortopédica (R$ 15,00)"/>
    <s v="Fisioterapia"/>
    <n v="15095050"/>
    <s v="Finalizado (2/10)"/>
    <n v="13.2"/>
    <n v="1.8"/>
    <n v="15"/>
    <s v="Sessão Faturada"/>
    <s v="00010064268224006"/>
    <n v="50502"/>
    <s v="Unidade Vieralves (ANEXO)"/>
    <n v="15095050"/>
    <m/>
  </r>
  <r>
    <x v="15"/>
    <x v="41"/>
    <s v="Moacir Leal da Silva Neto"/>
    <s v="Masculino"/>
    <x v="2"/>
    <x v="17"/>
    <s v="20103484 - Fisioterapia - Patologia Em Um Membro (R$ 12,22)"/>
    <s v="Fisioterapia"/>
    <n v="1701682501"/>
    <s v="Finalizado (5/5)"/>
    <n v="10.7536"/>
    <n v="1.4663999999999999"/>
    <n v="12.22"/>
    <s v="Sessão Faturada"/>
    <n v="774642019992000"/>
    <n v="56958"/>
    <s v="Unidade Vieralves (ANEXO)"/>
    <n v="1701682501"/>
    <m/>
  </r>
  <r>
    <x v="15"/>
    <x v="41"/>
    <s v="Márcia Vasconcelos de Lima"/>
    <s v="Feminino"/>
    <x v="2"/>
    <x v="17"/>
    <s v="20103514 - Fisioterapia - Patologia Em Diferentes Segmentos da Coluna (R$ 14,83)"/>
    <s v="Fisioterapia"/>
    <n v="1703644765"/>
    <s v="Finalizado (3/4)"/>
    <n v="13.0504"/>
    <n v="1.7796000000000001"/>
    <n v="14.83"/>
    <s v="Sessão Faturada"/>
    <n v="772299063096010"/>
    <n v="58485"/>
    <s v="Unidade Vieralves (ANEXO)"/>
    <n v="1703644765"/>
    <m/>
  </r>
  <r>
    <x v="15"/>
    <x v="65"/>
    <s v="Moacir Leal da Silva Neto"/>
    <s v="Masculino"/>
    <x v="2"/>
    <x v="17"/>
    <s v="20103115 - Atividade Reflexa Cinesioterápica (R$ 20,81)"/>
    <s v="Fisioterapia"/>
    <n v="1701683528"/>
    <s v="Finalizado (5/5)"/>
    <n v="18.312799999999999"/>
    <n v="2.4971999999999999"/>
    <n v="20.81"/>
    <s v="Sessão Faturada"/>
    <n v="774642019992000"/>
    <n v="56958"/>
    <s v="Unidade Vieralves (ANEXO)"/>
    <n v="1701683528"/>
    <m/>
  </r>
  <r>
    <x v="15"/>
    <x v="65"/>
    <s v="Márcia Vasconcelos de Lima"/>
    <s v="Feminino"/>
    <x v="2"/>
    <x v="17"/>
    <s v="20103115 - Atividade Reflexa Cinesioterápica (R$ 20,81)"/>
    <s v="Fisioterapia"/>
    <n v="1703646291"/>
    <s v="Finalizado (3/4)"/>
    <n v="18.312799999999999"/>
    <n v="2.4971999999999999"/>
    <n v="20.81"/>
    <s v="Sessão Faturada"/>
    <n v="772299063096010"/>
    <n v="58485"/>
    <s v="Unidade Vieralves (ANEXO)"/>
    <n v="1703646291"/>
    <m/>
  </r>
  <r>
    <x v="15"/>
    <x v="36"/>
    <s v="Rita de Cássia da Rocha Fonseca"/>
    <s v="Feminino"/>
    <x v="1"/>
    <x v="17"/>
    <s v="50000160 - Fisioterapia Ortopédica (R$ 20,00), 98980327 - Taxa de Eletroterapia (Tens) (R$ 15,00)"/>
    <s v="Fisioterapia"/>
    <n v="8385753"/>
    <s v="Não compareceu (7/10)"/>
    <n v="35"/>
    <n v="0"/>
    <n v="35"/>
    <s v="Sessão Faturada"/>
    <n v="2001013821610000"/>
    <n v="51948"/>
    <s v="Unidade Vieralves (ANEXO)"/>
    <n v="8385753"/>
    <s v="Guia assinada! 22/01"/>
  </r>
  <r>
    <x v="15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2/10)"/>
    <n v="30.8"/>
    <n v="4.2"/>
    <n v="35"/>
    <s v="Sessão a Faturar"/>
    <n v="2001013243020000"/>
    <n v="57366"/>
    <s v="Unidade Vieralves (ANEXO)"/>
    <n v="9639442"/>
    <m/>
  </r>
  <r>
    <x v="15"/>
    <x v="40"/>
    <s v="Rosene Das Graças Silva de Oliveira"/>
    <m/>
    <x v="15"/>
    <x v="17"/>
    <s v="20103492 - Patologia Em Dois Ou Mais Membros (R$ 49,20)"/>
    <s v="Fisioterapia"/>
    <n v="232932485"/>
    <s v="Finalizado (10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15"/>
    <x v="40"/>
    <s v="Marianina Cerbina Grisi Pessoa Costa"/>
    <s v="Feminino"/>
    <x v="7"/>
    <x v="17"/>
    <s v="Vieiralves - 33 - Fisioterapia Ortopedica - Sessão Avulsa (R$ 90,00)"/>
    <s v="Fisioterapia"/>
    <m/>
    <s v="Finalizado (1/1)"/>
    <n v="70.2"/>
    <n v="19.8"/>
    <n v="90"/>
    <s v="Pago"/>
    <n v="0"/>
    <n v="59299"/>
    <s v="Unidade Vieralves (ANEXO)"/>
    <m/>
    <m/>
  </r>
  <r>
    <x v="15"/>
    <x v="35"/>
    <s v="Maria Eulina da Cruz Marinho"/>
    <s v="Feminino"/>
    <x v="0"/>
    <x v="17"/>
    <s v="50000160 - Fisioterapia Ortopedica (R$ 49,72)"/>
    <s v="Fisioterapia"/>
    <s v="42263120260212286210"/>
    <s v="Finalizado (10/10)"/>
    <n v="43.753599999999999"/>
    <n v="5.9664000000000001"/>
    <n v="49.72"/>
    <s v="Sessão Faturada"/>
    <s v="010650643906"/>
    <n v="57178"/>
    <s v="Unidade Vieralves (ANEXO)"/>
    <s v="42263120260212286210"/>
    <m/>
  </r>
  <r>
    <x v="15"/>
    <x v="42"/>
    <s v="Maria Eulina da Cruz Marinho"/>
    <s v="Feminino"/>
    <x v="0"/>
    <x v="17"/>
    <s v="31602185 - Estimulação Elétrica Transcutânea Fisioterapia (Novo - 01/12) (R$ 54,13)"/>
    <s v="Fisioterapia"/>
    <s v="42263120260212286236"/>
    <s v="Finalizado (10/10)"/>
    <n v="47.634399999999999"/>
    <n v="6.4955999999999996"/>
    <n v="54.13"/>
    <s v="Sessão Faturada"/>
    <s v="010650643906"/>
    <n v="57178"/>
    <s v="Unidade Vieralves (ANEXO)"/>
    <s v="42263120260212286236"/>
    <m/>
  </r>
  <r>
    <x v="15"/>
    <x v="38"/>
    <s v="Nilda da Fonseca de Albuquerque"/>
    <s v="Feminino"/>
    <x v="7"/>
    <x v="17"/>
    <s v="Vieiralves - 1 - Fisioterapia Ortopedica - Pacote (R$ 80,00)"/>
    <s v="Fisioterapia"/>
    <n v="169533"/>
    <s v="Finalizado (7/10)"/>
    <n v="62.4"/>
    <n v="17.600000000000001"/>
    <n v="80"/>
    <s v="No Prazo"/>
    <n v="0"/>
    <n v="40274"/>
    <s v="Unidade Vieralves (ANEXO)"/>
    <n v="169533"/>
    <m/>
  </r>
  <r>
    <x v="15"/>
    <x v="38"/>
    <s v="Josmar Rafael Haro de Lima"/>
    <s v="Masculino"/>
    <x v="8"/>
    <x v="17"/>
    <s v="20103484 - Patologia Em Um Membro (R$ 12,22)"/>
    <s v="Fisioterapia"/>
    <n v="1704244826"/>
    <s v="Finalizado (2/2)"/>
    <n v="10.7536"/>
    <n v="1.4663999999999999"/>
    <n v="12.22"/>
    <s v="Sessão Faturada"/>
    <n v="954600008940000"/>
    <n v="59200"/>
    <s v="Unidade Vieralves (ANEXO)"/>
    <n v="1704244826"/>
    <m/>
  </r>
  <r>
    <x v="15"/>
    <x v="38"/>
    <s v="Magaly Portela Regis"/>
    <s v="Feminino"/>
    <x v="2"/>
    <x v="17"/>
    <s v="20103484 - Fisioterapia - Patologia Em Um Membro (R$ 12,22)"/>
    <s v="Fisioterapia"/>
    <n v="1707288169"/>
    <s v="Finalizado (1/5)"/>
    <n v="10.7536"/>
    <n v="1.4663999999999999"/>
    <n v="12.22"/>
    <s v="Sessão Faturada"/>
    <n v="838224200051000"/>
    <n v="16940"/>
    <s v="Unidade Vieralves (ANEXO)"/>
    <n v="1707288169"/>
    <m/>
  </r>
  <r>
    <x v="15"/>
    <x v="62"/>
    <s v="Josmar Rafael Haro de Lima"/>
    <s v="Masculino"/>
    <x v="8"/>
    <x v="17"/>
    <s v="20103115 - Atividade Reflexa Cinesioterápica (R$ 20,81)"/>
    <s v="Fisioterapia"/>
    <n v="1704245869"/>
    <s v="Finalizado (2/2)"/>
    <n v="18.312799999999999"/>
    <n v="2.4971999999999999"/>
    <n v="20.81"/>
    <s v="Sessão Faturada"/>
    <n v="954600008940000"/>
    <n v="59200"/>
    <s v="Unidade Vieralves (ANEXO)"/>
    <n v="1704245869"/>
    <m/>
  </r>
  <r>
    <x v="15"/>
    <x v="62"/>
    <s v="Magaly Portela Regis"/>
    <s v="Feminino"/>
    <x v="2"/>
    <x v="17"/>
    <s v="20103115 - Atividade Reflexa Cinesioterápica (R$ 20,81)"/>
    <s v="Fisioterapia"/>
    <n v="1707288900"/>
    <s v="Finalizado (1/2)"/>
    <n v="18.312799999999999"/>
    <n v="2.4971999999999999"/>
    <n v="20.81"/>
    <s v="Sessão Faturada"/>
    <n v="838224200051000"/>
    <n v="16940"/>
    <s v="Unidade Vieralves (ANEXO)"/>
    <n v="1707288900"/>
    <m/>
  </r>
  <r>
    <x v="16"/>
    <x v="89"/>
    <s v="Francisca Eldi Frazao de Souza"/>
    <m/>
    <x v="1"/>
    <x v="17"/>
    <s v="50000160 - Fisioterapia Ortopédica (R$ 20,00), 98980327 - Taxa de Eletroterapia (Tens) (R$ 15,00)"/>
    <s v="Fisioterapia"/>
    <n v="9173975"/>
    <s v="Finalizado (2/10)"/>
    <n v="30.8"/>
    <n v="4.2"/>
    <n v="35"/>
    <s v="Sessão Faturada"/>
    <n v="1301011611080200"/>
    <n v="59503"/>
    <s v="Unidade Vieralves (ANEXO)"/>
    <n v="9173975"/>
    <m/>
  </r>
  <r>
    <x v="16"/>
    <x v="89"/>
    <s v="Francisca Martins da Silveira"/>
    <s v="Feminino"/>
    <x v="3"/>
    <x v="17"/>
    <s v="0006 - Fisioterapia Ortopédica - Pacote Com 10 Sessões (R$ 40,00)"/>
    <s v="Fisioterapia"/>
    <n v="168131"/>
    <s v="Finalizado (6/10)"/>
    <n v="31.2"/>
    <n v="8.8000000000000007"/>
    <n v="40"/>
    <s v="Sessão a Faturar"/>
    <n v="2687"/>
    <n v="59016"/>
    <s v="Unidade Vieralves (ANEXO)"/>
    <n v="168131"/>
    <m/>
  </r>
  <r>
    <x v="16"/>
    <x v="44"/>
    <s v="Mylene Dutra Barbosa"/>
    <s v="Feminino"/>
    <x v="1"/>
    <x v="17"/>
    <s v="50000160 - Fisioterapia Ortopédica (R$ 20,00), 98980327 - Taxa de Eletroterapia (Tens) (R$ 15,00)"/>
    <s v="Fisioterapia"/>
    <n v="8897151"/>
    <s v="Finalizado (10/10)"/>
    <n v="30.8"/>
    <n v="4.2"/>
    <n v="35"/>
    <s v="Sessão Faturada"/>
    <n v="1902013384500000"/>
    <n v="59375"/>
    <s v="Unidade Vieralves (ANEXO)"/>
    <n v="8897151"/>
    <m/>
  </r>
  <r>
    <x v="16"/>
    <x v="44"/>
    <s v="Ivanilsa de Castro Amorim"/>
    <s v="Feminino"/>
    <x v="29"/>
    <x v="17"/>
    <s v="50000160 - Fisioterapia Ortopedica/Neurológica (R$ 33,00)"/>
    <s v="Fisioterapia"/>
    <n v="1075008"/>
    <s v="Finalizado (5/10)"/>
    <n v="29.04"/>
    <n v="3.96"/>
    <n v="33"/>
    <s v="Sessão Faturada"/>
    <n v="130260024272010"/>
    <n v="52811"/>
    <s v="Unidade Vieralves (ANEXO)"/>
    <n v="1075008"/>
    <m/>
  </r>
  <r>
    <x v="16"/>
    <x v="60"/>
    <s v="Ivanilsa de Castro Amorim"/>
    <s v="Feminino"/>
    <x v="29"/>
    <x v="17"/>
    <s v="31602185 - Estimulação Elétrica Transcutanea (R$ 87,74)"/>
    <s v="Fisioterapia"/>
    <n v="1075035"/>
    <s v="Finalizado (5/10)"/>
    <n v="77.211200000000005"/>
    <n v="10.5288"/>
    <n v="87.74"/>
    <s v="Sessão Faturada"/>
    <n v="130260024272010"/>
    <n v="52811"/>
    <s v="Unidade Vieralves (ANEXO)"/>
    <n v="1075035"/>
    <m/>
  </r>
  <r>
    <x v="16"/>
    <x v="41"/>
    <s v="Celia Regina Simonetti Barbalho"/>
    <s v="Feminino"/>
    <x v="1"/>
    <x v="17"/>
    <s v="50000160 - Fisioterapia Ortopédica (R$ 20,00), 98980327 - Taxa de Eletroterapia (Tens) (R$ 15,00)"/>
    <s v="Fisioterapia"/>
    <n v="8947651"/>
    <s v="Finalizado (8/10)"/>
    <n v="30.8"/>
    <n v="4.2"/>
    <n v="35"/>
    <s v="Sessão Faturada"/>
    <s v="0901012965130039"/>
    <n v="36041"/>
    <s v="Unidade Vieralves (ANEXO)"/>
    <n v="8947651"/>
    <m/>
  </r>
  <r>
    <x v="16"/>
    <x v="41"/>
    <s v="Fabiana Nunes de Souza"/>
    <s v="Feminino"/>
    <x v="10"/>
    <x v="17"/>
    <s v="50000160 - Fisioterapia Ortopédica (R$ 15,00)"/>
    <s v="Fisioterapia"/>
    <n v="15095050"/>
    <s v="Finalizado (3/10)"/>
    <n v="13.2"/>
    <n v="1.8"/>
    <n v="15"/>
    <s v="Sessão Faturada"/>
    <s v="00010064268224006"/>
    <n v="50502"/>
    <s v="Unidade Vieralves (ANEXO)"/>
    <n v="15095050"/>
    <m/>
  </r>
  <r>
    <x v="16"/>
    <x v="36"/>
    <s v="Irlane da Silva Magno Viana"/>
    <s v="Feminino"/>
    <x v="10"/>
    <x v="17"/>
    <s v="50000160 - Fisioterapia Ortopédica (R$ 15,00)"/>
    <s v="Fisioterapia"/>
    <n v="15075095"/>
    <s v="Finalizado (7/10)"/>
    <n v="13.2"/>
    <n v="1.8"/>
    <n v="15"/>
    <s v="Sessão Faturada"/>
    <s v="00010064272636003"/>
    <n v="59401"/>
    <s v="Unidade Vieralves (ANEXO)"/>
    <n v="15075095"/>
    <m/>
  </r>
  <r>
    <x v="16"/>
    <x v="36"/>
    <s v="José Antonio Vasconcelos da Costa"/>
    <m/>
    <x v="1"/>
    <x v="17"/>
    <s v="50000144 - Consulta de Fisioterapia (R$ 16,00)"/>
    <s v="Fisioterapia"/>
    <n v="9200560"/>
    <s v="Finalizado (1/1)"/>
    <n v="14.4"/>
    <n v="1.6"/>
    <n v="16"/>
    <s v="Sessão Faturada"/>
    <s v="0901013218350058"/>
    <n v="58463"/>
    <s v="Unidade Vieralves (ANEXO)"/>
    <n v="9200560"/>
    <m/>
  </r>
  <r>
    <x v="16"/>
    <x v="36"/>
    <s v="José Antonio Vasconcelos da Costa"/>
    <m/>
    <x v="1"/>
    <x v="17"/>
    <s v="50000160 - Fisioterapia Ortopédica (R$ 20,00), 98980327 - Taxa de Eletroterapia (Tens) (R$ 15,00)"/>
    <s v="Fisioterapia"/>
    <n v="9265592"/>
    <s v="Finalizado (1/6)"/>
    <n v="30.8"/>
    <n v="4.2"/>
    <n v="35"/>
    <s v="Sessão Faturada"/>
    <s v="0901013218350058"/>
    <n v="58463"/>
    <s v="Unidade Vieralves (ANEXO)"/>
    <n v="9265592"/>
    <m/>
  </r>
  <r>
    <x v="16"/>
    <x v="40"/>
    <s v="Luis Sergio da Silva"/>
    <s v="Feminino"/>
    <x v="17"/>
    <x v="17"/>
    <s v="50000160 - Fisioterapia Ortopedica (R$ 45,00)"/>
    <s v="Fisioterapia"/>
    <n v="3968226"/>
    <s v="Finalizado (9/10)"/>
    <n v="39.6"/>
    <n v="5.4"/>
    <n v="45"/>
    <s v="Sessão a Faturar"/>
    <s v="000915777694800"/>
    <n v="59395"/>
    <s v="Unidade Vieralves (ANEXO)"/>
    <n v="3968226"/>
    <m/>
  </r>
  <r>
    <x v="16"/>
    <x v="40"/>
    <s v="Waleska Gravena"/>
    <s v="Feminino"/>
    <x v="1"/>
    <x v="17"/>
    <s v="50000160 - Fisioterapia Ortopédica (R$ 20,00), 98980327 - Taxa de Eletroterapia (Tens) (R$ 15,00)"/>
    <s v="Fisioterapia"/>
    <n v="8872536"/>
    <s v="Finalizado (6/10)"/>
    <n v="30.8"/>
    <n v="4.2"/>
    <n v="35"/>
    <s v="Sessão Faturada"/>
    <s v="0701013990930087"/>
    <n v="18715"/>
    <s v="Unidade Vieralves (ANEXO)"/>
    <n v="8872536"/>
    <s v="Guia assinada! 04/03"/>
  </r>
  <r>
    <x v="16"/>
    <x v="35"/>
    <s v="Jaime Lopes Pereira"/>
    <s v="Masculino"/>
    <x v="3"/>
    <x v="17"/>
    <s v="0006 - Fisioterapia Ortopédica - Pacote Com 10 Sessões (R$ 40,00)"/>
    <s v="Fisioterapia"/>
    <n v="170054"/>
    <s v="Finalizado (2/10)"/>
    <n v="31.2"/>
    <n v="8.8000000000000007"/>
    <n v="40"/>
    <s v="Sessão a Faturar"/>
    <n v="18481"/>
    <n v="59088"/>
    <s v="Unidade Vieralves (ANEXO)"/>
    <n v="170054"/>
    <m/>
  </r>
  <r>
    <x v="16"/>
    <x v="35"/>
    <s v="Marcos Alexandre Bolson"/>
    <s v="Masculino"/>
    <x v="1"/>
    <x v="17"/>
    <s v="50000160 - Fisioterapia Ortopédica (R$ 20,00), 98980327 - Taxa de Eletroterapia (Tens) (R$ 15,00)"/>
    <s v="Fisioterapia"/>
    <n v="8914969"/>
    <s v="Finalizado (7/10)"/>
    <n v="30.8"/>
    <n v="4.2"/>
    <n v="35"/>
    <s v="Sessão Faturada"/>
    <n v="1901013631570100"/>
    <n v="59302"/>
    <s v="Unidade Vieralves (ANEXO)"/>
    <n v="8914969"/>
    <m/>
  </r>
  <r>
    <x v="16"/>
    <x v="38"/>
    <s v="Antônio Edivaldo Pereira Nunes"/>
    <s v="Masculino"/>
    <x v="12"/>
    <x v="17"/>
    <s v="20103506 - Patol. Em Um Segmento Na Coluna (R$ 12,22)"/>
    <s v="Fisioterapia"/>
    <n v="170237"/>
    <s v="Finalizado (2/10)"/>
    <n v="10.7536"/>
    <n v="1.4663999999999999"/>
    <n v="12.22"/>
    <s v="Sessão a Faturar"/>
    <n v="9.5125782212117005E+17"/>
    <n v="57571"/>
    <s v="Unidade Vieralves (ANEXO)"/>
    <n v="170237"/>
    <m/>
  </r>
  <r>
    <x v="16"/>
    <x v="38"/>
    <s v="Nilda da Fonseca de Albuquerque"/>
    <s v="Feminino"/>
    <x v="7"/>
    <x v="17"/>
    <s v="Vieiralves - 1 - Fisioterapia Ortopedica - Pacote (R$ 80,00)"/>
    <s v="Fisioterapia"/>
    <n v="169533"/>
    <s v="Finalizado (8/10)"/>
    <n v="62.4"/>
    <n v="17.600000000000001"/>
    <n v="80"/>
    <s v="No Prazo"/>
    <n v="0"/>
    <n v="40274"/>
    <s v="Unidade Vieralves (ANEXO)"/>
    <n v="169533"/>
    <m/>
  </r>
  <r>
    <x v="16"/>
    <x v="37"/>
    <s v="Joziane Lira dos Santos Pereira"/>
    <s v="Feminino"/>
    <x v="14"/>
    <x v="17"/>
    <s v="20103492 - Fisioterapia - Patologia Em Dois Ou Mais Membros (R$ 14,83)"/>
    <s v="Fisioterapia"/>
    <n v="1705185849"/>
    <s v="Finalizado (5/5)"/>
    <n v="13.0504"/>
    <n v="1.7796000000000001"/>
    <n v="14.83"/>
    <s v="Sessão a Faturar"/>
    <n v="954600002739000"/>
    <n v="35514"/>
    <s v="Unidade Vieralves (ANEXO)"/>
    <n v="1705185849"/>
    <m/>
  </r>
  <r>
    <x v="16"/>
    <x v="37"/>
    <s v="Joziane Lira dos Santos Pereira"/>
    <s v="Feminino"/>
    <x v="8"/>
    <x v="17"/>
    <s v="20103115 - Atividade Reflexa Cinesioterápica (R$ 20,81)"/>
    <s v="Fisioterapia"/>
    <n v="1705187592"/>
    <s v="Finalizado (5/5)"/>
    <n v="18.312799999999999"/>
    <n v="2.4971999999999999"/>
    <n v="20.81"/>
    <s v="Sessão Faturada"/>
    <n v="954600002739000"/>
    <n v="35514"/>
    <s v="Unidade Vieralves (ANEXO)"/>
    <n v="1705187592"/>
    <m/>
  </r>
  <r>
    <x v="16"/>
    <x v="39"/>
    <s v="Matheus de Oliveira Melo"/>
    <s v="Masculino"/>
    <x v="13"/>
    <x v="17"/>
    <s v="20103484 - Patologia Em Um Membro (R$ 24,41)"/>
    <s v="Fisioterapia"/>
    <n v="13509292"/>
    <s v="Finalizado (5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21"/>
    <x v="41"/>
    <s v="Maria do Carmo Soares Filgueiras de Menezes"/>
    <s v="Feminino"/>
    <x v="1"/>
    <x v="17"/>
    <s v="50000160 - Fisioterapia Ortopédica (R$ 20,00), 98980327 - Taxa de Eletroterapia (Tens) (R$ 15,00)"/>
    <s v="Fisioterapia"/>
    <n v="8748990"/>
    <s v="Finalizado (10/10)"/>
    <n v="30.8"/>
    <n v="4.2"/>
    <n v="35"/>
    <s v="Sessão Faturada"/>
    <s v="0201013918220089"/>
    <n v="58907"/>
    <s v="Unidade Vieralves (ANEXO)"/>
    <n v="8748990"/>
    <m/>
  </r>
  <r>
    <x v="21"/>
    <x v="41"/>
    <s v="Marcus Vinicius da Costa Corrêa"/>
    <s v="Masculino"/>
    <x v="2"/>
    <x v="17"/>
    <s v="20103514 - Fisioterapia - Patologia Em Diferentes Segmentos da Coluna (R$ 14,83)"/>
    <s v="Fisioterapia"/>
    <n v="1703981715"/>
    <s v="Finalizado (5/5)"/>
    <n v="13.0504"/>
    <n v="1.7796000000000001"/>
    <n v="14.83"/>
    <s v="Sessão Faturada"/>
    <n v="774981007188010"/>
    <n v="59433"/>
    <s v="Unidade Vieralves (ANEXO)"/>
    <n v="1703981715"/>
    <m/>
  </r>
  <r>
    <x v="21"/>
    <x v="65"/>
    <s v="Marcus Vinicius da Costa Corrêa"/>
    <s v="Masculino"/>
    <x v="2"/>
    <x v="17"/>
    <s v="20103115 - Atividade Reflexa Cinesioterápica (R$ 20,81)"/>
    <s v="Fisioterapia"/>
    <n v="1703982295"/>
    <s v="Finalizado (5/5)"/>
    <n v="18.312799999999999"/>
    <n v="2.4971999999999999"/>
    <n v="20.81"/>
    <s v="Sessão Faturada"/>
    <n v="774981007188010"/>
    <n v="59433"/>
    <s v="Unidade Vieralves (ANEXO)"/>
    <n v="1703982295"/>
    <m/>
  </r>
  <r>
    <x v="21"/>
    <x v="36"/>
    <s v="Cizia Freitas de Silva Costa"/>
    <s v="Feminino"/>
    <x v="2"/>
    <x v="17"/>
    <s v="20103492 - Fisioterapia - Patologia Em Dois Ou Mais Membros (R$ 14,83)"/>
    <s v="Fisioterapia"/>
    <n v="1700946986"/>
    <s v="Finalizado (4/4)"/>
    <n v="13.0504"/>
    <n v="1.7796000000000001"/>
    <n v="14.83"/>
    <s v="Sessão Faturada"/>
    <n v="960016147089050"/>
    <n v="46973"/>
    <s v="Unidade Vieralves (ANEXO)"/>
    <n v="1700946986"/>
    <m/>
  </r>
  <r>
    <x v="21"/>
    <x v="36"/>
    <s v="Osvaldo Bezerra Junior"/>
    <s v="Masculino"/>
    <x v="6"/>
    <x v="17"/>
    <s v="50000144 - Avaliação de Fisioterapia (R$ 56,52)"/>
    <s v="Fisioterapia"/>
    <n v="7700047136"/>
    <s v="Finalizado (1/1)"/>
    <n v="50.868000000000002"/>
    <n v="5.6520000000000001"/>
    <n v="56.52"/>
    <s v="Sessão Faturada"/>
    <s v="54588888001634210010"/>
    <n v="17814"/>
    <s v="Unidade Vieralves (ANEXO)"/>
    <n v="7700047136"/>
    <m/>
  </r>
  <r>
    <x v="21"/>
    <x v="36"/>
    <s v="Getulio Henrique Rocha Lima"/>
    <s v="Masculino"/>
    <x v="6"/>
    <x v="17"/>
    <s v="20103484 - Patologia Em Um Membro (R$ 14,16)"/>
    <s v="Fisioterapia"/>
    <n v="169685"/>
    <s v="Finalizado (5/5)"/>
    <n v="12.460800000000001"/>
    <n v="1.6992"/>
    <n v="14.16"/>
    <s v="Sessão a Faturar"/>
    <s v="54588888010667990014"/>
    <n v="59110"/>
    <s v="Unidade Vieralves (ANEXO)"/>
    <n v="169685"/>
    <m/>
  </r>
  <r>
    <x v="21"/>
    <x v="36"/>
    <s v="Osvaldo Bezerra Junior"/>
    <s v="Masculino"/>
    <x v="6"/>
    <x v="17"/>
    <s v="20103484 - Patologia Em Um Membro (R$ 14,16)"/>
    <s v="Fisioterapia"/>
    <n v="170884"/>
    <s v="Finalizado (1/5)"/>
    <n v="12.460800000000001"/>
    <n v="1.6992"/>
    <n v="14.16"/>
    <s v="Sessão a Faturar"/>
    <s v="54588888001634210010"/>
    <n v="17814"/>
    <s v="Unidade Vieralves (ANEXO)"/>
    <n v="170884"/>
    <m/>
  </r>
  <r>
    <x v="21"/>
    <x v="36"/>
    <s v="Getulio Henrique Rocha Lima"/>
    <s v="Masculino"/>
    <x v="6"/>
    <x v="17"/>
    <s v="31602185 - Estimulação Elétrica Transcutanea (Tens) (R$ 40,00)"/>
    <s v="Fisioterapia"/>
    <n v="169686"/>
    <s v="Finalizado (5/5)"/>
    <n v="35.200000000000003"/>
    <n v="4.8"/>
    <n v="40"/>
    <s v="Sessão a Faturar"/>
    <s v="54588888010667990014"/>
    <n v="59110"/>
    <s v="Unidade Vieralves (ANEXO)"/>
    <n v="169686"/>
    <m/>
  </r>
  <r>
    <x v="21"/>
    <x v="36"/>
    <s v="Osvaldo Bezerra Junior"/>
    <s v="Masculino"/>
    <x v="6"/>
    <x v="17"/>
    <s v="31602185 - Estimulação Elétrica Transcutanea (Tens) (R$ 40,00)"/>
    <s v="Fisioterapia"/>
    <n v="170885"/>
    <s v="Finalizado (1/5)"/>
    <n v="35.200000000000003"/>
    <n v="4.8"/>
    <n v="40"/>
    <s v="Sessão a Faturar"/>
    <s v="54588888001634210010"/>
    <n v="17814"/>
    <s v="Unidade Vieralves (ANEXO)"/>
    <n v="170885"/>
    <s v="GUIA ASSINADA"/>
  </r>
  <r>
    <x v="21"/>
    <x v="61"/>
    <s v="Cizia Freitas de Silva Costa"/>
    <s v="Feminino"/>
    <x v="2"/>
    <x v="17"/>
    <s v="20103115 - Atividade Reflexa Cinesioterápica (R$ 20,81)"/>
    <s v="Fisioterapia"/>
    <n v="1700947486"/>
    <s v="Finalizado (4/4)"/>
    <n v="18.312799999999999"/>
    <n v="2.4971999999999999"/>
    <n v="20.81"/>
    <s v="Sessão Faturada"/>
    <n v="960016147089050"/>
    <n v="46973"/>
    <s v="Unidade Vieralves (ANEXO)"/>
    <n v="1700947486"/>
    <m/>
  </r>
  <r>
    <x v="21"/>
    <x v="40"/>
    <s v="Areta Pinto Figueiredo"/>
    <s v="Feminino"/>
    <x v="1"/>
    <x v="17"/>
    <s v="50000160 - Fisioterapia Ortopédica (R$ 20,00), 98980327 - Taxa de Eletroterapia (Tens) (R$ 15,00)"/>
    <s v="Fisioterapia"/>
    <n v="9263292"/>
    <s v="Finalizado (9/10)"/>
    <n v="30.8"/>
    <n v="4.2"/>
    <n v="35"/>
    <s v="Sessão Faturada"/>
    <n v="1301013001650100"/>
    <n v="20611"/>
    <s v="Unidade Vieralves (ANEXO)"/>
    <n v="9263292"/>
    <s v="Guia assinada! 21.02"/>
  </r>
  <r>
    <x v="21"/>
    <x v="40"/>
    <s v="Luis Sergio da Silva"/>
    <s v="Feminino"/>
    <x v="17"/>
    <x v="17"/>
    <s v="50000160 - Fisioterapia Ortopedica (R$ 45,00)"/>
    <s v="Fisioterapia"/>
    <n v="3968226"/>
    <s v="Finalizado (10/10)"/>
    <n v="39.6"/>
    <n v="5.4"/>
    <n v="45"/>
    <s v="Sessão a Faturar"/>
    <s v="000915777694800"/>
    <n v="59395"/>
    <s v="Unidade Vieralves (ANEXO)"/>
    <n v="3968226"/>
    <m/>
  </r>
  <r>
    <x v="21"/>
    <x v="40"/>
    <s v="Fabiana Nunes de Souza"/>
    <s v="Feminino"/>
    <x v="10"/>
    <x v="17"/>
    <s v="50000160 - Fisioterapia Ortopédica (R$ 15,00)"/>
    <s v="Fisioterapia"/>
    <n v="15095050"/>
    <s v="Finalizado (4/10)"/>
    <n v="13.2"/>
    <n v="1.8"/>
    <n v="15"/>
    <s v="Sessão Faturada"/>
    <s v="00010064268224006"/>
    <n v="50502"/>
    <s v="Unidade Vieralves (ANEXO)"/>
    <n v="15095050"/>
    <m/>
  </r>
  <r>
    <x v="21"/>
    <x v="35"/>
    <s v="Maria Salete Braga da Costa Amoedo"/>
    <s v="Feminino"/>
    <x v="2"/>
    <x v="17"/>
    <s v="20103115 - Atividade Reflexa Cinesioterápica (R$ 20,81)"/>
    <s v="Fisioterapia"/>
    <n v="1704777522"/>
    <s v="Finalizado (4/4)"/>
    <n v="18.312799999999999"/>
    <n v="2.4971999999999999"/>
    <n v="20.81"/>
    <s v="Sessão Faturada"/>
    <n v="952480018525020"/>
    <n v="44062"/>
    <s v="Unidade Vieralves (ANEXO)"/>
    <n v="1704777522"/>
    <m/>
  </r>
  <r>
    <x v="21"/>
    <x v="35"/>
    <s v="Isadora Vitorino Grana"/>
    <s v="Feminino"/>
    <x v="13"/>
    <x v="17"/>
    <s v="20103514 - Patologia Em Diferentes Segmentos da Coluna (R$ 41,45)"/>
    <s v="Fisioterapia"/>
    <n v="13593606"/>
    <s v="Finalizado (3/10)"/>
    <n v="36.475999999999999"/>
    <n v="4.9740000000000002"/>
    <n v="41.45"/>
    <s v="Sessão Faturada"/>
    <s v="00010300035963020"/>
    <n v="56556"/>
    <s v="Unidade Vieralves (ANEXO)"/>
    <n v="13593606"/>
    <m/>
  </r>
  <r>
    <x v="21"/>
    <x v="35"/>
    <s v="Maria Salete Braga da Costa Amoedo"/>
    <s v="Feminino"/>
    <x v="2"/>
    <x v="17"/>
    <s v="20103484 - Fisioterapia - Patologia Em Um Membro (R$ 12,22)"/>
    <s v="Fisioterapia"/>
    <n v="1704776860"/>
    <s v="Finalizado (4/5)"/>
    <n v="10.7536"/>
    <n v="1.4663999999999999"/>
    <n v="12.22"/>
    <s v="Sessão Faturada"/>
    <n v="952480018525020"/>
    <n v="44062"/>
    <s v="Unidade Vieralves (ANEXO)"/>
    <n v="1704776860"/>
    <m/>
  </r>
  <r>
    <x v="21"/>
    <x v="38"/>
    <s v="Magaly Portela Regis"/>
    <s v="Feminino"/>
    <x v="2"/>
    <x v="17"/>
    <s v="20103484 - Fisioterapia - Patologia Em Um Membro (R$ 12,22)"/>
    <s v="Fisioterapia"/>
    <n v="1707288169"/>
    <s v="Finalizado (2/5)"/>
    <n v="10.7536"/>
    <n v="1.4663999999999999"/>
    <n v="12.22"/>
    <s v="Sessão Faturada"/>
    <n v="838224200051000"/>
    <n v="16940"/>
    <s v="Unidade Vieralves (ANEXO)"/>
    <n v="1707288169"/>
    <m/>
  </r>
  <r>
    <x v="21"/>
    <x v="38"/>
    <s v="Nilda da Fonseca de Albuquerque"/>
    <s v="Feminino"/>
    <x v="7"/>
    <x v="17"/>
    <s v="Vieiralves - 1 - Fisioterapia Ortopedica - Pacote (R$ 80,00)"/>
    <s v="Fisioterapia"/>
    <n v="169533"/>
    <s v="Finalizado (9/10)"/>
    <n v="62.4"/>
    <n v="17.600000000000001"/>
    <n v="80"/>
    <s v="No Prazo"/>
    <n v="0"/>
    <n v="40274"/>
    <s v="Unidade Vieralves (ANEXO)"/>
    <n v="169533"/>
    <m/>
  </r>
  <r>
    <x v="21"/>
    <x v="38"/>
    <s v="Celia Regina Simonetti Barbalho"/>
    <s v="Feminino"/>
    <x v="1"/>
    <x v="17"/>
    <s v="50000160 - Fisioterapia Ortopédica (R$ 20,00), 98980327 - Taxa de Eletroterapia (Tens) (R$ 15,00)"/>
    <s v="Fisioterapia"/>
    <n v="8947651"/>
    <s v="Finalizado (9/10)"/>
    <n v="30.8"/>
    <n v="4.2"/>
    <n v="35"/>
    <s v="Sessão Faturada"/>
    <s v="0901012965130039"/>
    <n v="36041"/>
    <s v="Unidade Vieralves (ANEXO)"/>
    <n v="8947651"/>
    <m/>
  </r>
  <r>
    <x v="21"/>
    <x v="38"/>
    <s v="Márcia Maria Labanca de Figueiredo"/>
    <s v="Feminino"/>
    <x v="20"/>
    <x v="17"/>
    <s v="20103484 - Patologia Em Um Membro (R$ 29,04)"/>
    <s v="Fisioterapia"/>
    <n v="55676220"/>
    <s v="Não compareceu (2/10)"/>
    <n v="29.04"/>
    <n v="0"/>
    <n v="29.04"/>
    <s v="Sessão Faturada"/>
    <n v="1051460014840200"/>
    <n v="59451"/>
    <s v="Unidade Vieralves (ANEXO)"/>
    <n v="55676220"/>
    <s v="GUIA ASSINADA"/>
  </r>
  <r>
    <x v="21"/>
    <x v="62"/>
    <s v="Magaly Portela Regis"/>
    <s v="Feminino"/>
    <x v="2"/>
    <x v="17"/>
    <s v="20103115 - Atividade Reflexa Cinesioterápica (R$ 20,81)"/>
    <s v="Fisioterapia"/>
    <n v="1707288900"/>
    <s v="Finalizado (2/2)"/>
    <n v="18.312799999999999"/>
    <n v="2.4971999999999999"/>
    <n v="20.81"/>
    <s v="Sessão Faturada"/>
    <n v="838224200051000"/>
    <n v="16940"/>
    <s v="Unidade Vieralves (ANEXO)"/>
    <n v="1707288900"/>
    <m/>
  </r>
  <r>
    <x v="21"/>
    <x v="37"/>
    <s v="Sidnea Batista Vieira"/>
    <s v="Feminino"/>
    <x v="17"/>
    <x v="17"/>
    <s v="50000160 - Fisioterapia Ortopedica (R$ 45,00)"/>
    <s v="Fisioterapia"/>
    <n v="3981027"/>
    <s v="Finalizado (2/10)"/>
    <n v="39.6"/>
    <n v="5.4"/>
    <n v="45"/>
    <s v="Sessão a Faturar"/>
    <s v="000915777624101"/>
    <n v="56158"/>
    <s v="Unidade Vieralves (ANEXO)"/>
    <n v="3981027"/>
    <m/>
  </r>
  <r>
    <x v="17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3/10)"/>
    <n v="30.8"/>
    <n v="4.2"/>
    <n v="35"/>
    <s v="Sessão Faturada"/>
    <n v="1301011611080200"/>
    <n v="59503"/>
    <s v="Unidade Vieralves (ANEXO)"/>
    <n v="9173975"/>
    <m/>
  </r>
  <r>
    <x v="17"/>
    <x v="44"/>
    <s v="Mylene Dutra Barbosa"/>
    <s v="Feminino"/>
    <x v="1"/>
    <x v="17"/>
    <s v="50000160 - Fisioterapia Ortopédica (R$ 20,00), 98980327 - Taxa de Eletroterapia (Tens) (R$ 15,00)"/>
    <s v="Fisioterapia"/>
    <n v="9198142"/>
    <s v="Finalizado (1/10)"/>
    <n v="30.8"/>
    <n v="4.2"/>
    <n v="35"/>
    <s v="Sessão Faturada"/>
    <n v="1902013384500000"/>
    <n v="59375"/>
    <s v="Unidade Vieralves (ANEXO)"/>
    <n v="9198142"/>
    <m/>
  </r>
  <r>
    <x v="17"/>
    <x v="41"/>
    <s v="Celia Regina Simonetti Barbalho"/>
    <s v="Feminino"/>
    <x v="1"/>
    <x v="17"/>
    <s v="50000160 - Fisioterapia Ortopédica (R$ 20,00), 98980327 - Taxa de Eletroterapia (Tens) (R$ 15,00)"/>
    <s v="Fisioterapia"/>
    <n v="8947651"/>
    <s v="Finalizado (10/10)"/>
    <n v="30.8"/>
    <n v="4.2"/>
    <n v="35"/>
    <s v="Sessão Faturada"/>
    <s v="0901012965130039"/>
    <n v="36041"/>
    <s v="Unidade Vieralves (ANEXO)"/>
    <n v="8947651"/>
    <m/>
  </r>
  <r>
    <x v="17"/>
    <x v="41"/>
    <s v="Getulio Henrique Rocha Lima"/>
    <s v="Masculino"/>
    <x v="6"/>
    <x v="17"/>
    <s v="20103484 - Patologia Em Um Membro (R$ 14,16)"/>
    <s v="Fisioterapia"/>
    <n v="170927"/>
    <s v="Finalizado (1/5)"/>
    <n v="12.460800000000001"/>
    <n v="1.6992"/>
    <n v="14.16"/>
    <s v="Sessão a Faturar"/>
    <s v="54588888010667990014"/>
    <n v="59110"/>
    <s v="Unidade Vieralves (ANEXO)"/>
    <n v="170927"/>
    <m/>
  </r>
  <r>
    <x v="17"/>
    <x v="65"/>
    <s v="Getulio Henrique Rocha Lima"/>
    <s v="Masculino"/>
    <x v="6"/>
    <x v="17"/>
    <s v="31602185 - Estimulação Elétrica Transcutanea (Tens) (R$ 40,00)"/>
    <s v="Fisioterapia"/>
    <n v="170928"/>
    <s v="Finalizado (1/5)"/>
    <n v="35.200000000000003"/>
    <n v="4.8"/>
    <n v="40"/>
    <s v="Sessão a Faturar"/>
    <s v="54588888010667990014"/>
    <n v="59110"/>
    <s v="Unidade Vieralves (ANEXO)"/>
    <n v="170928"/>
    <m/>
  </r>
  <r>
    <x v="17"/>
    <x v="36"/>
    <s v="Irlane da Silva Magno Viana"/>
    <s v="Feminino"/>
    <x v="10"/>
    <x v="17"/>
    <s v="50000160 - Fisioterapia Ortopédica (R$ 15,00)"/>
    <s v="Fisioterapia"/>
    <n v="15075095"/>
    <s v="Finalizado (8/10)"/>
    <n v="13.2"/>
    <n v="1.8"/>
    <n v="15"/>
    <s v="Sessão Faturada"/>
    <s v="00010064272636003"/>
    <n v="59401"/>
    <s v="Unidade Vieralves (ANEXO)"/>
    <n v="15075095"/>
    <m/>
  </r>
  <r>
    <x v="17"/>
    <x v="40"/>
    <s v="Marianina Cerbina Grisi Pessoa Costa"/>
    <s v="Feminino"/>
    <x v="7"/>
    <x v="17"/>
    <s v="Vieiralves - 33 - Fisioterapia Ortopedica - Sessão Avulsa (R$ 90,00)"/>
    <s v="Fisioterapia"/>
    <m/>
    <s v="Finalizado (1/1)"/>
    <n v="70.2"/>
    <n v="19.8"/>
    <n v="90"/>
    <s v="Pago"/>
    <n v="0"/>
    <n v="59299"/>
    <s v="Unidade Vieralves (ANEXO)"/>
    <m/>
    <m/>
  </r>
  <r>
    <x v="17"/>
    <x v="40"/>
    <s v="Luis Sergio da Silva"/>
    <s v="Feminino"/>
    <x v="17"/>
    <x v="17"/>
    <s v="50000160 - Fisioterapia Ortopedica (R$ 45,00)"/>
    <s v="Fisioterapia"/>
    <n v="3988611"/>
    <s v="Finalizado (1/10)"/>
    <n v="39.6"/>
    <n v="5.4"/>
    <n v="45"/>
    <s v="Sessão Faturada"/>
    <s v="000915777694800"/>
    <n v="59395"/>
    <s v="Unidade Vieralves (ANEXO)"/>
    <n v="3988611"/>
    <m/>
  </r>
  <r>
    <x v="17"/>
    <x v="35"/>
    <s v="Joselio Nobre de Araujo"/>
    <s v="Masculino"/>
    <x v="6"/>
    <x v="17"/>
    <s v="31602185 - Estimulação Elétrica Transcutanea (Tens) (R$ 40,00)"/>
    <s v="Fisioterapia"/>
    <n v="169316"/>
    <s v="Finalizado (4/5)"/>
    <n v="35.200000000000003"/>
    <n v="4.8"/>
    <n v="40"/>
    <s v="Sessão a Faturar"/>
    <s v="54588888477968150011"/>
    <n v="59071"/>
    <s v="Unidade Vieralves (ANEXO)"/>
    <n v="169316"/>
    <m/>
  </r>
  <r>
    <x v="17"/>
    <x v="35"/>
    <s v="Joselio Nobre de Araujo"/>
    <s v="Masculino"/>
    <x v="6"/>
    <x v="17"/>
    <s v="20103514 - Patologia Em Dois Ou Mais Segmentos da Coluna (R$ 32,82)"/>
    <s v="Fisioterapia"/>
    <n v="170061"/>
    <s v="Finalizado (2/5)"/>
    <n v="28.881599999999999"/>
    <n v="3.9384000000000001"/>
    <n v="32.82"/>
    <s v="Sessão a Faturar"/>
    <s v="54588888477968150011"/>
    <n v="59071"/>
    <s v="Unidade Vieralves (ANEXO)"/>
    <n v="170061"/>
    <m/>
  </r>
  <r>
    <x v="17"/>
    <x v="35"/>
    <s v="Jaime Lopes Pereira"/>
    <s v="Masculino"/>
    <x v="3"/>
    <x v="17"/>
    <s v="0006 - Fisioterapia Ortopédica - Pacote Com 10 Sessões (R$ 40,00)"/>
    <s v="Fisioterapia"/>
    <n v="170054"/>
    <s v="Finalizado (3/10)"/>
    <n v="31.2"/>
    <n v="8.8000000000000007"/>
    <n v="40"/>
    <s v="Sessão a Faturar"/>
    <n v="18481"/>
    <n v="59088"/>
    <s v="Unidade Vieralves (ANEXO)"/>
    <n v="170054"/>
    <m/>
  </r>
  <r>
    <x v="17"/>
    <x v="38"/>
    <s v="Nilda da Fonseca de Albuquerque"/>
    <s v="Feminino"/>
    <x v="7"/>
    <x v="17"/>
    <s v="Vieiralves - 1 - Fisioterapia Ortopedica - Pacote (R$ 80,00)"/>
    <s v="Fisioterapia"/>
    <n v="169533"/>
    <s v="Finalizado (10/10)"/>
    <n v="62.4"/>
    <n v="17.600000000000001"/>
    <n v="80"/>
    <s v="No Prazo"/>
    <n v="0"/>
    <n v="40274"/>
    <s v="Unidade Vieralves (ANEXO)"/>
    <n v="169533"/>
    <m/>
  </r>
  <r>
    <x v="17"/>
    <x v="38"/>
    <s v="Marcos Alexandre Bolson"/>
    <s v="Masculino"/>
    <x v="1"/>
    <x v="17"/>
    <s v="50000160 - Fisioterapia Ortopédica (R$ 20,00), 98980327 - Taxa de Eletroterapia (Tens) (R$ 15,00)"/>
    <s v="Fisioterapia"/>
    <n v="8914969"/>
    <s v="Finalizado (8/10)"/>
    <n v="30.8"/>
    <n v="4.2"/>
    <n v="35"/>
    <s v="Sessão Faturada"/>
    <n v="1901013631570100"/>
    <n v="59302"/>
    <s v="Unidade Vieralves (ANEXO)"/>
    <n v="8914969"/>
    <m/>
  </r>
  <r>
    <x v="17"/>
    <x v="38"/>
    <s v="Antônio Edivaldo Pereira Nunes"/>
    <s v="Masculino"/>
    <x v="12"/>
    <x v="17"/>
    <s v="20103506 - Patol. Em Um Segmento Na Coluna (R$ 12,22)"/>
    <s v="Fisioterapia"/>
    <n v="170237"/>
    <s v="Finalizado (3/10)"/>
    <n v="10.7536"/>
    <n v="1.4663999999999999"/>
    <n v="12.22"/>
    <s v="Sessão a Faturar"/>
    <n v="9.5125782212117005E+17"/>
    <n v="57571"/>
    <s v="Unidade Vieralves (ANEXO)"/>
    <n v="170237"/>
    <m/>
  </r>
  <r>
    <x v="17"/>
    <x v="39"/>
    <s v="Matheus de Oliveira Melo"/>
    <s v="Masculino"/>
    <x v="13"/>
    <x v="17"/>
    <s v="20103484 - Patologia Em Um Membro (R$ 24,41)"/>
    <s v="Fisioterapia"/>
    <n v="13509292"/>
    <s v="Finalizado (6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18"/>
    <x v="44"/>
    <s v="Ademir Landim Calegari"/>
    <s v="Masculino"/>
    <x v="7"/>
    <x v="17"/>
    <s v="Vieiralves - 1 - Fisioterapia Ortopedica - Pacote (R$ 40,00)"/>
    <s v="Fisioterapia"/>
    <m/>
    <s v="Finalizado (4/20)"/>
    <n v="31.2"/>
    <n v="8.8000000000000007"/>
    <n v="40"/>
    <s v="Pago"/>
    <n v="0"/>
    <n v="59456"/>
    <s v="Unidade Vieralves (ANEXO)"/>
    <m/>
    <m/>
  </r>
  <r>
    <x v="18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4/10)"/>
    <n v="30.8"/>
    <n v="4.2"/>
    <n v="35"/>
    <s v="Sessão Faturada"/>
    <n v="1301011611080200"/>
    <n v="59503"/>
    <s v="Unidade Vieralves (ANEXO)"/>
    <n v="9173975"/>
    <m/>
  </r>
  <r>
    <x v="18"/>
    <x v="44"/>
    <s v="Francisca Martins da Silveira"/>
    <s v="Feminino"/>
    <x v="3"/>
    <x v="17"/>
    <s v="0006 - Fisioterapia Ortopédica - Pacote Com 10 Sessões (R$ 40,00)"/>
    <s v="Fisioterapia"/>
    <n v="168131"/>
    <s v="Finalizado (7/10)"/>
    <n v="31.2"/>
    <n v="8.8000000000000007"/>
    <n v="40"/>
    <s v="Sessão a Faturar"/>
    <n v="2687"/>
    <n v="59016"/>
    <s v="Unidade Vieralves (ANEXO)"/>
    <n v="168131"/>
    <m/>
  </r>
  <r>
    <x v="18"/>
    <x v="41"/>
    <s v="Getulio Henrique Rocha Lima"/>
    <s v="Masculino"/>
    <x v="6"/>
    <x v="17"/>
    <s v="20103484 - Patologia Em Um Membro (R$ 14,16)"/>
    <s v="Fisioterapia"/>
    <n v="170927"/>
    <s v="Finalizado (2/5)"/>
    <n v="12.460800000000001"/>
    <n v="1.6992"/>
    <n v="14.16"/>
    <s v="Sessão a Faturar"/>
    <s v="54588888010667990014"/>
    <n v="59110"/>
    <s v="Unidade Vieralves (ANEXO)"/>
    <n v="170927"/>
    <m/>
  </r>
  <r>
    <x v="18"/>
    <x v="65"/>
    <s v="Getulio Henrique Rocha Lima"/>
    <s v="Masculino"/>
    <x v="6"/>
    <x v="17"/>
    <s v="31602185 - Estimulação Elétrica Transcutanea (Tens) (R$ 40,00)"/>
    <s v="Fisioterapia"/>
    <n v="170928"/>
    <s v="Finalizado (2/5)"/>
    <n v="35.200000000000003"/>
    <n v="4.8"/>
    <n v="40"/>
    <s v="Sessão a Faturar"/>
    <s v="54588888010667990014"/>
    <n v="59110"/>
    <s v="Unidade Vieralves (ANEXO)"/>
    <n v="170928"/>
    <m/>
  </r>
  <r>
    <x v="18"/>
    <x v="36"/>
    <s v="Márcia Vasconcelos de Lima"/>
    <s v="Feminino"/>
    <x v="2"/>
    <x v="17"/>
    <s v="20103514 - Fisioterapia - Patologia Em Diferentes Segmentos da Coluna (R$ 14,83)"/>
    <s v="Fisioterapia"/>
    <n v="1703644765"/>
    <s v="Finalizado (4/4)"/>
    <n v="13.0504"/>
    <n v="1.7796000000000001"/>
    <n v="14.83"/>
    <s v="Sessão Faturada"/>
    <n v="772299063096010"/>
    <n v="58485"/>
    <s v="Unidade Vieralves (ANEXO)"/>
    <n v="1703644765"/>
    <m/>
  </r>
  <r>
    <x v="18"/>
    <x v="36"/>
    <s v="Ricardo Andreazze da Silva"/>
    <s v="Masculino"/>
    <x v="8"/>
    <x v="17"/>
    <s v="20103484 - Patologia Em Um Membro (R$ 12,22)"/>
    <s v="Fisioterapia"/>
    <n v="1709502547"/>
    <s v="Finalizado (1/10)"/>
    <n v="10.7536"/>
    <n v="1.4663999999999999"/>
    <n v="12.22"/>
    <s v="Sessão Faturada"/>
    <n v="954600010545000"/>
    <n v="38890"/>
    <s v="Unidade Vieralves (ANEXO)"/>
    <n v="1709502547"/>
    <m/>
  </r>
  <r>
    <x v="18"/>
    <x v="61"/>
    <s v="Márcia Vasconcelos de Lima"/>
    <s v="Feminino"/>
    <x v="2"/>
    <x v="17"/>
    <s v="20103115 - Atividade Reflexa Cinesioterápica (R$ 20,81)"/>
    <s v="Fisioterapia"/>
    <n v="1703646291"/>
    <s v="Finalizado (4/4)"/>
    <n v="18.312799999999999"/>
    <n v="2.4971999999999999"/>
    <n v="20.81"/>
    <s v="Sessão Faturada"/>
    <n v="772299063096010"/>
    <n v="58485"/>
    <s v="Unidade Vieralves (ANEXO)"/>
    <n v="1703646291"/>
    <m/>
  </r>
  <r>
    <x v="18"/>
    <x v="67"/>
    <s v="Ricardo Andreazze da Silva"/>
    <s v="Masculino"/>
    <x v="8"/>
    <x v="17"/>
    <s v="20103115 - Atividade Reflexa Cinesioterápica (R$ 20,81)"/>
    <s v="Fisioterapia"/>
    <n v="1709503985"/>
    <s v="Finalizado (1/1)"/>
    <n v="18.312799999999999"/>
    <n v="2.4971999999999999"/>
    <n v="20.81"/>
    <s v="Sessão Faturada"/>
    <n v="954600010545000"/>
    <n v="38890"/>
    <s v="Unidade Vieralves (ANEXO)"/>
    <n v="1709503985"/>
    <m/>
  </r>
  <r>
    <x v="18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3/10)"/>
    <n v="30.8"/>
    <n v="4.2"/>
    <n v="35"/>
    <s v="Sessão a Faturar"/>
    <n v="2001013243020000"/>
    <n v="57366"/>
    <s v="Unidade Vieralves (ANEXO)"/>
    <n v="9639442"/>
    <m/>
  </r>
  <r>
    <x v="18"/>
    <x v="40"/>
    <s v="Rosene Das Graças Silva de Oliveira"/>
    <m/>
    <x v="15"/>
    <x v="17"/>
    <s v="20103492 - Patologia Em Dois Ou Mais Membros (R$ 49,20)"/>
    <s v="Fisioterapia"/>
    <n v="239161619"/>
    <s v="Finalizado (1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18"/>
    <x v="35"/>
    <s v="Nelma Vieira Lopes"/>
    <s v="Feminino"/>
    <x v="2"/>
    <x v="17"/>
    <s v="20103662 - Fisioterapia - Pos Operatorio Em Um Membro (R$ 14,99)"/>
    <s v="Fisioterapia"/>
    <n v="1703245129"/>
    <s v="Finalizado (2/3)"/>
    <n v="13.1912"/>
    <n v="1.7988"/>
    <n v="14.99"/>
    <s v="Sessão Faturada"/>
    <n v="952480019644000"/>
    <n v="21113"/>
    <s v="Unidade Vieralves (ANEXO)"/>
    <n v="1703245129"/>
    <m/>
  </r>
  <r>
    <x v="18"/>
    <x v="35"/>
    <s v="Heloísa Ribeiro Alves"/>
    <s v="Feminino"/>
    <x v="8"/>
    <x v="17"/>
    <s v="50000144 - Consulta de Fisioterapia (R$ 51,42)"/>
    <s v="Fisioterapia"/>
    <n v="1709543368"/>
    <s v="Finalizado (1/1)"/>
    <n v="46.277999999999999"/>
    <n v="5.1420000000000003"/>
    <n v="51.42"/>
    <s v="Sessão Faturada"/>
    <n v="954600017590000"/>
    <n v="59570"/>
    <s v="Unidade Vieralves (ANEXO)"/>
    <n v="1709543368"/>
    <m/>
  </r>
  <r>
    <x v="18"/>
    <x v="35"/>
    <s v="Joselio Nobre de Araujo"/>
    <s v="Masculino"/>
    <x v="6"/>
    <x v="17"/>
    <s v="20103514 - Patologia Em Dois Ou Mais Segmentos da Coluna (R$ 32,82)"/>
    <s v="Fisioterapia"/>
    <n v="170061"/>
    <s v="Finalizado (3/5)"/>
    <n v="28.881599999999999"/>
    <n v="3.9384000000000001"/>
    <n v="32.82"/>
    <s v="Sessão a Faturar"/>
    <s v="54588888477968150011"/>
    <n v="59071"/>
    <s v="Unidade Vieralves (ANEXO)"/>
    <n v="170061"/>
    <m/>
  </r>
  <r>
    <x v="18"/>
    <x v="70"/>
    <s v="Heloísa Ribeiro Alves"/>
    <s v="Feminino"/>
    <x v="8"/>
    <x v="17"/>
    <s v="20103492 - Patologia Em Dois Ou Mais Membros (R$ 14,83)"/>
    <s v="Fisioterapia"/>
    <n v="1709544860"/>
    <s v="Finalizado (1/10)"/>
    <n v="13.0504"/>
    <n v="1.7796000000000001"/>
    <n v="14.83"/>
    <s v="Sessão Faturada"/>
    <n v="954600017590000"/>
    <n v="59570"/>
    <s v="Unidade Vieralves (ANEXO)"/>
    <n v="1709544860"/>
    <m/>
  </r>
  <r>
    <x v="18"/>
    <x v="42"/>
    <s v="Nelma Vieira Lopes"/>
    <s v="Feminino"/>
    <x v="2"/>
    <x v="17"/>
    <s v="20103115 - Atividade Reflexa Cinesioterápica (R$ 20,81)"/>
    <s v="Fisioterapia"/>
    <n v="1703245977"/>
    <s v="Finalizado (2/2)"/>
    <n v="18.312799999999999"/>
    <n v="2.4971999999999999"/>
    <n v="20.81"/>
    <s v="Sessão Faturada"/>
    <n v="952480019644000"/>
    <n v="21113"/>
    <s v="Unidade Vieralves (ANEXO)"/>
    <n v="1703245977"/>
    <m/>
  </r>
  <r>
    <x v="18"/>
    <x v="71"/>
    <s v="Heloísa Ribeiro Alves"/>
    <s v="Feminino"/>
    <x v="8"/>
    <x v="17"/>
    <s v="20103115 - Atividade Reflexa Cinesioterápica (R$ 20,81)"/>
    <s v="Fisioterapia"/>
    <n v="1709546761"/>
    <s v="Finalizado (1/1)"/>
    <n v="18.312799999999999"/>
    <n v="2.4971999999999999"/>
    <n v="20.81"/>
    <s v="Sessão Faturada"/>
    <n v="954600017590000"/>
    <n v="59570"/>
    <s v="Unidade Vieralves (ANEXO)"/>
    <n v="1709546761"/>
    <m/>
  </r>
  <r>
    <x v="18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3/10)"/>
    <n v="30.8"/>
    <n v="4.2"/>
    <n v="35"/>
    <s v="Sessão a Faturar"/>
    <s v="0801012899750000"/>
    <n v="56109"/>
    <s v="Unidade Vieralves (ANEXO)"/>
    <n v="9639936"/>
    <s v="Guia assinada! 24.03"/>
  </r>
  <r>
    <x v="18"/>
    <x v="39"/>
    <s v="Matheus de Oliveira Melo"/>
    <s v="Masculino"/>
    <x v="13"/>
    <x v="17"/>
    <s v="20103484 - Patologia Em Um Membro (R$ 24,41)"/>
    <s v="Fisioterapia"/>
    <n v="13509292"/>
    <s v="Finalizado (7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18"/>
    <x v="39"/>
    <s v="Osvaldo Bezerra Junior"/>
    <s v="Masculino"/>
    <x v="6"/>
    <x v="17"/>
    <s v="20103484 - Patologia Em Um Membro (R$ 14,16)"/>
    <s v="Fisioterapia"/>
    <n v="170884"/>
    <s v="Finalizado (3/5)"/>
    <n v="12.460800000000001"/>
    <n v="1.6992"/>
    <n v="14.16"/>
    <s v="Sessão a Faturar"/>
    <s v="54588888001634210010"/>
    <n v="17814"/>
    <s v="Unidade Vieralves (ANEXO)"/>
    <n v="170884"/>
    <m/>
  </r>
  <r>
    <x v="18"/>
    <x v="39"/>
    <s v="Magaly Portela Regis"/>
    <s v="Feminino"/>
    <x v="2"/>
    <x v="17"/>
    <s v="20103484 - Fisioterapia - Patologia Em Um Membro (R$ 12,22)"/>
    <s v="Fisioterapia"/>
    <n v="1707288169"/>
    <s v="Finalizado (3/5)"/>
    <n v="10.7536"/>
    <n v="1.4663999999999999"/>
    <n v="12.22"/>
    <s v="Sessão Faturada"/>
    <n v="838224200051000"/>
    <n v="16940"/>
    <s v="Unidade Vieralves (ANEXO)"/>
    <n v="1707288169"/>
    <m/>
  </r>
  <r>
    <x v="18"/>
    <x v="64"/>
    <s v="Magaly Portela Regis"/>
    <s v="Feminino"/>
    <x v="4"/>
    <x v="17"/>
    <s v="31602185 - Estimulação Elétrica Transcutânea - Removido 13/04/2026 (R$ 40,00)"/>
    <s v="Fisioterapia"/>
    <n v="1709612790"/>
    <s v="Finalizado (1/5)"/>
    <n v="35.200000000000003"/>
    <n v="4.8"/>
    <n v="40"/>
    <s v="Sessão Faturada"/>
    <n v="838224200051000"/>
    <n v="16940"/>
    <s v="Unidade Vieralves (ANEXO)"/>
    <n v="1709612790"/>
    <m/>
  </r>
  <r>
    <x v="22"/>
    <x v="89"/>
    <s v="Enio Nichollas Cordeiro Tavares"/>
    <s v="Masculino"/>
    <x v="2"/>
    <x v="17"/>
    <s v="20103514 - Fisioterapia - Patologia Em Diferentes Segmentos da Coluna (R$ 14,83)"/>
    <s v="Fisioterapia"/>
    <n v="1704153322"/>
    <s v="Finalizado (3/4)"/>
    <n v="13.0504"/>
    <n v="1.7796000000000001"/>
    <n v="14.83"/>
    <s v="Sessão Faturada"/>
    <n v="774642022675010"/>
    <n v="59077"/>
    <s v="Unidade Vieralves (ANEXO)"/>
    <n v="1704153322"/>
    <m/>
  </r>
  <r>
    <x v="22"/>
    <x v="44"/>
    <s v="Ademir Landim Calegari"/>
    <s v="Masculino"/>
    <x v="7"/>
    <x v="17"/>
    <s v="Vieiralves - 1 - Fisioterapia Ortopedica - Pacote (R$ 40,00)"/>
    <s v="Fisioterapia"/>
    <m/>
    <s v="Finalizado (5/20)"/>
    <n v="31.2"/>
    <n v="8.8000000000000007"/>
    <n v="40"/>
    <s v="Pago"/>
    <n v="0"/>
    <n v="59456"/>
    <s v="Unidade Vieralves (ANEXO)"/>
    <m/>
    <m/>
  </r>
  <r>
    <x v="22"/>
    <x v="44"/>
    <s v="Mylene Dutra Barbosa"/>
    <s v="Feminino"/>
    <x v="1"/>
    <x v="17"/>
    <s v="50000160 - Fisioterapia Ortopédica (R$ 20,00), 98980327 - Taxa de Eletroterapia (Tens) (R$ 15,00)"/>
    <s v="Fisioterapia"/>
    <n v="9198142"/>
    <s v="Finalizado (2/10)"/>
    <n v="30.8"/>
    <n v="4.2"/>
    <n v="35"/>
    <s v="Sessão Faturada"/>
    <n v="1902013384500000"/>
    <n v="59375"/>
    <s v="Unidade Vieralves (ANEXO)"/>
    <n v="9198142"/>
    <m/>
  </r>
  <r>
    <x v="22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5/10)"/>
    <n v="30.8"/>
    <n v="4.2"/>
    <n v="35"/>
    <s v="Sessão Faturada"/>
    <n v="1301011611080200"/>
    <n v="59503"/>
    <s v="Unidade Vieralves (ANEXO)"/>
    <n v="9173975"/>
    <m/>
  </r>
  <r>
    <x v="22"/>
    <x v="41"/>
    <s v="Fabiana Nunes de Souza"/>
    <s v="Feminino"/>
    <x v="10"/>
    <x v="17"/>
    <s v="50000160 - Fisioterapia Ortopédica (R$ 15,00)"/>
    <s v="Fisioterapia"/>
    <n v="15095050"/>
    <s v="Finalizado (6/10)"/>
    <n v="13.2"/>
    <n v="1.8"/>
    <n v="15"/>
    <s v="Sessão Faturada"/>
    <s v="00010064268224006"/>
    <n v="50502"/>
    <s v="Unidade Vieralves (ANEXO)"/>
    <n v="15095050"/>
    <m/>
  </r>
  <r>
    <x v="22"/>
    <x v="41"/>
    <s v="Ivanilsa de Castro Amorim"/>
    <s v="Feminino"/>
    <x v="29"/>
    <x v="17"/>
    <s v="50000160 - Fisioterapia Ortopedica/Neurológica (R$ 33,00)"/>
    <s v="Fisioterapia"/>
    <n v="1075008"/>
    <s v="Finalizado (6/10)"/>
    <n v="29.04"/>
    <n v="3.96"/>
    <n v="33"/>
    <s v="Sessão Faturada"/>
    <n v="130260024272010"/>
    <n v="52811"/>
    <s v="Unidade Vieralves (ANEXO)"/>
    <n v="1075008"/>
    <m/>
  </r>
  <r>
    <x v="22"/>
    <x v="41"/>
    <s v="Ivanilsa de Castro Amorim"/>
    <s v="Feminino"/>
    <x v="29"/>
    <x v="17"/>
    <s v="31602185 - Estimulação Elétrica Transcutanea (R$ 87,74)"/>
    <s v="Fisioterapia"/>
    <n v="1075035"/>
    <s v="Finalizado (6/10)"/>
    <n v="77.211200000000005"/>
    <n v="10.5288"/>
    <n v="87.74"/>
    <s v="Sessão Faturada"/>
    <n v="130260024272010"/>
    <n v="52811"/>
    <s v="Unidade Vieralves (ANEXO)"/>
    <n v="1075035"/>
    <m/>
  </r>
  <r>
    <x v="22"/>
    <x v="36"/>
    <s v="Celia Regina Simonetti Barbalho"/>
    <s v="Feminino"/>
    <x v="1"/>
    <x v="17"/>
    <s v="50000160 - Fisioterapia Ortopédica (R$ 20,00), 98980327 - Taxa de Eletroterapia (Tens) (R$ 15,00)"/>
    <s v="Fisioterapia"/>
    <n v="9311765"/>
    <s v="Finalizado (1/7)"/>
    <n v="30.8"/>
    <n v="4.2"/>
    <n v="35"/>
    <s v="Sessão Faturada"/>
    <s v="0901012965130039"/>
    <n v="36041"/>
    <s v="Unidade Vieralves (ANEXO)"/>
    <n v="9311765"/>
    <m/>
  </r>
  <r>
    <x v="22"/>
    <x v="36"/>
    <s v="Getulio Henrique Rocha Lima"/>
    <s v="Masculino"/>
    <x v="6"/>
    <x v="17"/>
    <s v="20103484 - Patologia Em Um Membro (R$ 14,16)"/>
    <s v="Fisioterapia"/>
    <n v="170927"/>
    <s v="Finalizado (3/5)"/>
    <n v="12.460800000000001"/>
    <n v="1.6992"/>
    <n v="14.16"/>
    <s v="Sessão a Faturar"/>
    <s v="54588888010667990014"/>
    <n v="59110"/>
    <s v="Unidade Vieralves (ANEXO)"/>
    <n v="170927"/>
    <m/>
  </r>
  <r>
    <x v="22"/>
    <x v="61"/>
    <s v="Getulio Henrique Rocha Lima"/>
    <s v="Masculino"/>
    <x v="6"/>
    <x v="17"/>
    <s v="31602185 - Estimulação Elétrica Transcutanea (Tens) (R$ 40,00)"/>
    <s v="Fisioterapia"/>
    <n v="170928"/>
    <s v="Finalizado (3/5)"/>
    <n v="35.200000000000003"/>
    <n v="4.8"/>
    <n v="40"/>
    <s v="Sessão a Faturar"/>
    <s v="54588888010667990014"/>
    <n v="59110"/>
    <s v="Unidade Vieralves (ANEXO)"/>
    <n v="170928"/>
    <m/>
  </r>
  <r>
    <x v="22"/>
    <x v="40"/>
    <s v="Irlane da Silva Magno Viana"/>
    <s v="Feminino"/>
    <x v="10"/>
    <x v="17"/>
    <s v="50000160 - Fisioterapia Ortopédica (R$ 15,00)"/>
    <s v="Fisioterapia"/>
    <n v="15075095"/>
    <s v="Finalizado (9/10)"/>
    <n v="13.2"/>
    <n v="1.8"/>
    <n v="15"/>
    <s v="Sessão Faturada"/>
    <s v="00010064272636003"/>
    <n v="59401"/>
    <s v="Unidade Vieralves (ANEXO)"/>
    <n v="15075095"/>
    <m/>
  </r>
  <r>
    <x v="22"/>
    <x v="40"/>
    <s v="Luis Sergio da Silva"/>
    <s v="Feminino"/>
    <x v="17"/>
    <x v="17"/>
    <s v="50000160 - Fisioterapia Ortopedica (R$ 45,00)"/>
    <s v="Fisioterapia"/>
    <n v="3988611"/>
    <s v="Finalizado (2/10)"/>
    <n v="39.6"/>
    <n v="5.4"/>
    <n v="45"/>
    <s v="Sessão Faturada"/>
    <s v="000915777694800"/>
    <n v="59395"/>
    <s v="Unidade Vieralves (ANEXO)"/>
    <n v="3988611"/>
    <m/>
  </r>
  <r>
    <x v="22"/>
    <x v="35"/>
    <s v="Jaime Lopes Pereira"/>
    <s v="Masculino"/>
    <x v="3"/>
    <x v="17"/>
    <s v="0006 - Fisioterapia Ortopédica - Pacote Com 10 Sessões (R$ 40,00)"/>
    <s v="Fisioterapia"/>
    <n v="170054"/>
    <s v="Finalizado (4/10)"/>
    <n v="31.2"/>
    <n v="8.8000000000000007"/>
    <n v="40"/>
    <s v="Sessão a Faturar"/>
    <n v="18481"/>
    <n v="59088"/>
    <s v="Unidade Vieralves (ANEXO)"/>
    <n v="170054"/>
    <m/>
  </r>
  <r>
    <x v="22"/>
    <x v="35"/>
    <s v="Joselio Nobre de Araujo"/>
    <s v="Masculino"/>
    <x v="6"/>
    <x v="17"/>
    <s v="20103514 - Patologia Em Dois Ou Mais Segmentos da Coluna (R$ 32,82)"/>
    <s v="Fisioterapia"/>
    <n v="170061"/>
    <s v="Finalizado (4/5)"/>
    <n v="28.881599999999999"/>
    <n v="3.9384000000000001"/>
    <n v="32.82"/>
    <s v="Sessão a Faturar"/>
    <s v="54588888477968150011"/>
    <n v="59071"/>
    <s v="Unidade Vieralves (ANEXO)"/>
    <n v="170061"/>
    <m/>
  </r>
  <r>
    <x v="22"/>
    <x v="38"/>
    <s v="Marcos Alexandre Bolson"/>
    <s v="Masculino"/>
    <x v="1"/>
    <x v="17"/>
    <s v="50000160 - Fisioterapia Ortopédica (R$ 20,00), 98980327 - Taxa de Eletroterapia (Tens) (R$ 15,00)"/>
    <s v="Fisioterapia"/>
    <n v="8914969"/>
    <s v="Finalizado (9/10)"/>
    <n v="30.8"/>
    <n v="4.2"/>
    <n v="35"/>
    <s v="Sessão Faturada"/>
    <n v="1901013631570100"/>
    <n v="59302"/>
    <s v="Unidade Vieralves (ANEXO)"/>
    <n v="8914969"/>
    <m/>
  </r>
  <r>
    <x v="22"/>
    <x v="37"/>
    <s v="Antônio Edivaldo Pereira Nunes"/>
    <s v="Masculino"/>
    <x v="12"/>
    <x v="17"/>
    <s v="20103506 - Patol. Em Um Segmento Na Coluna (R$ 12,22)"/>
    <s v="Fisioterapia"/>
    <n v="170237"/>
    <s v="Finalizado (4/10)"/>
    <n v="10.7536"/>
    <n v="1.4663999999999999"/>
    <n v="12.22"/>
    <s v="Sessão a Faturar"/>
    <n v="9.5125782212117005E+17"/>
    <n v="57571"/>
    <s v="Unidade Vieralves (ANEXO)"/>
    <n v="170237"/>
    <m/>
  </r>
  <r>
    <x v="22"/>
    <x v="37"/>
    <s v="Maria de Lourdes Mendonça de Faria e Cunha"/>
    <s v="Feminino"/>
    <x v="6"/>
    <x v="17"/>
    <s v="50000144 - Avaliação de Fisioterapia (R$ 56,52)"/>
    <s v="Fisioterapia"/>
    <n v="7700047172"/>
    <s v="Finalizado (1/1)"/>
    <n v="50.868000000000002"/>
    <n v="5.6520000000000001"/>
    <n v="56.52"/>
    <s v="Sessão Faturada"/>
    <s v="55788888490151040016"/>
    <n v="52807"/>
    <s v="Unidade Vieralves (ANEXO)"/>
    <n v="7700047172"/>
    <m/>
  </r>
  <r>
    <x v="22"/>
    <x v="58"/>
    <s v="Maria de Lourdes Mendonça de Faria e Cunha"/>
    <s v="Feminino"/>
    <x v="6"/>
    <x v="17"/>
    <s v="20103484 - Patologia Em Um Membro (R$ 14,16)"/>
    <s v="Fisioterapia"/>
    <n v="171309"/>
    <s v="Finalizado (1/10)"/>
    <n v="12.460800000000001"/>
    <n v="1.6992"/>
    <n v="14.16"/>
    <s v="Sessão a Faturar"/>
    <s v="55788888490151040016"/>
    <n v="52807"/>
    <s v="Unidade Vieralves (ANEXO)"/>
    <n v="171309"/>
    <s v="Guia assinada! 18.03"/>
  </r>
  <r>
    <x v="22"/>
    <x v="63"/>
    <s v="Antônio Edivaldo Pereira Nunes"/>
    <s v="Masculino"/>
    <x v="12"/>
    <x v="17"/>
    <s v="31602185 - Estimulação Elétrica Transcutânea (Tens) (R$ 49,00)"/>
    <s v="Fisioterapia"/>
    <n v="10312656"/>
    <s v="Finalizado (1/10)"/>
    <n v="43.12"/>
    <n v="5.88"/>
    <n v="49"/>
    <s v="Sessão a Faturar"/>
    <n v="9.5125782212117005E+17"/>
    <n v="57571"/>
    <s v="Unidade Vieralves (ANEXO)"/>
    <n v="10312656"/>
    <m/>
  </r>
  <r>
    <x v="22"/>
    <x v="50"/>
    <s v="Maria de Lourdes Mendonça de Faria e Cunha"/>
    <s v="Feminino"/>
    <x v="6"/>
    <x v="17"/>
    <s v="31602185 - Estimulação Elétrica Transcutanea (Tens) (R$ 40,00)"/>
    <s v="Fisioterapia"/>
    <n v="171311"/>
    <s v="Finalizado (1/10)"/>
    <n v="35.200000000000003"/>
    <n v="4.8"/>
    <n v="40"/>
    <s v="Sessão a Faturar"/>
    <s v="55788888490151040016"/>
    <n v="52807"/>
    <s v="Unidade Vieralves (ANEXO)"/>
    <n v="171311"/>
    <s v="Guia assinada! 18.03"/>
  </r>
  <r>
    <x v="19"/>
    <x v="89"/>
    <s v="David de Souza Brandão"/>
    <s v="Masculino"/>
    <x v="1"/>
    <x v="17"/>
    <s v="50000144 - Consulta de Fisioterapia (R$ 16,00)"/>
    <s v="Fisioterapia"/>
    <n v="9342135"/>
    <s v="Finalizado (1/1)"/>
    <n v="14.4"/>
    <n v="1.6"/>
    <n v="16"/>
    <s v="Sessão Faturada"/>
    <s v="0901013409150193"/>
    <n v="48043"/>
    <s v="Unidade Vieralves (ANEXO)"/>
    <n v="9342135"/>
    <m/>
  </r>
  <r>
    <x v="19"/>
    <x v="89"/>
    <s v="David de Souza Brandão"/>
    <s v="Masculino"/>
    <x v="1"/>
    <x v="17"/>
    <s v="50000160 - Fisioterapia Ortopédica (R$ 20,00), 98980327 - Taxa de Eletroterapia (Tens) (R$ 15,00)"/>
    <s v="Fisioterapia"/>
    <n v="9342262"/>
    <s v="Finalizado (1/10)"/>
    <n v="30.8"/>
    <n v="4.2"/>
    <n v="35"/>
    <s v="Sessão a Faturar"/>
    <s v="0901013409150193"/>
    <n v="48043"/>
    <s v="Unidade Vieralves (ANEXO)"/>
    <n v="9342262"/>
    <m/>
  </r>
  <r>
    <x v="19"/>
    <x v="44"/>
    <s v="Ivanilsa de Castro Amorim"/>
    <s v="Feminino"/>
    <x v="29"/>
    <x v="17"/>
    <s v="50000160 - Fisioterapia Ortopedica/Neurológica (R$ 33,00)"/>
    <s v="Fisioterapia"/>
    <n v="1075008"/>
    <s v="Finalizado (7/10)"/>
    <n v="29.04"/>
    <n v="3.96"/>
    <n v="33"/>
    <s v="Sessão Faturada"/>
    <n v="130260024272010"/>
    <n v="52811"/>
    <s v="Unidade Vieralves (ANEXO)"/>
    <n v="1075008"/>
    <m/>
  </r>
  <r>
    <x v="19"/>
    <x v="44"/>
    <s v="Ademir Landim Calegari"/>
    <s v="Masculino"/>
    <x v="7"/>
    <x v="17"/>
    <s v="Vieiralves - 1 - Fisioterapia Ortopedica - Pacote (R$ 40,00)"/>
    <s v="Fisioterapia"/>
    <m/>
    <s v="Finalizado (6/20)"/>
    <n v="31.2"/>
    <n v="8.8000000000000007"/>
    <n v="40"/>
    <s v="Pago"/>
    <n v="0"/>
    <n v="59456"/>
    <s v="Unidade Vieralves (ANEXO)"/>
    <m/>
    <m/>
  </r>
  <r>
    <x v="19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6/10)"/>
    <n v="30.8"/>
    <n v="4.2"/>
    <n v="35"/>
    <s v="Sessão Faturada"/>
    <n v="1301011611080200"/>
    <n v="59503"/>
    <s v="Unidade Vieralves (ANEXO)"/>
    <n v="9173975"/>
    <m/>
  </r>
  <r>
    <x v="19"/>
    <x v="60"/>
    <s v="Ivanilsa de Castro Amorim"/>
    <s v="Feminino"/>
    <x v="29"/>
    <x v="17"/>
    <s v="31602185 - Estimulação Elétrica Transcutanea (R$ 87,74)"/>
    <s v="Fisioterapia"/>
    <n v="1075035"/>
    <s v="Finalizado (7/10)"/>
    <n v="77.211200000000005"/>
    <n v="10.5288"/>
    <n v="87.74"/>
    <s v="Sessão Faturada"/>
    <n v="130260024272010"/>
    <n v="52811"/>
    <s v="Unidade Vieralves (ANEXO)"/>
    <n v="1075035"/>
    <m/>
  </r>
  <r>
    <x v="19"/>
    <x v="41"/>
    <s v="Anderson Souza da Costa"/>
    <s v="Masculino"/>
    <x v="6"/>
    <x v="17"/>
    <s v="20103484 - Patologia Em Um Membro (R$ 14,16)"/>
    <s v="Fisioterapia"/>
    <n v="169904"/>
    <s v="Finalizado (4/5)"/>
    <n v="12.460800000000001"/>
    <n v="1.6992"/>
    <n v="14.16"/>
    <s v="Sessão a Faturar"/>
    <s v="58201065998059740014"/>
    <n v="58756"/>
    <s v="Unidade Vieralves (ANEXO)"/>
    <n v="169904"/>
    <m/>
  </r>
  <r>
    <x v="19"/>
    <x v="41"/>
    <s v="Ricardo Andreazze da Silva"/>
    <s v="Masculino"/>
    <x v="8"/>
    <x v="17"/>
    <s v="20103484 - Patologia Em Um Membro (R$ 12,22)"/>
    <s v="Fisioterapia"/>
    <n v="1709502547"/>
    <s v="Finalizado (2/10)"/>
    <n v="10.7536"/>
    <n v="1.4663999999999999"/>
    <n v="12.22"/>
    <s v="Sessão Faturada"/>
    <n v="954600010545000"/>
    <n v="38890"/>
    <s v="Unidade Vieralves (ANEXO)"/>
    <n v="1709502547"/>
    <m/>
  </r>
  <r>
    <x v="19"/>
    <x v="41"/>
    <s v="Fabiana Nunes de Souza"/>
    <s v="Feminino"/>
    <x v="10"/>
    <x v="17"/>
    <s v="50000160 - Fisioterapia Ortopédica (R$ 15,00)"/>
    <s v="Fisioterapia"/>
    <n v="15095050"/>
    <s v="Finalizado (7/10)"/>
    <n v="13.2"/>
    <n v="1.8"/>
    <n v="15"/>
    <s v="Sessão Faturada"/>
    <s v="00010064268224006"/>
    <n v="50502"/>
    <s v="Unidade Vieralves (ANEXO)"/>
    <n v="15095050"/>
    <m/>
  </r>
  <r>
    <x v="19"/>
    <x v="41"/>
    <s v="Getulio Henrique Rocha Lima"/>
    <s v="Masculino"/>
    <x v="6"/>
    <x v="17"/>
    <s v="20103484 - Patologia Em Um Membro (R$ 14,16)"/>
    <s v="Fisioterapia"/>
    <n v="170927"/>
    <s v="Finalizado (4/5)"/>
    <n v="12.460800000000001"/>
    <n v="1.6992"/>
    <n v="14.16"/>
    <s v="Sessão a Faturar"/>
    <s v="54588888010667990014"/>
    <n v="59110"/>
    <s v="Unidade Vieralves (ANEXO)"/>
    <n v="170927"/>
    <m/>
  </r>
  <r>
    <x v="19"/>
    <x v="65"/>
    <s v="Anderson Souza da Costa"/>
    <s v="Masculino"/>
    <x v="6"/>
    <x v="17"/>
    <s v="31602185 - Estimulação Elétrica Transcutanea (Tens) (R$ 40,00)"/>
    <s v="Fisioterapia"/>
    <n v="170245"/>
    <s v="Finalizado (2/5)"/>
    <n v="35.200000000000003"/>
    <n v="4.8"/>
    <n v="40"/>
    <s v="Sessão a Faturar"/>
    <s v="58201065998059740014"/>
    <n v="58756"/>
    <s v="Unidade Vieralves (ANEXO)"/>
    <n v="170245"/>
    <m/>
  </r>
  <r>
    <x v="19"/>
    <x v="65"/>
    <s v="Ricardo Andreazze da Silva"/>
    <s v="Masculino"/>
    <x v="9"/>
    <x v="17"/>
    <s v="31602185 - Estimulação Elétrica Transcutânea (Tens) - Removido 13/04/2026 (R$ 40,00)"/>
    <s v="Fisioterapia"/>
    <n v="1710689081"/>
    <s v="Finalizado (1/10)"/>
    <n v="35.200000000000003"/>
    <n v="4.8"/>
    <n v="40"/>
    <s v="Sessão a Faturar"/>
    <n v="954600010545000"/>
    <n v="38890"/>
    <s v="Unidade Vieralves (ANEXO)"/>
    <n v="1710689081"/>
    <m/>
  </r>
  <r>
    <x v="19"/>
    <x v="40"/>
    <s v="Wilma Raposo Camara"/>
    <s v="Feminino"/>
    <x v="1"/>
    <x v="17"/>
    <s v="50000160 - Fisioterapia Ortopédica (R$ 20,00), 98980327 - Taxa de Eletroterapia (Tens) (R$ 15,00)"/>
    <s v="Fisioterapia"/>
    <n v="9639442"/>
    <s v="Não compareceu (4/10)"/>
    <n v="35"/>
    <n v="0"/>
    <n v="35"/>
    <s v="Sessão a Faturar"/>
    <n v="2001013243020000"/>
    <n v="57366"/>
    <s v="Unidade Vieralves (ANEXO)"/>
    <n v="9639442"/>
    <m/>
  </r>
  <r>
    <x v="19"/>
    <x v="40"/>
    <s v="Rosene Das Graças Silva de Oliveira"/>
    <m/>
    <x v="15"/>
    <x v="17"/>
    <s v="20103492 - Patologia Em Dois Ou Mais Membros (R$ 49,20)"/>
    <s v="Fisioterapia"/>
    <n v="239161619"/>
    <s v="Finalizado (2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19"/>
    <x v="40"/>
    <s v="Maria Louzeni Oliveira de Almeida"/>
    <s v="Feminino"/>
    <x v="16"/>
    <x v="17"/>
    <s v="50000160 - Fisioterapia Ortopedica (R$ 25,00)"/>
    <s v="Fisioterapia"/>
    <n v="171125"/>
    <s v="Finalizado (2/10)"/>
    <n v="22"/>
    <n v="3"/>
    <n v="25"/>
    <s v="Sessão a Faturar"/>
    <n v="4094"/>
    <n v="56831"/>
    <s v="Unidade Vieralves (ANEXO)"/>
    <n v="171125"/>
    <m/>
  </r>
  <r>
    <x v="19"/>
    <x v="35"/>
    <s v="Nelma Vieira Lopes"/>
    <s v="Feminino"/>
    <x v="2"/>
    <x v="17"/>
    <s v="20103662 - Fisioterapia - Pos Operatorio Em Um Membro (R$ 14,99)"/>
    <s v="Fisioterapia"/>
    <n v="1703245129"/>
    <s v="Finalizado (3/3)"/>
    <n v="13.1912"/>
    <n v="1.7988"/>
    <n v="14.99"/>
    <s v="Sessão Faturada"/>
    <n v="952480019644000"/>
    <n v="21113"/>
    <s v="Unidade Vieralves (ANEXO)"/>
    <n v="1703245129"/>
    <m/>
  </r>
  <r>
    <x v="19"/>
    <x v="35"/>
    <s v="Joselio Nobre de Araujo"/>
    <s v="Masculino"/>
    <x v="6"/>
    <x v="17"/>
    <s v="20103514 - Patologia Em Dois Ou Mais Segmentos da Coluna (R$ 32,82)"/>
    <s v="Fisioterapia"/>
    <n v="170061"/>
    <s v="Finalizado (5/5)"/>
    <n v="28.881599999999999"/>
    <n v="3.9384000000000001"/>
    <n v="32.82"/>
    <s v="Sessão a Faturar"/>
    <s v="54588888477968150011"/>
    <n v="59071"/>
    <s v="Unidade Vieralves (ANEXO)"/>
    <n v="170061"/>
    <m/>
  </r>
  <r>
    <x v="19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4/10)"/>
    <n v="30.8"/>
    <n v="4.2"/>
    <n v="35"/>
    <s v="Sessão a Faturar"/>
    <s v="0801012899750000"/>
    <n v="56109"/>
    <s v="Unidade Vieralves (ANEXO)"/>
    <n v="9639936"/>
    <s v="Guia assinada! 24.03"/>
  </r>
  <r>
    <x v="19"/>
    <x v="38"/>
    <s v="Heloísa Ribeiro Alves"/>
    <s v="Feminino"/>
    <x v="8"/>
    <x v="17"/>
    <s v="20103492 - Patologia Em Dois Ou Mais Membros (R$ 14,83)"/>
    <s v="Fisioterapia"/>
    <n v="1709544860"/>
    <s v="Finalizado (2/10)"/>
    <n v="13.0504"/>
    <n v="1.7796000000000001"/>
    <n v="14.83"/>
    <s v="Sessão Faturada"/>
    <n v="954600017590000"/>
    <n v="59570"/>
    <s v="Unidade Vieralves (ANEXO)"/>
    <n v="1709544860"/>
    <m/>
  </r>
  <r>
    <x v="19"/>
    <x v="38"/>
    <s v="Zilene Alves Lima Soares"/>
    <m/>
    <x v="1"/>
    <x v="17"/>
    <s v="50000144 - Consulta de Fisioterapia (R$ 16,00)"/>
    <s v="Fisioterapia"/>
    <n v="9309386"/>
    <s v="Finalizado (1/1)"/>
    <n v="14.4"/>
    <n v="1.6"/>
    <n v="16"/>
    <s v="Sessão Faturada"/>
    <n v="902001770170010"/>
    <n v="57378"/>
    <s v="Unidade Vieralves (ANEXO)"/>
    <n v="9309386"/>
    <m/>
  </r>
  <r>
    <x v="19"/>
    <x v="38"/>
    <s v="Raimundo Soares Neto"/>
    <s v="Masculino"/>
    <x v="1"/>
    <x v="17"/>
    <s v="50000160 - Fisioterapia Ortopédica (R$ 20,00), 98980327 - Taxa de Eletroterapia (Tens) (R$ 15,00)"/>
    <s v="Fisioterapia"/>
    <n v="8343846"/>
    <s v="Não compareceu (10/10)"/>
    <n v="35"/>
    <n v="0"/>
    <n v="35"/>
    <s v="Sessão Faturada"/>
    <s v="0904001770230035"/>
    <n v="57377"/>
    <s v="Unidade Vieralves (ANEXO)"/>
    <n v="8343846"/>
    <s v="Guia assinada! 13/01"/>
  </r>
  <r>
    <x v="19"/>
    <x v="62"/>
    <s v="Zilene Alves Lima Soares"/>
    <m/>
    <x v="1"/>
    <x v="17"/>
    <s v="50000160 - Fisioterapia Ortopédica (R$ 20,00), 98980327 - Taxa de Eletroterapia (Tens) (R$ 15,00)"/>
    <s v="Fisioterapia"/>
    <n v="9309497"/>
    <s v="Finalizado (1/5)"/>
    <n v="30.8"/>
    <n v="4.2"/>
    <n v="35"/>
    <s v="Sessão Faturada"/>
    <n v="902001770170010"/>
    <n v="57378"/>
    <s v="Unidade Vieralves (ANEXO)"/>
    <n v="9309497"/>
    <m/>
  </r>
  <r>
    <x v="19"/>
    <x v="62"/>
    <s v="Heloísa Ribeiro Alves"/>
    <s v="Feminino"/>
    <x v="9"/>
    <x v="17"/>
    <s v="31602185 - Estimulação Elétrica Transcutânea (Tens) - Removido 13/04/2026 (R$ 40,00)"/>
    <s v="Fisioterapia"/>
    <n v="1710807896"/>
    <s v="Finalizado (1/9)"/>
    <n v="35.200000000000003"/>
    <n v="4.8"/>
    <n v="40"/>
    <s v="Sessão a Faturar"/>
    <n v="954600017590000"/>
    <n v="59570"/>
    <s v="Unidade Vieralves (ANEXO)"/>
    <n v="1710807896"/>
    <m/>
  </r>
  <r>
    <x v="19"/>
    <x v="37"/>
    <s v="Maria de Lourdes Mendonça de Faria e Cunha"/>
    <s v="Feminino"/>
    <x v="6"/>
    <x v="17"/>
    <s v="31602185 - Estimulação Elétrica Transcutanea (Tens) (R$ 40,00)"/>
    <s v="Fisioterapia"/>
    <n v="171311"/>
    <s v="Finalizado (2/10)"/>
    <n v="35.200000000000003"/>
    <n v="4.8"/>
    <n v="40"/>
    <s v="Sessão a Faturar"/>
    <s v="55788888490151040016"/>
    <n v="52807"/>
    <s v="Unidade Vieralves (ANEXO)"/>
    <n v="171311"/>
    <s v="Guia assinada! 18.03"/>
  </r>
  <r>
    <x v="19"/>
    <x v="37"/>
    <s v="Maria de Lourdes Mendonça de Faria e Cunha"/>
    <s v="Feminino"/>
    <x v="6"/>
    <x v="17"/>
    <s v="20103484 - Patologia Em Um Membro (R$ 14,16)"/>
    <s v="Fisioterapia"/>
    <n v="171309"/>
    <s v="Finalizado (2/10)"/>
    <n v="12.460800000000001"/>
    <n v="1.6992"/>
    <n v="14.16"/>
    <s v="Sessão a Faturar"/>
    <s v="55788888490151040016"/>
    <n v="52807"/>
    <s v="Unidade Vieralves (ANEXO)"/>
    <n v="171309"/>
    <s v="Guia assinada! 18.03"/>
  </r>
  <r>
    <x v="19"/>
    <x v="39"/>
    <s v="Sidnea Batista Vieira"/>
    <s v="Feminino"/>
    <x v="17"/>
    <x v="17"/>
    <s v="50000160 - Fisioterapia Ortopedica (R$ 45,00)"/>
    <s v="Fisioterapia"/>
    <n v="3981027"/>
    <s v="Finalizado (4/10)"/>
    <n v="39.6"/>
    <n v="5.4"/>
    <n v="45"/>
    <s v="Sessão a Faturar"/>
    <s v="000915777624101"/>
    <n v="56158"/>
    <s v="Unidade Vieralves (ANEXO)"/>
    <n v="3981027"/>
    <m/>
  </r>
  <r>
    <x v="19"/>
    <x v="39"/>
    <s v="Magaly Portela Regis"/>
    <s v="Feminino"/>
    <x v="4"/>
    <x v="17"/>
    <s v="31602185 - Estimulação Elétrica Transcutânea - Removido 13/04/2026 (R$ 40,00)"/>
    <s v="Fisioterapia"/>
    <n v="1709612790"/>
    <s v="Finalizado (2/5)"/>
    <n v="35.200000000000003"/>
    <n v="4.8"/>
    <n v="40"/>
    <s v="Sessão Faturada"/>
    <n v="838224200051000"/>
    <n v="16940"/>
    <s v="Unidade Vieralves (ANEXO)"/>
    <n v="1709612790"/>
    <m/>
  </r>
  <r>
    <x v="19"/>
    <x v="39"/>
    <s v="Priscilla Mamede da Silva"/>
    <s v="Feminino"/>
    <x v="6"/>
    <x v="17"/>
    <s v="50000144 - Avaliação de Fisioterapia (R$ 56,52)"/>
    <s v="Fisioterapia"/>
    <n v="7700047190"/>
    <s v="Finalizado (1/1)"/>
    <n v="50.868000000000002"/>
    <n v="5.6520000000000001"/>
    <n v="56.52"/>
    <s v="Sessão Faturada"/>
    <s v="59201499004220540020"/>
    <n v="56563"/>
    <s v="Unidade Vieralves (ANEXO)"/>
    <n v="7700047190"/>
    <m/>
  </r>
  <r>
    <x v="19"/>
    <x v="72"/>
    <s v="Priscilla Mamede da Silva"/>
    <s v="Feminino"/>
    <x v="6"/>
    <x v="17"/>
    <s v="20103484 - Patologia Em Um Membro (R$ 14,16)"/>
    <s v="Fisioterapia"/>
    <n v="171474"/>
    <s v="Finalizado (1/1)"/>
    <n v="12.460800000000001"/>
    <n v="1.6992"/>
    <n v="14.16"/>
    <s v="Sessão a Faturar"/>
    <s v="59201499004220540020"/>
    <n v="56563"/>
    <s v="Unidade Vieralves (ANEXO)"/>
    <n v="171474"/>
    <m/>
  </r>
  <r>
    <x v="19"/>
    <x v="64"/>
    <s v="Magaly Portela Regis"/>
    <s v="Feminino"/>
    <x v="2"/>
    <x v="17"/>
    <s v="20103484 - Fisioterapia - Patologia Em Um Membro (R$ 12,22)"/>
    <s v="Fisioterapia"/>
    <n v="1707288169"/>
    <s v="Finalizado (4/5)"/>
    <n v="10.7536"/>
    <n v="1.4663999999999999"/>
    <n v="12.22"/>
    <s v="Sessão Faturada"/>
    <n v="838224200051000"/>
    <n v="16940"/>
    <s v="Unidade Vieralves (ANEXO)"/>
    <n v="1707288169"/>
    <m/>
  </r>
  <r>
    <x v="19"/>
    <x v="59"/>
    <s v="Priscilla Mamede da Silva"/>
    <s v="Feminino"/>
    <x v="6"/>
    <x v="17"/>
    <s v="31602185 - Estimulação Elétrica Transcutanea (Tens) (R$ 40,00)"/>
    <s v="Fisioterapia"/>
    <n v="171475"/>
    <s v="Finalizado (1/1)"/>
    <n v="35.200000000000003"/>
    <n v="4.8"/>
    <n v="40"/>
    <s v="Sessão a Faturar"/>
    <s v="59201499004220540020"/>
    <n v="56563"/>
    <s v="Unidade Vieralves (ANEXO)"/>
    <n v="171475"/>
    <m/>
  </r>
  <r>
    <x v="20"/>
    <x v="89"/>
    <s v="David de Souza Brandão"/>
    <s v="Masculino"/>
    <x v="1"/>
    <x v="17"/>
    <s v="50000160 - Fisioterapia Ortopédica (R$ 20,00), 98980327 - Taxa de Eletroterapia (Tens) (R$ 15,00)"/>
    <s v="Fisioterapia"/>
    <n v="9342262"/>
    <s v="Finalizado (2/10)"/>
    <n v="30.8"/>
    <n v="4.2"/>
    <n v="35"/>
    <s v="Sessão a Faturar"/>
    <s v="0901013409150193"/>
    <n v="48043"/>
    <s v="Unidade Vieralves (ANEXO)"/>
    <n v="9342262"/>
    <m/>
  </r>
  <r>
    <x v="20"/>
    <x v="89"/>
    <s v="Francimary da Costa Duarte Otsuka"/>
    <s v="Feminino"/>
    <x v="1"/>
    <x v="17"/>
    <s v="50000160 - Fisioterapia Ortopédica (R$ 20,00), 98980327 - Taxa de Eletroterapia (Tens) (R$ 15,00)"/>
    <s v="Fisioterapia"/>
    <n v="9328890"/>
    <s v="Finalizado (1/4)"/>
    <n v="30.8"/>
    <n v="4.2"/>
    <n v="35"/>
    <s v="Sessão Faturada"/>
    <n v="2001013467330100"/>
    <n v="42241"/>
    <s v="Unidade Vieralves (ANEXO)"/>
    <n v="9328890"/>
    <m/>
  </r>
  <r>
    <x v="20"/>
    <x v="44"/>
    <s v="Ademir Landim Calegari"/>
    <s v="Masculino"/>
    <x v="7"/>
    <x v="17"/>
    <s v="Vieiralves - 1 - Fisioterapia Ortopedica - Pacote (R$ 40,00)"/>
    <s v="Fisioterapia"/>
    <m/>
    <s v="Finalizado (7/20)"/>
    <n v="31.2"/>
    <n v="8.8000000000000007"/>
    <n v="40"/>
    <s v="Pago"/>
    <n v="0"/>
    <n v="59456"/>
    <s v="Unidade Vieralves (ANEXO)"/>
    <m/>
    <m/>
  </r>
  <r>
    <x v="20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7/10)"/>
    <n v="30.8"/>
    <n v="4.2"/>
    <n v="35"/>
    <s v="Sessão Faturada"/>
    <n v="1301011611080200"/>
    <n v="59503"/>
    <s v="Unidade Vieralves (ANEXO)"/>
    <n v="9173975"/>
    <m/>
  </r>
  <r>
    <x v="20"/>
    <x v="44"/>
    <s v="Francisca Martins da Silveira"/>
    <s v="Feminino"/>
    <x v="3"/>
    <x v="17"/>
    <s v="0006 - Fisioterapia Ortopédica - Pacote Com 10 Sessões (R$ 40,00)"/>
    <s v="Fisioterapia"/>
    <n v="168131"/>
    <s v="Finalizado (8/10)"/>
    <n v="31.2"/>
    <n v="8.8000000000000007"/>
    <n v="40"/>
    <s v="Sessão a Faturar"/>
    <n v="2687"/>
    <n v="59016"/>
    <s v="Unidade Vieralves (ANEXO)"/>
    <n v="168131"/>
    <m/>
  </r>
  <r>
    <x v="20"/>
    <x v="44"/>
    <s v="Ivanilsa de Castro Amorim"/>
    <s v="Feminino"/>
    <x v="29"/>
    <x v="17"/>
    <s v="50000160 - Fisioterapia Ortopedica/Neurológica (R$ 33,00)"/>
    <s v="Fisioterapia"/>
    <n v="1075008"/>
    <s v="Finalizado (8/10)"/>
    <n v="29.04"/>
    <n v="3.96"/>
    <n v="33"/>
    <s v="Sessão Faturada"/>
    <n v="130260024272010"/>
    <n v="52811"/>
    <s v="Unidade Vieralves (ANEXO)"/>
    <n v="1075008"/>
    <m/>
  </r>
  <r>
    <x v="20"/>
    <x v="60"/>
    <s v="Ivanilsa de Castro Amorim"/>
    <s v="Feminino"/>
    <x v="29"/>
    <x v="17"/>
    <s v="31602185 - Estimulação Elétrica Transcutanea (R$ 87,74)"/>
    <s v="Fisioterapia"/>
    <n v="1075035"/>
    <s v="Finalizado (8/10)"/>
    <n v="77.211200000000005"/>
    <n v="10.5288"/>
    <n v="87.74"/>
    <s v="Sessão Faturada"/>
    <n v="130260024272010"/>
    <n v="52811"/>
    <s v="Unidade Vieralves (ANEXO)"/>
    <n v="1075035"/>
    <m/>
  </r>
  <r>
    <x v="20"/>
    <x v="41"/>
    <s v="Anderson Souza da Costa"/>
    <s v="Masculino"/>
    <x v="6"/>
    <x v="17"/>
    <s v="20103484 - Patologia Em Um Membro (R$ 14,16)"/>
    <s v="Fisioterapia"/>
    <n v="169904"/>
    <s v="Finalizado (5/5)"/>
    <n v="12.460800000000001"/>
    <n v="1.6992"/>
    <n v="14.16"/>
    <s v="Sessão a Faturar"/>
    <s v="58201065998059740014"/>
    <n v="58756"/>
    <s v="Unidade Vieralves (ANEXO)"/>
    <n v="169904"/>
    <m/>
  </r>
  <r>
    <x v="20"/>
    <x v="41"/>
    <s v="José Antonio Vasconcelos da Costa"/>
    <m/>
    <x v="1"/>
    <x v="17"/>
    <s v="50000160 - Fisioterapia Ortopédica (R$ 20,00), 98980327 - Taxa de Eletroterapia (Tens) (R$ 15,00)"/>
    <s v="Fisioterapia"/>
    <n v="9265592"/>
    <s v="Finalizado (2/6)"/>
    <n v="30.8"/>
    <n v="4.2"/>
    <n v="35"/>
    <s v="Sessão Faturada"/>
    <s v="0901013218350058"/>
    <n v="58463"/>
    <s v="Unidade Vieralves (ANEXO)"/>
    <n v="9265592"/>
    <m/>
  </r>
  <r>
    <x v="20"/>
    <x v="41"/>
    <s v="Getulio Henrique Rocha Lima"/>
    <s v="Masculino"/>
    <x v="6"/>
    <x v="17"/>
    <s v="20103484 - Patologia Em Um Membro (R$ 14,16)"/>
    <s v="Fisioterapia"/>
    <n v="170927"/>
    <s v="Finalizado (5/5)"/>
    <n v="12.460800000000001"/>
    <n v="1.6992"/>
    <n v="14.16"/>
    <s v="Sessão a Faturar"/>
    <s v="54588888010667990014"/>
    <n v="59110"/>
    <s v="Unidade Vieralves (ANEXO)"/>
    <n v="170927"/>
    <m/>
  </r>
  <r>
    <x v="20"/>
    <x v="65"/>
    <s v="Anderson Souza da Costa"/>
    <s v="Masculino"/>
    <x v="6"/>
    <x v="17"/>
    <s v="31602185 - Estimulação Elétrica Transcutanea (Tens) (R$ 40,00)"/>
    <s v="Fisioterapia"/>
    <n v="170245"/>
    <s v="Finalizado (3/5)"/>
    <n v="35.200000000000003"/>
    <n v="4.8"/>
    <n v="40"/>
    <s v="Sessão a Faturar"/>
    <s v="58201065998059740014"/>
    <n v="58756"/>
    <s v="Unidade Vieralves (ANEXO)"/>
    <n v="170245"/>
    <m/>
  </r>
  <r>
    <x v="20"/>
    <x v="36"/>
    <s v="Irlane da Silva Magno Viana"/>
    <s v="Feminino"/>
    <x v="10"/>
    <x v="17"/>
    <s v="50000160 - Fisioterapia Ortopédica (R$ 15,00)"/>
    <s v="Fisioterapia"/>
    <n v="15075095"/>
    <s v="Finalizado (10/10)"/>
    <n v="13.2"/>
    <n v="1.8"/>
    <n v="15"/>
    <s v="Sessão Faturada"/>
    <s v="00010064272636003"/>
    <n v="59401"/>
    <s v="Unidade Vieralves (ANEXO)"/>
    <n v="15075095"/>
    <m/>
  </r>
  <r>
    <x v="20"/>
    <x v="40"/>
    <s v="Luis Sergio da Silva"/>
    <s v="Feminino"/>
    <x v="17"/>
    <x v="17"/>
    <s v="50000160 - Fisioterapia Ortopedica (R$ 45,00)"/>
    <s v="Fisioterapia"/>
    <n v="3988611"/>
    <s v="Finalizado (3/10)"/>
    <n v="39.6"/>
    <n v="5.4"/>
    <n v="45"/>
    <s v="Sessão Faturada"/>
    <s v="000915777694800"/>
    <n v="59395"/>
    <s v="Unidade Vieralves (ANEXO)"/>
    <n v="3988611"/>
    <m/>
  </r>
  <r>
    <x v="20"/>
    <x v="40"/>
    <s v="Maria Louzeni Oliveira de Almeida"/>
    <s v="Feminino"/>
    <x v="16"/>
    <x v="17"/>
    <s v="50000160 - Fisioterapia Ortopedica (R$ 25,00)"/>
    <s v="Fisioterapia"/>
    <n v="171125"/>
    <s v="Finalizado (3/10)"/>
    <n v="22"/>
    <n v="3"/>
    <n v="25"/>
    <s v="Sessão a Faturar"/>
    <n v="4094"/>
    <n v="56831"/>
    <s v="Unidade Vieralves (ANEXO)"/>
    <n v="171125"/>
    <m/>
  </r>
  <r>
    <x v="20"/>
    <x v="35"/>
    <s v="Katia Rodrigues Freitas"/>
    <s v="Feminino"/>
    <x v="6"/>
    <x v="17"/>
    <s v="20103492 - Patologia Em Dois Ou Mais Membros (R$ 30,26), 20103506 - Patologia Em Um Segmento da Coluna (R$ 14,16)"/>
    <s v="Fisioterapia"/>
    <n v="170343"/>
    <s v="Finalizado (3/10)"/>
    <n v="39.089599999999997"/>
    <n v="5.3304"/>
    <n v="44.42"/>
    <s v="Sessão a Faturar"/>
    <s v="54588888004873140018"/>
    <n v="58935"/>
    <s v="Unidade Vieralves (ANEXO)"/>
    <n v="170343"/>
    <m/>
  </r>
  <r>
    <x v="20"/>
    <x v="35"/>
    <s v="Edmar Alves Pinto"/>
    <s v="Masculino"/>
    <x v="1"/>
    <x v="17"/>
    <s v="50000144 - Consulta de Fisioterapia (R$ 16,00)"/>
    <s v="Fisioterapia"/>
    <n v="9330602"/>
    <s v="Finalizado (1/1)"/>
    <n v="14.4"/>
    <n v="1.6"/>
    <n v="16"/>
    <s v="Sessão Faturada"/>
    <s v="0901013011720000"/>
    <n v="2469"/>
    <s v="Unidade Vieralves (ANEXO)"/>
    <n v="9330602"/>
    <m/>
  </r>
  <r>
    <x v="20"/>
    <x v="35"/>
    <s v="Marcos Alexandre Bolson"/>
    <s v="Masculino"/>
    <x v="1"/>
    <x v="17"/>
    <s v="50000160 - Fisioterapia Ortopédica (R$ 20,00), 98980327 - Taxa de Eletroterapia (Tens) (R$ 15,00)"/>
    <s v="Fisioterapia"/>
    <n v="8914969"/>
    <s v="Finalizado (10/10)"/>
    <n v="30.8"/>
    <n v="4.2"/>
    <n v="35"/>
    <s v="Sessão Faturada"/>
    <n v="1901013631570100"/>
    <n v="59302"/>
    <s v="Unidade Vieralves (ANEXO)"/>
    <n v="8914969"/>
    <m/>
  </r>
  <r>
    <x v="20"/>
    <x v="42"/>
    <s v="Edmar Alves Pinto"/>
    <s v="Masculino"/>
    <x v="1"/>
    <x v="17"/>
    <s v="50000160 - Fisioterapia Ortopédica (R$ 20,00), 98980327 - Taxa de Eletroterapia (Tens) (R$ 15,00)"/>
    <s v="Fisioterapia"/>
    <n v="9337130"/>
    <s v="Finalizado (1/10)"/>
    <n v="30.8"/>
    <n v="4.2"/>
    <n v="35"/>
    <s v="Sessão Faturada"/>
    <s v="0901013011720000"/>
    <n v="2469"/>
    <s v="Unidade Vieralves (ANEXO)"/>
    <n v="9337130"/>
    <m/>
  </r>
  <r>
    <x v="20"/>
    <x v="42"/>
    <s v="Katia Rodrigues Freitas"/>
    <s v="Feminino"/>
    <x v="6"/>
    <x v="17"/>
    <s v="31602185 - Estimulação Elétrica Transcutanea (Tens) (R$ 40,00)"/>
    <s v="Fisioterapia"/>
    <n v="170819"/>
    <s v="Finalizado (3/10)"/>
    <n v="35.200000000000003"/>
    <n v="4.8"/>
    <n v="40"/>
    <s v="Sessão a Faturar"/>
    <s v="54588888004873140018"/>
    <n v="58935"/>
    <s v="Unidade Vieralves (ANEXO)"/>
    <n v="170819"/>
    <m/>
  </r>
  <r>
    <x v="20"/>
    <x v="38"/>
    <s v="Antônio Edivaldo Pereira Nunes"/>
    <s v="Masculino"/>
    <x v="12"/>
    <x v="17"/>
    <s v="20103506 - Patol. Em Um Segmento Na Coluna (R$ 12,22)"/>
    <s v="Fisioterapia"/>
    <n v="170237"/>
    <s v="Finalizado (5/10)"/>
    <n v="10.7536"/>
    <n v="1.4663999999999999"/>
    <n v="12.22"/>
    <s v="Sessão a Faturar"/>
    <n v="9.5125782212117005E+17"/>
    <n v="57571"/>
    <s v="Unidade Vieralves (ANEXO)"/>
    <n v="170237"/>
    <m/>
  </r>
  <r>
    <x v="20"/>
    <x v="62"/>
    <s v="Antônio Edivaldo Pereira Nunes"/>
    <s v="Masculino"/>
    <x v="12"/>
    <x v="17"/>
    <s v="31602185 - Estimulação Elétrica Transcutânea (Tens) (R$ 49,00)"/>
    <s v="Fisioterapia"/>
    <n v="10312656"/>
    <s v="Finalizado (2/10)"/>
    <n v="43.12"/>
    <n v="5.88"/>
    <n v="49"/>
    <s v="Sessão a Faturar"/>
    <n v="9.5125782212117005E+17"/>
    <n v="57571"/>
    <s v="Unidade Vieralves (ANEXO)"/>
    <n v="10312656"/>
    <m/>
  </r>
  <r>
    <x v="20"/>
    <x v="37"/>
    <s v="Maria de Lourdes Mendonça de Faria e Cunha"/>
    <s v="Feminino"/>
    <x v="6"/>
    <x v="17"/>
    <s v="20103484 - Patologia Em Um Membro (R$ 14,16)"/>
    <s v="Fisioterapia"/>
    <n v="171309"/>
    <s v="Finalizado (3/10)"/>
    <n v="12.460800000000001"/>
    <n v="1.6992"/>
    <n v="14.16"/>
    <s v="Sessão a Faturar"/>
    <s v="55788888490151040016"/>
    <n v="52807"/>
    <s v="Unidade Vieralves (ANEXO)"/>
    <n v="171309"/>
    <s v="Guia assinada! 18.03"/>
  </r>
  <r>
    <x v="20"/>
    <x v="37"/>
    <s v="Fabiana Nunes de Souza"/>
    <s v="Feminino"/>
    <x v="10"/>
    <x v="17"/>
    <s v="50000160 - Fisioterapia Ortopédica (R$ 15,00)"/>
    <s v="Fisioterapia"/>
    <n v="15095050"/>
    <s v="Finalizado (8/10)"/>
    <n v="13.2"/>
    <n v="1.8"/>
    <n v="15"/>
    <s v="Sessão Faturada"/>
    <s v="00010064268224006"/>
    <n v="50502"/>
    <s v="Unidade Vieralves (ANEXO)"/>
    <n v="15095050"/>
    <m/>
  </r>
  <r>
    <x v="20"/>
    <x v="63"/>
    <s v="Maria de Lourdes Mendonça de Faria e Cunha"/>
    <s v="Feminino"/>
    <x v="6"/>
    <x v="17"/>
    <s v="31602185 - Estimulação Elétrica Transcutanea (Tens) (R$ 40,00)"/>
    <s v="Fisioterapia"/>
    <n v="171311"/>
    <s v="Finalizado (3/10)"/>
    <n v="35.200000000000003"/>
    <n v="4.8"/>
    <n v="40"/>
    <s v="Sessão a Faturar"/>
    <s v="55788888490151040016"/>
    <n v="52807"/>
    <s v="Unidade Vieralves (ANEXO)"/>
    <n v="171311"/>
    <s v="Guia assinada! 18.03"/>
  </r>
  <r>
    <x v="20"/>
    <x v="39"/>
    <s v="Matheus de Oliveira Melo"/>
    <s v="Masculino"/>
    <x v="13"/>
    <x v="17"/>
    <s v="20103484 - Patologia Em Um Membro (R$ 24,41)"/>
    <s v="Fisioterapia"/>
    <n v="13509292"/>
    <s v="Finalizado (8/10)"/>
    <n v="21.480799999999999"/>
    <n v="2.9291999999999998"/>
    <n v="24.41"/>
    <s v="Sessão Faturada"/>
    <s v="00010300020690006"/>
    <n v="58751"/>
    <s v="Unidade Vieralves (ANEXO)"/>
    <n v="13509292"/>
    <s v="Guia assinada! 23/02"/>
  </r>
  <r>
    <x v="23"/>
    <x v="44"/>
    <s v="Maria do Carmo Soares Filgueiras de Menezes"/>
    <s v="Feminino"/>
    <x v="1"/>
    <x v="17"/>
    <s v="50000160 - Fisioterapia Ortopédica (R$ 20,00), 98980327 - Taxa de Eletroterapia (Tens) (R$ 15,00)"/>
    <s v="Fisioterapia"/>
    <n v="9265016"/>
    <s v="Finalizado (1/10)"/>
    <n v="30.8"/>
    <n v="4.2"/>
    <n v="35"/>
    <s v="Sessão a Faturar"/>
    <s v="0201013918220089"/>
    <n v="58907"/>
    <s v="Unidade Vieralves (ANEXO)"/>
    <n v="9265016"/>
    <m/>
  </r>
  <r>
    <x v="23"/>
    <x v="44"/>
    <s v="Mylene Dutra Barbosa"/>
    <s v="Feminino"/>
    <x v="1"/>
    <x v="17"/>
    <s v="50000160 - Fisioterapia Ortopédica (R$ 20,00), 98980327 - Taxa de Eletroterapia (Tens) (R$ 15,00)"/>
    <s v="Fisioterapia"/>
    <n v="9198142"/>
    <s v="Finalizado (3/10)"/>
    <n v="30.8"/>
    <n v="4.2"/>
    <n v="35"/>
    <s v="Sessão Faturada"/>
    <n v="1902013384500000"/>
    <n v="59375"/>
    <s v="Unidade Vieralves (ANEXO)"/>
    <n v="9198142"/>
    <m/>
  </r>
  <r>
    <x v="23"/>
    <x v="44"/>
    <s v="Ademir Landim Calegari"/>
    <s v="Masculino"/>
    <x v="7"/>
    <x v="17"/>
    <s v="Vieiralves - 1 - Fisioterapia Ortopedica - Pacote (R$ 40,00)"/>
    <s v="Fisioterapia"/>
    <m/>
    <s v="Finalizado (8/20)"/>
    <n v="31.2"/>
    <n v="8.8000000000000007"/>
    <n v="40"/>
    <s v="Pago"/>
    <n v="0"/>
    <n v="59456"/>
    <s v="Unidade Vieralves (ANEXO)"/>
    <m/>
    <m/>
  </r>
  <r>
    <x v="23"/>
    <x v="44"/>
    <s v="Magaly Portela Regis"/>
    <s v="Feminino"/>
    <x v="4"/>
    <x v="17"/>
    <s v="31602185 - Estimulação Elétrica Transcutânea - Removido 13/04/2026 (R$ 40,00)"/>
    <s v="Fisioterapia"/>
    <n v="1709612790"/>
    <s v="Finalizado (3/5)"/>
    <n v="35.200000000000003"/>
    <n v="4.8"/>
    <n v="40"/>
    <s v="Sessão Faturada"/>
    <n v="838224200051000"/>
    <n v="16940"/>
    <s v="Unidade Vieralves (ANEXO)"/>
    <n v="1709612790"/>
    <m/>
  </r>
  <r>
    <x v="23"/>
    <x v="44"/>
    <s v="Maria de Lourdes Mendonça de Faria e Cunha"/>
    <s v="Feminino"/>
    <x v="6"/>
    <x v="17"/>
    <s v="20103484 - Patologia Em Um Membro (R$ 14,16)"/>
    <s v="Fisioterapia"/>
    <n v="171309"/>
    <s v="Finalizado (4/10)"/>
    <n v="12.460800000000001"/>
    <n v="1.6992"/>
    <n v="14.16"/>
    <s v="Sessão a Faturar"/>
    <s v="55788888490151040016"/>
    <n v="52807"/>
    <s v="Unidade Vieralves (ANEXO)"/>
    <n v="171309"/>
    <s v="Guia assinada! 18.03"/>
  </r>
  <r>
    <x v="23"/>
    <x v="60"/>
    <s v="Magaly Portela Regis"/>
    <s v="Feminino"/>
    <x v="2"/>
    <x v="17"/>
    <s v="20103484 - Fisioterapia - Patologia Em Um Membro (R$ 12,22)"/>
    <s v="Fisioterapia"/>
    <n v="1707288169"/>
    <s v="Finalizado (5/5)"/>
    <n v="10.7536"/>
    <n v="1.4663999999999999"/>
    <n v="12.22"/>
    <s v="Sessão Faturada"/>
    <n v="838224200051000"/>
    <n v="16940"/>
    <s v="Unidade Vieralves (ANEXO)"/>
    <n v="1707288169"/>
    <m/>
  </r>
  <r>
    <x v="23"/>
    <x v="41"/>
    <s v="Getulio Henrique Rocha Lima"/>
    <s v="Masculino"/>
    <x v="6"/>
    <x v="17"/>
    <s v="20103484 - Patologia Em Um Membro (R$ 14,16)"/>
    <s v="Fisioterapia"/>
    <n v="171725"/>
    <s v="Finalizado (1/4)"/>
    <n v="12.460800000000001"/>
    <n v="1.6992"/>
    <n v="14.16"/>
    <s v="Sessão a Faturar"/>
    <s v="54588888010667990014"/>
    <n v="59110"/>
    <s v="Unidade Vieralves (ANEXO)"/>
    <n v="171725"/>
    <m/>
  </r>
  <r>
    <x v="23"/>
    <x v="41"/>
    <s v="Katia Rodrigues Freitas"/>
    <s v="Feminino"/>
    <x v="6"/>
    <x v="17"/>
    <s v="20103492 - Patologia Em Dois Ou Mais Membros (R$ 30,26), 20103506 - Patologia Em Um Segmento da Coluna (R$ 14,16)"/>
    <s v="Fisioterapia"/>
    <n v="170343"/>
    <s v="Finalizado (4/10)"/>
    <n v="39.089599999999997"/>
    <n v="5.3304"/>
    <n v="44.42"/>
    <s v="Sessão a Faturar"/>
    <s v="54588888004873140018"/>
    <n v="58935"/>
    <s v="Unidade Vieralves (ANEXO)"/>
    <n v="170343"/>
    <m/>
  </r>
  <r>
    <x v="23"/>
    <x v="65"/>
    <s v="Katia Rodrigues Freitas"/>
    <s v="Feminino"/>
    <x v="6"/>
    <x v="17"/>
    <s v="31602185 - Estimulação Elétrica Transcutanea (Tens) (R$ 40,00)"/>
    <s v="Fisioterapia"/>
    <n v="170819"/>
    <s v="Finalizado (4/10)"/>
    <n v="35.200000000000003"/>
    <n v="4.8"/>
    <n v="40"/>
    <s v="Sessão a Faturar"/>
    <s v="54588888004873140018"/>
    <n v="58935"/>
    <s v="Unidade Vieralves (ANEXO)"/>
    <n v="170819"/>
    <m/>
  </r>
  <r>
    <x v="23"/>
    <x v="36"/>
    <s v="Luis Carlos Pucu de Araujo"/>
    <s v="Masculino"/>
    <x v="2"/>
    <x v="17"/>
    <s v="20103484 - Fisioterapia - Patologia Em Um Membro (R$ 12,22)"/>
    <s v="Fisioterapia"/>
    <n v="1711049248"/>
    <s v="Finalizado (3/5)"/>
    <n v="10.7536"/>
    <n v="1.4663999999999999"/>
    <n v="12.22"/>
    <s v="Sessão Faturada"/>
    <n v="896194000019010"/>
    <n v="59612"/>
    <s v="Unidade Vieralves (ANEXO)"/>
    <n v="1711049248"/>
    <m/>
  </r>
  <r>
    <x v="23"/>
    <x v="36"/>
    <s v="Ricardo Andreazze da Silva"/>
    <s v="Masculino"/>
    <x v="9"/>
    <x v="17"/>
    <s v="31602185 - Estimulação Elétrica Transcutânea (Tens) - Removido 13/04/2026 (R$ 40,00)"/>
    <s v="Fisioterapia"/>
    <n v="1710689081"/>
    <s v="Finalizado (2/10)"/>
    <n v="35.200000000000003"/>
    <n v="4.8"/>
    <n v="40"/>
    <s v="Sessão a Faturar"/>
    <n v="954600010545000"/>
    <n v="38890"/>
    <s v="Unidade Vieralves (ANEXO)"/>
    <n v="1710689081"/>
    <m/>
  </r>
  <r>
    <x v="23"/>
    <x v="36"/>
    <s v="Luis Carlos Pucu de Araujo"/>
    <s v="Masculino"/>
    <x v="4"/>
    <x v="17"/>
    <s v="31602185 - Estimulação Elétrica Transcutânea - Removido 13/04/2026 (R$ 40,00)"/>
    <s v="Fisioterapia"/>
    <n v="1711923112"/>
    <s v="Finalizado (1/3)"/>
    <n v="35.200000000000003"/>
    <n v="4.8"/>
    <n v="40"/>
    <s v="Sessão Faturada"/>
    <n v="896194000019010"/>
    <n v="59612"/>
    <s v="Unidade Vieralves (ANEXO)"/>
    <n v="1711923112"/>
    <m/>
  </r>
  <r>
    <x v="23"/>
    <x v="36"/>
    <s v="Ricardo Andreazze da Silva"/>
    <s v="Masculino"/>
    <x v="8"/>
    <x v="17"/>
    <s v="20103484 - Patologia Em Um Membro (R$ 12,22)"/>
    <s v="Fisioterapia"/>
    <n v="1709502547"/>
    <s v="Finalizado (3/10)"/>
    <n v="10.7536"/>
    <n v="1.4663999999999999"/>
    <n v="12.22"/>
    <s v="Sessão Faturada"/>
    <n v="954600010545000"/>
    <n v="38890"/>
    <s v="Unidade Vieralves (ANEXO)"/>
    <n v="1709502547"/>
    <m/>
  </r>
  <r>
    <x v="23"/>
    <x v="40"/>
    <s v="Maria Louzeni Oliveira de Almeida"/>
    <s v="Feminino"/>
    <x v="16"/>
    <x v="17"/>
    <s v="50000160 - Fisioterapia Ortopedica (R$ 25,00)"/>
    <s v="Fisioterapia"/>
    <n v="171125"/>
    <s v="Finalizado (4/10)"/>
    <n v="22"/>
    <n v="3"/>
    <n v="25"/>
    <s v="Sessão a Faturar"/>
    <n v="4094"/>
    <n v="56831"/>
    <s v="Unidade Vieralves (ANEXO)"/>
    <n v="171125"/>
    <m/>
  </r>
  <r>
    <x v="23"/>
    <x v="35"/>
    <s v="Joziane Lira dos Santos Pereira"/>
    <s v="Feminino"/>
    <x v="8"/>
    <x v="17"/>
    <s v="20103492 - Patologia Em Dois Ou Mais Membros (R$ 14,83)"/>
    <s v="Fisioterapia"/>
    <n v="1709727952"/>
    <s v="Finalizado (3/8)"/>
    <n v="13.0504"/>
    <n v="1.7796000000000001"/>
    <n v="14.83"/>
    <s v="Sessão a Faturar"/>
    <n v="954600002739000"/>
    <n v="35514"/>
    <s v="Unidade Vieralves (ANEXO)"/>
    <n v="1709727952"/>
    <m/>
  </r>
  <r>
    <x v="23"/>
    <x v="35"/>
    <s v="Heloísa Ribeiro Alves"/>
    <s v="Feminino"/>
    <x v="8"/>
    <x v="17"/>
    <s v="20103492 - Patologia Em Dois Ou Mais Membros (R$ 14,83)"/>
    <s v="Fisioterapia"/>
    <n v="1709544860"/>
    <s v="Finalizado (3/10)"/>
    <n v="13.0504"/>
    <n v="1.7796000000000001"/>
    <n v="14.83"/>
    <s v="Sessão Faturada"/>
    <n v="954600017590000"/>
    <n v="59570"/>
    <s v="Unidade Vieralves (ANEXO)"/>
    <n v="1709544860"/>
    <m/>
  </r>
  <r>
    <x v="23"/>
    <x v="42"/>
    <s v="Heloísa Ribeiro Alves"/>
    <s v="Feminino"/>
    <x v="9"/>
    <x v="17"/>
    <s v="31602185 - Estimulação Elétrica Transcutânea (Tens) - Removido 13/04/2026 (R$ 40,00)"/>
    <s v="Fisioterapia"/>
    <n v="1710807896"/>
    <s v="Finalizado (2/9)"/>
    <n v="35.200000000000003"/>
    <n v="4.8"/>
    <n v="40"/>
    <s v="Sessão a Faturar"/>
    <n v="954600017590000"/>
    <n v="59570"/>
    <s v="Unidade Vieralves (ANEXO)"/>
    <n v="1710807896"/>
    <m/>
  </r>
  <r>
    <x v="23"/>
    <x v="38"/>
    <s v="Márcia Maria Labanca de Figueiredo"/>
    <s v="Feminino"/>
    <x v="20"/>
    <x v="17"/>
    <s v="20103484 - Patologia Em Um Membro (R$ 29,04)"/>
    <s v="Fisioterapia"/>
    <n v="55676220"/>
    <s v="Finalizado (3/10)"/>
    <n v="25.555199999999999"/>
    <n v="3.4847999999999999"/>
    <n v="29.04"/>
    <s v="Sessão Faturada"/>
    <n v="1051460014840200"/>
    <n v="59451"/>
    <s v="Unidade Vieralves (ANEXO)"/>
    <n v="55676220"/>
    <s v="GUIA ASSINADA"/>
  </r>
  <r>
    <x v="23"/>
    <x v="38"/>
    <s v="José Antonio Vasconcelos da Costa"/>
    <m/>
    <x v="1"/>
    <x v="17"/>
    <s v="50000160 - Fisioterapia Ortopédica (R$ 20,00), 98980327 - Taxa de Eletroterapia (Tens) (R$ 15,00)"/>
    <s v="Fisioterapia"/>
    <n v="9265592"/>
    <s v="Finalizado (3/6)"/>
    <n v="30.8"/>
    <n v="4.2"/>
    <n v="35"/>
    <s v="Sessão Faturada"/>
    <s v="0901013218350058"/>
    <n v="58463"/>
    <s v="Unidade Vieralves (ANEXO)"/>
    <n v="9265592"/>
    <m/>
  </r>
  <r>
    <x v="23"/>
    <x v="37"/>
    <s v="Isabelle Aucar Gioia"/>
    <s v="Feminino"/>
    <x v="6"/>
    <x v="17"/>
    <s v="20103484 - Patologia Em Um Membro (R$ 14,16)"/>
    <s v="Fisioterapia"/>
    <n v="170013"/>
    <s v="Finalizado (3/10)"/>
    <n v="12.460800000000001"/>
    <n v="1.6992"/>
    <n v="14.16"/>
    <s v="Sessão a Faturar"/>
    <s v="58200789998000620016"/>
    <n v="53296"/>
    <s v="Unidade Vieralves (ANEXO)"/>
    <n v="170013"/>
    <s v="guia assinada. 14/03"/>
  </r>
  <r>
    <x v="23"/>
    <x v="37"/>
    <s v="Isadora Vitorino Grana"/>
    <s v="Feminino"/>
    <x v="13"/>
    <x v="17"/>
    <s v="20103514 - Patologia Em Diferentes Segmentos da Coluna (R$ 41,45)"/>
    <s v="Fisioterapia"/>
    <n v="13593606"/>
    <s v="Finalizado (6/10)"/>
    <n v="36.475999999999999"/>
    <n v="4.9740000000000002"/>
    <n v="41.45"/>
    <s v="Sessão Faturada"/>
    <s v="00010300035963020"/>
    <n v="56556"/>
    <s v="Unidade Vieralves (ANEXO)"/>
    <n v="13593606"/>
    <m/>
  </r>
  <r>
    <x v="23"/>
    <x v="63"/>
    <s v="Isabelle Aucar Gioia"/>
    <s v="Feminino"/>
    <x v="6"/>
    <x v="17"/>
    <s v="31602185 - Estimulação Elétrica Transcutanea (Tens) (R$ 40,00)"/>
    <s v="Fisioterapia"/>
    <n v="170015"/>
    <s v="Finalizado (3/10)"/>
    <n v="35.200000000000003"/>
    <n v="4.8"/>
    <n v="40"/>
    <s v="Sessão a Faturar"/>
    <s v="58200789998000620016"/>
    <n v="53296"/>
    <s v="Unidade Vieralves (ANEXO)"/>
    <n v="170015"/>
    <s v="guia assinada. 14/03"/>
  </r>
  <r>
    <x v="0"/>
    <x v="44"/>
    <s v="Ademir Landim Calegari"/>
    <s v="Masculino"/>
    <x v="7"/>
    <x v="17"/>
    <s v="Vieiralves - 1 - Fisioterapia Ortopedica - Pacote (R$ 40,00)"/>
    <s v="Fisioterapia"/>
    <m/>
    <s v="Finalizado (9/20)"/>
    <n v="31.2"/>
    <n v="8.8000000000000007"/>
    <n v="40"/>
    <s v="Pago"/>
    <n v="0"/>
    <n v="59456"/>
    <s v="Unidade Vieralves (ANEXO)"/>
    <m/>
    <m/>
  </r>
  <r>
    <x v="0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8/10)"/>
    <n v="30.8"/>
    <n v="4.2"/>
    <n v="35"/>
    <s v="Sessão Faturada"/>
    <n v="1301011611080200"/>
    <n v="59503"/>
    <s v="Unidade Vieralves (ANEXO)"/>
    <n v="9173975"/>
    <m/>
  </r>
  <r>
    <x v="0"/>
    <x v="44"/>
    <s v="Felipe Lunieri dos Santos"/>
    <s v="Masculino"/>
    <x v="2"/>
    <x v="17"/>
    <s v="20103484 - Fisioterapia - Patologia Em Um Membro (R$ 12,22)"/>
    <s v="Fisioterapia"/>
    <n v="1706986367"/>
    <s v="Finalizado (4/5)"/>
    <n v="10.7536"/>
    <n v="1.4663999999999999"/>
    <n v="12.22"/>
    <s v="Sessão Faturada"/>
    <n v="774642009164010"/>
    <n v="43924"/>
    <s v="Unidade Vieralves (ANEXO)"/>
    <n v="1706986367"/>
    <m/>
  </r>
  <r>
    <x v="0"/>
    <x v="41"/>
    <s v="José Pedro Silva Oliveira"/>
    <s v="Masculino"/>
    <x v="6"/>
    <x v="17"/>
    <s v="50000144 - Avaliação de Fisioterapia (R$ 56,52)"/>
    <s v="Fisioterapia"/>
    <n v="7700047240"/>
    <s v="Finalizado (1/1)"/>
    <n v="50.868000000000002"/>
    <n v="5.6520000000000001"/>
    <n v="56.52"/>
    <s v="Sessão Faturada"/>
    <s v="58200789997018600019"/>
    <n v="59609"/>
    <s v="Unidade Vieralves (ANEXO)"/>
    <n v="7700047240"/>
    <m/>
  </r>
  <r>
    <x v="0"/>
    <x v="41"/>
    <s v="Fabiana Nunes de Souza"/>
    <s v="Feminino"/>
    <x v="10"/>
    <x v="17"/>
    <s v="50000160 - Fisioterapia Ortopédica (R$ 15,00)"/>
    <s v="Fisioterapia"/>
    <n v="15095050"/>
    <s v="Finalizado (9/10)"/>
    <n v="13.2"/>
    <n v="1.8"/>
    <n v="15"/>
    <s v="Sessão Faturada"/>
    <s v="00010064268224006"/>
    <n v="50502"/>
    <s v="Unidade Vieralves (ANEXO)"/>
    <n v="15095050"/>
    <m/>
  </r>
  <r>
    <x v="0"/>
    <x v="41"/>
    <s v="Maria de Lourdes Mendonça de Faria e Cunha"/>
    <s v="Feminino"/>
    <x v="6"/>
    <x v="17"/>
    <s v="31602185 - Estimulação Elétrica Transcutanea (Tens) (R$ 40,00)"/>
    <s v="Fisioterapia"/>
    <n v="171311"/>
    <s v="Finalizado (4/10)"/>
    <n v="35.200000000000003"/>
    <n v="4.8"/>
    <n v="40"/>
    <s v="Sessão a Faturar"/>
    <s v="55788888490151040016"/>
    <n v="52807"/>
    <s v="Unidade Vieralves (ANEXO)"/>
    <n v="171311"/>
    <s v="Guia assinada! 18.03"/>
  </r>
  <r>
    <x v="0"/>
    <x v="76"/>
    <s v="José Pedro Silva Oliveira"/>
    <s v="Masculino"/>
    <x v="6"/>
    <x v="17"/>
    <s v="20103484 - Patologia Em Um Membro (R$ 14,16)"/>
    <s v="Fisioterapia"/>
    <n v="171768"/>
    <s v="Finalizado (1/10)"/>
    <n v="12.460800000000001"/>
    <n v="1.6992"/>
    <n v="14.16"/>
    <s v="Sessão a Faturar"/>
    <s v="58200789997018600019"/>
    <n v="59609"/>
    <s v="Unidade Vieralves (ANEXO)"/>
    <n v="171768"/>
    <m/>
  </r>
  <r>
    <x v="0"/>
    <x v="65"/>
    <s v="Maria de Lourdes Mendonça de Faria e Cunha"/>
    <s v="Feminino"/>
    <x v="6"/>
    <x v="17"/>
    <s v="20103484 - Patologia Em Um Membro (R$ 14,16)"/>
    <s v="Fisioterapia"/>
    <n v="171309"/>
    <s v="Finalizado (5/10)"/>
    <n v="12.460800000000001"/>
    <n v="1.6992"/>
    <n v="14.16"/>
    <s v="Sessão a Faturar"/>
    <s v="55788888490151040016"/>
    <n v="52807"/>
    <s v="Unidade Vieralves (ANEXO)"/>
    <n v="171309"/>
    <s v="Guia assinada! 18.03"/>
  </r>
  <r>
    <x v="0"/>
    <x v="48"/>
    <s v="José Pedro Silva Oliveira"/>
    <s v="Masculino"/>
    <x v="6"/>
    <x v="17"/>
    <s v="31602185 - Estimulação Elétrica Transcutanea (Tens) (R$ 40,00)"/>
    <s v="Fisioterapia"/>
    <n v="171769"/>
    <s v="Finalizado (1/9)"/>
    <n v="35.200000000000003"/>
    <n v="4.8"/>
    <n v="40"/>
    <s v="Sessão a Faturar"/>
    <s v="58200789997018600019"/>
    <n v="59609"/>
    <s v="Unidade Vieralves (ANEXO)"/>
    <n v="171769"/>
    <m/>
  </r>
  <r>
    <x v="0"/>
    <x v="36"/>
    <s v="Irlane da Silva Magno Viana"/>
    <s v="Feminino"/>
    <x v="10"/>
    <x v="17"/>
    <s v="50000160 - Fisioterapia Ortopédica (R$ 15,00)"/>
    <s v="Fisioterapia"/>
    <n v="16128462"/>
    <s v="Finalizado (1/10)"/>
    <n v="13.2"/>
    <n v="1.8"/>
    <n v="15"/>
    <s v="Sessão a Faturar"/>
    <s v="00010064272636003"/>
    <n v="59401"/>
    <s v="Unidade Vieralves (ANEXO)"/>
    <n v="16128462"/>
    <m/>
  </r>
  <r>
    <x v="0"/>
    <x v="40"/>
    <s v="Luis Sergio da Silva"/>
    <s v="Feminino"/>
    <x v="17"/>
    <x v="17"/>
    <s v="50000160 - Fisioterapia Ortopedica (R$ 45,00)"/>
    <s v="Fisioterapia"/>
    <n v="3988611"/>
    <s v="Finalizado (4/10)"/>
    <n v="39.6"/>
    <n v="5.4"/>
    <n v="45"/>
    <s v="Sessão Faturada"/>
    <s v="000915777694800"/>
    <n v="59395"/>
    <s v="Unidade Vieralves (ANEXO)"/>
    <n v="3988611"/>
    <m/>
  </r>
  <r>
    <x v="0"/>
    <x v="40"/>
    <s v="Maria Louzeni Oliveira de Almeida"/>
    <s v="Feminino"/>
    <x v="16"/>
    <x v="17"/>
    <s v="50000160 - Fisioterapia Ortopedica (R$ 25,00)"/>
    <s v="Fisioterapia"/>
    <n v="171125"/>
    <s v="Finalizado (5/10)"/>
    <n v="22"/>
    <n v="3"/>
    <n v="25"/>
    <s v="Sessão a Faturar"/>
    <n v="4094"/>
    <n v="56831"/>
    <s v="Unidade Vieralves (ANEXO)"/>
    <n v="171125"/>
    <m/>
  </r>
  <r>
    <x v="0"/>
    <x v="40"/>
    <s v="Edmar Alves Pinto"/>
    <s v="Masculino"/>
    <x v="1"/>
    <x v="17"/>
    <s v="50000160 - Fisioterapia Ortopédica (R$ 20,00), 98980327 - Taxa de Eletroterapia (Tens) (R$ 15,00)"/>
    <s v="Fisioterapia"/>
    <n v="9337130"/>
    <s v="Finalizado (2/10)"/>
    <n v="30.8"/>
    <n v="4.2"/>
    <n v="35"/>
    <s v="Sessão Faturada"/>
    <s v="0901013011720000"/>
    <n v="2469"/>
    <s v="Unidade Vieralves (ANEXO)"/>
    <n v="9337130"/>
    <m/>
  </r>
  <r>
    <x v="0"/>
    <x v="35"/>
    <s v="Jaime Lopes Pereira"/>
    <s v="Masculino"/>
    <x v="3"/>
    <x v="17"/>
    <s v="0006 - Fisioterapia Ortopédica - Pacote Com 10 Sessões (R$ 40,00)"/>
    <s v="Fisioterapia"/>
    <n v="170054"/>
    <s v="Finalizado (5/10)"/>
    <n v="31.2"/>
    <n v="8.8000000000000007"/>
    <n v="40"/>
    <s v="Sessão a Faturar"/>
    <n v="18481"/>
    <n v="59088"/>
    <s v="Unidade Vieralves (ANEXO)"/>
    <n v="170054"/>
    <m/>
  </r>
  <r>
    <x v="0"/>
    <x v="38"/>
    <s v="Lenita de Salvi"/>
    <s v="Feminino"/>
    <x v="12"/>
    <x v="17"/>
    <s v="50000144 - Consulta Fisioterapia (R$ 51,42)"/>
    <s v="Fisioterapia"/>
    <n v="10337177"/>
    <s v="Finalizado (1/1)"/>
    <n v="46.277999999999999"/>
    <n v="5.1420000000000003"/>
    <n v="51.42"/>
    <s v="Sessão Faturada"/>
    <n v="9.5125288282221005E+17"/>
    <n v="52294"/>
    <s v="Unidade Vieralves (ANEXO)"/>
    <n v="10337177"/>
    <m/>
  </r>
  <r>
    <x v="0"/>
    <x v="62"/>
    <s v="Lenita de Salvi"/>
    <s v="Feminino"/>
    <x v="12"/>
    <x v="17"/>
    <s v="20103492 - Patol. Em Dois Ou Mais Membros (R$ 14,83)"/>
    <s v="Fisioterapia"/>
    <n v="171816"/>
    <s v="Finalizado (1/10)"/>
    <n v="13.0504"/>
    <n v="1.7796000000000001"/>
    <n v="14.83"/>
    <s v="Sessão a Faturar"/>
    <n v="9.5125288282221005E+17"/>
    <n v="52294"/>
    <s v="Unidade Vieralves (ANEXO)"/>
    <n v="171816"/>
    <m/>
  </r>
  <r>
    <x v="1"/>
    <x v="89"/>
    <s v="Valquíria Paiva Carvalho"/>
    <s v="Feminino"/>
    <x v="2"/>
    <x v="17"/>
    <s v="50000144 - Avaliação de Fisioterapia (R$ 51,42)"/>
    <s v="Fisioterapia"/>
    <n v="1713202581"/>
    <s v="Finalizado (1/1)"/>
    <n v="46.277999999999999"/>
    <n v="5.1420000000000003"/>
    <n v="51.42"/>
    <s v="Sessão Faturada"/>
    <n v="896982600019020"/>
    <n v="59655"/>
    <s v="Unidade Vieralves (ANEXO)"/>
    <n v="1713202581"/>
    <m/>
  </r>
  <r>
    <x v="1"/>
    <x v="89"/>
    <s v="Francimary da Costa Duarte Otsuka"/>
    <s v="Feminino"/>
    <x v="1"/>
    <x v="17"/>
    <s v="50000160 - Fisioterapia Ortopédica (R$ 20,00), 98980327 - Taxa de Eletroterapia (Tens) (R$ 15,00)"/>
    <s v="Fisioterapia"/>
    <n v="9328890"/>
    <s v="Finalizado (2/4)"/>
    <n v="30.8"/>
    <n v="4.2"/>
    <n v="35"/>
    <s v="Sessão Faturada"/>
    <n v="2001013467330100"/>
    <n v="42241"/>
    <s v="Unidade Vieralves (ANEXO)"/>
    <n v="9328890"/>
    <m/>
  </r>
  <r>
    <x v="1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4/10)"/>
    <n v="30.8"/>
    <n v="4.2"/>
    <n v="35"/>
    <s v="Sessão Faturada"/>
    <n v="1902013384500000"/>
    <n v="59375"/>
    <s v="Unidade Vieralves (ANEXO)"/>
    <n v="9198142"/>
    <m/>
  </r>
  <r>
    <x v="1"/>
    <x v="90"/>
    <s v="Valquíria Paiva Carvalho"/>
    <s v="Feminino"/>
    <x v="2"/>
    <x v="17"/>
    <s v="20103484 - Fisioterapia - Patologia Em Um Membro (R$ 12,22)"/>
    <s v="Fisioterapia"/>
    <n v="1713204081"/>
    <s v="Finalizado (1/6)"/>
    <n v="10.7536"/>
    <n v="1.4663999999999999"/>
    <n v="12.22"/>
    <s v="Sessão a Faturar"/>
    <n v="896982600019020"/>
    <n v="59655"/>
    <s v="Unidade Vieralves (ANEXO)"/>
    <n v="1713204081"/>
    <m/>
  </r>
  <r>
    <x v="1"/>
    <x v="44"/>
    <s v="Ademir Landim Calegari"/>
    <s v="Masculino"/>
    <x v="7"/>
    <x v="17"/>
    <s v="Vieiralves - 1 - Fisioterapia Ortopedica - Pacote (R$ 40,00)"/>
    <s v="Fisioterapia"/>
    <m/>
    <s v="Finalizado (10/20)"/>
    <n v="31.2"/>
    <n v="8.8000000000000007"/>
    <n v="40"/>
    <s v="Pago"/>
    <n v="0"/>
    <n v="59456"/>
    <s v="Unidade Vieralves (ANEXO)"/>
    <m/>
    <m/>
  </r>
  <r>
    <x v="1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9/10)"/>
    <n v="30.8"/>
    <n v="4.2"/>
    <n v="35"/>
    <s v="Sessão Faturada"/>
    <n v="1301011611080200"/>
    <n v="59503"/>
    <s v="Unidade Vieralves (ANEXO)"/>
    <n v="9173975"/>
    <m/>
  </r>
  <r>
    <x v="1"/>
    <x v="44"/>
    <s v="Francisca Martins da Silveira"/>
    <s v="Feminino"/>
    <x v="3"/>
    <x v="17"/>
    <s v="0006 - Fisioterapia Ortopédica - Pacote Com 10 Sessões (R$ 40,00)"/>
    <s v="Fisioterapia"/>
    <n v="168131"/>
    <s v="Finalizado (9/10)"/>
    <n v="31.2"/>
    <n v="8.8000000000000007"/>
    <n v="40"/>
    <s v="Sessão a Faturar"/>
    <n v="2687"/>
    <n v="59016"/>
    <s v="Unidade Vieralves (ANEXO)"/>
    <n v="168131"/>
    <m/>
  </r>
  <r>
    <x v="1"/>
    <x v="44"/>
    <s v="Ivanilsa de Castro Amorim"/>
    <s v="Feminino"/>
    <x v="29"/>
    <x v="17"/>
    <s v="50000160 - Fisioterapia Ortopedica/Neurológica (R$ 33,00)"/>
    <s v="Fisioterapia"/>
    <n v="1075008"/>
    <s v="Finalizado (9/10)"/>
    <n v="29.04"/>
    <n v="3.96"/>
    <n v="33"/>
    <s v="Sessão Faturada"/>
    <n v="130260024272010"/>
    <n v="52811"/>
    <s v="Unidade Vieralves (ANEXO)"/>
    <n v="1075008"/>
    <m/>
  </r>
  <r>
    <x v="1"/>
    <x v="60"/>
    <s v="Ivanilsa de Castro Amorim"/>
    <s v="Feminino"/>
    <x v="29"/>
    <x v="17"/>
    <s v="31602185 - Estimulação Elétrica Transcutanea (R$ 87,74)"/>
    <s v="Fisioterapia"/>
    <n v="1075035"/>
    <s v="Finalizado (9/10)"/>
    <n v="77.211200000000005"/>
    <n v="10.5288"/>
    <n v="87.74"/>
    <s v="Sessão Faturada"/>
    <n v="130260024272010"/>
    <n v="52811"/>
    <s v="Unidade Vieralves (ANEXO)"/>
    <n v="1075035"/>
    <m/>
  </r>
  <r>
    <x v="1"/>
    <x v="41"/>
    <s v="Moacir Leal da Silva Neto"/>
    <s v="Masculino"/>
    <x v="2"/>
    <x v="17"/>
    <s v="20103484 - Fisioterapia - Patologia Em Um Membro (R$ 12,22)"/>
    <s v="Fisioterapia"/>
    <n v="1713243091"/>
    <s v="Finalizado (1/5)"/>
    <n v="10.7536"/>
    <n v="1.4663999999999999"/>
    <n v="12.22"/>
    <s v="Sessão a Faturar"/>
    <n v="774642019992000"/>
    <n v="56958"/>
    <s v="Unidade Vieralves (ANEXO)"/>
    <n v="1713243091"/>
    <m/>
  </r>
  <r>
    <x v="1"/>
    <x v="41"/>
    <s v="Fabiana Nunes de Souza"/>
    <s v="Feminino"/>
    <x v="10"/>
    <x v="17"/>
    <s v="50000160 - Fisioterapia Ortopédica (R$ 15,00)"/>
    <s v="Fisioterapia"/>
    <n v="15095050"/>
    <s v="Finalizado (10/10)"/>
    <n v="13.2"/>
    <n v="1.8"/>
    <n v="15"/>
    <s v="Sessão Faturada"/>
    <s v="00010064268224006"/>
    <n v="50502"/>
    <s v="Unidade Vieralves (ANEXO)"/>
    <n v="15095050"/>
    <m/>
  </r>
  <r>
    <x v="1"/>
    <x v="41"/>
    <s v="Getulio Henrique Rocha Lima"/>
    <s v="Masculino"/>
    <x v="6"/>
    <x v="17"/>
    <s v="20103484 - Patologia Em Um Membro (R$ 14,16)"/>
    <s v="Fisioterapia"/>
    <n v="171725"/>
    <s v="Finalizado (2/4)"/>
    <n v="12.460800000000001"/>
    <n v="1.6992"/>
    <n v="14.16"/>
    <s v="Sessão a Faturar"/>
    <s v="54588888010667990014"/>
    <n v="59110"/>
    <s v="Unidade Vieralves (ANEXO)"/>
    <n v="171725"/>
    <m/>
  </r>
  <r>
    <x v="1"/>
    <x v="65"/>
    <s v="Getulio Henrique Rocha Lima"/>
    <s v="Masculino"/>
    <x v="6"/>
    <x v="17"/>
    <s v="31602185 - Estimulação Elétrica Transcutanea (Tens) (R$ 40,00)"/>
    <s v="Fisioterapia"/>
    <n v="170928"/>
    <s v="Finalizado (4/5)"/>
    <n v="35.200000000000003"/>
    <n v="4.8"/>
    <n v="40"/>
    <s v="Sessão a Faturar"/>
    <s v="54588888010667990014"/>
    <n v="59110"/>
    <s v="Unidade Vieralves (ANEXO)"/>
    <n v="170928"/>
    <m/>
  </r>
  <r>
    <x v="1"/>
    <x v="36"/>
    <s v="Ricardo Andreazze da Silva"/>
    <s v="Masculino"/>
    <x v="8"/>
    <x v="17"/>
    <s v="20103484 - Patologia Em Um Membro (R$ 12,22)"/>
    <s v="Fisioterapia"/>
    <n v="1709502547"/>
    <s v="Finalizado (4/10)"/>
    <n v="10.7536"/>
    <n v="1.4663999999999999"/>
    <n v="12.22"/>
    <s v="Sessão Faturada"/>
    <n v="954600010545000"/>
    <n v="38890"/>
    <s v="Unidade Vieralves (ANEXO)"/>
    <n v="1709502547"/>
    <m/>
  </r>
  <r>
    <x v="1"/>
    <x v="61"/>
    <s v="Ricardo Andreazze da Silva"/>
    <s v="Masculino"/>
    <x v="9"/>
    <x v="17"/>
    <s v="31602185 - Estimulação Elétrica Transcutânea (Tens) - Removido 13/04/2026 (R$ 40,00)"/>
    <s v="Fisioterapia"/>
    <n v="1710689081"/>
    <s v="Finalizado (3/10)"/>
    <n v="35.200000000000003"/>
    <n v="4.8"/>
    <n v="40"/>
    <s v="Sessão a Faturar"/>
    <n v="954600010545000"/>
    <n v="38890"/>
    <s v="Unidade Vieralves (ANEXO)"/>
    <n v="1710689081"/>
    <m/>
  </r>
  <r>
    <x v="1"/>
    <x v="40"/>
    <s v="Celia Regina Simonetti Barbalho"/>
    <s v="Feminino"/>
    <x v="1"/>
    <x v="17"/>
    <s v="50000160 - Fisioterapia Ortopédica (R$ 20,00), 98980327 - Taxa de Eletroterapia (Tens) (R$ 15,00)"/>
    <s v="Fisioterapia"/>
    <n v="9311765"/>
    <s v="Finalizado (2/7)"/>
    <n v="30.8"/>
    <n v="4.2"/>
    <n v="35"/>
    <s v="Sessão Faturada"/>
    <s v="0901012965130039"/>
    <n v="36041"/>
    <s v="Unidade Vieralves (ANEXO)"/>
    <n v="9311765"/>
    <m/>
  </r>
  <r>
    <x v="1"/>
    <x v="40"/>
    <s v="Rosene Das Graças Silva de Oliveira"/>
    <m/>
    <x v="15"/>
    <x v="17"/>
    <s v="20103492 - Patologia Em Dois Ou Mais Membros (R$ 49,20)"/>
    <s v="Fisioterapia"/>
    <n v="239161619"/>
    <s v="Finalizado (3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1"/>
    <x v="40"/>
    <s v="Maria Louzeni Oliveira de Almeida"/>
    <s v="Feminino"/>
    <x v="16"/>
    <x v="17"/>
    <s v="50000160 - Fisioterapia Ortopedica (R$ 25,00)"/>
    <s v="Fisioterapia"/>
    <n v="171125"/>
    <s v="Finalizado (6/10)"/>
    <n v="22"/>
    <n v="3"/>
    <n v="25"/>
    <s v="Sessão a Faturar"/>
    <n v="4094"/>
    <n v="56831"/>
    <s v="Unidade Vieralves (ANEXO)"/>
    <n v="171125"/>
    <m/>
  </r>
  <r>
    <x v="1"/>
    <x v="40"/>
    <s v="Zilene Alves Lima Soares"/>
    <m/>
    <x v="1"/>
    <x v="17"/>
    <s v="50000160 - Fisioterapia Ortopédica (R$ 20,00), 98980327 - Taxa de Eletroterapia (Tens) (R$ 15,00)"/>
    <s v="Fisioterapia"/>
    <n v="9309497"/>
    <s v="Finalizado (2/5)"/>
    <n v="30.8"/>
    <n v="4.2"/>
    <n v="35"/>
    <s v="Sessão Faturada"/>
    <n v="902001770170010"/>
    <n v="57378"/>
    <s v="Unidade Vieralves (ANEXO)"/>
    <n v="9309497"/>
    <m/>
  </r>
  <r>
    <x v="1"/>
    <x v="35"/>
    <s v="Samantha Nathalia da Silva Souza"/>
    <s v="Feminino"/>
    <x v="2"/>
    <x v="17"/>
    <s v="50000144 - Avaliação de Fisioterapia (R$ 51,42)"/>
    <s v="Fisioterapia"/>
    <n v="1713327552"/>
    <s v="Finalizado (1/1)"/>
    <n v="46.277999999999999"/>
    <n v="5.1420000000000003"/>
    <n v="51.42"/>
    <s v="Sessão Faturada"/>
    <n v="774104016012010"/>
    <n v="59657"/>
    <s v="Unidade Vieralves (ANEXO)"/>
    <n v="1713327552"/>
    <m/>
  </r>
  <r>
    <x v="1"/>
    <x v="42"/>
    <s v="Samantha Nathalia da Silva Souza"/>
    <s v="Feminino"/>
    <x v="2"/>
    <x v="17"/>
    <s v="20103492 - Fisioterapia - Patologia Em Dois Ou Mais Membros (R$ 14,83)"/>
    <s v="Fisioterapia"/>
    <n v="1713328752"/>
    <s v="Finalizado (1/10)"/>
    <n v="13.0504"/>
    <n v="1.7796000000000001"/>
    <n v="14.83"/>
    <s v="Sessão Faturada"/>
    <n v="774104016012010"/>
    <n v="59657"/>
    <s v="Unidade Vieralves (ANEXO)"/>
    <n v="1713328752"/>
    <m/>
  </r>
  <r>
    <x v="1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5/10)"/>
    <n v="30.8"/>
    <n v="4.2"/>
    <n v="35"/>
    <s v="Sessão a Faturar"/>
    <s v="0801012899750000"/>
    <n v="56109"/>
    <s v="Unidade Vieralves (ANEXO)"/>
    <n v="9639936"/>
    <s v="Guia assinada! 24.03"/>
  </r>
  <r>
    <x v="1"/>
    <x v="38"/>
    <s v="Heloísa Ribeiro Alves"/>
    <s v="Feminino"/>
    <x v="9"/>
    <x v="17"/>
    <s v="31602185 - Estimulação Elétrica Transcutânea (Tens) - Removido 13/04/2026 (R$ 40,00)"/>
    <s v="Fisioterapia"/>
    <n v="1710807896"/>
    <s v="Finalizado (3/9)"/>
    <n v="35.200000000000003"/>
    <n v="4.8"/>
    <n v="40"/>
    <s v="Sessão a Faturar"/>
    <n v="954600017590000"/>
    <n v="59570"/>
    <s v="Unidade Vieralves (ANEXO)"/>
    <n v="1710807896"/>
    <m/>
  </r>
  <r>
    <x v="1"/>
    <x v="38"/>
    <s v="Lenita de Salvi"/>
    <s v="Feminino"/>
    <x v="12"/>
    <x v="17"/>
    <s v="20103492 - Patol. Em Dois Ou Mais Membros (R$ 14,83)"/>
    <s v="Fisioterapia"/>
    <n v="171816"/>
    <s v="Finalizado (2/10)"/>
    <n v="13.0504"/>
    <n v="1.7796000000000001"/>
    <n v="14.83"/>
    <s v="Sessão a Faturar"/>
    <n v="9.5125288282221005E+17"/>
    <n v="52294"/>
    <s v="Unidade Vieralves (ANEXO)"/>
    <n v="171816"/>
    <m/>
  </r>
  <r>
    <x v="1"/>
    <x v="62"/>
    <s v="Heloísa Ribeiro Alves"/>
    <s v="Feminino"/>
    <x v="8"/>
    <x v="17"/>
    <s v="20103492 - Patologia Em Dois Ou Mais Membros (R$ 14,83)"/>
    <s v="Fisioterapia"/>
    <n v="1709544860"/>
    <s v="Finalizado (4/10)"/>
    <n v="13.0504"/>
    <n v="1.7796000000000001"/>
    <n v="14.83"/>
    <s v="Sessão Faturada"/>
    <n v="954600017590000"/>
    <n v="59570"/>
    <s v="Unidade Vieralves (ANEXO)"/>
    <n v="1709544860"/>
    <m/>
  </r>
  <r>
    <x v="1"/>
    <x v="37"/>
    <s v="Maria de Lourdes Mendonça de Faria e Cunha"/>
    <s v="Feminino"/>
    <x v="6"/>
    <x v="17"/>
    <s v="31602185 - Estimulação Elétrica Transcutanea (Tens) (R$ 40,00)"/>
    <s v="Fisioterapia"/>
    <n v="171311"/>
    <s v="Finalizado (5/10)"/>
    <n v="35.200000000000003"/>
    <n v="4.8"/>
    <n v="40"/>
    <s v="Sessão a Faturar"/>
    <s v="55788888490151040016"/>
    <n v="52807"/>
    <s v="Unidade Vieralves (ANEXO)"/>
    <n v="171311"/>
    <s v="Guia assinada! 18.03"/>
  </r>
  <r>
    <x v="1"/>
    <x v="37"/>
    <s v="Maria de Lourdes Mendonça de Faria e Cunha"/>
    <s v="Feminino"/>
    <x v="6"/>
    <x v="17"/>
    <s v="20103484 - Patologia Em Um Membro (R$ 14,16)"/>
    <s v="Fisioterapia"/>
    <n v="171309"/>
    <s v="Finalizado (6/10)"/>
    <n v="12.460800000000001"/>
    <n v="1.6992"/>
    <n v="14.16"/>
    <s v="Sessão a Faturar"/>
    <s v="55788888490151040016"/>
    <n v="52807"/>
    <s v="Unidade Vieralves (ANEXO)"/>
    <n v="171309"/>
    <s v="Guia assinada! 18.03"/>
  </r>
  <r>
    <x v="1"/>
    <x v="39"/>
    <s v="Marcia dos Santos"/>
    <s v="Feminino"/>
    <x v="6"/>
    <x v="17"/>
    <s v="20103484 - Patologia Em Um Membro (R$ 14,16)"/>
    <s v="Fisioterapia"/>
    <n v="171978"/>
    <s v="Finalizado (1/10)"/>
    <n v="12.460800000000001"/>
    <n v="1.6992"/>
    <n v="14.16"/>
    <s v="Sessão a Faturar"/>
    <s v="55788888490616460011"/>
    <n v="24503"/>
    <s v="Unidade Vieralves (ANEXO)"/>
    <n v="171978"/>
    <m/>
  </r>
  <r>
    <x v="1"/>
    <x v="39"/>
    <s v="Marcia dos Santos"/>
    <s v="Feminino"/>
    <x v="6"/>
    <x v="17"/>
    <s v="31602185 - Estimulação Elétrica Transcutanea (Tens) (R$ 40,00)"/>
    <s v="Fisioterapia"/>
    <n v="171979"/>
    <s v="Finalizado (1/7)"/>
    <n v="35.200000000000003"/>
    <n v="4.8"/>
    <n v="40"/>
    <s v="Sessão a Faturar"/>
    <s v="55788888490616460011"/>
    <n v="24503"/>
    <s v="Unidade Vieralves (ANEXO)"/>
    <n v="171979"/>
    <m/>
  </r>
  <r>
    <x v="1"/>
    <x v="39"/>
    <s v="Marcia dos Santos"/>
    <s v="Feminino"/>
    <x v="6"/>
    <x v="17"/>
    <s v="50000144 - Avaliação de Fisioterapia (R$ 56,52)"/>
    <s v="Fisioterapia"/>
    <n v="7700047253"/>
    <s v="Finalizado (1/1)"/>
    <n v="50.868000000000002"/>
    <n v="5.6520000000000001"/>
    <n v="56.52"/>
    <s v="Sessão Faturada"/>
    <s v="55788888490616460011"/>
    <n v="24503"/>
    <s v="Unidade Vieralves (ANEXO)"/>
    <n v="7700047253"/>
    <m/>
  </r>
  <r>
    <x v="2"/>
    <x v="89"/>
    <s v="Samantha Nathalia da Silva Souza"/>
    <s v="Feminino"/>
    <x v="2"/>
    <x v="17"/>
    <s v="20103492 - Fisioterapia - Patologia Em Dois Ou Mais Membros (R$ 14,83)"/>
    <s v="Fisioterapia"/>
    <n v="1713328752"/>
    <s v="Finalizado (2/10)"/>
    <n v="13.0504"/>
    <n v="1.7796000000000001"/>
    <n v="14.83"/>
    <s v="Sessão Faturada"/>
    <n v="774104016012010"/>
    <n v="59657"/>
    <s v="Unidade Vieralves (ANEXO)"/>
    <n v="1713328752"/>
    <m/>
  </r>
  <r>
    <x v="2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1/10)"/>
    <n v="35.200000000000003"/>
    <n v="4.8"/>
    <n v="40"/>
    <s v="Sessão Faturada"/>
    <n v="774104016012010"/>
    <n v="59657"/>
    <s v="Unidade Vieralves (ANEXO)"/>
    <n v="1713821405"/>
    <m/>
  </r>
  <r>
    <x v="2"/>
    <x v="44"/>
    <s v="Francisca Eldi Frazao de Souza"/>
    <m/>
    <x v="1"/>
    <x v="17"/>
    <s v="50000160 - Fisioterapia Ortopédica (R$ 20,00), 98980327 - Taxa de Eletroterapia (Tens) (R$ 15,00)"/>
    <s v="Fisioterapia"/>
    <n v="9173975"/>
    <s v="Finalizado (10/10)"/>
    <n v="30.8"/>
    <n v="4.2"/>
    <n v="35"/>
    <s v="Sessão Faturada"/>
    <n v="1301011611080200"/>
    <n v="59503"/>
    <s v="Unidade Vieralves (ANEXO)"/>
    <n v="9173975"/>
    <m/>
  </r>
  <r>
    <x v="2"/>
    <x v="44"/>
    <s v="Ivanilsa de Castro Amorim"/>
    <s v="Feminino"/>
    <x v="29"/>
    <x v="17"/>
    <s v="50000160 - Fisioterapia Ortopedica/Neurológica (R$ 33,00)"/>
    <s v="Fisioterapia"/>
    <n v="1075008"/>
    <s v="Finalizado (10/10)"/>
    <n v="29.04"/>
    <n v="3.96"/>
    <n v="33"/>
    <s v="Sessão Faturada"/>
    <n v="130260024272010"/>
    <n v="52811"/>
    <s v="Unidade Vieralves (ANEXO)"/>
    <n v="1075008"/>
    <m/>
  </r>
  <r>
    <x v="2"/>
    <x v="44"/>
    <s v="Ademir Landim Calegari"/>
    <s v="Masculino"/>
    <x v="7"/>
    <x v="17"/>
    <s v="Vieiralves - 1 - Fisioterapia Ortopedica - Pacote (R$ 40,00)"/>
    <s v="Fisioterapia"/>
    <m/>
    <s v="Finalizado (11/20)"/>
    <n v="31.2"/>
    <n v="8.8000000000000007"/>
    <n v="40"/>
    <s v="Pago"/>
    <n v="0"/>
    <n v="59456"/>
    <s v="Unidade Vieralves (ANEXO)"/>
    <m/>
    <m/>
  </r>
  <r>
    <x v="2"/>
    <x v="60"/>
    <s v="Ivanilsa de Castro Amorim"/>
    <s v="Feminino"/>
    <x v="29"/>
    <x v="17"/>
    <s v="31602185 - Estimulação Elétrica Transcutanea (R$ 87,74)"/>
    <s v="Fisioterapia"/>
    <n v="1075035"/>
    <s v="Finalizado (10/10)"/>
    <n v="77.211200000000005"/>
    <n v="10.5288"/>
    <n v="87.74"/>
    <s v="Sessão Faturada"/>
    <n v="130260024272010"/>
    <n v="52811"/>
    <s v="Unidade Vieralves (ANEXO)"/>
    <n v="1075035"/>
    <m/>
  </r>
  <r>
    <x v="2"/>
    <x v="41"/>
    <s v="Fabiana Nunes de Souza"/>
    <s v="Feminino"/>
    <x v="10"/>
    <x v="17"/>
    <s v="50000160 - Fisioterapia Ortopédica (R$ 15,00)"/>
    <s v="Fisioterapia"/>
    <n v="21123174"/>
    <s v="Finalizado (1/10)"/>
    <n v="13.2"/>
    <n v="1.8"/>
    <n v="15"/>
    <s v="Sessão a Faturar"/>
    <s v="00010064268224006"/>
    <n v="50502"/>
    <s v="Unidade Vieralves (ANEXO)"/>
    <n v="21123174"/>
    <m/>
  </r>
  <r>
    <x v="2"/>
    <x v="41"/>
    <s v="José Pedro Silva Oliveira"/>
    <s v="Masculino"/>
    <x v="6"/>
    <x v="17"/>
    <s v="20103484 - Patologia Em Um Membro (R$ 14,16)"/>
    <s v="Fisioterapia"/>
    <n v="171768"/>
    <s v="Finalizado (2/10)"/>
    <n v="12.460800000000001"/>
    <n v="1.6992"/>
    <n v="14.16"/>
    <s v="Sessão a Faturar"/>
    <s v="58200789997018600019"/>
    <n v="59609"/>
    <s v="Unidade Vieralves (ANEXO)"/>
    <n v="171768"/>
    <m/>
  </r>
  <r>
    <x v="2"/>
    <x v="65"/>
    <s v="José Pedro Silva Oliveira"/>
    <s v="Masculino"/>
    <x v="6"/>
    <x v="17"/>
    <s v="31602185 - Estimulação Elétrica Transcutanea (Tens) (R$ 40,00)"/>
    <s v="Fisioterapia"/>
    <n v="171769"/>
    <s v="Finalizado (2/9)"/>
    <n v="35.200000000000003"/>
    <n v="4.8"/>
    <n v="40"/>
    <s v="Sessão a Faturar"/>
    <s v="58200789997018600019"/>
    <n v="59609"/>
    <s v="Unidade Vieralves (ANEXO)"/>
    <n v="171769"/>
    <m/>
  </r>
  <r>
    <x v="2"/>
    <x v="36"/>
    <s v="Irlane da Silva Magno Viana"/>
    <s v="Feminino"/>
    <x v="10"/>
    <x v="17"/>
    <s v="50000160 - Fisioterapia Ortopédica (R$ 15,00)"/>
    <s v="Fisioterapia"/>
    <n v="16128462"/>
    <s v="Finalizado (2/10)"/>
    <n v="13.2"/>
    <n v="1.8"/>
    <n v="15"/>
    <s v="Sessão a Faturar"/>
    <s v="00010064272636003"/>
    <n v="59401"/>
    <s v="Unidade Vieralves (ANEXO)"/>
    <n v="16128462"/>
    <m/>
  </r>
  <r>
    <x v="2"/>
    <x v="36"/>
    <s v="Rachel Afonso Meira Ferreira"/>
    <s v="Feminino"/>
    <x v="6"/>
    <x v="17"/>
    <s v="50000144 - Avaliação de Fisioterapia (R$ 56,52)"/>
    <s v="Fisioterapia"/>
    <n v="7700047273"/>
    <s v="Finalizado (1/1)"/>
    <n v="50.868000000000002"/>
    <n v="5.6520000000000001"/>
    <n v="56.52"/>
    <s v="Sessão Faturada"/>
    <s v="54588888477391520023"/>
    <n v="55681"/>
    <s v="Unidade Vieralves (ANEXO)"/>
    <n v="7700047273"/>
    <m/>
  </r>
  <r>
    <x v="2"/>
    <x v="36"/>
    <s v="Edmar Alves Pinto"/>
    <s v="Masculino"/>
    <x v="1"/>
    <x v="17"/>
    <s v="50000160 - Fisioterapia Ortopédica (R$ 20,00), 98980327 - Taxa de Eletroterapia (Tens) (R$ 15,00)"/>
    <s v="Fisioterapia"/>
    <n v="9337130"/>
    <s v="Finalizado (3/10)"/>
    <n v="30.8"/>
    <n v="4.2"/>
    <n v="35"/>
    <s v="Sessão Faturada"/>
    <s v="0901013011720000"/>
    <n v="2469"/>
    <s v="Unidade Vieralves (ANEXO)"/>
    <n v="9337130"/>
    <m/>
  </r>
  <r>
    <x v="2"/>
    <x v="57"/>
    <s v="Rachel Afonso Meira Ferreira"/>
    <s v="Feminino"/>
    <x v="6"/>
    <x v="17"/>
    <s v="20103492 - Patologia Em Dois Ou Mais Membros (R$ 30,26)"/>
    <s v="Fisioterapia"/>
    <n v="172091"/>
    <s v="Finalizado (1/10)"/>
    <n v="26.628799999999998"/>
    <n v="3.6312000000000002"/>
    <n v="30.26"/>
    <s v="Sessão a Faturar"/>
    <s v="54588888477391520023"/>
    <n v="55681"/>
    <s v="Unidade Vieralves (ANEXO)"/>
    <n v="172091"/>
    <m/>
  </r>
  <r>
    <x v="2"/>
    <x v="67"/>
    <s v="Rachel Afonso Meira Ferreira"/>
    <s v="Feminino"/>
    <x v="6"/>
    <x v="17"/>
    <s v="31602185 - Estimulação Elétrica Transcutanea (Tens) (R$ 40,00)"/>
    <s v="Fisioterapia"/>
    <n v="172092"/>
    <s v="Finalizado (1/6)"/>
    <n v="35.200000000000003"/>
    <n v="4.8"/>
    <n v="40"/>
    <s v="Sessão a Faturar"/>
    <s v="54588888477391520023"/>
    <n v="55681"/>
    <s v="Unidade Vieralves (ANEXO)"/>
    <n v="172092"/>
    <m/>
  </r>
  <r>
    <x v="2"/>
    <x v="40"/>
    <s v="Luis Sergio da Silva"/>
    <s v="Feminino"/>
    <x v="17"/>
    <x v="17"/>
    <s v="50000160 - Fisioterapia Ortopedica (R$ 45,00)"/>
    <s v="Fisioterapia"/>
    <n v="3988611"/>
    <s v="Finalizado (5/10)"/>
    <n v="39.6"/>
    <n v="5.4"/>
    <n v="45"/>
    <s v="Sessão Faturada"/>
    <s v="000915777694800"/>
    <n v="59395"/>
    <s v="Unidade Vieralves (ANEXO)"/>
    <n v="3988611"/>
    <m/>
  </r>
  <r>
    <x v="2"/>
    <x v="35"/>
    <s v="Jaime Lopes Pereira"/>
    <s v="Masculino"/>
    <x v="3"/>
    <x v="17"/>
    <s v="0006 - Fisioterapia Ortopédica - Pacote Com 10 Sessões (R$ 40,00)"/>
    <s v="Fisioterapia"/>
    <n v="170054"/>
    <s v="Finalizado (6/10)"/>
    <n v="31.2"/>
    <n v="8.8000000000000007"/>
    <n v="40"/>
    <s v="Sessão a Faturar"/>
    <n v="18481"/>
    <n v="59088"/>
    <s v="Unidade Vieralves (ANEXO)"/>
    <n v="170054"/>
    <m/>
  </r>
  <r>
    <x v="2"/>
    <x v="38"/>
    <s v="Lenita de Salvi"/>
    <s v="Feminino"/>
    <x v="12"/>
    <x v="17"/>
    <s v="20103492 - Patol. Em Dois Ou Mais Membros (R$ 14,83)"/>
    <s v="Fisioterapia"/>
    <n v="171816"/>
    <s v="Finalizado (3/10)"/>
    <n v="13.0504"/>
    <n v="1.7796000000000001"/>
    <n v="14.83"/>
    <s v="Sessão a Faturar"/>
    <n v="9.5125288282221005E+17"/>
    <n v="52294"/>
    <s v="Unidade Vieralves (ANEXO)"/>
    <n v="171816"/>
    <m/>
  </r>
  <r>
    <x v="2"/>
    <x v="38"/>
    <s v="Antônio Edivaldo Pereira Nunes"/>
    <s v="Masculino"/>
    <x v="12"/>
    <x v="17"/>
    <s v="31602185 - Estimulação Elétrica Transcutânea (Tens) (R$ 49,00)"/>
    <s v="Fisioterapia"/>
    <n v="10312656"/>
    <s v="Finalizado (3/10)"/>
    <n v="43.12"/>
    <n v="5.88"/>
    <n v="49"/>
    <s v="Sessão a Faturar"/>
    <n v="9.5125782212117005E+17"/>
    <n v="57571"/>
    <s v="Unidade Vieralves (ANEXO)"/>
    <n v="10312656"/>
    <m/>
  </r>
  <r>
    <x v="2"/>
    <x v="62"/>
    <s v="Antônio Edivaldo Pereira Nunes"/>
    <s v="Masculino"/>
    <x v="12"/>
    <x v="17"/>
    <s v="20103506 - Patol. Em Um Segmento Na Coluna (R$ 12,22)"/>
    <s v="Fisioterapia"/>
    <n v="170237"/>
    <s v="Finalizado (6/10)"/>
    <n v="10.7536"/>
    <n v="1.4663999999999999"/>
    <n v="12.22"/>
    <s v="Sessão a Faturar"/>
    <n v="9.5125782212117005E+17"/>
    <n v="57571"/>
    <s v="Unidade Vieralves (ANEXO)"/>
    <n v="170237"/>
    <m/>
  </r>
  <r>
    <x v="2"/>
    <x v="37"/>
    <s v="Sidnea Batista Vieira"/>
    <s v="Feminino"/>
    <x v="17"/>
    <x v="17"/>
    <s v="50000160 - Fisioterapia Ortopedica (R$ 45,00)"/>
    <s v="Fisioterapia"/>
    <n v="3981027"/>
    <s v="Finalizado (6/10)"/>
    <n v="39.6"/>
    <n v="5.4"/>
    <n v="45"/>
    <s v="Sessão a Faturar"/>
    <s v="000915777624101"/>
    <n v="56158"/>
    <s v="Unidade Vieralves (ANEXO)"/>
    <n v="3981027"/>
    <m/>
  </r>
  <r>
    <x v="2"/>
    <x v="37"/>
    <s v="Adriana de Nazare Souto de Azevedo"/>
    <s v="Feminino"/>
    <x v="6"/>
    <x v="17"/>
    <s v="50000144 - Avaliação de Fisioterapia (R$ 56,52)"/>
    <s v="Fisioterapia"/>
    <n v="7700047275"/>
    <s v="Finalizado (1/1)"/>
    <n v="50.868000000000002"/>
    <n v="5.6520000000000001"/>
    <n v="56.52"/>
    <s v="Sessão Faturada"/>
    <s v="54588888007376700028"/>
    <n v="59682"/>
    <s v="Unidade Vieralves (ANEXO)"/>
    <n v="7700047275"/>
    <m/>
  </r>
  <r>
    <x v="2"/>
    <x v="58"/>
    <s v="Adriana de Nazare Souto de Azevedo"/>
    <s v="Feminino"/>
    <x v="6"/>
    <x v="17"/>
    <s v="20103484 - Patologia Em Um Membro (R$ 14,16)"/>
    <s v="Fisioterapia"/>
    <n v="172123"/>
    <s v="Finalizado (1/10)"/>
    <n v="12.460800000000001"/>
    <n v="1.6992"/>
    <n v="14.16"/>
    <s v="Sessão a Faturar"/>
    <s v="54588888007376700028"/>
    <n v="59682"/>
    <s v="Unidade Vieralves (ANEXO)"/>
    <n v="172123"/>
    <m/>
  </r>
  <r>
    <x v="2"/>
    <x v="50"/>
    <s v="Adriana de Nazare Souto de Azevedo"/>
    <s v="Feminino"/>
    <x v="6"/>
    <x v="17"/>
    <s v="31602185 - Estimulação Elétrica Transcutanea (Tens) (R$ 40,00)"/>
    <s v="Fisioterapia"/>
    <n v="172124"/>
    <s v="Finalizado (1/6)"/>
    <n v="35.200000000000003"/>
    <n v="4.8"/>
    <n v="40"/>
    <s v="Sessão a Faturar"/>
    <s v="54588888007376700028"/>
    <n v="59682"/>
    <s v="Unidade Vieralves (ANEXO)"/>
    <n v="172124"/>
    <m/>
  </r>
  <r>
    <x v="2"/>
    <x v="39"/>
    <s v="Marcia dos Santos"/>
    <s v="Feminino"/>
    <x v="6"/>
    <x v="17"/>
    <s v="20103484 - Patologia Em Um Membro (R$ 14,16)"/>
    <s v="Fisioterapia"/>
    <n v="171978"/>
    <s v="Finalizado (2/10)"/>
    <n v="12.460800000000001"/>
    <n v="1.6992"/>
    <n v="14.16"/>
    <s v="Sessão a Faturar"/>
    <s v="55788888490616460011"/>
    <n v="24503"/>
    <s v="Unidade Vieralves (ANEXO)"/>
    <n v="171978"/>
    <m/>
  </r>
  <r>
    <x v="3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5/10)"/>
    <n v="30.8"/>
    <n v="4.2"/>
    <n v="35"/>
    <s v="Sessão Faturada"/>
    <n v="1902013384500000"/>
    <n v="59375"/>
    <s v="Unidade Vieralves (ANEXO)"/>
    <n v="9198142"/>
    <m/>
  </r>
  <r>
    <x v="3"/>
    <x v="89"/>
    <s v="Lucivaldo Junio da Silva Pinto"/>
    <s v="Masculino"/>
    <x v="4"/>
    <x v="17"/>
    <s v="31602185 - Estimulação Elétrica Transcutânea - Removido 13/04/2026 (R$ 40,00)"/>
    <s v="Fisioterapia"/>
    <n v="1711252099"/>
    <s v="Finalizado (3/5)"/>
    <n v="35.200000000000003"/>
    <n v="4.8"/>
    <n v="40"/>
    <s v="Sessão a Faturar"/>
    <n v="770179018740010"/>
    <n v="55925"/>
    <s v="Unidade Vieralves (ANEXO)"/>
    <n v="1711252099"/>
    <m/>
  </r>
  <r>
    <x v="3"/>
    <x v="90"/>
    <s v="Lucivaldo Junio da Silva Pinto"/>
    <s v="Masculino"/>
    <x v="2"/>
    <x v="17"/>
    <s v="20103492 - Fisioterapia - Patologia Em Dois Ou Mais Membros (R$ 14,83)"/>
    <s v="Fisioterapia"/>
    <n v="1710658907"/>
    <s v="Finalizado (4/6)"/>
    <n v="13.0504"/>
    <n v="1.7796000000000001"/>
    <n v="14.83"/>
    <s v="Sessão a Faturar"/>
    <n v="770179018740010"/>
    <n v="55925"/>
    <s v="Unidade Vieralves (ANEXO)"/>
    <n v="1710658907"/>
    <m/>
  </r>
  <r>
    <x v="3"/>
    <x v="44"/>
    <s v="Vanessa Amaral da Rocha"/>
    <s v="Feminino"/>
    <x v="6"/>
    <x v="17"/>
    <s v="20103492 - Patologia Em Dois Ou Mais Membros (R$ 30,26)"/>
    <s v="Fisioterapia"/>
    <n v="171966"/>
    <s v="Finalizado (2/10)"/>
    <n v="26.628799999999998"/>
    <n v="3.6312000000000002"/>
    <n v="30.26"/>
    <s v="Sessão a Faturar"/>
    <s v="55788888491043450029"/>
    <n v="13689"/>
    <s v="Unidade Vieralves (ANEXO)"/>
    <n v="171966"/>
    <m/>
  </r>
  <r>
    <x v="3"/>
    <x v="44"/>
    <s v="Ademir Landim Calegari"/>
    <s v="Masculino"/>
    <x v="7"/>
    <x v="17"/>
    <s v="Vieiralves - 1 - Fisioterapia Ortopedica - Pacote (R$ 40,00)"/>
    <s v="Fisioterapia"/>
    <m/>
    <s v="Finalizado (12/20)"/>
    <n v="31.2"/>
    <n v="8.8000000000000007"/>
    <n v="40"/>
    <s v="Pago"/>
    <n v="0"/>
    <n v="59456"/>
    <s v="Unidade Vieralves (ANEXO)"/>
    <m/>
    <m/>
  </r>
  <r>
    <x v="3"/>
    <x v="44"/>
    <s v="Ivanilsa de Castro Amorim"/>
    <s v="Feminino"/>
    <x v="29"/>
    <x v="17"/>
    <s v="50000160 - Fisioterapia Ortopedica/Neurológica (R$ 33,00)"/>
    <s v="Fisioterapia"/>
    <n v="1132894"/>
    <s v="Finalizado (1/10)"/>
    <n v="29.04"/>
    <n v="3.96"/>
    <n v="33"/>
    <s v="Sessão a Faturar"/>
    <n v="130260024272010"/>
    <n v="52811"/>
    <s v="Unidade Vieralves (ANEXO)"/>
    <n v="1132894"/>
    <m/>
  </r>
  <r>
    <x v="3"/>
    <x v="44"/>
    <s v="Samantha Nathalia da Silva Souza"/>
    <s v="Feminino"/>
    <x v="4"/>
    <x v="17"/>
    <s v="31602185 - Estimulação Elétrica Transcutânea - Removido 13/04/2026 (R$ 40,00)"/>
    <s v="Fisioterapia"/>
    <n v="1713821405"/>
    <s v="Finalizado (2/10)"/>
    <n v="35.200000000000003"/>
    <n v="4.8"/>
    <n v="40"/>
    <s v="Sessão Faturada"/>
    <n v="774104016012010"/>
    <n v="59657"/>
    <s v="Unidade Vieralves (ANEXO)"/>
    <n v="1713821405"/>
    <m/>
  </r>
  <r>
    <x v="3"/>
    <x v="60"/>
    <s v="Vanessa Amaral da Rocha"/>
    <s v="Feminino"/>
    <x v="6"/>
    <x v="17"/>
    <s v="31602185 - Estimulação Elétrica Transcutanea (Tens) (R$ 40,00)"/>
    <s v="Fisioterapia"/>
    <n v="171967"/>
    <s v="Finalizado (2/10)"/>
    <n v="35.200000000000003"/>
    <n v="4.8"/>
    <n v="40"/>
    <s v="Sessão a Faturar"/>
    <s v="55788888491043450029"/>
    <n v="13689"/>
    <s v="Unidade Vieralves (ANEXO)"/>
    <n v="171967"/>
    <m/>
  </r>
  <r>
    <x v="3"/>
    <x v="60"/>
    <s v="Ivanilsa de Castro Amorim"/>
    <s v="Feminino"/>
    <x v="29"/>
    <x v="17"/>
    <s v="31602185 - Estimulação Elétrica Transcutanea (R$ 87,74)"/>
    <s v="Fisioterapia"/>
    <n v="1132899"/>
    <s v="Finalizado (1/10)"/>
    <n v="77.211200000000005"/>
    <n v="10.5288"/>
    <n v="87.74"/>
    <s v="Sessão a Faturar"/>
    <n v="130260024272010"/>
    <n v="52811"/>
    <s v="Unidade Vieralves (ANEXO)"/>
    <n v="1132899"/>
    <m/>
  </r>
  <r>
    <x v="3"/>
    <x v="60"/>
    <s v="Samantha Nathalia da Silva Souza"/>
    <s v="Feminino"/>
    <x v="2"/>
    <x v="17"/>
    <s v="20103492 - Fisioterapia - Patologia Em Dois Ou Mais Membros (R$ 14,83)"/>
    <s v="Fisioterapia"/>
    <n v="1713328752"/>
    <s v="Finalizado (3/10)"/>
    <n v="13.0504"/>
    <n v="1.7796000000000001"/>
    <n v="14.83"/>
    <s v="Sessão Faturada"/>
    <n v="774104016012010"/>
    <n v="59657"/>
    <s v="Unidade Vieralves (ANEXO)"/>
    <n v="1713328752"/>
    <m/>
  </r>
  <r>
    <x v="3"/>
    <x v="41"/>
    <s v="Jacineide Garcia de Carvalho Neves"/>
    <m/>
    <x v="0"/>
    <x v="17"/>
    <s v="50000160 - Fisioterapia Ortopedica (R$ 49,72)"/>
    <s v="Fisioterapia"/>
    <s v="42263120260219312725"/>
    <s v="Finalizado (10/10)"/>
    <n v="43.753599999999999"/>
    <n v="5.9664000000000001"/>
    <n v="49.72"/>
    <s v="Sessão Faturada"/>
    <s v="010650432906"/>
    <n v="59393"/>
    <s v="Unidade Vieralves (ANEXO)"/>
    <s v="42263120260219312725"/>
    <m/>
  </r>
  <r>
    <x v="3"/>
    <x v="41"/>
    <s v="José Antonio Vasconcelos da Costa"/>
    <m/>
    <x v="1"/>
    <x v="17"/>
    <s v="50000160 - Fisioterapia Ortopédica (R$ 20,00), 98980327 - Taxa de Eletroterapia (Tens) (R$ 15,00)"/>
    <s v="Fisioterapia"/>
    <n v="9265592"/>
    <s v="Finalizado (4/6)"/>
    <n v="30.8"/>
    <n v="4.2"/>
    <n v="35"/>
    <s v="Sessão Faturada"/>
    <s v="0901013218350058"/>
    <n v="58463"/>
    <s v="Unidade Vieralves (ANEXO)"/>
    <n v="9265592"/>
    <m/>
  </r>
  <r>
    <x v="3"/>
    <x v="41"/>
    <s v="Fabiana Nunes de Souza"/>
    <s v="Feminino"/>
    <x v="10"/>
    <x v="17"/>
    <s v="50000160 - Fisioterapia Ortopédica (R$ 15,00)"/>
    <s v="Fisioterapia"/>
    <n v="21123174"/>
    <s v="Finalizado (2/10)"/>
    <n v="13.2"/>
    <n v="1.8"/>
    <n v="15"/>
    <s v="Sessão a Faturar"/>
    <s v="00010064268224006"/>
    <n v="50502"/>
    <s v="Unidade Vieralves (ANEXO)"/>
    <n v="21123174"/>
    <m/>
  </r>
  <r>
    <x v="3"/>
    <x v="65"/>
    <s v="Jacineide Garcia de Carvalho Neves"/>
    <m/>
    <x v="0"/>
    <x v="17"/>
    <s v="31602185 - Estimulação Elétrica Transcutânea Fisioterapia (Novo - 01/12) (R$ 54,13)"/>
    <s v="Fisioterapia"/>
    <s v="42263120260219312753"/>
    <s v="Finalizado (10/10)"/>
    <n v="47.634399999999999"/>
    <n v="6.4955999999999996"/>
    <n v="54.13"/>
    <s v="Sessão Faturada"/>
    <s v="010650432906"/>
    <n v="59393"/>
    <s v="Unidade Vieralves (ANEXO)"/>
    <s v="42263120260219312753"/>
    <m/>
  </r>
  <r>
    <x v="3"/>
    <x v="36"/>
    <s v="Elizângela Barbosa Cardoso"/>
    <s v="Feminino"/>
    <x v="1"/>
    <x v="17"/>
    <s v="50000144 - Consulta de Fisioterapia (R$ 16,00)"/>
    <s v="Fisioterapia"/>
    <n v="9429749"/>
    <s v="Finalizado (1/1)"/>
    <n v="14.4"/>
    <n v="1.6"/>
    <n v="16"/>
    <s v="Sessão Faturada"/>
    <s v="0901014051790015"/>
    <n v="59669"/>
    <s v="Unidade Vieralves (ANEXO)"/>
    <n v="9429749"/>
    <m/>
  </r>
  <r>
    <x v="3"/>
    <x v="36"/>
    <s v="Ricardo Andreazze da Silva"/>
    <s v="Masculino"/>
    <x v="9"/>
    <x v="17"/>
    <s v="31602185 - Estimulação Elétrica Transcutânea (Tens) - Removido 13/04/2026 (R$ 40,00)"/>
    <s v="Fisioterapia"/>
    <n v="1710689081"/>
    <s v="Finalizado (4/10)"/>
    <n v="35.200000000000003"/>
    <n v="4.8"/>
    <n v="40"/>
    <s v="Sessão a Faturar"/>
    <n v="954600010545000"/>
    <n v="38890"/>
    <s v="Unidade Vieralves (ANEXO)"/>
    <n v="1710689081"/>
    <m/>
  </r>
  <r>
    <x v="3"/>
    <x v="61"/>
    <s v="Elizângela Barbosa Cardoso"/>
    <s v="Feminino"/>
    <x v="1"/>
    <x v="17"/>
    <s v="50000160 - Fisioterapia Ortopédica (R$ 20,00), 98980327 - Taxa de Eletroterapia (Tens) (R$ 15,00)"/>
    <s v="Fisioterapia"/>
    <n v="9429845"/>
    <s v="Finalizado (1/10)"/>
    <n v="30.8"/>
    <n v="4.2"/>
    <n v="35"/>
    <s v="Sessão Faturada"/>
    <s v="0901014051790015"/>
    <n v="59669"/>
    <s v="Unidade Vieralves (ANEXO)"/>
    <n v="9429845"/>
    <m/>
  </r>
  <r>
    <x v="3"/>
    <x v="61"/>
    <s v="Ricardo Andreazze da Silva"/>
    <s v="Masculino"/>
    <x v="8"/>
    <x v="17"/>
    <s v="20103484 - Patologia Em Um Membro (R$ 12,22)"/>
    <s v="Fisioterapia"/>
    <n v="1709502547"/>
    <s v="Finalizado (5/10)"/>
    <n v="10.7536"/>
    <n v="1.4663999999999999"/>
    <n v="12.22"/>
    <s v="Sessão Faturada"/>
    <n v="954600010545000"/>
    <n v="38890"/>
    <s v="Unidade Vieralves (ANEXO)"/>
    <n v="1709502547"/>
    <m/>
  </r>
  <r>
    <x v="3"/>
    <x v="40"/>
    <s v="Rosene Das Graças Silva de Oliveira"/>
    <m/>
    <x v="15"/>
    <x v="17"/>
    <s v="20103492 - Patologia Em Dois Ou Mais Membros (R$ 49,20)"/>
    <s v="Fisioterapia"/>
    <n v="239161619"/>
    <s v="Finalizado (4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3"/>
    <x v="40"/>
    <s v="Valquíria Paiva Carvalho"/>
    <s v="Feminino"/>
    <x v="2"/>
    <x v="17"/>
    <s v="20103484 - Fisioterapia - Patologia Em Um Membro (R$ 12,22)"/>
    <s v="Fisioterapia"/>
    <n v="1713204081"/>
    <s v="Finalizado (2/6)"/>
    <n v="10.7536"/>
    <n v="1.4663999999999999"/>
    <n v="12.22"/>
    <s v="Sessão a Faturar"/>
    <n v="896982600019020"/>
    <n v="59655"/>
    <s v="Unidade Vieralves (ANEXO)"/>
    <n v="1713204081"/>
    <m/>
  </r>
  <r>
    <x v="3"/>
    <x v="40"/>
    <s v="Francisca Eldi Frazao de Souza"/>
    <m/>
    <x v="1"/>
    <x v="17"/>
    <s v="50000160 - Fisioterapia Ortopédica (R$ 20,00), 98980327 - Taxa de Eletroterapia (Tens) (R$ 15,00)"/>
    <s v="Fisioterapia"/>
    <n v="9412489"/>
    <s v="Finalizado (1/10)"/>
    <n v="30.8"/>
    <n v="4.2"/>
    <n v="35"/>
    <s v="Sessão Faturada"/>
    <n v="1301011611080200"/>
    <n v="59503"/>
    <s v="Unidade Vieralves (ANEXO)"/>
    <n v="9412489"/>
    <m/>
  </r>
  <r>
    <x v="3"/>
    <x v="40"/>
    <s v="Nubya Aires Arruda"/>
    <s v="Feminino"/>
    <x v="6"/>
    <x v="17"/>
    <s v="20103514 - Patologia Em Dois Ou Mais Segmentos da Coluna (R$ 32,82)"/>
    <s v="Fisioterapia"/>
    <n v="172074"/>
    <s v="Finalizado (2/7)"/>
    <n v="28.881599999999999"/>
    <n v="3.9384000000000001"/>
    <n v="32.82"/>
    <s v="Sessão a Faturar"/>
    <s v="54588888021578490119"/>
    <n v="59651"/>
    <s v="Unidade Vieralves (ANEXO)"/>
    <n v="172074"/>
    <m/>
  </r>
  <r>
    <x v="3"/>
    <x v="45"/>
    <s v="Valquíria Paiva Carvalho"/>
    <s v="Feminino"/>
    <x v="4"/>
    <x v="17"/>
    <s v="31602185 - Estimulação Elétrica Transcutânea - Removido 13/04/2026 (R$ 40,00)"/>
    <s v="Fisioterapia"/>
    <n v="1714406476"/>
    <s v="Finalizado (1/5)"/>
    <n v="35.200000000000003"/>
    <n v="4.8"/>
    <n v="40"/>
    <s v="Sessão a Faturar"/>
    <n v="896982600019020"/>
    <n v="59655"/>
    <s v="Unidade Vieralves (ANEXO)"/>
    <n v="1714406476"/>
    <m/>
  </r>
  <r>
    <x v="3"/>
    <x v="45"/>
    <s v="Nubya Aires Arruda"/>
    <s v="Feminino"/>
    <x v="6"/>
    <x v="17"/>
    <s v="31602185 - Estimulação Elétrica Transcutanea (Tens) (R$ 40,00)"/>
    <s v="Fisioterapia"/>
    <n v="172075"/>
    <s v="Finalizado (2/6)"/>
    <n v="35.200000000000003"/>
    <n v="4.8"/>
    <n v="40"/>
    <s v="Sessão a Faturar"/>
    <s v="54588888021578490119"/>
    <n v="59651"/>
    <s v="Unidade Vieralves (ANEXO)"/>
    <n v="172075"/>
    <m/>
  </r>
  <r>
    <x v="3"/>
    <x v="35"/>
    <s v="Rachel Afonso Meira Ferreira"/>
    <s v="Feminino"/>
    <x v="6"/>
    <x v="17"/>
    <s v="20103492 - Patologia Em Dois Ou Mais Membros (R$ 30,26)"/>
    <s v="Fisioterapia"/>
    <n v="172091"/>
    <s v="Finalizado (2/10)"/>
    <n v="26.628799999999998"/>
    <n v="3.6312000000000002"/>
    <n v="30.26"/>
    <s v="Sessão a Faturar"/>
    <s v="54588888477391520023"/>
    <n v="55681"/>
    <s v="Unidade Vieralves (ANEXO)"/>
    <n v="172091"/>
    <m/>
  </r>
  <r>
    <x v="3"/>
    <x v="35"/>
    <s v="Wilma Raposo Camara"/>
    <s v="Feminino"/>
    <x v="1"/>
    <x v="17"/>
    <s v="50000160 - Fisioterapia Ortopédica (R$ 20,00), 98980327 - Taxa de Eletroterapia (Tens) (R$ 15,00)"/>
    <s v="Fisioterapia"/>
    <n v="9639442"/>
    <s v="Finalizado (5/10)"/>
    <n v="30.8"/>
    <n v="4.2"/>
    <n v="35"/>
    <s v="Sessão a Faturar"/>
    <n v="2001013243020000"/>
    <n v="57366"/>
    <s v="Unidade Vieralves (ANEXO)"/>
    <n v="9639442"/>
    <m/>
  </r>
  <r>
    <x v="3"/>
    <x v="35"/>
    <s v="Zilene Alves Lima Soares"/>
    <m/>
    <x v="1"/>
    <x v="17"/>
    <s v="50000160 - Fisioterapia Ortopédica (R$ 20,00), 98980327 - Taxa de Eletroterapia (Tens) (R$ 15,00)"/>
    <s v="Fisioterapia"/>
    <n v="9309497"/>
    <s v="Finalizado (3/5)"/>
    <n v="30.8"/>
    <n v="4.2"/>
    <n v="35"/>
    <s v="Sessão Faturada"/>
    <n v="902001770170010"/>
    <n v="57378"/>
    <s v="Unidade Vieralves (ANEXO)"/>
    <n v="9309497"/>
    <m/>
  </r>
  <r>
    <x v="3"/>
    <x v="35"/>
    <s v="Lúcia Ignéz Abreu de Sá"/>
    <s v="Feminino"/>
    <x v="1"/>
    <x v="17"/>
    <s v="50000160 - Fisioterapia Ortopédica (R$ 20,00), 98980327 - Taxa de Eletroterapia (Tens) (R$ 15,00)"/>
    <s v="Fisioterapia"/>
    <n v="8929197"/>
    <s v="Não compareceu (6/10)"/>
    <n v="35"/>
    <n v="0"/>
    <n v="35"/>
    <s v="Sessão Faturada"/>
    <s v="0701010861030123"/>
    <n v="58903"/>
    <s v="Unidade Vieralves (ANEXO)"/>
    <n v="8929197"/>
    <m/>
  </r>
  <r>
    <x v="3"/>
    <x v="42"/>
    <s v="Rachel Afonso Meira Ferreira"/>
    <s v="Feminino"/>
    <x v="6"/>
    <x v="17"/>
    <s v="31602185 - Estimulação Elétrica Transcutanea (Tens) (R$ 40,00)"/>
    <s v="Fisioterapia"/>
    <n v="172092"/>
    <s v="Finalizado (2/6)"/>
    <n v="35.200000000000003"/>
    <n v="4.8"/>
    <n v="40"/>
    <s v="Sessão a Faturar"/>
    <s v="54588888477391520023"/>
    <n v="55681"/>
    <s v="Unidade Vieralves (ANEXO)"/>
    <n v="172092"/>
    <m/>
  </r>
  <r>
    <x v="3"/>
    <x v="39"/>
    <s v="Magaly Portela Regis"/>
    <s v="Feminino"/>
    <x v="4"/>
    <x v="17"/>
    <s v="31602185 - Estimulação Elétrica Transcutânea - Removido 13/04/2026 (R$ 40,00)"/>
    <s v="Fisioterapia"/>
    <n v="1709612790"/>
    <s v="Finalizado (4/5)"/>
    <n v="35.200000000000003"/>
    <n v="4.8"/>
    <n v="40"/>
    <s v="Sessão Faturada"/>
    <n v="838224200051000"/>
    <n v="16940"/>
    <s v="Unidade Vieralves (ANEXO)"/>
    <n v="1709612790"/>
    <m/>
  </r>
  <r>
    <x v="3"/>
    <x v="64"/>
    <s v="Magaly Portela Regis"/>
    <s v="Feminino"/>
    <x v="2"/>
    <x v="17"/>
    <s v="20103484 - Fisioterapia - Patologia Em Um Membro (R$ 12,22)"/>
    <s v="Fisioterapia"/>
    <n v="1714561743"/>
    <s v="Finalizado (1/5)"/>
    <n v="10.7536"/>
    <n v="1.4663999999999999"/>
    <n v="12.22"/>
    <s v="Sessão Faturada"/>
    <n v="838224200051000"/>
    <n v="16940"/>
    <s v="Unidade Vieralves (ANEXO)"/>
    <n v="1714561743"/>
    <m/>
  </r>
  <r>
    <x v="3"/>
    <x v="64"/>
    <s v="Getulio Henrique Rocha Lima"/>
    <s v="Masculino"/>
    <x v="6"/>
    <x v="17"/>
    <s v="31602185 - Estimulação Elétrica Transcutanea (Tens) (R$ 40,00)"/>
    <s v="Fisioterapia"/>
    <n v="170928"/>
    <s v="Não compareceu (5/5)"/>
    <n v="40"/>
    <n v="0"/>
    <n v="40"/>
    <s v="Sessão a Faturar"/>
    <s v="54588888010667990014"/>
    <n v="59110"/>
    <s v="Unidade Vieralves (ANEXO)"/>
    <n v="170928"/>
    <m/>
  </r>
  <r>
    <x v="4"/>
    <x v="89"/>
    <s v="Rachel Afonso Meira Ferreira"/>
    <s v="Feminino"/>
    <x v="6"/>
    <x v="17"/>
    <s v="20103492 - Patologia Em Dois Ou Mais Membros (R$ 30,26)"/>
    <s v="Fisioterapia"/>
    <n v="172091"/>
    <s v="Finalizado (3/10)"/>
    <n v="26.628799999999998"/>
    <n v="3.6312000000000002"/>
    <n v="30.26"/>
    <s v="Sessão a Faturar"/>
    <s v="54588888477391520023"/>
    <n v="55681"/>
    <s v="Unidade Vieralves (ANEXO)"/>
    <n v="172091"/>
    <m/>
  </r>
  <r>
    <x v="4"/>
    <x v="89"/>
    <s v="Anderson Souza da Costa"/>
    <s v="Masculino"/>
    <x v="6"/>
    <x v="17"/>
    <s v="31602185 - Estimulação Elétrica Transcutanea (Tens) (R$ 40,00)"/>
    <s v="Fisioterapia"/>
    <n v="170245"/>
    <s v="Finalizado (4/5)"/>
    <n v="35.200000000000003"/>
    <n v="4.8"/>
    <n v="40"/>
    <s v="Sessão a Faturar"/>
    <s v="58201065998059740014"/>
    <n v="58756"/>
    <s v="Unidade Vieralves (ANEXO)"/>
    <n v="170245"/>
    <m/>
  </r>
  <r>
    <x v="4"/>
    <x v="90"/>
    <s v="Rachel Afonso Meira Ferreira"/>
    <s v="Feminino"/>
    <x v="6"/>
    <x v="17"/>
    <s v="31602185 - Estimulação Elétrica Transcutanea (Tens) (R$ 40,00)"/>
    <s v="Fisioterapia"/>
    <n v="172092"/>
    <s v="Finalizado (3/6)"/>
    <n v="35.200000000000003"/>
    <n v="4.8"/>
    <n v="40"/>
    <s v="Sessão a Faturar"/>
    <s v="54588888477391520023"/>
    <n v="55681"/>
    <s v="Unidade Vieralves (ANEXO)"/>
    <n v="172092"/>
    <m/>
  </r>
  <r>
    <x v="4"/>
    <x v="44"/>
    <s v="Ademir Landim Calegari"/>
    <s v="Masculino"/>
    <x v="7"/>
    <x v="17"/>
    <s v="Vieiralves - 1 - Fisioterapia Ortopedica - Pacote (R$ 40,00)"/>
    <s v="Fisioterapia"/>
    <m/>
    <s v="Finalizado (13/20)"/>
    <n v="31.2"/>
    <n v="8.8000000000000007"/>
    <n v="40"/>
    <s v="Pago"/>
    <n v="0"/>
    <n v="59456"/>
    <s v="Unidade Vieralves (ANEXO)"/>
    <m/>
    <m/>
  </r>
  <r>
    <x v="4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2/10)"/>
    <n v="30.8"/>
    <n v="4.2"/>
    <n v="35"/>
    <s v="Sessão Faturada"/>
    <n v="1301011611080200"/>
    <n v="59503"/>
    <s v="Unidade Vieralves (ANEXO)"/>
    <n v="9412489"/>
    <m/>
  </r>
  <r>
    <x v="4"/>
    <x v="44"/>
    <s v="Francisca Martins da Silveira"/>
    <s v="Feminino"/>
    <x v="3"/>
    <x v="17"/>
    <s v="0006 - Fisioterapia Ortopédica - Pacote Com 10 Sessões (R$ 40,00)"/>
    <s v="Fisioterapia"/>
    <n v="168131"/>
    <s v="Finalizado (10/10)"/>
    <n v="31.2"/>
    <n v="8.8000000000000007"/>
    <n v="40"/>
    <s v="Sessão a Faturar"/>
    <n v="2687"/>
    <n v="59016"/>
    <s v="Unidade Vieralves (ANEXO)"/>
    <n v="168131"/>
    <m/>
  </r>
  <r>
    <x v="4"/>
    <x v="41"/>
    <s v="Francimary da Costa Duarte Otsuka"/>
    <s v="Feminino"/>
    <x v="1"/>
    <x v="17"/>
    <s v="50000160 - Fisioterapia Ortopédica (R$ 20,00), 98980327 - Taxa de Eletroterapia (Tens) (R$ 15,00)"/>
    <s v="Fisioterapia"/>
    <n v="9328890"/>
    <s v="Finalizado (3/4)"/>
    <n v="30.8"/>
    <n v="4.2"/>
    <n v="35"/>
    <s v="Sessão Faturada"/>
    <n v="2001013467330100"/>
    <n v="42241"/>
    <s v="Unidade Vieralves (ANEXO)"/>
    <n v="9328890"/>
    <m/>
  </r>
  <r>
    <x v="4"/>
    <x v="41"/>
    <s v="José Pedro Silva Oliveira"/>
    <s v="Masculino"/>
    <x v="6"/>
    <x v="17"/>
    <s v="20103484 - Patologia Em Um Membro (R$ 14,16)"/>
    <s v="Fisioterapia"/>
    <n v="171768"/>
    <s v="Finalizado (3/10)"/>
    <n v="12.460800000000001"/>
    <n v="1.6992"/>
    <n v="14.16"/>
    <s v="Sessão a Faturar"/>
    <s v="58200789997018600019"/>
    <n v="59609"/>
    <s v="Unidade Vieralves (ANEXO)"/>
    <n v="171768"/>
    <m/>
  </r>
  <r>
    <x v="4"/>
    <x v="41"/>
    <s v="Fabiana Nunes de Souza"/>
    <s v="Feminino"/>
    <x v="10"/>
    <x v="17"/>
    <s v="50000160 - Fisioterapia Ortopédica (R$ 15,00)"/>
    <s v="Fisioterapia"/>
    <n v="21123174"/>
    <s v="Finalizado (3/10)"/>
    <n v="13.2"/>
    <n v="1.8"/>
    <n v="15"/>
    <s v="Sessão a Faturar"/>
    <s v="00010064268224006"/>
    <n v="50502"/>
    <s v="Unidade Vieralves (ANEXO)"/>
    <n v="21123174"/>
    <m/>
  </r>
  <r>
    <x v="4"/>
    <x v="65"/>
    <s v="José Pedro Silva Oliveira"/>
    <s v="Masculino"/>
    <x v="6"/>
    <x v="17"/>
    <s v="31602185 - Estimulação Elétrica Transcutanea (Tens) (R$ 40,00)"/>
    <s v="Fisioterapia"/>
    <n v="171769"/>
    <s v="Finalizado (3/9)"/>
    <n v="35.200000000000003"/>
    <n v="4.8"/>
    <n v="40"/>
    <s v="Sessão a Faturar"/>
    <s v="58200789997018600019"/>
    <n v="59609"/>
    <s v="Unidade Vieralves (ANEXO)"/>
    <n v="171769"/>
    <m/>
  </r>
  <r>
    <x v="4"/>
    <x v="36"/>
    <s v="Katia Rodrigues Freitas"/>
    <s v="Feminino"/>
    <x v="6"/>
    <x v="17"/>
    <s v="20103492 - Patologia Em Dois Ou Mais Membros (R$ 30,26), 20103506 - Patologia Em Um Segmento da Coluna (R$ 14,16)"/>
    <s v="Fisioterapia"/>
    <n v="170343"/>
    <s v="Finalizado (5/10)"/>
    <n v="39.089599999999997"/>
    <n v="5.3304"/>
    <n v="44.42"/>
    <s v="Sessão a Faturar"/>
    <s v="54588888004873140018"/>
    <n v="58935"/>
    <s v="Unidade Vieralves (ANEXO)"/>
    <n v="170343"/>
    <m/>
  </r>
  <r>
    <x v="4"/>
    <x v="36"/>
    <s v="Edmar Alves Pinto"/>
    <s v="Masculino"/>
    <x v="1"/>
    <x v="17"/>
    <s v="50000160 - Fisioterapia Ortopédica (R$ 20,00), 98980327 - Taxa de Eletroterapia (Tens) (R$ 15,00)"/>
    <s v="Fisioterapia"/>
    <n v="9337130"/>
    <s v="Finalizado (4/10)"/>
    <n v="30.8"/>
    <n v="4.2"/>
    <n v="35"/>
    <s v="Sessão Faturada"/>
    <s v="0901013011720000"/>
    <n v="2469"/>
    <s v="Unidade Vieralves (ANEXO)"/>
    <n v="9337130"/>
    <m/>
  </r>
  <r>
    <x v="4"/>
    <x v="36"/>
    <s v="Irlane da Silva Magno Viana"/>
    <s v="Feminino"/>
    <x v="10"/>
    <x v="17"/>
    <s v="50000160 - Fisioterapia Ortopédica (R$ 15,00)"/>
    <s v="Fisioterapia"/>
    <n v="16128462"/>
    <s v="Finalizado (3/10)"/>
    <n v="13.2"/>
    <n v="1.8"/>
    <n v="15"/>
    <s v="Sessão a Faturar"/>
    <s v="00010064272636003"/>
    <n v="59401"/>
    <s v="Unidade Vieralves (ANEXO)"/>
    <n v="16128462"/>
    <m/>
  </r>
  <r>
    <x v="4"/>
    <x v="61"/>
    <s v="Katia Rodrigues Freitas"/>
    <s v="Feminino"/>
    <x v="6"/>
    <x v="17"/>
    <s v="31602185 - Estimulação Elétrica Transcutanea (Tens) (R$ 40,00)"/>
    <s v="Fisioterapia"/>
    <n v="170819"/>
    <s v="Finalizado (5/10)"/>
    <n v="35.200000000000003"/>
    <n v="4.8"/>
    <n v="40"/>
    <s v="Sessão a Faturar"/>
    <s v="54588888004873140018"/>
    <n v="58935"/>
    <s v="Unidade Vieralves (ANEXO)"/>
    <n v="170819"/>
    <m/>
  </r>
  <r>
    <x v="4"/>
    <x v="40"/>
    <s v="Marianina Cerbina Grisi Pessoa Costa"/>
    <s v="Feminino"/>
    <x v="7"/>
    <x v="17"/>
    <s v="Vieiralves - 33 - Fisioterapia Ortopedica - Sessão Avulsa (R$ 90,00)"/>
    <s v="Fisioterapia"/>
    <m/>
    <s v="Finalizado (1/1)"/>
    <n v="70.2"/>
    <n v="19.8"/>
    <n v="90"/>
    <s v="Pago"/>
    <n v="0"/>
    <n v="59299"/>
    <s v="Unidade Vieralves (ANEXO)"/>
    <m/>
    <m/>
  </r>
  <r>
    <x v="4"/>
    <x v="40"/>
    <s v="Maria Louzeni Oliveira de Almeida"/>
    <s v="Feminino"/>
    <x v="16"/>
    <x v="17"/>
    <s v="50000160 - Fisioterapia Ortopedica (R$ 25,00)"/>
    <s v="Fisioterapia"/>
    <n v="171125"/>
    <s v="Finalizado (7/10)"/>
    <n v="22"/>
    <n v="3"/>
    <n v="25"/>
    <s v="Sessão a Faturar"/>
    <n v="4094"/>
    <n v="56831"/>
    <s v="Unidade Vieralves (ANEXO)"/>
    <n v="171125"/>
    <m/>
  </r>
  <r>
    <x v="4"/>
    <x v="40"/>
    <s v="Luis Sergio da Silva"/>
    <s v="Feminino"/>
    <x v="17"/>
    <x v="17"/>
    <s v="50000160 - Fisioterapia Ortopedica (R$ 45,00)"/>
    <s v="Fisioterapia"/>
    <n v="3988611"/>
    <s v="Finalizado (6/10)"/>
    <n v="39.6"/>
    <n v="5.4"/>
    <n v="45"/>
    <s v="Sessão Faturada"/>
    <s v="000915777694800"/>
    <n v="59395"/>
    <s v="Unidade Vieralves (ANEXO)"/>
    <n v="3988611"/>
    <m/>
  </r>
  <r>
    <x v="4"/>
    <x v="35"/>
    <s v="Adriana de Nazare Souto de Azevedo"/>
    <s v="Feminino"/>
    <x v="6"/>
    <x v="17"/>
    <s v="20103484 - Patologia Em Um Membro (R$ 14,16)"/>
    <s v="Fisioterapia"/>
    <n v="172123"/>
    <s v="Finalizado (2/10)"/>
    <n v="12.460800000000001"/>
    <n v="1.6992"/>
    <n v="14.16"/>
    <s v="Sessão a Faturar"/>
    <s v="54588888007376700028"/>
    <n v="59682"/>
    <s v="Unidade Vieralves (ANEXO)"/>
    <n v="172123"/>
    <m/>
  </r>
  <r>
    <x v="4"/>
    <x v="35"/>
    <s v="Jaime Lopes Pereira"/>
    <s v="Masculino"/>
    <x v="3"/>
    <x v="17"/>
    <s v="0006 - Fisioterapia Ortopédica - Pacote Com 10 Sessões (R$ 40,00)"/>
    <s v="Fisioterapia"/>
    <n v="170054"/>
    <s v="Finalizado (7/10)"/>
    <n v="31.2"/>
    <n v="8.8000000000000007"/>
    <n v="40"/>
    <s v="Sessão a Faturar"/>
    <n v="18481"/>
    <n v="59088"/>
    <s v="Unidade Vieralves (ANEXO)"/>
    <n v="170054"/>
    <m/>
  </r>
  <r>
    <x v="4"/>
    <x v="42"/>
    <s v="Adriana de Nazare Souto de Azevedo"/>
    <s v="Feminino"/>
    <x v="6"/>
    <x v="17"/>
    <s v="31602185 - Estimulação Elétrica Transcutanea (Tens) (R$ 40,00)"/>
    <s v="Fisioterapia"/>
    <n v="172124"/>
    <s v="Finalizado (2/6)"/>
    <n v="35.200000000000003"/>
    <n v="4.8"/>
    <n v="40"/>
    <s v="Sessão a Faturar"/>
    <s v="54588888007376700028"/>
    <n v="59682"/>
    <s v="Unidade Vieralves (ANEXO)"/>
    <n v="172124"/>
    <m/>
  </r>
  <r>
    <x v="4"/>
    <x v="38"/>
    <s v="Lenita de Salvi"/>
    <s v="Feminino"/>
    <x v="12"/>
    <x v="17"/>
    <s v="20103492 - Patol. Em Dois Ou Mais Membros (R$ 14,83)"/>
    <s v="Fisioterapia"/>
    <n v="171816"/>
    <s v="Finalizado (4/10)"/>
    <n v="13.0504"/>
    <n v="1.7796000000000001"/>
    <n v="14.83"/>
    <s v="Sessão a Faturar"/>
    <n v="9.5125288282221005E+17"/>
    <n v="52294"/>
    <s v="Unidade Vieralves (ANEXO)"/>
    <n v="171816"/>
    <m/>
  </r>
  <r>
    <x v="4"/>
    <x v="38"/>
    <s v="Antônio Edivaldo Pereira Nunes"/>
    <s v="Masculino"/>
    <x v="12"/>
    <x v="17"/>
    <s v="31602185 - Estimulação Elétrica Transcutânea (Tens) (R$ 49,00)"/>
    <s v="Fisioterapia"/>
    <n v="10312656"/>
    <s v="Finalizado (4/10)"/>
    <n v="43.12"/>
    <n v="5.88"/>
    <n v="49"/>
    <s v="Sessão a Faturar"/>
    <n v="9.5125782212117005E+17"/>
    <n v="57571"/>
    <s v="Unidade Vieralves (ANEXO)"/>
    <n v="10312656"/>
    <m/>
  </r>
  <r>
    <x v="4"/>
    <x v="62"/>
    <s v="Antônio Edivaldo Pereira Nunes"/>
    <s v="Masculino"/>
    <x v="12"/>
    <x v="17"/>
    <s v="20103506 - Patol. Em Um Segmento Na Coluna (R$ 12,22)"/>
    <s v="Fisioterapia"/>
    <n v="170237"/>
    <s v="Finalizado (7/10)"/>
    <n v="10.7536"/>
    <n v="1.4663999999999999"/>
    <n v="12.22"/>
    <s v="Sessão a Faturar"/>
    <n v="9.5125782212117005E+17"/>
    <n v="57571"/>
    <s v="Unidade Vieralves (ANEXO)"/>
    <n v="170237"/>
    <m/>
  </r>
  <r>
    <x v="4"/>
    <x v="62"/>
    <s v="Lenita de Salvi"/>
    <s v="Feminino"/>
    <x v="12"/>
    <x v="17"/>
    <s v="31602185 - Estimulação Elétrica Transcutânea (Tens) (R$ 49,00)"/>
    <s v="Fisioterapia"/>
    <n v="10337257"/>
    <s v="Finalizado (1/8)"/>
    <n v="43.12"/>
    <n v="5.88"/>
    <n v="49"/>
    <s v="Sessão a Faturar"/>
    <n v="9.5125288282221005E+17"/>
    <n v="52294"/>
    <s v="Unidade Vieralves (ANEXO)"/>
    <n v="10337257"/>
    <m/>
  </r>
  <r>
    <x v="4"/>
    <x v="37"/>
    <s v="Sidnea Batista Vieira"/>
    <s v="Feminino"/>
    <x v="17"/>
    <x v="17"/>
    <s v="50000160 - Fisioterapia Ortopedica (R$ 45,00)"/>
    <s v="Fisioterapia"/>
    <n v="3981027"/>
    <s v="Finalizado (7/10)"/>
    <n v="39.6"/>
    <n v="5.4"/>
    <n v="45"/>
    <s v="Sessão a Faturar"/>
    <s v="000915777624101"/>
    <n v="56158"/>
    <s v="Unidade Vieralves (ANEXO)"/>
    <n v="3981027"/>
    <m/>
  </r>
  <r>
    <x v="4"/>
    <x v="39"/>
    <s v="Marcia dos Santos"/>
    <s v="Feminino"/>
    <x v="6"/>
    <x v="17"/>
    <s v="31602185 - Estimulação Elétrica Transcutanea (Tens) (R$ 40,00)"/>
    <s v="Fisioterapia"/>
    <n v="171979"/>
    <s v="Finalizado (2/7)"/>
    <n v="35.200000000000003"/>
    <n v="4.8"/>
    <n v="40"/>
    <s v="Sessão a Faturar"/>
    <s v="55788888490616460011"/>
    <n v="24503"/>
    <s v="Unidade Vieralves (ANEXO)"/>
    <n v="171979"/>
    <m/>
  </r>
  <r>
    <x v="4"/>
    <x v="39"/>
    <s v="Getulio Henrique Rocha Lima"/>
    <s v="Masculino"/>
    <x v="6"/>
    <x v="17"/>
    <s v="20103484 - Patologia Em Um Membro (R$ 14,16)"/>
    <s v="Fisioterapia"/>
    <n v="171725"/>
    <s v="Finalizado (3/4)"/>
    <n v="12.460800000000001"/>
    <n v="1.6992"/>
    <n v="14.16"/>
    <s v="Sessão a Faturar"/>
    <s v="54588888010667990014"/>
    <n v="59110"/>
    <s v="Unidade Vieralves (ANEXO)"/>
    <n v="171725"/>
    <m/>
  </r>
  <r>
    <x v="4"/>
    <x v="39"/>
    <s v="Marcia dos Santos"/>
    <s v="Feminino"/>
    <x v="6"/>
    <x v="17"/>
    <s v="20103484 - Patologia Em Um Membro (R$ 14,16)"/>
    <s v="Fisioterapia"/>
    <n v="171978"/>
    <s v="Finalizado (3/10)"/>
    <n v="12.460800000000001"/>
    <n v="1.6992"/>
    <n v="14.16"/>
    <s v="Sessão a Faturar"/>
    <s v="55788888490616460011"/>
    <n v="24503"/>
    <s v="Unidade Vieralves (ANEXO)"/>
    <n v="171978"/>
    <m/>
  </r>
  <r>
    <x v="24"/>
    <x v="89"/>
    <s v="Samantha Nathalia da Silva Souza"/>
    <s v="Feminino"/>
    <x v="2"/>
    <x v="17"/>
    <s v="20103492 - Fisioterapia - Patologia Em Dois Ou Mais Membros (R$ 14,83)"/>
    <s v="Fisioterapia"/>
    <n v="1713328752"/>
    <s v="Finalizado (4/10)"/>
    <n v="13.0504"/>
    <n v="1.7796000000000001"/>
    <n v="14.83"/>
    <s v="Sessão Faturada"/>
    <n v="774104016012010"/>
    <n v="59657"/>
    <s v="Unidade Vieralves (ANEXO)"/>
    <n v="1713328752"/>
    <m/>
  </r>
  <r>
    <x v="24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6/10)"/>
    <n v="30.8"/>
    <n v="4.2"/>
    <n v="35"/>
    <s v="Sessão Faturada"/>
    <n v="1902013384500000"/>
    <n v="59375"/>
    <s v="Unidade Vieralves (ANEXO)"/>
    <n v="9198142"/>
    <m/>
  </r>
  <r>
    <x v="24"/>
    <x v="89"/>
    <s v="Samantha Nathalia da Silva Souza"/>
    <s v="Feminino"/>
    <x v="4"/>
    <x v="17"/>
    <s v="31602185 - Estimulação Elétrica Transcutânea - Removido 13/04/2026 (R$ 40,00)"/>
    <s v="Fisioterapia"/>
    <n v="1713821405"/>
    <s v="Finalizado (3/10)"/>
    <n v="35.200000000000003"/>
    <n v="4.8"/>
    <n v="40"/>
    <s v="Sessão Faturada"/>
    <n v="774104016012010"/>
    <n v="59657"/>
    <s v="Unidade Vieralves (ANEXO)"/>
    <n v="1713821405"/>
    <m/>
  </r>
  <r>
    <x v="24"/>
    <x v="44"/>
    <s v="Ademir Landim Calegari"/>
    <s v="Masculino"/>
    <x v="7"/>
    <x v="17"/>
    <s v="Vieiralves - 1 - Fisioterapia Ortopedica - Pacote (R$ 40,00)"/>
    <s v="Fisioterapia"/>
    <m/>
    <s v="Finalizado (14/20)"/>
    <n v="31.2"/>
    <n v="8.8000000000000007"/>
    <n v="40"/>
    <s v="Pago"/>
    <n v="0"/>
    <n v="59456"/>
    <s v="Unidade Vieralves (ANEXO)"/>
    <m/>
    <m/>
  </r>
  <r>
    <x v="24"/>
    <x v="44"/>
    <s v="Maria do Carmo Soares Filgueiras de Menezes"/>
    <s v="Feminino"/>
    <x v="1"/>
    <x v="17"/>
    <s v="50000160 - Fisioterapia Ortopédica (R$ 20,00), 98980327 - Taxa de Eletroterapia (Tens) (R$ 15,00)"/>
    <s v="Fisioterapia"/>
    <n v="9265016"/>
    <s v="Finalizado (3/10)"/>
    <n v="30.8"/>
    <n v="4.2"/>
    <n v="35"/>
    <s v="Sessão a Faturar"/>
    <s v="0201013918220089"/>
    <n v="58907"/>
    <s v="Unidade Vieralves (ANEXO)"/>
    <n v="9265016"/>
    <m/>
  </r>
  <r>
    <x v="24"/>
    <x v="44"/>
    <s v="Carla Rabelo de Oliveira"/>
    <s v="Feminino"/>
    <x v="2"/>
    <x v="17"/>
    <s v="50000144 - Avaliação de Fisioterapia (R$ 51,42)"/>
    <s v="Fisioterapia"/>
    <n v="1715434200"/>
    <s v="Finalizado (1/1)"/>
    <n v="46.277999999999999"/>
    <n v="5.1420000000000003"/>
    <n v="51.42"/>
    <s v="Sessão Faturada"/>
    <n v="772682029653000"/>
    <n v="59566"/>
    <s v="Unidade Vieralves (ANEXO)"/>
    <n v="1715434200"/>
    <m/>
  </r>
  <r>
    <x v="24"/>
    <x v="60"/>
    <s v="Carla Rabelo de Oliveira"/>
    <s v="Feminino"/>
    <x v="2"/>
    <x v="17"/>
    <s v="20103484 - Fisioterapia - Patologia Em Um Membro (R$ 12,22), 20103514 - Fisioterapia - Patologia Em Diferentes Segmentos da Coluna (R$ 14,83)"/>
    <s v="Fisioterapia"/>
    <n v="1715435359"/>
    <s v="Finalizado (1/10)"/>
    <n v="23.803999999999998"/>
    <n v="3.246"/>
    <n v="27.05"/>
    <s v="Sessão a Faturar"/>
    <n v="772682029653000"/>
    <n v="59566"/>
    <s v="Unidade Vieralves (ANEXO)"/>
    <n v="1715435359"/>
    <m/>
  </r>
  <r>
    <x v="24"/>
    <x v="41"/>
    <s v="Valquíria Paiva Carvalho"/>
    <s v="Feminino"/>
    <x v="4"/>
    <x v="17"/>
    <s v="31602185 - Estimulação Elétrica Transcutânea - Removido 13/04/2026 (R$ 40,00)"/>
    <s v="Fisioterapia"/>
    <n v="1714406476"/>
    <s v="Finalizado (2/5)"/>
    <n v="35.200000000000003"/>
    <n v="4.8"/>
    <n v="40"/>
    <s v="Sessão a Faturar"/>
    <n v="896982600019020"/>
    <n v="59655"/>
    <s v="Unidade Vieralves (ANEXO)"/>
    <n v="1714406476"/>
    <m/>
  </r>
  <r>
    <x v="24"/>
    <x v="41"/>
    <s v="Getulio Henrique Rocha Lima"/>
    <s v="Masculino"/>
    <x v="6"/>
    <x v="17"/>
    <s v="20103484 - Patologia Em Um Membro (R$ 14,16)"/>
    <s v="Fisioterapia"/>
    <n v="171725"/>
    <s v="Finalizado (4/4)"/>
    <n v="12.460800000000001"/>
    <n v="1.6992"/>
    <n v="14.16"/>
    <s v="Sessão a Faturar"/>
    <s v="54588888010667990014"/>
    <n v="59110"/>
    <s v="Unidade Vieralves (ANEXO)"/>
    <n v="171725"/>
    <m/>
  </r>
  <r>
    <x v="24"/>
    <x v="41"/>
    <s v="Valquíria Paiva Carvalho"/>
    <s v="Feminino"/>
    <x v="2"/>
    <x v="17"/>
    <s v="20103484 - Fisioterapia - Patologia Em Um Membro (R$ 12,22)"/>
    <s v="Fisioterapia"/>
    <n v="1713204081"/>
    <s v="Finalizado (3/6)"/>
    <n v="10.7536"/>
    <n v="1.4663999999999999"/>
    <n v="12.22"/>
    <s v="Sessão a Faturar"/>
    <n v="896982600019020"/>
    <n v="59655"/>
    <s v="Unidade Vieralves (ANEXO)"/>
    <n v="1713204081"/>
    <m/>
  </r>
  <r>
    <x v="24"/>
    <x v="41"/>
    <s v="James Alcantara de Lima"/>
    <s v="Masculino"/>
    <x v="6"/>
    <x v="17"/>
    <s v="20103514 - Patologia Em Dois Ou Mais Segmentos da Coluna (R$ 32,82)"/>
    <s v="Fisioterapia"/>
    <n v="171167"/>
    <s v="Finalizado (4/10)"/>
    <n v="28.881599999999999"/>
    <n v="3.9384000000000001"/>
    <n v="32.82"/>
    <s v="Sessão a Faturar"/>
    <s v="54588888018315590015"/>
    <n v="59229"/>
    <s v="Unidade Vieralves (ANEXO)"/>
    <n v="171167"/>
    <m/>
  </r>
  <r>
    <x v="24"/>
    <x v="65"/>
    <s v="James Alcantara de Lima"/>
    <s v="Masculino"/>
    <x v="6"/>
    <x v="17"/>
    <s v="31602185 - Estimulação Elétrica Transcutanea (Tens) (R$ 40,00)"/>
    <s v="Fisioterapia"/>
    <n v="171251"/>
    <s v="Finalizado (4/10)"/>
    <n v="35.200000000000003"/>
    <n v="4.8"/>
    <n v="40"/>
    <s v="Sessão a Faturar"/>
    <s v="54588888018315590015"/>
    <n v="59229"/>
    <s v="Unidade Vieralves (ANEXO)"/>
    <n v="171251"/>
    <m/>
  </r>
  <r>
    <x v="24"/>
    <x v="36"/>
    <s v="Ricardo Andreazze da Silva"/>
    <s v="Masculino"/>
    <x v="9"/>
    <x v="17"/>
    <s v="31602185 - Estimulação Elétrica Transcutânea (Tens) - Removido 13/04/2026 (R$ 40,00)"/>
    <s v="Fisioterapia"/>
    <n v="1710689081"/>
    <s v="Finalizado (5/10)"/>
    <n v="35.200000000000003"/>
    <n v="4.8"/>
    <n v="40"/>
    <s v="Sessão a Faturar"/>
    <n v="954600010545000"/>
    <n v="38890"/>
    <s v="Unidade Vieralves (ANEXO)"/>
    <n v="1710689081"/>
    <m/>
  </r>
  <r>
    <x v="24"/>
    <x v="36"/>
    <s v="Cizia Freitas de Silva Costa"/>
    <s v="Feminino"/>
    <x v="2"/>
    <x v="17"/>
    <s v="20103492 - Fisioterapia - Patologia Em Dois Ou Mais Membros (R$ 14,83)"/>
    <s v="Fisioterapia"/>
    <n v="1709241178"/>
    <s v="Finalizado (4/6)"/>
    <n v="13.0504"/>
    <n v="1.7796000000000001"/>
    <n v="14.83"/>
    <s v="Sessão a Faturar"/>
    <n v="960016147089050"/>
    <n v="46973"/>
    <s v="Unidade Vieralves (ANEXO)"/>
    <n v="1709241178"/>
    <m/>
  </r>
  <r>
    <x v="24"/>
    <x v="36"/>
    <s v="Areta Pinto Figueiredo"/>
    <s v="Feminino"/>
    <x v="1"/>
    <x v="17"/>
    <s v="50000160 - Fisioterapia Ortopédica (R$ 20,00), 98980327 - Taxa de Eletroterapia (Tens) (R$ 15,00)"/>
    <s v="Fisioterapia"/>
    <n v="9263292"/>
    <s v="Finalizado (10/10)"/>
    <n v="30.8"/>
    <n v="4.2"/>
    <n v="35"/>
    <s v="Sessão Faturada"/>
    <n v="1301013001650100"/>
    <n v="20611"/>
    <s v="Unidade Vieralves (ANEXO)"/>
    <n v="9263292"/>
    <s v="Guia assinada! 21.02"/>
  </r>
  <r>
    <x v="24"/>
    <x v="36"/>
    <s v="Elizângela Barbosa Cardoso"/>
    <s v="Feminino"/>
    <x v="1"/>
    <x v="17"/>
    <s v="50000160 - Fisioterapia Ortopédica (R$ 20,00), 98980327 - Taxa de Eletroterapia (Tens) (R$ 15,00)"/>
    <s v="Fisioterapia"/>
    <n v="9429845"/>
    <s v="Finalizado (2/10)"/>
    <n v="30.8"/>
    <n v="4.2"/>
    <n v="35"/>
    <s v="Sessão Faturada"/>
    <s v="0901014051790015"/>
    <n v="59669"/>
    <s v="Unidade Vieralves (ANEXO)"/>
    <n v="9429845"/>
    <m/>
  </r>
  <r>
    <x v="24"/>
    <x v="61"/>
    <s v="Ricardo Andreazze da Silva"/>
    <s v="Masculino"/>
    <x v="8"/>
    <x v="17"/>
    <s v="20103484 - Patologia Em Um Membro (R$ 12,22)"/>
    <s v="Fisioterapia"/>
    <n v="1709502547"/>
    <s v="Finalizado (6/10)"/>
    <n v="10.7536"/>
    <n v="1.4663999999999999"/>
    <n v="12.22"/>
    <s v="Sessão Faturada"/>
    <n v="954600010545000"/>
    <n v="38890"/>
    <s v="Unidade Vieralves (ANEXO)"/>
    <n v="1709502547"/>
    <m/>
  </r>
  <r>
    <x v="24"/>
    <x v="40"/>
    <s v="José Antonio Vasconcelos da Costa"/>
    <m/>
    <x v="1"/>
    <x v="17"/>
    <s v="50000160 - Fisioterapia Ortopédica (R$ 20,00), 98980327 - Taxa de Eletroterapia (Tens) (R$ 15,00)"/>
    <s v="Fisioterapia"/>
    <n v="9265592"/>
    <s v="Finalizado (5/6)"/>
    <n v="30.8"/>
    <n v="4.2"/>
    <n v="35"/>
    <s v="Sessão Faturada"/>
    <s v="0901013218350058"/>
    <n v="58463"/>
    <s v="Unidade Vieralves (ANEXO)"/>
    <n v="9265592"/>
    <m/>
  </r>
  <r>
    <x v="24"/>
    <x v="40"/>
    <s v="Marcelo Batista Moreira"/>
    <s v="Masculino"/>
    <x v="7"/>
    <x v="17"/>
    <s v="Vieiralves - 1 - Fisioterapia Ortopedica - Pacote (R$ 80,00)"/>
    <s v="Fisioterapia"/>
    <m/>
    <s v="Finalizado (5/10)"/>
    <n v="62.4"/>
    <n v="17.600000000000001"/>
    <n v="80"/>
    <s v="No Prazo"/>
    <n v="0"/>
    <n v="59656"/>
    <s v="Unidade Vieralves (ANEXO)"/>
    <m/>
    <m/>
  </r>
  <r>
    <x v="24"/>
    <x v="40"/>
    <s v="Frank Silva Carrilho"/>
    <s v="Masculino"/>
    <x v="26"/>
    <x v="17"/>
    <s v="20103484 - Fisioterapia - Patologia Em Um Membro (R$ 11,16)"/>
    <s v="Fisioterapia"/>
    <n v="270065354"/>
    <s v="Finalizado (8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x v="24"/>
    <x v="35"/>
    <s v="Heloísa Ribeiro Alves"/>
    <s v="Feminino"/>
    <x v="8"/>
    <x v="17"/>
    <s v="20103492 - Patologia Em Dois Ou Mais Membros (R$ 14,83)"/>
    <s v="Fisioterapia"/>
    <n v="1709544860"/>
    <s v="Finalizado (5/10)"/>
    <n v="13.0504"/>
    <n v="1.7796000000000001"/>
    <n v="14.83"/>
    <s v="Sessão Faturada"/>
    <n v="954600017590000"/>
    <n v="59570"/>
    <s v="Unidade Vieralves (ANEXO)"/>
    <n v="1709544860"/>
    <m/>
  </r>
  <r>
    <x v="24"/>
    <x v="35"/>
    <s v="Celia Regina Simonetti Barbalho"/>
    <s v="Feminino"/>
    <x v="1"/>
    <x v="17"/>
    <s v="50000160 - Fisioterapia Ortopédica (R$ 20,00), 98980327 - Taxa de Eletroterapia (Tens) (R$ 15,00)"/>
    <s v="Fisioterapia"/>
    <n v="9311765"/>
    <s v="Finalizado (4/7)"/>
    <n v="30.8"/>
    <n v="4.2"/>
    <n v="35"/>
    <s v="Sessão Faturada"/>
    <s v="0901012965130039"/>
    <n v="36041"/>
    <s v="Unidade Vieralves (ANEXO)"/>
    <n v="9311765"/>
    <m/>
  </r>
  <r>
    <x v="24"/>
    <x v="42"/>
    <s v="Heloísa Ribeiro Alves"/>
    <s v="Feminino"/>
    <x v="9"/>
    <x v="17"/>
    <s v="31602185 - Estimulação Elétrica Transcutânea (Tens) - Removido 13/04/2026 (R$ 40,00)"/>
    <s v="Fisioterapia"/>
    <n v="1710807896"/>
    <s v="Finalizado (4/9)"/>
    <n v="35.200000000000003"/>
    <n v="4.8"/>
    <n v="40"/>
    <s v="Sessão a Faturar"/>
    <n v="954600017590000"/>
    <n v="59570"/>
    <s v="Unidade Vieralves (ANEXO)"/>
    <n v="1710807896"/>
    <m/>
  </r>
  <r>
    <x v="24"/>
    <x v="38"/>
    <s v="Magaly Portela Regis"/>
    <s v="Feminino"/>
    <x v="2"/>
    <x v="17"/>
    <s v="20103484 - Fisioterapia - Patologia Em Um Membro (R$ 12,22)"/>
    <s v="Fisioterapia"/>
    <n v="1714561743"/>
    <s v="Finalizado (2/5)"/>
    <n v="10.7536"/>
    <n v="1.4663999999999999"/>
    <n v="12.22"/>
    <s v="Sessão Faturada"/>
    <n v="838224200051000"/>
    <n v="16940"/>
    <s v="Unidade Vieralves (ANEXO)"/>
    <n v="1714561743"/>
    <m/>
  </r>
  <r>
    <x v="24"/>
    <x v="38"/>
    <s v="Márcia Maria Labanca de Figueiredo"/>
    <s v="Feminino"/>
    <x v="20"/>
    <x v="17"/>
    <s v="20103484 - Patologia Em Um Membro (R$ 29,04)"/>
    <s v="Fisioterapia"/>
    <n v="55676220"/>
    <s v="Finalizado (4/10)"/>
    <n v="25.555199999999999"/>
    <n v="3.4847999999999999"/>
    <n v="29.04"/>
    <s v="Sessão Faturada"/>
    <n v="1051460014840200"/>
    <n v="59451"/>
    <s v="Unidade Vieralves (ANEXO)"/>
    <n v="55676220"/>
    <s v="GUIA ASSINADA"/>
  </r>
  <r>
    <x v="24"/>
    <x v="38"/>
    <s v="Isadora Vitorino Grana"/>
    <s v="Feminino"/>
    <x v="13"/>
    <x v="17"/>
    <s v="20103514 - Patologia Em Diferentes Segmentos da Coluna (R$ 41,45)"/>
    <s v="Fisioterapia"/>
    <n v="13593606"/>
    <s v="Finalizado (9/10)"/>
    <n v="36.475999999999999"/>
    <n v="4.9740000000000002"/>
    <n v="41.45"/>
    <s v="Sessão Faturada"/>
    <s v="00010300035963020"/>
    <n v="56556"/>
    <s v="Unidade Vieralves (ANEXO)"/>
    <n v="13593606"/>
    <m/>
  </r>
  <r>
    <x v="24"/>
    <x v="62"/>
    <s v="Magaly Portela Regis"/>
    <s v="Feminino"/>
    <x v="4"/>
    <x v="17"/>
    <s v="31602185 - Estimulação Elétrica Transcutânea - Removido 13/04/2026 (R$ 40,00)"/>
    <s v="Fisioterapia"/>
    <n v="1709612790"/>
    <s v="Finalizado (5/5)"/>
    <n v="35.200000000000003"/>
    <n v="4.8"/>
    <n v="40"/>
    <s v="Sessão Faturada"/>
    <n v="838224200051000"/>
    <n v="16940"/>
    <s v="Unidade Vieralves (ANEXO)"/>
    <n v="1709612790"/>
    <m/>
  </r>
  <r>
    <x v="24"/>
    <x v="37"/>
    <s v="Isabelle Aucar Gioia"/>
    <s v="Feminino"/>
    <x v="6"/>
    <x v="17"/>
    <s v="20103484 - Patologia Em Um Membro (R$ 14,16)"/>
    <s v="Fisioterapia"/>
    <n v="170013"/>
    <s v="Finalizado (4/10)"/>
    <n v="12.460800000000001"/>
    <n v="1.6992"/>
    <n v="14.16"/>
    <s v="Sessão a Faturar"/>
    <s v="58200789998000620016"/>
    <n v="53296"/>
    <s v="Unidade Vieralves (ANEXO)"/>
    <n v="170013"/>
    <s v="guia assinada. 14/03"/>
  </r>
  <r>
    <x v="24"/>
    <x v="37"/>
    <s v="Maria Salete Braga da Costa Amoedo"/>
    <s v="Feminino"/>
    <x v="2"/>
    <x v="17"/>
    <s v="20103484 - Fisioterapia - Patologia Em Um Membro (R$ 12,22)"/>
    <s v="Fisioterapia"/>
    <n v="1715481559"/>
    <s v="Finalizado (1/2)"/>
    <n v="10.7536"/>
    <n v="1.4663999999999999"/>
    <n v="12.22"/>
    <s v="Sessão a Faturar"/>
    <n v="952480018525020"/>
    <n v="44062"/>
    <s v="Unidade Vieralves (ANEXO)"/>
    <n v="1715481559"/>
    <m/>
  </r>
  <r>
    <x v="24"/>
    <x v="37"/>
    <s v="Jamilson Oliveira dos Santos"/>
    <s v="Masculino"/>
    <x v="6"/>
    <x v="17"/>
    <s v="20103484 - Patologia Em Um Membro (R$ 14,16)"/>
    <s v="Fisioterapia"/>
    <n v="169825"/>
    <s v="Finalizado (7/10)"/>
    <n v="12.460800000000001"/>
    <n v="1.6992"/>
    <n v="14.16"/>
    <s v="Sessão a Faturar"/>
    <s v="55788888488869430020"/>
    <n v="48962"/>
    <s v="Unidade Vieralves (ANEXO)"/>
    <n v="169825"/>
    <m/>
  </r>
  <r>
    <x v="24"/>
    <x v="63"/>
    <s v="Jamilson Oliveira dos Santos"/>
    <s v="Masculino"/>
    <x v="6"/>
    <x v="17"/>
    <s v="31602185 - Estimulação Elétrica Transcutanea (Tens) (R$ 40,00)"/>
    <s v="Fisioterapia"/>
    <n v="169827"/>
    <s v="Finalizado (7/10)"/>
    <n v="35.200000000000003"/>
    <n v="4.8"/>
    <n v="40"/>
    <s v="Sessão a Faturar"/>
    <s v="55788888488869430020"/>
    <n v="48962"/>
    <s v="Unidade Vieralves (ANEXO)"/>
    <n v="169827"/>
    <m/>
  </r>
  <r>
    <x v="5"/>
    <x v="89"/>
    <s v="Valquíria Paiva Carvalho"/>
    <s v="Feminino"/>
    <x v="2"/>
    <x v="17"/>
    <s v="20103484 - Fisioterapia - Patologia Em Um Membro (R$ 12,22)"/>
    <s v="Fisioterapia"/>
    <n v="1713204081"/>
    <s v="Finalizado (4/6)"/>
    <n v="10.7536"/>
    <n v="1.4663999999999999"/>
    <n v="12.22"/>
    <s v="Sessão a Faturar"/>
    <n v="896982600019020"/>
    <n v="59655"/>
    <s v="Unidade Vieralves (ANEXO)"/>
    <n v="1713204081"/>
    <m/>
  </r>
  <r>
    <x v="5"/>
    <x v="89"/>
    <s v="David de Souza Brandão"/>
    <s v="Masculino"/>
    <x v="1"/>
    <x v="17"/>
    <s v="50000160 - Fisioterapia Ortopédica (R$ 20,00), 98980327 - Taxa de Eletroterapia (Tens) (R$ 15,00)"/>
    <s v="Fisioterapia"/>
    <n v="9342262"/>
    <s v="Finalizado (4/10)"/>
    <n v="30.8"/>
    <n v="4.2"/>
    <n v="35"/>
    <s v="Sessão a Faturar"/>
    <s v="0901013409150193"/>
    <n v="48043"/>
    <s v="Unidade Vieralves (ANEXO)"/>
    <n v="9342262"/>
    <m/>
  </r>
  <r>
    <x v="5"/>
    <x v="89"/>
    <s v="Rachel Afonso Meira Ferreira"/>
    <s v="Feminino"/>
    <x v="6"/>
    <x v="17"/>
    <s v="20103492 - Patologia Em Dois Ou Mais Membros (R$ 30,26)"/>
    <s v="Fisioterapia"/>
    <n v="172091"/>
    <s v="Finalizado (4/10)"/>
    <n v="26.628799999999998"/>
    <n v="3.6312000000000002"/>
    <n v="30.26"/>
    <s v="Sessão a Faturar"/>
    <s v="54588888477391520023"/>
    <n v="55681"/>
    <s v="Unidade Vieralves (ANEXO)"/>
    <n v="172091"/>
    <m/>
  </r>
  <r>
    <x v="5"/>
    <x v="89"/>
    <s v="Samantha Nathalia da Silva Souza"/>
    <s v="Feminino"/>
    <x v="2"/>
    <x v="17"/>
    <s v="20103492 - Fisioterapia - Patologia Em Dois Ou Mais Membros (R$ 14,83)"/>
    <s v="Fisioterapia"/>
    <n v="1713328752"/>
    <s v="Finalizado (5/10)"/>
    <n v="13.0504"/>
    <n v="1.7796000000000001"/>
    <n v="14.83"/>
    <s v="Sessão Faturada"/>
    <n v="774104016012010"/>
    <n v="59657"/>
    <s v="Unidade Vieralves (ANEXO)"/>
    <n v="1713328752"/>
    <m/>
  </r>
  <r>
    <x v="5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4/10)"/>
    <n v="35.200000000000003"/>
    <n v="4.8"/>
    <n v="40"/>
    <s v="Sessão Faturada"/>
    <n v="774104016012010"/>
    <n v="59657"/>
    <s v="Unidade Vieralves (ANEXO)"/>
    <n v="1713821405"/>
    <m/>
  </r>
  <r>
    <x v="5"/>
    <x v="90"/>
    <s v="Rachel Afonso Meira Ferreira"/>
    <s v="Feminino"/>
    <x v="6"/>
    <x v="17"/>
    <s v="31602185 - Estimulação Elétrica Transcutanea (Tens) (R$ 40,00)"/>
    <s v="Fisioterapia"/>
    <n v="172092"/>
    <s v="Finalizado (4/6)"/>
    <n v="35.200000000000003"/>
    <n v="4.8"/>
    <n v="40"/>
    <s v="Sessão a Faturar"/>
    <s v="54588888477391520023"/>
    <n v="55681"/>
    <s v="Unidade Vieralves (ANEXO)"/>
    <n v="172092"/>
    <m/>
  </r>
  <r>
    <x v="5"/>
    <x v="90"/>
    <s v="Valquíria Paiva Carvalho"/>
    <s v="Feminino"/>
    <x v="4"/>
    <x v="17"/>
    <s v="31602185 - Estimulação Elétrica Transcutânea - Removido 13/04/2026 (R$ 40,00)"/>
    <s v="Fisioterapia"/>
    <n v="1714406476"/>
    <s v="Finalizado (3/5)"/>
    <n v="35.200000000000003"/>
    <n v="4.8"/>
    <n v="40"/>
    <s v="Sessão a Faturar"/>
    <n v="896982600019020"/>
    <n v="59655"/>
    <s v="Unidade Vieralves (ANEXO)"/>
    <n v="1714406476"/>
    <m/>
  </r>
  <r>
    <x v="5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3/10)"/>
    <n v="30.8"/>
    <n v="4.2"/>
    <n v="35"/>
    <s v="Sessão Faturada"/>
    <n v="1301011611080200"/>
    <n v="59503"/>
    <s v="Unidade Vieralves (ANEXO)"/>
    <n v="9412489"/>
    <m/>
  </r>
  <r>
    <x v="5"/>
    <x v="41"/>
    <s v="José Pedro Silva Oliveira"/>
    <s v="Masculino"/>
    <x v="6"/>
    <x v="17"/>
    <s v="20103484 - Patologia Em Um Membro (R$ 14,16)"/>
    <s v="Fisioterapia"/>
    <n v="171768"/>
    <s v="Finalizado (4/10)"/>
    <n v="12.460800000000001"/>
    <n v="1.6992"/>
    <n v="14.16"/>
    <s v="Sessão a Faturar"/>
    <s v="58200789997018600019"/>
    <n v="59609"/>
    <s v="Unidade Vieralves (ANEXO)"/>
    <n v="171768"/>
    <m/>
  </r>
  <r>
    <x v="5"/>
    <x v="41"/>
    <s v="Fabiana Nunes de Souza"/>
    <s v="Feminino"/>
    <x v="10"/>
    <x v="17"/>
    <s v="50000160 - Fisioterapia Ortopédica (R$ 15,00)"/>
    <s v="Fisioterapia"/>
    <n v="21123174"/>
    <s v="Finalizado (4/10)"/>
    <n v="13.2"/>
    <n v="1.8"/>
    <n v="15"/>
    <s v="Sessão a Faturar"/>
    <s v="00010064268224006"/>
    <n v="50502"/>
    <s v="Unidade Vieralves (ANEXO)"/>
    <n v="21123174"/>
    <m/>
  </r>
  <r>
    <x v="5"/>
    <x v="41"/>
    <s v="Elizângela Barbosa Cardoso"/>
    <s v="Feminino"/>
    <x v="1"/>
    <x v="17"/>
    <s v="50000160 - Fisioterapia Ortopédica (R$ 20,00), 98980327 - Taxa de Eletroterapia (Tens) (R$ 15,00)"/>
    <s v="Fisioterapia"/>
    <n v="9429845"/>
    <s v="Finalizado (3/10)"/>
    <n v="30.8"/>
    <n v="4.2"/>
    <n v="35"/>
    <s v="Sessão Faturada"/>
    <s v="0901014051790015"/>
    <n v="59669"/>
    <s v="Unidade Vieralves (ANEXO)"/>
    <n v="9429845"/>
    <m/>
  </r>
  <r>
    <x v="5"/>
    <x v="65"/>
    <s v="José Pedro Silva Oliveira"/>
    <s v="Masculino"/>
    <x v="6"/>
    <x v="17"/>
    <s v="31602185 - Estimulação Elétrica Transcutanea (Tens) (R$ 40,00)"/>
    <s v="Fisioterapia"/>
    <n v="171769"/>
    <s v="Finalizado (4/9)"/>
    <n v="35.200000000000003"/>
    <n v="4.8"/>
    <n v="40"/>
    <s v="Sessão a Faturar"/>
    <s v="58200789997018600019"/>
    <n v="59609"/>
    <s v="Unidade Vieralves (ANEXO)"/>
    <n v="171769"/>
    <m/>
  </r>
  <r>
    <x v="5"/>
    <x v="36"/>
    <s v="Irlane da Silva Magno Viana"/>
    <s v="Feminino"/>
    <x v="10"/>
    <x v="17"/>
    <s v="50000160 - Fisioterapia Ortopédica (R$ 15,00)"/>
    <s v="Fisioterapia"/>
    <n v="16128462"/>
    <s v="Finalizado (4/10)"/>
    <n v="13.2"/>
    <n v="1.8"/>
    <n v="15"/>
    <s v="Sessão a Faturar"/>
    <s v="00010064272636003"/>
    <n v="59401"/>
    <s v="Unidade Vieralves (ANEXO)"/>
    <n v="16128462"/>
    <m/>
  </r>
  <r>
    <x v="5"/>
    <x v="40"/>
    <s v="Maria Louzeni Oliveira de Almeida"/>
    <s v="Feminino"/>
    <x v="16"/>
    <x v="17"/>
    <s v="50000160 - Fisioterapia Ortopedica (R$ 25,00)"/>
    <s v="Fisioterapia"/>
    <n v="171125"/>
    <s v="Finalizado (8/10)"/>
    <n v="22"/>
    <n v="3"/>
    <n v="25"/>
    <s v="Sessão a Faturar"/>
    <n v="4094"/>
    <n v="56831"/>
    <s v="Unidade Vieralves (ANEXO)"/>
    <n v="171125"/>
    <m/>
  </r>
  <r>
    <x v="5"/>
    <x v="40"/>
    <s v="Edmar Alves Pinto"/>
    <s v="Masculino"/>
    <x v="1"/>
    <x v="17"/>
    <s v="50000160 - Fisioterapia Ortopédica (R$ 20,00), 98980327 - Taxa de Eletroterapia (Tens) (R$ 15,00)"/>
    <s v="Fisioterapia"/>
    <n v="9337130"/>
    <s v="Finalizado (5/10)"/>
    <n v="30.8"/>
    <n v="4.2"/>
    <n v="35"/>
    <s v="Sessão Faturada"/>
    <s v="0901013011720000"/>
    <n v="2469"/>
    <s v="Unidade Vieralves (ANEXO)"/>
    <n v="9337130"/>
    <m/>
  </r>
  <r>
    <x v="5"/>
    <x v="40"/>
    <s v="Luis Sergio da Silva"/>
    <s v="Feminino"/>
    <x v="17"/>
    <x v="17"/>
    <s v="50000160 - Fisioterapia Ortopedica (R$ 45,00)"/>
    <s v="Fisioterapia"/>
    <n v="3988611"/>
    <s v="Finalizado (7/10)"/>
    <n v="39.6"/>
    <n v="5.4"/>
    <n v="45"/>
    <s v="Sessão Faturada"/>
    <s v="000915777694800"/>
    <n v="59395"/>
    <s v="Unidade Vieralves (ANEXO)"/>
    <n v="3988611"/>
    <m/>
  </r>
  <r>
    <x v="5"/>
    <x v="35"/>
    <s v="Jaime Lopes Pereira"/>
    <s v="Masculino"/>
    <x v="3"/>
    <x v="17"/>
    <s v="0006 - Fisioterapia Ortopédica - Pacote Com 10 Sessões (R$ 40,00)"/>
    <s v="Fisioterapia"/>
    <n v="170054"/>
    <s v="Finalizado (8/10)"/>
    <n v="31.2"/>
    <n v="8.8000000000000007"/>
    <n v="40"/>
    <s v="Sessão a Faturar"/>
    <n v="18481"/>
    <n v="59088"/>
    <s v="Unidade Vieralves (ANEXO)"/>
    <n v="170054"/>
    <m/>
  </r>
  <r>
    <x v="5"/>
    <x v="38"/>
    <s v="Antônio Edivaldo Pereira Nunes"/>
    <s v="Masculino"/>
    <x v="12"/>
    <x v="17"/>
    <s v="31602185 - Estimulação Elétrica Transcutânea (Tens) (R$ 49,00)"/>
    <s v="Fisioterapia"/>
    <n v="10312656"/>
    <s v="Finalizado (5/10)"/>
    <n v="43.12"/>
    <n v="5.88"/>
    <n v="49"/>
    <s v="Sessão a Faturar"/>
    <n v="9.5125782212117005E+17"/>
    <n v="57571"/>
    <s v="Unidade Vieralves (ANEXO)"/>
    <n v="10312656"/>
    <m/>
  </r>
  <r>
    <x v="5"/>
    <x v="38"/>
    <s v="Lenita de Salvi"/>
    <s v="Feminino"/>
    <x v="12"/>
    <x v="17"/>
    <s v="31602185 - Estimulação Elétrica Transcutânea (Tens) (R$ 49,00)"/>
    <s v="Fisioterapia"/>
    <n v="10337257"/>
    <s v="Finalizado (2/8)"/>
    <n v="43.12"/>
    <n v="5.88"/>
    <n v="49"/>
    <s v="Sessão a Faturar"/>
    <n v="9.5125288282221005E+17"/>
    <n v="52294"/>
    <s v="Unidade Vieralves (ANEXO)"/>
    <n v="10337257"/>
    <m/>
  </r>
  <r>
    <x v="5"/>
    <x v="38"/>
    <s v="Maria Salete Braga da Costa Amoedo"/>
    <s v="Feminino"/>
    <x v="2"/>
    <x v="17"/>
    <s v="20103484 - Fisioterapia - Patologia Em Um Membro (R$ 12,22)"/>
    <s v="Fisioterapia"/>
    <n v="1715481559"/>
    <s v="Finalizado (2/2)"/>
    <n v="10.7536"/>
    <n v="1.4663999999999999"/>
    <n v="12.22"/>
    <s v="Sessão a Faturar"/>
    <n v="952480018525020"/>
    <n v="44062"/>
    <s v="Unidade Vieralves (ANEXO)"/>
    <n v="1715481559"/>
    <m/>
  </r>
  <r>
    <x v="5"/>
    <x v="62"/>
    <s v="Maria Salete Braga da Costa Amoedo"/>
    <s v="Feminino"/>
    <x v="4"/>
    <x v="17"/>
    <s v="31602185 - Estimulação Elétrica Transcutânea - Removido 13/04/2026 (R$ 40,00)"/>
    <s v="Fisioterapia"/>
    <n v="1715993582"/>
    <s v="Finalizado (1/1)"/>
    <n v="35.200000000000003"/>
    <n v="4.8"/>
    <n v="40"/>
    <s v="Sessão a Faturar"/>
    <n v="952480018525020"/>
    <n v="44062"/>
    <s v="Unidade Vieralves (ANEXO)"/>
    <n v="1715993582"/>
    <m/>
  </r>
  <r>
    <x v="5"/>
    <x v="62"/>
    <s v="Lenita de Salvi"/>
    <s v="Feminino"/>
    <x v="12"/>
    <x v="17"/>
    <s v="20103492 - Patol. Em Dois Ou Mais Membros (R$ 14,83)"/>
    <s v="Fisioterapia"/>
    <n v="171816"/>
    <s v="Finalizado (5/10)"/>
    <n v="13.0504"/>
    <n v="1.7796000000000001"/>
    <n v="14.83"/>
    <s v="Sessão a Faturar"/>
    <n v="9.5125288282221005E+17"/>
    <n v="52294"/>
    <s v="Unidade Vieralves (ANEXO)"/>
    <n v="171816"/>
    <m/>
  </r>
  <r>
    <x v="5"/>
    <x v="62"/>
    <s v="Antônio Edivaldo Pereira Nunes"/>
    <s v="Masculino"/>
    <x v="12"/>
    <x v="17"/>
    <s v="20103506 - Patol. Em Um Segmento Na Coluna (R$ 12,22)"/>
    <s v="Fisioterapia"/>
    <n v="170237"/>
    <s v="Finalizado (8/10)"/>
    <n v="10.7536"/>
    <n v="1.4663999999999999"/>
    <n v="12.22"/>
    <s v="Sessão a Faturar"/>
    <n v="9.5125782212117005E+17"/>
    <n v="57571"/>
    <s v="Unidade Vieralves (ANEXO)"/>
    <n v="170237"/>
    <m/>
  </r>
  <r>
    <x v="5"/>
    <x v="39"/>
    <s v="Marcia dos Santos"/>
    <s v="Feminino"/>
    <x v="6"/>
    <x v="17"/>
    <s v="20103484 - Patologia Em Um Membro (R$ 14,16)"/>
    <s v="Fisioterapia"/>
    <n v="171978"/>
    <s v="Finalizado (4/10)"/>
    <n v="12.460800000000001"/>
    <n v="1.6992"/>
    <n v="14.16"/>
    <s v="Sessão a Faturar"/>
    <s v="55788888490616460011"/>
    <n v="24503"/>
    <s v="Unidade Vieralves (ANEXO)"/>
    <n v="171978"/>
    <m/>
  </r>
  <r>
    <x v="5"/>
    <x v="64"/>
    <s v="Marcia dos Santos"/>
    <s v="Feminino"/>
    <x v="6"/>
    <x v="17"/>
    <s v="31602185 - Estimulação Elétrica Transcutanea (Tens) (R$ 40,00)"/>
    <s v="Fisioterapia"/>
    <n v="171979"/>
    <s v="Finalizado (3/7)"/>
    <n v="35.200000000000003"/>
    <n v="4.8"/>
    <n v="40"/>
    <s v="Sessão a Faturar"/>
    <s v="55788888490616460011"/>
    <n v="24503"/>
    <s v="Unidade Vieralves (ANEXO)"/>
    <n v="171979"/>
    <m/>
  </r>
  <r>
    <x v="6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7/10)"/>
    <n v="30.8"/>
    <n v="4.2"/>
    <n v="35"/>
    <s v="Sessão Faturada"/>
    <n v="1902013384500000"/>
    <n v="59375"/>
    <s v="Unidade Vieralves (ANEXO)"/>
    <n v="9198142"/>
    <m/>
  </r>
  <r>
    <x v="6"/>
    <x v="89"/>
    <s v="Francimary da Costa Duarte Otsuka"/>
    <s v="Feminino"/>
    <x v="1"/>
    <x v="17"/>
    <s v="50000160 - Fisioterapia Ortopédica (R$ 20,00), 98980327 - Taxa de Eletroterapia (Tens) (R$ 15,00)"/>
    <s v="Fisioterapia"/>
    <n v="9328890"/>
    <s v="Finalizado (4/4)"/>
    <n v="30.8"/>
    <n v="4.2"/>
    <n v="35"/>
    <s v="Sessão Faturada"/>
    <n v="2001013467330100"/>
    <n v="42241"/>
    <s v="Unidade Vieralves (ANEXO)"/>
    <n v="9328890"/>
    <m/>
  </r>
  <r>
    <x v="6"/>
    <x v="89"/>
    <s v="Rachel Afonso Meira Ferreira"/>
    <s v="Feminino"/>
    <x v="6"/>
    <x v="17"/>
    <s v="20103492 - Patologia Em Dois Ou Mais Membros (R$ 30,26)"/>
    <s v="Fisioterapia"/>
    <n v="172091"/>
    <s v="Finalizado (5/10)"/>
    <n v="26.628799999999998"/>
    <n v="3.6312000000000002"/>
    <n v="30.26"/>
    <s v="Sessão a Faturar"/>
    <s v="54588888477391520023"/>
    <n v="55681"/>
    <s v="Unidade Vieralves (ANEXO)"/>
    <n v="172091"/>
    <m/>
  </r>
  <r>
    <x v="6"/>
    <x v="89"/>
    <s v="Samantha Nathalia da Silva Souza"/>
    <s v="Feminino"/>
    <x v="2"/>
    <x v="17"/>
    <s v="20103492 - Fisioterapia - Patologia Em Dois Ou Mais Membros (R$ 14,83)"/>
    <s v="Fisioterapia"/>
    <n v="1713328752"/>
    <s v="Finalizado (6/10)"/>
    <n v="13.0504"/>
    <n v="1.7796000000000001"/>
    <n v="14.83"/>
    <s v="Sessão Faturada"/>
    <n v="774104016012010"/>
    <n v="59657"/>
    <s v="Unidade Vieralves (ANEXO)"/>
    <n v="1713328752"/>
    <m/>
  </r>
  <r>
    <x v="6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5/10)"/>
    <n v="35.200000000000003"/>
    <n v="4.8"/>
    <n v="40"/>
    <s v="Sessão Faturada"/>
    <n v="774104016012010"/>
    <n v="59657"/>
    <s v="Unidade Vieralves (ANEXO)"/>
    <n v="1713821405"/>
    <m/>
  </r>
  <r>
    <x v="6"/>
    <x v="90"/>
    <s v="Rachel Afonso Meira Ferreira"/>
    <s v="Feminino"/>
    <x v="6"/>
    <x v="17"/>
    <s v="31602185 - Estimulação Elétrica Transcutanea (Tens) (R$ 40,00)"/>
    <s v="Fisioterapia"/>
    <n v="172092"/>
    <s v="Finalizado (5/6)"/>
    <n v="35.200000000000003"/>
    <n v="4.8"/>
    <n v="40"/>
    <s v="Sessão a Faturar"/>
    <s v="54588888477391520023"/>
    <n v="55681"/>
    <s v="Unidade Vieralves (ANEXO)"/>
    <n v="172092"/>
    <m/>
  </r>
  <r>
    <x v="6"/>
    <x v="44"/>
    <s v="Francisca Martins da Silveira"/>
    <s v="Feminino"/>
    <x v="3"/>
    <x v="17"/>
    <s v="0006 - Fisioterapia Ortopédica - Pacote Com 10 Sessões (R$ 40,00)"/>
    <s v="Fisioterapia"/>
    <n v="172346"/>
    <s v="Finalizado (1/10)"/>
    <n v="31.2"/>
    <n v="8.8000000000000007"/>
    <n v="40"/>
    <s v="Sessão a Faturar"/>
    <n v="2687"/>
    <n v="59016"/>
    <s v="Unidade Vieralves (ANEXO)"/>
    <n v="172346"/>
    <m/>
  </r>
  <r>
    <x v="6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4/10)"/>
    <n v="30.8"/>
    <n v="4.2"/>
    <n v="35"/>
    <s v="Sessão Faturada"/>
    <n v="1301011611080200"/>
    <n v="59503"/>
    <s v="Unidade Vieralves (ANEXO)"/>
    <n v="9412489"/>
    <m/>
  </r>
  <r>
    <x v="6"/>
    <x v="36"/>
    <s v="Ricardo Andreazze da Silva"/>
    <s v="Masculino"/>
    <x v="8"/>
    <x v="17"/>
    <s v="20103484 - Patologia Em Um Membro (R$ 12,22)"/>
    <s v="Fisioterapia"/>
    <n v="1709502547"/>
    <s v="Finalizado (7/10)"/>
    <n v="10.7536"/>
    <n v="1.4663999999999999"/>
    <n v="12.22"/>
    <s v="Sessão Faturada"/>
    <n v="954600010545000"/>
    <n v="38890"/>
    <s v="Unidade Vieralves (ANEXO)"/>
    <n v="1709502547"/>
    <m/>
  </r>
  <r>
    <x v="6"/>
    <x v="61"/>
    <s v="Ricardo Andreazze da Silva"/>
    <s v="Masculino"/>
    <x v="9"/>
    <x v="17"/>
    <s v="31602185 - Estimulação Elétrica Transcutânea (Tens) - Removido 13/04/2026 (R$ 40,00)"/>
    <s v="Fisioterapia"/>
    <n v="1710689081"/>
    <s v="Finalizado (6/10)"/>
    <n v="35.200000000000003"/>
    <n v="4.8"/>
    <n v="40"/>
    <s v="Sessão a Faturar"/>
    <n v="954600010545000"/>
    <n v="38890"/>
    <s v="Unidade Vieralves (ANEXO)"/>
    <n v="1710689081"/>
    <m/>
  </r>
  <r>
    <x v="6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6/10)"/>
    <n v="30.8"/>
    <n v="4.2"/>
    <n v="35"/>
    <s v="Sessão a Faturar"/>
    <n v="2001013243020000"/>
    <n v="57366"/>
    <s v="Unidade Vieralves (ANEXO)"/>
    <n v="9639442"/>
    <m/>
  </r>
  <r>
    <x v="6"/>
    <x v="40"/>
    <s v="Rosene Das Graças Silva de Oliveira"/>
    <m/>
    <x v="15"/>
    <x v="17"/>
    <s v="20103492 - Patologia Em Dois Ou Mais Membros (R$ 49,20)"/>
    <s v="Fisioterapia"/>
    <n v="239161619"/>
    <s v="Finalizado (5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6"/>
    <x v="40"/>
    <s v="Maria Louzeni Oliveira de Almeida"/>
    <s v="Feminino"/>
    <x v="16"/>
    <x v="17"/>
    <s v="50000160 - Fisioterapia Ortopedica (R$ 25,00)"/>
    <s v="Fisioterapia"/>
    <n v="171125"/>
    <s v="Finalizado (9/10)"/>
    <n v="22"/>
    <n v="3"/>
    <n v="25"/>
    <s v="Sessão a Faturar"/>
    <n v="4094"/>
    <n v="56831"/>
    <s v="Unidade Vieralves (ANEXO)"/>
    <n v="171125"/>
    <m/>
  </r>
  <r>
    <x v="6"/>
    <x v="38"/>
    <s v="Lenita de Salvi"/>
    <s v="Feminino"/>
    <x v="12"/>
    <x v="17"/>
    <s v="31602185 - Estimulação Elétrica Transcutânea (Tens) (R$ 49,00)"/>
    <s v="Fisioterapia"/>
    <n v="10337257"/>
    <s v="Finalizado (3/8)"/>
    <n v="43.12"/>
    <n v="5.88"/>
    <n v="49"/>
    <s v="Sessão a Faturar"/>
    <n v="9.5125288282221005E+17"/>
    <n v="52294"/>
    <s v="Unidade Vieralves (ANEXO)"/>
    <n v="10337257"/>
    <m/>
  </r>
  <r>
    <x v="6"/>
    <x v="38"/>
    <s v="Nelma Vieira Lopes"/>
    <s v="Feminino"/>
    <x v="2"/>
    <x v="17"/>
    <s v="20103662 - Fisioterapia - Pos Operatorio Em Um Membro (R$ 14,99)"/>
    <s v="Fisioterapia"/>
    <n v="1716562531"/>
    <s v="Finalizado (1/10)"/>
    <n v="13.1912"/>
    <n v="1.7988"/>
    <n v="14.99"/>
    <s v="Sessão a Faturar"/>
    <n v="952480019644000"/>
    <n v="21113"/>
    <s v="Unidade Vieralves (ANEXO)"/>
    <n v="1716562531"/>
    <m/>
  </r>
  <r>
    <x v="6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6/10)"/>
    <n v="30.8"/>
    <n v="4.2"/>
    <n v="35"/>
    <s v="Sessão a Faturar"/>
    <s v="0801012899750000"/>
    <n v="56109"/>
    <s v="Unidade Vieralves (ANEXO)"/>
    <n v="9639936"/>
    <s v="Guia assinada! 24.03"/>
  </r>
  <r>
    <x v="6"/>
    <x v="62"/>
    <s v="Lenita de Salvi"/>
    <s v="Feminino"/>
    <x v="12"/>
    <x v="17"/>
    <s v="20103492 - Patol. Em Dois Ou Mais Membros (R$ 14,83)"/>
    <s v="Fisioterapia"/>
    <n v="171816"/>
    <s v="Finalizado (6/10)"/>
    <n v="13.0504"/>
    <n v="1.7796000000000001"/>
    <n v="14.83"/>
    <s v="Sessão a Faturar"/>
    <n v="9.5125288282221005E+17"/>
    <n v="52294"/>
    <s v="Unidade Vieralves (ANEXO)"/>
    <n v="171816"/>
    <m/>
  </r>
  <r>
    <x v="6"/>
    <x v="62"/>
    <s v="Nelma Vieira Lopes"/>
    <s v="Feminino"/>
    <x v="4"/>
    <x v="17"/>
    <s v="31602185 - Estimulação Elétrica Transcutânea - Removido 13/04/2026 (R$ 40,00)"/>
    <s v="Fisioterapia"/>
    <n v="1716564428"/>
    <s v="Finalizado (1/7)"/>
    <n v="35.200000000000003"/>
    <n v="4.8"/>
    <n v="40"/>
    <s v="Sessão a Faturar"/>
    <n v="952480019644000"/>
    <n v="21113"/>
    <s v="Unidade Vieralves (ANEXO)"/>
    <n v="1716564428"/>
    <m/>
  </r>
  <r>
    <x v="6"/>
    <x v="37"/>
    <s v="Heloísa Ribeiro Alves"/>
    <s v="Feminino"/>
    <x v="9"/>
    <x v="17"/>
    <s v="31602185 - Estimulação Elétrica Transcutânea (Tens) - Removido 13/04/2026 (R$ 40,00)"/>
    <s v="Fisioterapia"/>
    <n v="1710807896"/>
    <s v="Finalizado (5/9)"/>
    <n v="35.200000000000003"/>
    <n v="4.8"/>
    <n v="40"/>
    <s v="Sessão a Faturar"/>
    <n v="954600017590000"/>
    <n v="59570"/>
    <s v="Unidade Vieralves (ANEXO)"/>
    <n v="1710807896"/>
    <m/>
  </r>
  <r>
    <x v="6"/>
    <x v="37"/>
    <s v="Celia Regina Simonetti Barbalho"/>
    <s v="Feminino"/>
    <x v="1"/>
    <x v="17"/>
    <s v="50000160 - Fisioterapia Ortopédica (R$ 20,00), 98980327 - Taxa de Eletroterapia (Tens) (R$ 15,00)"/>
    <s v="Fisioterapia"/>
    <n v="9311765"/>
    <s v="Finalizado (5/7)"/>
    <n v="30.8"/>
    <n v="4.2"/>
    <n v="35"/>
    <s v="Sessão Faturada"/>
    <s v="0901012965130039"/>
    <n v="36041"/>
    <s v="Unidade Vieralves (ANEXO)"/>
    <n v="9311765"/>
    <m/>
  </r>
  <r>
    <x v="6"/>
    <x v="63"/>
    <s v="Heloísa Ribeiro Alves"/>
    <s v="Feminino"/>
    <x v="8"/>
    <x v="17"/>
    <s v="20103492 - Patologia Em Dois Ou Mais Membros (R$ 14,83)"/>
    <s v="Fisioterapia"/>
    <n v="1709544860"/>
    <s v="Finalizado (6/10)"/>
    <n v="13.0504"/>
    <n v="1.7796000000000001"/>
    <n v="14.83"/>
    <s v="Sessão Faturada"/>
    <n v="954600017590000"/>
    <n v="59570"/>
    <s v="Unidade Vieralves (ANEXO)"/>
    <n v="1709544860"/>
    <m/>
  </r>
  <r>
    <x v="6"/>
    <x v="39"/>
    <s v="Magaly Portela Regis"/>
    <s v="Feminino"/>
    <x v="2"/>
    <x v="17"/>
    <s v="20103484 - Fisioterapia - Patologia Em Um Membro (R$ 12,22)"/>
    <s v="Fisioterapia"/>
    <n v="1714561743"/>
    <s v="Finalizado (3/5)"/>
    <n v="10.7536"/>
    <n v="1.4663999999999999"/>
    <n v="12.22"/>
    <s v="Sessão Faturada"/>
    <n v="838224200051000"/>
    <n v="16940"/>
    <s v="Unidade Vieralves (ANEXO)"/>
    <n v="1714561743"/>
    <m/>
  </r>
  <r>
    <x v="7"/>
    <x v="89"/>
    <s v="Samantha Nathalia da Silva Souza"/>
    <s v="Feminino"/>
    <x v="2"/>
    <x v="17"/>
    <s v="20103492 - Fisioterapia - Patologia Em Dois Ou Mais Membros (R$ 14,83)"/>
    <s v="Fisioterapia"/>
    <n v="1713328752"/>
    <s v="Finalizado (7/10)"/>
    <n v="13.0504"/>
    <n v="1.7796000000000001"/>
    <n v="14.83"/>
    <s v="Sessão Faturada"/>
    <n v="774104016012010"/>
    <n v="59657"/>
    <s v="Unidade Vieralves (ANEXO)"/>
    <n v="1713328752"/>
    <m/>
  </r>
  <r>
    <x v="7"/>
    <x v="89"/>
    <s v="David de Souza Brandão"/>
    <s v="Masculino"/>
    <x v="1"/>
    <x v="17"/>
    <s v="50000160 - Fisioterapia Ortopédica (R$ 20,00), 98980327 - Taxa de Eletroterapia (Tens) (R$ 15,00)"/>
    <s v="Fisioterapia"/>
    <n v="9342262"/>
    <s v="Finalizado (5/10)"/>
    <n v="30.8"/>
    <n v="4.2"/>
    <n v="35"/>
    <s v="Sessão a Faturar"/>
    <s v="0901013409150193"/>
    <n v="48043"/>
    <s v="Unidade Vieralves (ANEXO)"/>
    <n v="9342262"/>
    <m/>
  </r>
  <r>
    <x v="7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6/10)"/>
    <n v="35.200000000000003"/>
    <n v="4.8"/>
    <n v="40"/>
    <s v="Sessão Faturada"/>
    <n v="774104016012010"/>
    <n v="59657"/>
    <s v="Unidade Vieralves (ANEXO)"/>
    <n v="1713821405"/>
    <m/>
  </r>
  <r>
    <x v="7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5/10)"/>
    <n v="30.8"/>
    <n v="4.2"/>
    <n v="35"/>
    <s v="Sessão Faturada"/>
    <n v="1301011611080200"/>
    <n v="59503"/>
    <s v="Unidade Vieralves (ANEXO)"/>
    <n v="9412489"/>
    <m/>
  </r>
  <r>
    <x v="7"/>
    <x v="44"/>
    <s v="Ivanilsa de Castro Amorim"/>
    <s v="Feminino"/>
    <x v="29"/>
    <x v="17"/>
    <s v="50000160 - Fisioterapia Ortopedica/Neurológica (R$ 33,00)"/>
    <s v="Fisioterapia"/>
    <n v="1132894"/>
    <s v="Finalizado (2/10)"/>
    <n v="29.04"/>
    <n v="3.96"/>
    <n v="33"/>
    <s v="Sessão a Faturar"/>
    <n v="130260024272010"/>
    <n v="52811"/>
    <s v="Unidade Vieralves (ANEXO)"/>
    <n v="1132894"/>
    <m/>
  </r>
  <r>
    <x v="7"/>
    <x v="44"/>
    <s v="Felipe Lunieri dos Santos"/>
    <s v="Masculino"/>
    <x v="2"/>
    <x v="17"/>
    <s v="20103484 - Fisioterapia - Patologia Em Um Membro (R$ 12,22)"/>
    <s v="Fisioterapia"/>
    <n v="1706986367"/>
    <s v="Finalizado (5/5)"/>
    <n v="10.7536"/>
    <n v="1.4663999999999999"/>
    <n v="12.22"/>
    <s v="Sessão Faturada"/>
    <n v="774642009164010"/>
    <n v="43924"/>
    <s v="Unidade Vieralves (ANEXO)"/>
    <n v="1706986367"/>
    <m/>
  </r>
  <r>
    <x v="7"/>
    <x v="44"/>
    <s v="Valquíria Paiva Carvalho"/>
    <s v="Feminino"/>
    <x v="4"/>
    <x v="17"/>
    <s v="31602185 - Estimulação Elétrica Transcutânea - Removido 13/04/2026 (R$ 40,00)"/>
    <s v="Fisioterapia"/>
    <n v="1714406476"/>
    <s v="Finalizado (4/5)"/>
    <n v="35.200000000000003"/>
    <n v="4.8"/>
    <n v="40"/>
    <s v="Sessão a Faturar"/>
    <n v="896982600019020"/>
    <n v="59655"/>
    <s v="Unidade Vieralves (ANEXO)"/>
    <n v="1714406476"/>
    <m/>
  </r>
  <r>
    <x v="7"/>
    <x v="60"/>
    <s v="Valquíria Paiva Carvalho"/>
    <s v="Feminino"/>
    <x v="2"/>
    <x v="17"/>
    <s v="20103484 - Fisioterapia - Patologia Em Um Membro (R$ 12,22)"/>
    <s v="Fisioterapia"/>
    <n v="1713204081"/>
    <s v="Finalizado (5/6)"/>
    <n v="10.7536"/>
    <n v="1.4663999999999999"/>
    <n v="12.22"/>
    <s v="Sessão a Faturar"/>
    <n v="896982600019020"/>
    <n v="59655"/>
    <s v="Unidade Vieralves (ANEXO)"/>
    <n v="1713204081"/>
    <m/>
  </r>
  <r>
    <x v="7"/>
    <x v="60"/>
    <s v="Ivanilsa de Castro Amorim"/>
    <s v="Feminino"/>
    <x v="29"/>
    <x v="17"/>
    <s v="31602185 - Estimulação Elétrica Transcutanea (R$ 87,74)"/>
    <s v="Fisioterapia"/>
    <n v="1132899"/>
    <s v="Finalizado (2/10)"/>
    <n v="77.211200000000005"/>
    <n v="10.5288"/>
    <n v="87.74"/>
    <s v="Sessão a Faturar"/>
    <n v="130260024272010"/>
    <n v="52811"/>
    <s v="Unidade Vieralves (ANEXO)"/>
    <n v="1132899"/>
    <m/>
  </r>
  <r>
    <x v="7"/>
    <x v="41"/>
    <s v="Fabiana Nunes de Souza"/>
    <s v="Feminino"/>
    <x v="10"/>
    <x v="17"/>
    <s v="50000160 - Fisioterapia Ortopédica (R$ 15,00)"/>
    <s v="Fisioterapia"/>
    <n v="21123174"/>
    <s v="Finalizado (5/10)"/>
    <n v="13.2"/>
    <n v="1.8"/>
    <n v="15"/>
    <s v="Sessão a Faturar"/>
    <s v="00010064268224006"/>
    <n v="50502"/>
    <s v="Unidade Vieralves (ANEXO)"/>
    <n v="21123174"/>
    <m/>
  </r>
  <r>
    <x v="7"/>
    <x v="41"/>
    <s v="Elizângela Barbosa Cardoso"/>
    <s v="Feminino"/>
    <x v="1"/>
    <x v="17"/>
    <s v="50000160 - Fisioterapia Ortopédica (R$ 20,00), 98980327 - Taxa de Eletroterapia (Tens) (R$ 15,00)"/>
    <s v="Fisioterapia"/>
    <n v="9429845"/>
    <s v="Finalizado (4/10)"/>
    <n v="30.8"/>
    <n v="4.2"/>
    <n v="35"/>
    <s v="Sessão Faturada"/>
    <s v="0901014051790015"/>
    <n v="59669"/>
    <s v="Unidade Vieralves (ANEXO)"/>
    <n v="9429845"/>
    <m/>
  </r>
  <r>
    <x v="7"/>
    <x v="41"/>
    <s v="José Pedro Silva Oliveira"/>
    <s v="Masculino"/>
    <x v="6"/>
    <x v="17"/>
    <s v="20103484 - Patologia Em Um Membro (R$ 14,16)"/>
    <s v="Fisioterapia"/>
    <n v="171768"/>
    <s v="Finalizado (5/10)"/>
    <n v="12.460800000000001"/>
    <n v="1.6992"/>
    <n v="14.16"/>
    <s v="Sessão a Faturar"/>
    <s v="58200789997018600019"/>
    <n v="59609"/>
    <s v="Unidade Vieralves (ANEXO)"/>
    <n v="171768"/>
    <m/>
  </r>
  <r>
    <x v="7"/>
    <x v="41"/>
    <s v="Moacir Leal da Silva Neto"/>
    <s v="Masculino"/>
    <x v="2"/>
    <x v="17"/>
    <s v="20103484 - Fisioterapia - Patologia Em Um Membro (R$ 12,22)"/>
    <s v="Fisioterapia"/>
    <n v="1713243091"/>
    <s v="Finalizado (2/5)"/>
    <n v="10.7536"/>
    <n v="1.4663999999999999"/>
    <n v="12.22"/>
    <s v="Sessão a Faturar"/>
    <n v="774642019992000"/>
    <n v="56958"/>
    <s v="Unidade Vieralves (ANEXO)"/>
    <n v="1713243091"/>
    <m/>
  </r>
  <r>
    <x v="7"/>
    <x v="65"/>
    <s v="Moacir Leal da Silva Neto"/>
    <s v="Masculino"/>
    <x v="4"/>
    <x v="17"/>
    <s v="31602185 - Estimulação Elétrica Transcutânea - Removido 13/04/2026 (R$ 40,00)"/>
    <s v="Fisioterapia"/>
    <n v="1716928467"/>
    <s v="Finalizado (1/7)"/>
    <n v="35.200000000000003"/>
    <n v="4.8"/>
    <n v="40"/>
    <s v="Sessão a Faturar"/>
    <n v="774642019992000"/>
    <n v="56958"/>
    <s v="Unidade Vieralves (ANEXO)"/>
    <n v="1716928467"/>
    <m/>
  </r>
  <r>
    <x v="7"/>
    <x v="65"/>
    <s v="José Pedro Silva Oliveira"/>
    <s v="Masculino"/>
    <x v="6"/>
    <x v="17"/>
    <s v="31602185 - Estimulação Elétrica Transcutanea (Tens) (R$ 40,00)"/>
    <s v="Fisioterapia"/>
    <n v="171769"/>
    <s v="Finalizado (5/9)"/>
    <n v="35.200000000000003"/>
    <n v="4.8"/>
    <n v="40"/>
    <s v="Sessão a Faturar"/>
    <s v="58200789997018600019"/>
    <n v="59609"/>
    <s v="Unidade Vieralves (ANEXO)"/>
    <n v="171769"/>
    <m/>
  </r>
  <r>
    <x v="7"/>
    <x v="36"/>
    <s v="Adriana de Nazare Souto de Azevedo"/>
    <s v="Feminino"/>
    <x v="6"/>
    <x v="17"/>
    <s v="20103484 - Patologia Em Um Membro (R$ 14,16)"/>
    <s v="Fisioterapia"/>
    <n v="172123"/>
    <s v="Finalizado (3/10)"/>
    <n v="12.460800000000001"/>
    <n v="1.6992"/>
    <n v="14.16"/>
    <s v="Sessão a Faturar"/>
    <s v="54588888007376700028"/>
    <n v="59682"/>
    <s v="Unidade Vieralves (ANEXO)"/>
    <n v="172123"/>
    <m/>
  </r>
  <r>
    <x v="7"/>
    <x v="36"/>
    <s v="Irlane da Silva Magno Viana"/>
    <s v="Feminino"/>
    <x v="10"/>
    <x v="17"/>
    <s v="50000160 - Fisioterapia Ortopédica (R$ 15,00)"/>
    <s v="Fisioterapia"/>
    <n v="16128462"/>
    <s v="Finalizado (5/10)"/>
    <n v="13.2"/>
    <n v="1.8"/>
    <n v="15"/>
    <s v="Sessão a Faturar"/>
    <s v="00010064272636003"/>
    <n v="59401"/>
    <s v="Unidade Vieralves (ANEXO)"/>
    <n v="16128462"/>
    <m/>
  </r>
  <r>
    <x v="7"/>
    <x v="36"/>
    <s v="Giovanna Pimentel Archanjo de Oliveira"/>
    <s v="Feminino"/>
    <x v="2"/>
    <x v="17"/>
    <s v="20103492 - Fisioterapia - Patologia Em Dois Ou Mais Membros (R$ 14,83)"/>
    <s v="Fisioterapia"/>
    <n v="1716959815"/>
    <s v="Finalizado (1/10)"/>
    <n v="13.0504"/>
    <n v="1.7796000000000001"/>
    <n v="14.83"/>
    <s v="Sessão a Faturar"/>
    <n v="611008290002020"/>
    <n v="56721"/>
    <s v="Unidade Vieralves (ANEXO)"/>
    <n v="1716959815"/>
    <m/>
  </r>
  <r>
    <x v="7"/>
    <x v="61"/>
    <s v="Adriana de Nazare Souto de Azevedo"/>
    <s v="Feminino"/>
    <x v="6"/>
    <x v="17"/>
    <s v="31602185 - Estimulação Elétrica Transcutanea (Tens) (R$ 40,00)"/>
    <s v="Fisioterapia"/>
    <n v="172124"/>
    <s v="Finalizado (3/6)"/>
    <n v="35.200000000000003"/>
    <n v="4.8"/>
    <n v="40"/>
    <s v="Sessão a Faturar"/>
    <s v="54588888007376700028"/>
    <n v="59682"/>
    <s v="Unidade Vieralves (ANEXO)"/>
    <n v="172124"/>
    <m/>
  </r>
  <r>
    <x v="7"/>
    <x v="40"/>
    <s v="Edmar Alves Pinto"/>
    <s v="Masculino"/>
    <x v="1"/>
    <x v="17"/>
    <s v="50000160 - Fisioterapia Ortopédica (R$ 20,00), 98980327 - Taxa de Eletroterapia (Tens) (R$ 15,00)"/>
    <s v="Fisioterapia"/>
    <n v="9337130"/>
    <s v="Finalizado (6/10)"/>
    <n v="30.8"/>
    <n v="4.2"/>
    <n v="35"/>
    <s v="Sessão Faturada"/>
    <s v="0901013011720000"/>
    <n v="2469"/>
    <s v="Unidade Vieralves (ANEXO)"/>
    <n v="9337130"/>
    <m/>
  </r>
  <r>
    <x v="7"/>
    <x v="40"/>
    <s v="Luis Sergio da Silva"/>
    <s v="Feminino"/>
    <x v="17"/>
    <x v="17"/>
    <s v="50000160 - Fisioterapia Ortopedica (R$ 45,00)"/>
    <s v="Fisioterapia"/>
    <n v="3988611"/>
    <s v="Finalizado (8/10)"/>
    <n v="39.6"/>
    <n v="5.4"/>
    <n v="45"/>
    <s v="Sessão Faturada"/>
    <s v="000915777694800"/>
    <n v="59395"/>
    <s v="Unidade Vieralves (ANEXO)"/>
    <n v="3988611"/>
    <m/>
  </r>
  <r>
    <x v="7"/>
    <x v="40"/>
    <s v="Maria Louzeni Oliveira de Almeida"/>
    <s v="Feminino"/>
    <x v="16"/>
    <x v="17"/>
    <s v="50000160 - Fisioterapia Ortopedica (R$ 25,00)"/>
    <s v="Fisioterapia"/>
    <n v="171125"/>
    <s v="Finalizado (10/10)"/>
    <n v="22"/>
    <n v="3"/>
    <n v="25"/>
    <s v="Sessão a Faturar"/>
    <n v="4094"/>
    <n v="56831"/>
    <s v="Unidade Vieralves (ANEXO)"/>
    <n v="171125"/>
    <m/>
  </r>
  <r>
    <x v="7"/>
    <x v="35"/>
    <s v="Leandro Nascimento da Silva Tachy"/>
    <s v="Masculino"/>
    <x v="2"/>
    <x v="17"/>
    <s v="50000144 - Avaliação de Fisioterapia (R$ 51,42)"/>
    <s v="Fisioterapia"/>
    <n v="1717031670"/>
    <s v="Finalizado (1/1)"/>
    <n v="46.277999999999999"/>
    <n v="5.1420000000000003"/>
    <n v="51.42"/>
    <s v="Sessão Faturada"/>
    <n v="774063008605000"/>
    <n v="59722"/>
    <s v="Unidade Vieralves (ANEXO)"/>
    <n v="1717031670"/>
    <m/>
  </r>
  <r>
    <x v="7"/>
    <x v="35"/>
    <s v="Jaime Lopes Pereira"/>
    <s v="Masculino"/>
    <x v="3"/>
    <x v="17"/>
    <s v="0006 - Fisioterapia Ortopédica - Pacote Com 10 Sessões (R$ 40,00)"/>
    <s v="Fisioterapia"/>
    <n v="170054"/>
    <s v="Finalizado (9/10)"/>
    <n v="31.2"/>
    <n v="8.8000000000000007"/>
    <n v="40"/>
    <s v="Sessão a Faturar"/>
    <n v="18481"/>
    <n v="59088"/>
    <s v="Unidade Vieralves (ANEXO)"/>
    <n v="170054"/>
    <m/>
  </r>
  <r>
    <x v="7"/>
    <x v="42"/>
    <s v="Leandro Nascimento da Silva Tachy"/>
    <s v="Masculino"/>
    <x v="2"/>
    <x v="17"/>
    <s v="20103506 - Fisioterapia - Patologia Em Um Segmento da Coluna (R$ 12,22)"/>
    <s v="Fisioterapia"/>
    <n v="1717032997"/>
    <s v="Finalizado (1/10)"/>
    <n v="10.7536"/>
    <n v="1.4663999999999999"/>
    <n v="12.22"/>
    <s v="Sessão a Faturar"/>
    <n v="774063008605000"/>
    <n v="59722"/>
    <s v="Unidade Vieralves (ANEXO)"/>
    <n v="1717032997"/>
    <m/>
  </r>
  <r>
    <x v="7"/>
    <x v="38"/>
    <s v="Antônio Edivaldo Pereira Nunes"/>
    <s v="Masculino"/>
    <x v="12"/>
    <x v="17"/>
    <s v="31602185 - Estimulação Elétrica Transcutânea (Tens) (R$ 49,00)"/>
    <s v="Fisioterapia"/>
    <n v="10312656"/>
    <s v="Finalizado (6/10)"/>
    <n v="43.12"/>
    <n v="5.88"/>
    <n v="49"/>
    <s v="Sessão a Faturar"/>
    <n v="9.5125782212117005E+17"/>
    <n v="57571"/>
    <s v="Unidade Vieralves (ANEXO)"/>
    <n v="10312656"/>
    <m/>
  </r>
  <r>
    <x v="7"/>
    <x v="38"/>
    <s v="Lenita de Salvi"/>
    <s v="Feminino"/>
    <x v="12"/>
    <x v="17"/>
    <s v="31602185 - Estimulação Elétrica Transcutânea (Tens) (R$ 49,00)"/>
    <s v="Fisioterapia"/>
    <n v="10337257"/>
    <s v="Finalizado (4/8)"/>
    <n v="43.12"/>
    <n v="5.88"/>
    <n v="49"/>
    <s v="Sessão a Faturar"/>
    <n v="9.5125288282221005E+17"/>
    <n v="52294"/>
    <s v="Unidade Vieralves (ANEXO)"/>
    <n v="10337257"/>
    <m/>
  </r>
  <r>
    <x v="7"/>
    <x v="62"/>
    <s v="Lenita de Salvi"/>
    <s v="Feminino"/>
    <x v="12"/>
    <x v="17"/>
    <s v="20103492 - Patol. Em Dois Ou Mais Membros (R$ 14,83)"/>
    <s v="Fisioterapia"/>
    <n v="171816"/>
    <s v="Finalizado (7/10)"/>
    <n v="13.0504"/>
    <n v="1.7796000000000001"/>
    <n v="14.83"/>
    <s v="Sessão a Faturar"/>
    <n v="9.5125288282221005E+17"/>
    <n v="52294"/>
    <s v="Unidade Vieralves (ANEXO)"/>
    <n v="171816"/>
    <m/>
  </r>
  <r>
    <x v="7"/>
    <x v="62"/>
    <s v="Antônio Edivaldo Pereira Nunes"/>
    <s v="Masculino"/>
    <x v="12"/>
    <x v="17"/>
    <s v="20103506 - Patol. Em Um Segmento Na Coluna (R$ 12,22)"/>
    <s v="Fisioterapia"/>
    <n v="170237"/>
    <s v="Finalizado (9/10)"/>
    <n v="10.7536"/>
    <n v="1.4663999999999999"/>
    <n v="12.22"/>
    <s v="Sessão a Faturar"/>
    <n v="9.5125782212117005E+17"/>
    <n v="57571"/>
    <s v="Unidade Vieralves (ANEXO)"/>
    <n v="170237"/>
    <m/>
  </r>
  <r>
    <x v="8"/>
    <x v="89"/>
    <s v="Samantha Nathalia da Silva Souza"/>
    <s v="Feminino"/>
    <x v="2"/>
    <x v="17"/>
    <s v="20103492 - Fisioterapia - Patologia Em Dois Ou Mais Membros (R$ 14,83)"/>
    <s v="Fisioterapia"/>
    <n v="1713328752"/>
    <s v="Finalizado (8/10)"/>
    <n v="13.0504"/>
    <n v="1.7796000000000001"/>
    <n v="14.83"/>
    <s v="Sessão Faturada"/>
    <n v="774104016012010"/>
    <n v="59657"/>
    <s v="Unidade Vieralves (ANEXO)"/>
    <n v="1713328752"/>
    <m/>
  </r>
  <r>
    <x v="8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8/10)"/>
    <n v="30.8"/>
    <n v="4.2"/>
    <n v="35"/>
    <s v="Sessão Faturada"/>
    <n v="1902013384500000"/>
    <n v="59375"/>
    <s v="Unidade Vieralves (ANEXO)"/>
    <n v="9198142"/>
    <m/>
  </r>
  <r>
    <x v="8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7/10)"/>
    <n v="35.200000000000003"/>
    <n v="4.8"/>
    <n v="40"/>
    <s v="Sessão Faturada"/>
    <n v="774104016012010"/>
    <n v="59657"/>
    <s v="Unidade Vieralves (ANEXO)"/>
    <n v="1713821405"/>
    <m/>
  </r>
  <r>
    <x v="8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6/10)"/>
    <n v="30.8"/>
    <n v="4.2"/>
    <n v="35"/>
    <s v="Sessão Faturada"/>
    <n v="1301011611080200"/>
    <n v="59503"/>
    <s v="Unidade Vieralves (ANEXO)"/>
    <n v="9412489"/>
    <m/>
  </r>
  <r>
    <x v="8"/>
    <x v="44"/>
    <s v="Adriana de Nazare Souto de Azevedo"/>
    <s v="Feminino"/>
    <x v="6"/>
    <x v="17"/>
    <s v="20103484 - Patologia Em Um Membro (R$ 14,16)"/>
    <s v="Fisioterapia"/>
    <n v="172123"/>
    <s v="Finalizado (4/10)"/>
    <n v="12.460800000000001"/>
    <n v="1.6992"/>
    <n v="14.16"/>
    <s v="Sessão a Faturar"/>
    <s v="54588888007376700028"/>
    <n v="59682"/>
    <s v="Unidade Vieralves (ANEXO)"/>
    <n v="172123"/>
    <m/>
  </r>
  <r>
    <x v="8"/>
    <x v="44"/>
    <s v="Rachel Afonso Meira Ferreira"/>
    <s v="Feminino"/>
    <x v="6"/>
    <x v="17"/>
    <s v="20103492 - Patologia Em Dois Ou Mais Membros (R$ 30,26)"/>
    <s v="Fisioterapia"/>
    <n v="172091"/>
    <s v="Finalizado (6/10)"/>
    <n v="26.628799999999998"/>
    <n v="3.6312000000000002"/>
    <n v="30.26"/>
    <s v="Sessão a Faturar"/>
    <s v="54588888477391520023"/>
    <n v="55681"/>
    <s v="Unidade Vieralves (ANEXO)"/>
    <n v="172091"/>
    <m/>
  </r>
  <r>
    <x v="8"/>
    <x v="44"/>
    <s v="Ivanilsa de Castro Amorim"/>
    <s v="Feminino"/>
    <x v="29"/>
    <x v="17"/>
    <s v="50000160 - Fisioterapia Ortopedica/Neurológica (R$ 33,00)"/>
    <s v="Fisioterapia"/>
    <n v="1132894"/>
    <s v="Finalizado (3/10)"/>
    <n v="29.04"/>
    <n v="3.96"/>
    <n v="33"/>
    <s v="Sessão a Faturar"/>
    <n v="130260024272010"/>
    <n v="52811"/>
    <s v="Unidade Vieralves (ANEXO)"/>
    <n v="1132894"/>
    <m/>
  </r>
  <r>
    <x v="8"/>
    <x v="60"/>
    <s v="Rachel Afonso Meira Ferreira"/>
    <s v="Feminino"/>
    <x v="6"/>
    <x v="17"/>
    <s v="31602185 - Estimulação Elétrica Transcutanea (Tens) (R$ 40,00)"/>
    <s v="Fisioterapia"/>
    <n v="172092"/>
    <s v="Finalizado (6/6)"/>
    <n v="35.200000000000003"/>
    <n v="4.8"/>
    <n v="40"/>
    <s v="Sessão a Faturar"/>
    <s v="54588888477391520023"/>
    <n v="55681"/>
    <s v="Unidade Vieralves (ANEXO)"/>
    <n v="172092"/>
    <m/>
  </r>
  <r>
    <x v="8"/>
    <x v="60"/>
    <s v="Ivanilsa de Castro Amorim"/>
    <s v="Feminino"/>
    <x v="29"/>
    <x v="17"/>
    <s v="31602185 - Estimulação Elétrica Transcutanea (R$ 87,74)"/>
    <s v="Fisioterapia"/>
    <n v="1132899"/>
    <s v="Finalizado (3/10)"/>
    <n v="77.211200000000005"/>
    <n v="10.5288"/>
    <n v="87.74"/>
    <s v="Sessão a Faturar"/>
    <n v="130260024272010"/>
    <n v="52811"/>
    <s v="Unidade Vieralves (ANEXO)"/>
    <n v="1132899"/>
    <m/>
  </r>
  <r>
    <x v="8"/>
    <x v="60"/>
    <s v="Adriana de Nazare Souto de Azevedo"/>
    <s v="Feminino"/>
    <x v="6"/>
    <x v="17"/>
    <s v="31602185 - Estimulação Elétrica Transcutanea (Tens) (R$ 40,00)"/>
    <s v="Fisioterapia"/>
    <n v="172124"/>
    <s v="Finalizado (4/6)"/>
    <n v="35.200000000000003"/>
    <n v="4.8"/>
    <n v="40"/>
    <s v="Sessão a Faturar"/>
    <s v="54588888007376700028"/>
    <n v="59682"/>
    <s v="Unidade Vieralves (ANEXO)"/>
    <n v="172124"/>
    <m/>
  </r>
  <r>
    <x v="8"/>
    <x v="41"/>
    <s v="Fabiana Nunes de Souza"/>
    <s v="Feminino"/>
    <x v="10"/>
    <x v="17"/>
    <s v="50000160 - Fisioterapia Ortopédica (R$ 15,00)"/>
    <s v="Fisioterapia"/>
    <n v="21123174"/>
    <s v="Finalizado (6/10)"/>
    <n v="13.2"/>
    <n v="1.8"/>
    <n v="15"/>
    <s v="Sessão a Faturar"/>
    <s v="00010064268224006"/>
    <n v="50502"/>
    <s v="Unidade Vieralves (ANEXO)"/>
    <n v="21123174"/>
    <m/>
  </r>
  <r>
    <x v="8"/>
    <x v="41"/>
    <s v="José Antonio Vasconcelos da Costa"/>
    <m/>
    <x v="1"/>
    <x v="17"/>
    <s v="50000160 - Fisioterapia Ortopédica (R$ 20,00), 98980327 - Taxa de Eletroterapia (Tens) (R$ 15,00)"/>
    <s v="Fisioterapia"/>
    <n v="9265592"/>
    <s v="Finalizado (6/6)"/>
    <n v="30.8"/>
    <n v="4.2"/>
    <n v="35"/>
    <s v="Sessão Faturada"/>
    <s v="0901013218350058"/>
    <n v="58463"/>
    <s v="Unidade Vieralves (ANEXO)"/>
    <n v="9265592"/>
    <m/>
  </r>
  <r>
    <x v="8"/>
    <x v="41"/>
    <s v="Moacir Leal da Silva Neto"/>
    <s v="Masculino"/>
    <x v="4"/>
    <x v="17"/>
    <s v="31602185 - Estimulação Elétrica Transcutânea - Removido 13/04/2026 (R$ 40,00)"/>
    <s v="Fisioterapia"/>
    <n v="1716928467"/>
    <s v="Finalizado (2/7)"/>
    <n v="35.200000000000003"/>
    <n v="4.8"/>
    <n v="40"/>
    <s v="Sessão a Faturar"/>
    <n v="774642019992000"/>
    <n v="56958"/>
    <s v="Unidade Vieralves (ANEXO)"/>
    <n v="1716928467"/>
    <m/>
  </r>
  <r>
    <x v="8"/>
    <x v="65"/>
    <s v="Moacir Leal da Silva Neto"/>
    <s v="Masculino"/>
    <x v="2"/>
    <x v="17"/>
    <s v="20103484 - Fisioterapia - Patologia Em Um Membro (R$ 12,22)"/>
    <s v="Fisioterapia"/>
    <n v="1713243091"/>
    <s v="Finalizado (3/5)"/>
    <n v="10.7536"/>
    <n v="1.4663999999999999"/>
    <n v="12.22"/>
    <s v="Sessão a Faturar"/>
    <n v="774642019992000"/>
    <n v="56958"/>
    <s v="Unidade Vieralves (ANEXO)"/>
    <n v="1713243091"/>
    <m/>
  </r>
  <r>
    <x v="8"/>
    <x v="36"/>
    <s v="Elzilene da Silva"/>
    <s v="Feminino"/>
    <x v="2"/>
    <x v="17"/>
    <s v="50000144 - Avaliação de Fisioterapia (R$ 51,42)"/>
    <s v="Fisioterapia"/>
    <n v="1717521962"/>
    <s v="Finalizado (1/1)"/>
    <n v="46.277999999999999"/>
    <n v="5.1420000000000003"/>
    <n v="51.42"/>
    <s v="Sessão Faturada"/>
    <n v="831485900019000"/>
    <n v="44191"/>
    <s v="Unidade Vieralves (ANEXO)"/>
    <n v="1717521962"/>
    <m/>
  </r>
  <r>
    <x v="8"/>
    <x v="61"/>
    <s v="Elzilene da Silva"/>
    <s v="Feminino"/>
    <x v="2"/>
    <x v="17"/>
    <s v="20103662 - Fisioterapia - Pos Operatorio Em Um Membro (R$ 14,99)"/>
    <s v="Fisioterapia"/>
    <n v="1717522831"/>
    <s v="Finalizado (1/10)"/>
    <n v="13.1912"/>
    <n v="1.7988"/>
    <n v="14.99"/>
    <s v="Sessão a Faturar"/>
    <n v="831485900019000"/>
    <n v="44191"/>
    <s v="Unidade Vieralves (ANEXO)"/>
    <n v="1717522831"/>
    <m/>
  </r>
  <r>
    <x v="8"/>
    <x v="40"/>
    <s v="Marianina Cerbina Grisi Pessoa Costa"/>
    <s v="Feminino"/>
    <x v="7"/>
    <x v="17"/>
    <s v="Vieiralves - 33 - Fisioterapia Ortopedica - Sessão Avulsa (R$ 90,00)"/>
    <s v="Fisioterapia"/>
    <m/>
    <s v="Finalizado (1/1)"/>
    <n v="70.2"/>
    <n v="19.8"/>
    <n v="90"/>
    <s v="Pago"/>
    <n v="0"/>
    <n v="59299"/>
    <s v="Unidade Vieralves (ANEXO)"/>
    <m/>
    <m/>
  </r>
  <r>
    <x v="8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7/10)"/>
    <n v="30.8"/>
    <n v="4.2"/>
    <n v="35"/>
    <s v="Sessão a Faturar"/>
    <n v="2001013243020000"/>
    <n v="57366"/>
    <s v="Unidade Vieralves (ANEXO)"/>
    <n v="9639442"/>
    <m/>
  </r>
  <r>
    <x v="8"/>
    <x v="35"/>
    <s v="Heloísa Ribeiro Alves"/>
    <s v="Feminino"/>
    <x v="9"/>
    <x v="17"/>
    <s v="31602185 - Estimulação Elétrica Transcutânea (Tens) - Removido 13/04/2026 (R$ 40,00)"/>
    <s v="Fisioterapia"/>
    <n v="1710807896"/>
    <s v="Finalizado (6/9)"/>
    <n v="35.200000000000003"/>
    <n v="4.8"/>
    <n v="40"/>
    <s v="Sessão a Faturar"/>
    <n v="954600017590000"/>
    <n v="59570"/>
    <s v="Unidade Vieralves (ANEXO)"/>
    <n v="1710807896"/>
    <m/>
  </r>
  <r>
    <x v="8"/>
    <x v="42"/>
    <s v="Heloísa Ribeiro Alves"/>
    <s v="Feminino"/>
    <x v="8"/>
    <x v="17"/>
    <s v="20103492 - Patologia Em Dois Ou Mais Membros (R$ 14,83)"/>
    <s v="Fisioterapia"/>
    <n v="1709544860"/>
    <s v="Finalizado (7/10)"/>
    <n v="13.0504"/>
    <n v="1.7796000000000001"/>
    <n v="14.83"/>
    <s v="Sessão Faturada"/>
    <n v="954600017590000"/>
    <n v="59570"/>
    <s v="Unidade Vieralves (ANEXO)"/>
    <n v="1709544860"/>
    <m/>
  </r>
  <r>
    <x v="8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7/10)"/>
    <n v="30.8"/>
    <n v="4.2"/>
    <n v="35"/>
    <s v="Sessão a Faturar"/>
    <s v="0801012899750000"/>
    <n v="56109"/>
    <s v="Unidade Vieralves (ANEXO)"/>
    <n v="9639936"/>
    <s v="Guia assinada! 24.03"/>
  </r>
  <r>
    <x v="8"/>
    <x v="38"/>
    <s v="Lenita de Salvi"/>
    <s v="Feminino"/>
    <x v="12"/>
    <x v="17"/>
    <s v="31602185 - Estimulação Elétrica Transcutânea (Tens) (R$ 49,00)"/>
    <s v="Fisioterapia"/>
    <n v="10337257"/>
    <s v="Finalizado (5/8)"/>
    <n v="43.12"/>
    <n v="5.88"/>
    <n v="49"/>
    <s v="Sessão a Faturar"/>
    <n v="9.5125288282221005E+17"/>
    <n v="52294"/>
    <s v="Unidade Vieralves (ANEXO)"/>
    <n v="10337257"/>
    <m/>
  </r>
  <r>
    <x v="8"/>
    <x v="62"/>
    <s v="Lenita de Salvi"/>
    <s v="Feminino"/>
    <x v="12"/>
    <x v="17"/>
    <s v="20103492 - Patol. Em Dois Ou Mais Membros (R$ 14,83)"/>
    <s v="Fisioterapia"/>
    <n v="171816"/>
    <s v="Finalizado (8/10)"/>
    <n v="13.0504"/>
    <n v="1.7796000000000001"/>
    <n v="14.83"/>
    <s v="Sessão a Faturar"/>
    <n v="9.5125288282221005E+17"/>
    <n v="52294"/>
    <s v="Unidade Vieralves (ANEXO)"/>
    <n v="171816"/>
    <m/>
  </r>
  <r>
    <x v="8"/>
    <x v="39"/>
    <s v="Marcia dos Santos"/>
    <s v="Feminino"/>
    <x v="6"/>
    <x v="17"/>
    <s v="31602185 - Estimulação Elétrica Transcutanea (Tens) (R$ 40,00)"/>
    <s v="Fisioterapia"/>
    <n v="171979"/>
    <s v="Finalizado (4/7)"/>
    <n v="35.200000000000003"/>
    <n v="4.8"/>
    <n v="40"/>
    <s v="Sessão a Faturar"/>
    <s v="55788888490616460011"/>
    <n v="24503"/>
    <s v="Unidade Vieralves (ANEXO)"/>
    <n v="171979"/>
    <m/>
  </r>
  <r>
    <x v="8"/>
    <x v="64"/>
    <s v="Marcia dos Santos"/>
    <s v="Feminino"/>
    <x v="6"/>
    <x v="17"/>
    <s v="20103484 - Patologia Em Um Membro (R$ 14,16)"/>
    <s v="Fisioterapia"/>
    <n v="171978"/>
    <s v="Finalizado (5/10)"/>
    <n v="12.460800000000001"/>
    <n v="1.6992"/>
    <n v="14.16"/>
    <s v="Sessão a Faturar"/>
    <s v="55788888490616460011"/>
    <n v="24503"/>
    <s v="Unidade Vieralves (ANEXO)"/>
    <n v="171978"/>
    <m/>
  </r>
  <r>
    <x v="9"/>
    <x v="89"/>
    <s v="Valquíria Paiva Carvalho"/>
    <s v="Feminino"/>
    <x v="4"/>
    <x v="17"/>
    <s v="31602185 - Estimulação Elétrica Transcutânea - Removido 13/04/2026 (R$ 40,00)"/>
    <s v="Fisioterapia"/>
    <n v="1714406476"/>
    <s v="Finalizado (5/5)"/>
    <n v="35.200000000000003"/>
    <n v="4.8"/>
    <n v="40"/>
    <s v="Sessão a Faturar"/>
    <n v="896982600019020"/>
    <n v="59655"/>
    <s v="Unidade Vieralves (ANEXO)"/>
    <n v="1714406476"/>
    <m/>
  </r>
  <r>
    <x v="9"/>
    <x v="89"/>
    <s v="Carla Rabelo de Oliveira"/>
    <s v="Feminino"/>
    <x v="2"/>
    <x v="17"/>
    <s v="20103484 - Fisioterapia - Patologia Em Um Membro (R$ 12,22), 20103514 - Fisioterapia - Patologia Em Diferentes Segmentos da Coluna (R$ 14,83)"/>
    <s v="Fisioterapia"/>
    <n v="1715435359"/>
    <s v="Finalizado (2/10)"/>
    <n v="23.803999999999998"/>
    <n v="3.246"/>
    <n v="27.05"/>
    <s v="Sessão a Faturar"/>
    <n v="772682029653000"/>
    <n v="59566"/>
    <s v="Unidade Vieralves (ANEXO)"/>
    <n v="1715435359"/>
    <m/>
  </r>
  <r>
    <x v="9"/>
    <x v="89"/>
    <s v="Samantha Nathalia da Silva Souza"/>
    <s v="Feminino"/>
    <x v="2"/>
    <x v="17"/>
    <s v="20103492 - Fisioterapia - Patologia Em Dois Ou Mais Membros (R$ 14,83)"/>
    <s v="Fisioterapia"/>
    <n v="1713328752"/>
    <s v="Finalizado (9/10)"/>
    <n v="13.0504"/>
    <n v="1.7796000000000001"/>
    <n v="14.83"/>
    <s v="Sessão Faturada"/>
    <n v="774104016012010"/>
    <n v="59657"/>
    <s v="Unidade Vieralves (ANEXO)"/>
    <n v="1713328752"/>
    <m/>
  </r>
  <r>
    <x v="9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8/10)"/>
    <n v="35.200000000000003"/>
    <n v="4.8"/>
    <n v="40"/>
    <s v="Sessão Faturada"/>
    <n v="774104016012010"/>
    <n v="59657"/>
    <s v="Unidade Vieralves (ANEXO)"/>
    <n v="1713821405"/>
    <m/>
  </r>
  <r>
    <x v="9"/>
    <x v="90"/>
    <s v="Valquíria Paiva Carvalho"/>
    <s v="Feminino"/>
    <x v="2"/>
    <x v="17"/>
    <s v="20103484 - Fisioterapia - Patologia Em Um Membro (R$ 12,22)"/>
    <s v="Fisioterapia"/>
    <n v="1713204081"/>
    <s v="Finalizado (6/6)"/>
    <n v="10.7536"/>
    <n v="1.4663999999999999"/>
    <n v="12.22"/>
    <s v="Sessão a Faturar"/>
    <n v="896982600019020"/>
    <n v="59655"/>
    <s v="Unidade Vieralves (ANEXO)"/>
    <n v="1713204081"/>
    <m/>
  </r>
  <r>
    <x v="9"/>
    <x v="90"/>
    <s v="Carla Rabelo de Oliveira"/>
    <s v="Feminino"/>
    <x v="4"/>
    <x v="17"/>
    <s v="31602185 - Estimulação Elétrica Transcutânea - Removido 13/04/2026 (R$ 40,00)"/>
    <s v="Fisioterapia"/>
    <n v="1717936322"/>
    <s v="Finalizado (1/10)"/>
    <n v="35.200000000000003"/>
    <n v="4.8"/>
    <n v="40"/>
    <s v="Sessão a Faturar"/>
    <n v="772682029653000"/>
    <n v="59566"/>
    <s v="Unidade Vieralves (ANEXO)"/>
    <n v="1717936322"/>
    <m/>
  </r>
  <r>
    <x v="9"/>
    <x v="44"/>
    <s v="Francisca Martins da Silveira"/>
    <s v="Feminino"/>
    <x v="3"/>
    <x v="17"/>
    <s v="0006 - Fisioterapia Ortopédica - Pacote Com 10 Sessões (R$ 40,00)"/>
    <s v="Fisioterapia"/>
    <n v="172346"/>
    <s v="Finalizado (2/10)"/>
    <n v="31.2"/>
    <n v="8.8000000000000007"/>
    <n v="40"/>
    <s v="Sessão a Faturar"/>
    <n v="2687"/>
    <n v="59016"/>
    <s v="Unidade Vieralves (ANEXO)"/>
    <n v="172346"/>
    <m/>
  </r>
  <r>
    <x v="9"/>
    <x v="44"/>
    <s v="Felipe Lunieri dos Santos"/>
    <s v="Masculino"/>
    <x v="2"/>
    <x v="17"/>
    <s v="20103484 - Fisioterapia - Patologia Em Um Membro (R$ 12,22)"/>
    <s v="Fisioterapia"/>
    <n v="1717958538"/>
    <s v="Finalizado (1/10)"/>
    <n v="10.7536"/>
    <n v="1.4663999999999999"/>
    <n v="12.22"/>
    <s v="Sessão a Faturar"/>
    <n v="774642009164010"/>
    <n v="43924"/>
    <s v="Unidade Vieralves (ANEXO)"/>
    <n v="1717958538"/>
    <m/>
  </r>
  <r>
    <x v="9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7/10)"/>
    <n v="30.8"/>
    <n v="4.2"/>
    <n v="35"/>
    <s v="Sessão Faturada"/>
    <n v="1301011611080200"/>
    <n v="59503"/>
    <s v="Unidade Vieralves (ANEXO)"/>
    <n v="9412489"/>
    <m/>
  </r>
  <r>
    <x v="9"/>
    <x v="44"/>
    <s v="Adriana de Nazare Souto de Azevedo"/>
    <s v="Feminino"/>
    <x v="6"/>
    <x v="17"/>
    <s v="20103484 - Patologia Em Um Membro (R$ 14,16)"/>
    <s v="Fisioterapia"/>
    <n v="172123"/>
    <s v="Finalizado (5/10)"/>
    <n v="12.460800000000001"/>
    <n v="1.6992"/>
    <n v="14.16"/>
    <s v="Sessão a Faturar"/>
    <s v="54588888007376700028"/>
    <n v="59682"/>
    <s v="Unidade Vieralves (ANEXO)"/>
    <n v="172123"/>
    <m/>
  </r>
  <r>
    <x v="9"/>
    <x v="60"/>
    <s v="Adriana de Nazare Souto de Azevedo"/>
    <s v="Feminino"/>
    <x v="6"/>
    <x v="17"/>
    <s v="31602185 - Estimulação Elétrica Transcutanea (Tens) (R$ 40,00)"/>
    <s v="Fisioterapia"/>
    <n v="172124"/>
    <s v="Finalizado (5/6)"/>
    <n v="35.200000000000003"/>
    <n v="4.8"/>
    <n v="40"/>
    <s v="Sessão a Faturar"/>
    <s v="54588888007376700028"/>
    <n v="59682"/>
    <s v="Unidade Vieralves (ANEXO)"/>
    <n v="172124"/>
    <m/>
  </r>
  <r>
    <x v="9"/>
    <x v="41"/>
    <s v="José Pedro Silva Oliveira"/>
    <s v="Masculino"/>
    <x v="6"/>
    <x v="17"/>
    <s v="20103484 - Patologia Em Um Membro (R$ 14,16)"/>
    <s v="Fisioterapia"/>
    <n v="171768"/>
    <s v="Finalizado (6/10)"/>
    <n v="12.460800000000001"/>
    <n v="1.6992"/>
    <n v="14.16"/>
    <s v="Sessão a Faturar"/>
    <s v="58200789997018600019"/>
    <n v="59609"/>
    <s v="Unidade Vieralves (ANEXO)"/>
    <n v="171768"/>
    <m/>
  </r>
  <r>
    <x v="9"/>
    <x v="41"/>
    <s v="Fabiana Nunes de Souza"/>
    <s v="Feminino"/>
    <x v="10"/>
    <x v="17"/>
    <s v="50000160 - Fisioterapia Ortopédica (R$ 15,00)"/>
    <s v="Fisioterapia"/>
    <n v="21123174"/>
    <s v="Finalizado (7/10)"/>
    <n v="13.2"/>
    <n v="1.8"/>
    <n v="15"/>
    <s v="Sessão a Faturar"/>
    <s v="00010064268224006"/>
    <n v="50502"/>
    <s v="Unidade Vieralves (ANEXO)"/>
    <n v="21123174"/>
    <m/>
  </r>
  <r>
    <x v="9"/>
    <x v="41"/>
    <s v="Elizângela Barbosa Cardoso"/>
    <s v="Feminino"/>
    <x v="1"/>
    <x v="17"/>
    <s v="50000160 - Fisioterapia Ortopédica (R$ 20,00), 98980327 - Taxa de Eletroterapia (Tens) (R$ 15,00)"/>
    <s v="Fisioterapia"/>
    <n v="9429845"/>
    <s v="Finalizado (5/10)"/>
    <n v="30.8"/>
    <n v="4.2"/>
    <n v="35"/>
    <s v="Sessão Faturada"/>
    <s v="0901014051790015"/>
    <n v="59669"/>
    <s v="Unidade Vieralves (ANEXO)"/>
    <n v="9429845"/>
    <m/>
  </r>
  <r>
    <x v="9"/>
    <x v="41"/>
    <s v="Zilene Alves Lima Soares"/>
    <m/>
    <x v="1"/>
    <x v="17"/>
    <s v="50000160 - Fisioterapia Ortopédica (R$ 20,00), 98980327 - Taxa de Eletroterapia (Tens) (R$ 15,00)"/>
    <s v="Fisioterapia"/>
    <n v="9309497"/>
    <s v="Finalizado (4/5)"/>
    <n v="30.8"/>
    <n v="4.2"/>
    <n v="35"/>
    <s v="Sessão Faturada"/>
    <n v="902001770170010"/>
    <n v="57378"/>
    <s v="Unidade Vieralves (ANEXO)"/>
    <n v="9309497"/>
    <m/>
  </r>
  <r>
    <x v="9"/>
    <x v="65"/>
    <s v="José Pedro Silva Oliveira"/>
    <s v="Masculino"/>
    <x v="6"/>
    <x v="17"/>
    <s v="31602185 - Estimulação Elétrica Transcutanea (Tens) (R$ 40,00)"/>
    <s v="Fisioterapia"/>
    <n v="171769"/>
    <s v="Finalizado (6/9)"/>
    <n v="35.200000000000003"/>
    <n v="4.8"/>
    <n v="40"/>
    <s v="Sessão a Faturar"/>
    <s v="58200789997018600019"/>
    <n v="59609"/>
    <s v="Unidade Vieralves (ANEXO)"/>
    <n v="171769"/>
    <m/>
  </r>
  <r>
    <x v="9"/>
    <x v="36"/>
    <s v="Irlane da Silva Magno Viana"/>
    <s v="Feminino"/>
    <x v="10"/>
    <x v="17"/>
    <s v="50000160 - Fisioterapia Ortopédica (R$ 15,00)"/>
    <s v="Fisioterapia"/>
    <n v="16128462"/>
    <s v="Finalizado (6/10)"/>
    <n v="13.2"/>
    <n v="1.8"/>
    <n v="15"/>
    <s v="Sessão a Faturar"/>
    <s v="00010064272636003"/>
    <n v="59401"/>
    <s v="Unidade Vieralves (ANEXO)"/>
    <n v="16128462"/>
    <m/>
  </r>
  <r>
    <x v="9"/>
    <x v="36"/>
    <s v="Anderson Souza da Costa"/>
    <s v="Masculino"/>
    <x v="6"/>
    <x v="17"/>
    <s v="31602185 - Estimulação Elétrica Transcutanea (Tens) (R$ 40,00)"/>
    <s v="Fisioterapia"/>
    <n v="170245"/>
    <s v="Finalizado (5/5)"/>
    <n v="35.200000000000003"/>
    <n v="4.8"/>
    <n v="40"/>
    <s v="Sessão a Faturar"/>
    <s v="58201065998059740014"/>
    <n v="58756"/>
    <s v="Unidade Vieralves (ANEXO)"/>
    <n v="170245"/>
    <m/>
  </r>
  <r>
    <x v="9"/>
    <x v="36"/>
    <s v="Elzilene da Silva"/>
    <s v="Feminino"/>
    <x v="2"/>
    <x v="17"/>
    <s v="20103662 - Fisioterapia - Pos Operatorio Em Um Membro (R$ 14,99)"/>
    <s v="Fisioterapia"/>
    <n v="1717522831"/>
    <s v="Finalizado (2/10)"/>
    <n v="13.1912"/>
    <n v="1.7988"/>
    <n v="14.99"/>
    <s v="Sessão a Faturar"/>
    <n v="831485900019000"/>
    <n v="44191"/>
    <s v="Unidade Vieralves (ANEXO)"/>
    <n v="1717522831"/>
    <m/>
  </r>
  <r>
    <x v="9"/>
    <x v="36"/>
    <s v="Anderson Souza da Costa"/>
    <s v="Masculino"/>
    <x v="6"/>
    <x v="17"/>
    <s v="20103484 - Patologia Em Um Membro (R$ 14,16)"/>
    <s v="Fisioterapia"/>
    <n v="173139"/>
    <s v="Finalizado (1/1)"/>
    <n v="12.460800000000001"/>
    <n v="1.6992"/>
    <n v="14.16"/>
    <s v="Sessão a Faturar"/>
    <s v="58201065998059740014"/>
    <n v="58756"/>
    <s v="Unidade Vieralves (ANEXO)"/>
    <n v="173139"/>
    <m/>
  </r>
  <r>
    <x v="9"/>
    <x v="36"/>
    <s v="David de Souza Brandão"/>
    <s v="Masculino"/>
    <x v="1"/>
    <x v="17"/>
    <s v="50000160 - Fisioterapia Ortopédica (R$ 20,00), 98980327 - Taxa de Eletroterapia (Tens) (R$ 15,00)"/>
    <s v="Fisioterapia"/>
    <n v="9342262"/>
    <s v="Finalizado (6/10)"/>
    <n v="30.8"/>
    <n v="4.2"/>
    <n v="35"/>
    <s v="Sessão a Faturar"/>
    <s v="0901013409150193"/>
    <n v="48043"/>
    <s v="Unidade Vieralves (ANEXO)"/>
    <n v="9342262"/>
    <m/>
  </r>
  <r>
    <x v="9"/>
    <x v="61"/>
    <s v="Elzilene da Silva"/>
    <s v="Feminino"/>
    <x v="4"/>
    <x v="17"/>
    <s v="31602185 - Estimulação Elétrica Transcutânea - Removido 13/04/2026 (R$ 40,00)"/>
    <s v="Fisioterapia"/>
    <n v="1717991176"/>
    <s v="Finalizado (1/10)"/>
    <n v="35.200000000000003"/>
    <n v="4.8"/>
    <n v="40"/>
    <s v="Sessão a Faturar"/>
    <n v="831485900019000"/>
    <n v="44191"/>
    <s v="Unidade Vieralves (ANEXO)"/>
    <n v="1717991176"/>
    <m/>
  </r>
  <r>
    <x v="9"/>
    <x v="40"/>
    <s v="Edmar Alves Pinto"/>
    <s v="Masculino"/>
    <x v="1"/>
    <x v="17"/>
    <s v="50000160 - Fisioterapia Ortopédica (R$ 20,00), 98980327 - Taxa de Eletroterapia (Tens) (R$ 15,00)"/>
    <s v="Fisioterapia"/>
    <n v="9337130"/>
    <s v="Finalizado (7/10)"/>
    <n v="30.8"/>
    <n v="4.2"/>
    <n v="35"/>
    <s v="Sessão Faturada"/>
    <s v="0901013011720000"/>
    <n v="2469"/>
    <s v="Unidade Vieralves (ANEXO)"/>
    <n v="9337130"/>
    <m/>
  </r>
  <r>
    <x v="9"/>
    <x v="40"/>
    <s v="Luis Sergio da Silva"/>
    <s v="Feminino"/>
    <x v="17"/>
    <x v="17"/>
    <s v="50000160 - Fisioterapia Ortopedica (R$ 45,00)"/>
    <s v="Fisioterapia"/>
    <n v="3988611"/>
    <s v="Finalizado (9/10)"/>
    <n v="39.6"/>
    <n v="5.4"/>
    <n v="45"/>
    <s v="Sessão Faturada"/>
    <s v="000915777694800"/>
    <n v="59395"/>
    <s v="Unidade Vieralves (ANEXO)"/>
    <n v="3988611"/>
    <m/>
  </r>
  <r>
    <x v="9"/>
    <x v="35"/>
    <s v="Vanderson de Lima Silva"/>
    <s v="Masculino"/>
    <x v="0"/>
    <x v="17"/>
    <s v="50000160 - Fisioterapia Ortopedica (R$ 49,72)"/>
    <s v="Fisioterapia"/>
    <s v="42263120260324549420"/>
    <s v="Finalizado (4/10)"/>
    <n v="43.753599999999999"/>
    <n v="5.9664000000000001"/>
    <n v="49.72"/>
    <s v="Sessão a Faturar"/>
    <s v="010245156200"/>
    <n v="42714"/>
    <s v="Unidade Vieralves (ANEXO)"/>
    <s v="42263120260324549420"/>
    <m/>
  </r>
  <r>
    <x v="9"/>
    <x v="42"/>
    <s v="Vanderson de Lima Silva"/>
    <s v="Masculino"/>
    <x v="0"/>
    <x v="17"/>
    <s v="31602185 - Estimulação Elétrica Transcutânea Fisioterapia (Novo - 01/12) (R$ 54,13)"/>
    <s v="Fisioterapia"/>
    <s v="42263120260324549577"/>
    <s v="Finalizado (4/10)"/>
    <n v="47.634399999999999"/>
    <n v="6.4955999999999996"/>
    <n v="54.13"/>
    <s v="Sessão a Faturar"/>
    <s v="010245156200"/>
    <n v="42714"/>
    <s v="Unidade Vieralves (ANEXO)"/>
    <s v="42263120260324549577"/>
    <m/>
  </r>
  <r>
    <x v="9"/>
    <x v="38"/>
    <s v="Nelma Vieira Lopes"/>
    <s v="Feminino"/>
    <x v="2"/>
    <x v="17"/>
    <s v="20103662 - Fisioterapia - Pos Operatorio Em Um Membro (R$ 14,99)"/>
    <s v="Fisioterapia"/>
    <n v="1716562531"/>
    <s v="Finalizado (2/10)"/>
    <n v="13.1912"/>
    <n v="1.7988"/>
    <n v="14.99"/>
    <s v="Sessão a Faturar"/>
    <n v="952480019644000"/>
    <n v="21113"/>
    <s v="Unidade Vieralves (ANEXO)"/>
    <n v="1716562531"/>
    <m/>
  </r>
  <r>
    <x v="9"/>
    <x v="38"/>
    <s v="Edcarlos Pena da Silva"/>
    <s v="Masculino"/>
    <x v="2"/>
    <x v="17"/>
    <s v="20103492 - Fisioterapia - Patologia Em Dois Ou Mais Membros (R$ 14,83)"/>
    <s v="Fisioterapia"/>
    <n v="1718049519"/>
    <s v="Finalizado (1/10)"/>
    <n v="13.0504"/>
    <n v="1.7796000000000001"/>
    <n v="14.83"/>
    <s v="Sessão a Faturar"/>
    <n v="775426004081010"/>
    <n v="59795"/>
    <s v="Unidade Vieralves (ANEXO)"/>
    <n v="1718049519"/>
    <m/>
  </r>
  <r>
    <x v="9"/>
    <x v="62"/>
    <s v="Nelma Vieira Lopes"/>
    <s v="Feminino"/>
    <x v="4"/>
    <x v="17"/>
    <s v="31602185 - Estimulação Elétrica Transcutânea - Removido 13/04/2026 (R$ 40,00)"/>
    <s v="Fisioterapia"/>
    <n v="1716564428"/>
    <s v="Finalizado (2/7)"/>
    <n v="35.200000000000003"/>
    <n v="4.8"/>
    <n v="40"/>
    <s v="Sessão a Faturar"/>
    <n v="952480019644000"/>
    <n v="21113"/>
    <s v="Unidade Vieralves (ANEXO)"/>
    <n v="1716564428"/>
    <m/>
  </r>
  <r>
    <x v="9"/>
    <x v="62"/>
    <s v="Edcarlos Pena da Silva"/>
    <s v="Masculino"/>
    <x v="2"/>
    <x v="17"/>
    <s v="50000144 - Avaliação de Fisioterapia (R$ 51,42)"/>
    <s v="Fisioterapia"/>
    <n v="1718047753"/>
    <s v="Finalizado (1/1)"/>
    <n v="46.277999999999999"/>
    <n v="5.1420000000000003"/>
    <n v="51.42"/>
    <s v="Sessão Faturada"/>
    <n v="775426004081010"/>
    <n v="59795"/>
    <s v="Unidade Vieralves (ANEXO)"/>
    <n v="1718047753"/>
    <m/>
  </r>
  <r>
    <x v="9"/>
    <x v="37"/>
    <s v="Sidnea Batista Vieira"/>
    <s v="Feminino"/>
    <x v="17"/>
    <x v="17"/>
    <s v="50000160 - Fisioterapia Ortopedica (R$ 45,00)"/>
    <s v="Fisioterapia"/>
    <n v="3981027"/>
    <s v="Finalizado (9/10)"/>
    <n v="39.6"/>
    <n v="5.4"/>
    <n v="45"/>
    <s v="Sessão a Faturar"/>
    <s v="000915777624101"/>
    <n v="56158"/>
    <s v="Unidade Vieralves (ANEXO)"/>
    <n v="3981027"/>
    <m/>
  </r>
  <r>
    <x v="9"/>
    <x v="37"/>
    <s v="Antônio Edivaldo Pereira Nunes"/>
    <s v="Masculino"/>
    <x v="12"/>
    <x v="17"/>
    <s v="20103506 - Patol. Em Um Segmento Na Coluna (R$ 12,22)"/>
    <s v="Fisioterapia"/>
    <n v="170237"/>
    <s v="Finalizado (10/10)"/>
    <n v="10.7536"/>
    <n v="1.4663999999999999"/>
    <n v="12.22"/>
    <s v="Sessão a Faturar"/>
    <n v="9.5125782212117005E+17"/>
    <n v="57571"/>
    <s v="Unidade Vieralves (ANEXO)"/>
    <n v="170237"/>
    <m/>
  </r>
  <r>
    <x v="9"/>
    <x v="63"/>
    <s v="Antônio Edivaldo Pereira Nunes"/>
    <s v="Masculino"/>
    <x v="12"/>
    <x v="17"/>
    <s v="31602185 - Estimulação Elétrica Transcutânea (Tens) (R$ 49,00)"/>
    <s v="Fisioterapia"/>
    <n v="10312656"/>
    <s v="Finalizado (7/10)"/>
    <n v="43.12"/>
    <n v="5.88"/>
    <n v="49"/>
    <s v="Sessão a Faturar"/>
    <n v="9.5125782212117005E+17"/>
    <n v="57571"/>
    <s v="Unidade Vieralves (ANEXO)"/>
    <n v="10312656"/>
    <m/>
  </r>
  <r>
    <x v="9"/>
    <x v="39"/>
    <s v="Paulo César de Oliveira Gomes"/>
    <s v="Masculino"/>
    <x v="12"/>
    <x v="17"/>
    <s v="50000144 - Consulta Fisioterapia (R$ 51,42)"/>
    <s v="Fisioterapia"/>
    <n v="10360022"/>
    <s v="Finalizado (1/1)"/>
    <n v="46.277999999999999"/>
    <n v="5.1420000000000003"/>
    <n v="51.42"/>
    <s v="Sessão a Faturar"/>
    <n v="9.5056642505667994E+17"/>
    <n v="57115"/>
    <s v="Unidade Vieralves (ANEXO)"/>
    <n v="10360022"/>
    <m/>
  </r>
  <r>
    <x v="9"/>
    <x v="39"/>
    <s v="Paulo César de Oliveira Gomes"/>
    <s v="Masculino"/>
    <x v="12"/>
    <x v="17"/>
    <s v="20103492 - Patol. Em Dois Ou Mais Membros (R$ 14,83)"/>
    <s v="Fisioterapia"/>
    <n v="173173"/>
    <s v="Finalizado (1/10)"/>
    <n v="13.0504"/>
    <n v="1.7796000000000001"/>
    <n v="14.83"/>
    <s v="Sessão a Faturar"/>
    <n v="9.5056642505667994E+17"/>
    <n v="57115"/>
    <s v="Unidade Vieralves (ANEXO)"/>
    <n v="173173"/>
    <m/>
  </r>
  <r>
    <x v="9"/>
    <x v="39"/>
    <s v="Paulo César de Oliveira Gomes"/>
    <s v="Masculino"/>
    <x v="12"/>
    <x v="17"/>
    <s v="31602185 - Estimulação Elétrica Transcutânea (Tens) (R$ 49,00)"/>
    <s v="Fisioterapia"/>
    <n v="10360191"/>
    <s v="Finalizado (1/10)"/>
    <n v="43.12"/>
    <n v="5.88"/>
    <n v="49"/>
    <s v="Sessão a Faturar"/>
    <n v="9.5056642505667994E+17"/>
    <n v="57115"/>
    <s v="Unidade Vieralves (ANEXO)"/>
    <n v="10360191"/>
    <m/>
  </r>
  <r>
    <x v="9"/>
    <x v="39"/>
    <s v="Marcia dos Santos"/>
    <s v="Feminino"/>
    <x v="6"/>
    <x v="17"/>
    <s v="31602185 - Estimulação Elétrica Transcutanea (Tens) (R$ 40,00)"/>
    <s v="Fisioterapia"/>
    <n v="171979"/>
    <s v="Finalizado (5/7)"/>
    <n v="35.200000000000003"/>
    <n v="4.8"/>
    <n v="40"/>
    <s v="Sessão a Faturar"/>
    <s v="55788888490616460011"/>
    <n v="24503"/>
    <s v="Unidade Vieralves (ANEXO)"/>
    <n v="171979"/>
    <m/>
  </r>
  <r>
    <x v="9"/>
    <x v="64"/>
    <s v="Marcia dos Santos"/>
    <s v="Feminino"/>
    <x v="6"/>
    <x v="17"/>
    <s v="31602185 - Estimulação Elétrica Transcutanea (Tens) (R$ 40,00)"/>
    <s v="Fisioterapia"/>
    <n v="171979"/>
    <s v="Finalizado (6/7)"/>
    <n v="35.200000000000003"/>
    <n v="4.8"/>
    <n v="40"/>
    <s v="Sessão a Faturar"/>
    <s v="55788888490616460011"/>
    <n v="24503"/>
    <s v="Unidade Vieralves (ANEXO)"/>
    <n v="171979"/>
    <m/>
  </r>
  <r>
    <x v="25"/>
    <x v="89"/>
    <s v="Mylene Dutra Barbosa"/>
    <s v="Feminino"/>
    <x v="1"/>
    <x v="17"/>
    <s v="50000160 - Fisioterapia Ortopédica (R$ 20,00), 98980327 - Taxa de Eletroterapia (Tens) (R$ 15,00)"/>
    <s v="Fisioterapia"/>
    <n v="9198142"/>
    <s v="Finalizado (9/10)"/>
    <n v="30.8"/>
    <n v="4.2"/>
    <n v="35"/>
    <s v="Sessão Faturada"/>
    <n v="1902013384500000"/>
    <n v="59375"/>
    <s v="Unidade Vieralves (ANEXO)"/>
    <n v="9198142"/>
    <m/>
  </r>
  <r>
    <x v="25"/>
    <x v="44"/>
    <s v="Frank Silva Carrilho"/>
    <s v="Masculino"/>
    <x v="26"/>
    <x v="17"/>
    <s v="20103484 - Fisioterapia - Patologia Em Um Membro (R$ 11,16)"/>
    <s v="Fisioterapia"/>
    <n v="270065354"/>
    <s v="Finalizado (9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x v="25"/>
    <x v="44"/>
    <s v="Josmar Rafael Haro de Lima"/>
    <s v="Masculino"/>
    <x v="8"/>
    <x v="17"/>
    <s v="20103484 - Patologia Em Um Membro (R$ 12,22)"/>
    <s v="Fisioterapia"/>
    <n v="1718412724"/>
    <s v="Finalizado (1/10)"/>
    <n v="10.7536"/>
    <n v="1.4663999999999999"/>
    <n v="12.22"/>
    <s v="Sessão a Faturar"/>
    <n v="954600008940000"/>
    <n v="59200"/>
    <s v="Unidade Vieralves (ANEXO)"/>
    <n v="1718412724"/>
    <m/>
  </r>
  <r>
    <x v="25"/>
    <x v="60"/>
    <s v="Josmar Rafael Haro de Lima"/>
    <s v="Masculino"/>
    <x v="9"/>
    <x v="17"/>
    <s v="31602185 - Estimulação Elétrica Transcutânea (Tens) - Removido 13/04/2026 (R$ 40,00)"/>
    <s v="Fisioterapia"/>
    <n v="1718414237"/>
    <s v="Finalizado (1/10)"/>
    <n v="35.200000000000003"/>
    <n v="4.8"/>
    <n v="40"/>
    <s v="Sessão a Faturar"/>
    <n v="954600008940000"/>
    <n v="59200"/>
    <s v="Unidade Vieralves (ANEXO)"/>
    <n v="1718414237"/>
    <m/>
  </r>
  <r>
    <x v="25"/>
    <x v="41"/>
    <s v="James Alcantara de Lima"/>
    <s v="Masculino"/>
    <x v="6"/>
    <x v="17"/>
    <s v="20103484 - Patologia Em Um Membro (R$ 14,16)"/>
    <s v="Fisioterapia"/>
    <n v="172045"/>
    <s v="Finalizado (3/10)"/>
    <n v="12.460800000000001"/>
    <n v="1.6992"/>
    <n v="14.16"/>
    <s v="Sessão a Faturar"/>
    <s v="54588888018315590015"/>
    <n v="59229"/>
    <s v="Unidade Vieralves (ANEXO)"/>
    <n v="172045"/>
    <m/>
  </r>
  <r>
    <x v="25"/>
    <x v="41"/>
    <s v="Katia Rodrigues Freitas"/>
    <s v="Feminino"/>
    <x v="6"/>
    <x v="17"/>
    <s v="20103492 - Patologia Em Dois Ou Mais Membros (R$ 30,26), 20103506 - Patologia Em Um Segmento da Coluna (R$ 14,16)"/>
    <s v="Fisioterapia"/>
    <n v="170343"/>
    <s v="Finalizado (7/10)"/>
    <n v="39.089599999999997"/>
    <n v="5.3304"/>
    <n v="44.42"/>
    <s v="Sessão a Faturar"/>
    <s v="54588888004873140018"/>
    <n v="58935"/>
    <s v="Unidade Vieralves (ANEXO)"/>
    <n v="170343"/>
    <m/>
  </r>
  <r>
    <x v="25"/>
    <x v="41"/>
    <s v="Robguir Silva dos Santos"/>
    <s v="Masculino"/>
    <x v="8"/>
    <x v="17"/>
    <s v="50000144 - Consulta de Fisioterapia (R$ 51,42)"/>
    <s v="Fisioterapia"/>
    <n v="1718428489"/>
    <s v="Finalizado (1/1)"/>
    <n v="46.277999999999999"/>
    <n v="5.1420000000000003"/>
    <n v="51.42"/>
    <s v="Sessão Faturada"/>
    <n v="954600030341000"/>
    <n v="59814"/>
    <s v="Unidade Vieralves (ANEXO)"/>
    <n v="1718428489"/>
    <m/>
  </r>
  <r>
    <x v="25"/>
    <x v="41"/>
    <s v="Vanderson de Lima Silva"/>
    <s v="Masculino"/>
    <x v="0"/>
    <x v="17"/>
    <s v="50000160 - Fisioterapia Ortopedica (R$ 49,72)"/>
    <s v="Fisioterapia"/>
    <s v="42263120260324549420"/>
    <s v="Finalizado (5/10)"/>
    <n v="43.753599999999999"/>
    <n v="5.9664000000000001"/>
    <n v="49.72"/>
    <s v="Sessão a Faturar"/>
    <s v="010245156200"/>
    <n v="42714"/>
    <s v="Unidade Vieralves (ANEXO)"/>
    <s v="42263120260324549420"/>
    <m/>
  </r>
  <r>
    <x v="25"/>
    <x v="76"/>
    <s v="James Alcantara de Lima"/>
    <s v="Masculino"/>
    <x v="6"/>
    <x v="17"/>
    <s v="20103514 - Patologia Em Dois Ou Mais Segmentos da Coluna (R$ 32,82)"/>
    <s v="Fisioterapia"/>
    <n v="171167"/>
    <s v="Finalizado (6/10)"/>
    <n v="28.881599999999999"/>
    <n v="3.9384000000000001"/>
    <n v="32.82"/>
    <s v="Sessão a Faturar"/>
    <s v="54588888018315590015"/>
    <n v="59229"/>
    <s v="Unidade Vieralves (ANEXO)"/>
    <n v="171167"/>
    <m/>
  </r>
  <r>
    <x v="25"/>
    <x v="65"/>
    <s v="Vanderson de Lima Silva"/>
    <s v="Masculino"/>
    <x v="0"/>
    <x v="17"/>
    <s v="31602185 - Estimulação Elétrica Transcutânea Fisioterapia (Novo - 01/12) (R$ 54,13)"/>
    <s v="Fisioterapia"/>
    <s v="42263120260324549577"/>
    <s v="Finalizado (5/10)"/>
    <n v="47.634399999999999"/>
    <n v="6.4955999999999996"/>
    <n v="54.13"/>
    <s v="Sessão a Faturar"/>
    <s v="010245156200"/>
    <n v="42714"/>
    <s v="Unidade Vieralves (ANEXO)"/>
    <s v="42263120260324549577"/>
    <m/>
  </r>
  <r>
    <x v="25"/>
    <x v="65"/>
    <s v="Katia Rodrigues Freitas"/>
    <s v="Feminino"/>
    <x v="6"/>
    <x v="17"/>
    <s v="31602185 - Estimulação Elétrica Transcutanea (Tens) (R$ 40,00)"/>
    <s v="Fisioterapia"/>
    <n v="170819"/>
    <s v="Finalizado (7/10)"/>
    <n v="35.200000000000003"/>
    <n v="4.8"/>
    <n v="40"/>
    <s v="Sessão a Faturar"/>
    <s v="54588888004873140018"/>
    <n v="58935"/>
    <s v="Unidade Vieralves (ANEXO)"/>
    <n v="170819"/>
    <m/>
  </r>
  <r>
    <x v="25"/>
    <x v="65"/>
    <s v="Robguir Silva dos Santos"/>
    <s v="Masculino"/>
    <x v="8"/>
    <x v="17"/>
    <s v="20103492 - Patologia Em Dois Ou Mais Membros (R$ 14,83)"/>
    <s v="Fisioterapia"/>
    <n v="1718429374"/>
    <s v="Finalizado (1/10)"/>
    <n v="13.0504"/>
    <n v="1.7796000000000001"/>
    <n v="14.83"/>
    <s v="Sessão a Faturar"/>
    <n v="954600030341000"/>
    <n v="59814"/>
    <s v="Unidade Vieralves (ANEXO)"/>
    <n v="1718429374"/>
    <m/>
  </r>
  <r>
    <x v="25"/>
    <x v="48"/>
    <s v="James Alcantara de Lima"/>
    <s v="Masculino"/>
    <x v="6"/>
    <x v="17"/>
    <s v="31602185 - Estimulação Elétrica Transcutanea (Tens) (R$ 40,00)"/>
    <s v="Fisioterapia"/>
    <n v="171251"/>
    <s v="Finalizado (6/10)"/>
    <n v="35.200000000000003"/>
    <n v="4.8"/>
    <n v="40"/>
    <s v="Sessão a Faturar"/>
    <s v="54588888018315590015"/>
    <n v="59229"/>
    <s v="Unidade Vieralves (ANEXO)"/>
    <n v="171251"/>
    <m/>
  </r>
  <r>
    <x v="25"/>
    <x v="36"/>
    <s v="Elzilene da Silva"/>
    <s v="Feminino"/>
    <x v="4"/>
    <x v="17"/>
    <s v="31602185 - Estimulação Elétrica Transcutânea - Removido 13/04/2026 (R$ 40,00)"/>
    <s v="Fisioterapia"/>
    <n v="1717991176"/>
    <s v="Finalizado (2/10)"/>
    <n v="35.200000000000003"/>
    <n v="4.8"/>
    <n v="40"/>
    <s v="Sessão a Faturar"/>
    <n v="831485900019000"/>
    <n v="44191"/>
    <s v="Unidade Vieralves (ANEXO)"/>
    <n v="1717991176"/>
    <m/>
  </r>
  <r>
    <x v="25"/>
    <x v="36"/>
    <s v="Areta Pinto Figueiredo"/>
    <s v="Feminino"/>
    <x v="1"/>
    <x v="17"/>
    <s v="50000160 - Fisioterapia Ortopédica (R$ 20,00), 98980327 - Taxa de Eletroterapia (Tens) (R$ 15,00)"/>
    <s v="Fisioterapia"/>
    <n v="9516737"/>
    <s v="Finalizado (1/10)"/>
    <n v="30.8"/>
    <n v="4.2"/>
    <n v="35"/>
    <s v="Sessão Faturada"/>
    <n v="1301013001650100"/>
    <n v="20611"/>
    <s v="Unidade Vieralves (ANEXO)"/>
    <n v="9516737"/>
    <s v="Guia assinada! 28/03"/>
  </r>
  <r>
    <x v="25"/>
    <x v="36"/>
    <s v="Elzilene da Silva"/>
    <s v="Feminino"/>
    <x v="2"/>
    <x v="17"/>
    <s v="20103662 - Fisioterapia - Pos Operatorio Em Um Membro (R$ 14,99)"/>
    <s v="Fisioterapia"/>
    <n v="1717522831"/>
    <s v="Finalizado (3/10)"/>
    <n v="13.1912"/>
    <n v="1.7988"/>
    <n v="14.99"/>
    <s v="Sessão a Faturar"/>
    <n v="831485900019000"/>
    <n v="44191"/>
    <s v="Unidade Vieralves (ANEXO)"/>
    <n v="1717522831"/>
    <m/>
  </r>
  <r>
    <x v="25"/>
    <x v="36"/>
    <s v="Ricardo Andreazze da Silva"/>
    <s v="Masculino"/>
    <x v="8"/>
    <x v="17"/>
    <s v="20103484 - Patologia Em Um Membro (R$ 12,22)"/>
    <s v="Fisioterapia"/>
    <n v="1709502547"/>
    <s v="Finalizado (8/10)"/>
    <n v="10.7536"/>
    <n v="1.4663999999999999"/>
    <n v="12.22"/>
    <s v="Sessão Faturada"/>
    <n v="954600010545000"/>
    <n v="38890"/>
    <s v="Unidade Vieralves (ANEXO)"/>
    <n v="1709502547"/>
    <m/>
  </r>
  <r>
    <x v="25"/>
    <x v="61"/>
    <s v="Ricardo Andreazze da Silva"/>
    <s v="Masculino"/>
    <x v="9"/>
    <x v="17"/>
    <s v="31602185 - Estimulação Elétrica Transcutânea (Tens) - Removido 13/04/2026 (R$ 40,00)"/>
    <s v="Fisioterapia"/>
    <n v="1710689081"/>
    <s v="Finalizado (7/10)"/>
    <n v="35.200000000000003"/>
    <n v="4.8"/>
    <n v="40"/>
    <s v="Sessão a Faturar"/>
    <n v="954600010545000"/>
    <n v="38890"/>
    <s v="Unidade Vieralves (ANEXO)"/>
    <n v="1710689081"/>
    <m/>
  </r>
  <r>
    <x v="25"/>
    <x v="35"/>
    <s v="Edcarlos Pena da Silva"/>
    <s v="Masculino"/>
    <x v="2"/>
    <x v="17"/>
    <s v="20103492 - Fisioterapia - Patologia Em Dois Ou Mais Membros (R$ 14,83)"/>
    <s v="Fisioterapia"/>
    <n v="1718049519"/>
    <s v="Finalizado (2/10)"/>
    <n v="13.0504"/>
    <n v="1.7796000000000001"/>
    <n v="14.83"/>
    <s v="Sessão a Faturar"/>
    <n v="775426004081010"/>
    <n v="59795"/>
    <s v="Unidade Vieralves (ANEXO)"/>
    <n v="1718049519"/>
    <m/>
  </r>
  <r>
    <x v="25"/>
    <x v="35"/>
    <s v="Daniel Alves Costa"/>
    <s v="Masculino"/>
    <x v="2"/>
    <x v="17"/>
    <s v="50000144 - Avaliação de Fisioterapia (R$ 51,42)"/>
    <s v="Fisioterapia"/>
    <n v="1718459128"/>
    <s v="Finalizado (1/1)"/>
    <n v="46.277999999999999"/>
    <n v="5.1420000000000003"/>
    <n v="51.42"/>
    <s v="Sessão Faturada"/>
    <n v="773709045225010"/>
    <n v="43704"/>
    <s v="Unidade Vieralves (ANEXO)"/>
    <n v="1718459128"/>
    <m/>
  </r>
  <r>
    <x v="25"/>
    <x v="42"/>
    <s v="Daniel Alves Costa"/>
    <s v="Masculino"/>
    <x v="2"/>
    <x v="17"/>
    <s v="20103492 - Fisioterapia - Patologia Em Dois Ou Mais Membros (R$ 14,83)"/>
    <s v="Fisioterapia"/>
    <n v="1718461705"/>
    <s v="Finalizado (1/10)"/>
    <n v="13.0504"/>
    <n v="1.7796000000000001"/>
    <n v="14.83"/>
    <s v="Sessão a Faturar"/>
    <n v="773709045225010"/>
    <n v="43704"/>
    <s v="Unidade Vieralves (ANEXO)"/>
    <n v="1718461705"/>
    <m/>
  </r>
  <r>
    <x v="25"/>
    <x v="38"/>
    <s v="Sidnea Batista Vieira"/>
    <s v="Feminino"/>
    <x v="17"/>
    <x v="17"/>
    <s v="50000160 - Fisioterapia Ortopedica (R$ 45,00)"/>
    <s v="Fisioterapia"/>
    <n v="3981027"/>
    <s v="Finalizado (10/10)"/>
    <n v="39.6"/>
    <n v="5.4"/>
    <n v="45"/>
    <s v="Sessão a Faturar"/>
    <s v="000915777624101"/>
    <n v="56158"/>
    <s v="Unidade Vieralves (ANEXO)"/>
    <n v="3981027"/>
    <m/>
  </r>
  <r>
    <x v="25"/>
    <x v="38"/>
    <s v="Lenita de Salvi"/>
    <s v="Feminino"/>
    <x v="12"/>
    <x v="17"/>
    <s v="20103492 - Patol. Em Dois Ou Mais Membros (R$ 14,83)"/>
    <s v="Fisioterapia"/>
    <n v="171816"/>
    <s v="Finalizado (9/10)"/>
    <n v="13.0504"/>
    <n v="1.7796000000000001"/>
    <n v="14.83"/>
    <s v="Sessão a Faturar"/>
    <n v="9.5125288282221005E+17"/>
    <n v="52294"/>
    <s v="Unidade Vieralves (ANEXO)"/>
    <n v="171816"/>
    <m/>
  </r>
  <r>
    <x v="25"/>
    <x v="38"/>
    <s v="Lenita de Salvi"/>
    <s v="Feminino"/>
    <x v="12"/>
    <x v="17"/>
    <s v="31602185 - Estimulação Elétrica Transcutânea (Tens) (R$ 49,00)"/>
    <s v="Fisioterapia"/>
    <n v="10337257"/>
    <s v="Finalizado (6/8)"/>
    <n v="43.12"/>
    <n v="5.88"/>
    <n v="49"/>
    <s v="Sessão a Faturar"/>
    <n v="9.5125288282221005E+17"/>
    <n v="52294"/>
    <s v="Unidade Vieralves (ANEXO)"/>
    <n v="10337257"/>
    <m/>
  </r>
  <r>
    <x v="25"/>
    <x v="38"/>
    <s v="Carla Rabelo de Oliveira"/>
    <s v="Feminino"/>
    <x v="4"/>
    <x v="17"/>
    <s v="31602185 - Estimulação Elétrica Transcutânea - Removido 13/04/2026 (R$ 40,00)"/>
    <s v="Fisioterapia"/>
    <n v="1717936322"/>
    <s v="Finalizado (2/10)"/>
    <n v="35.200000000000003"/>
    <n v="4.8"/>
    <n v="40"/>
    <s v="Sessão a Faturar"/>
    <n v="772682029653000"/>
    <n v="59566"/>
    <s v="Unidade Vieralves (ANEXO)"/>
    <n v="1717936322"/>
    <m/>
  </r>
  <r>
    <x v="25"/>
    <x v="38"/>
    <s v="Magaly Portela Regis"/>
    <s v="Feminino"/>
    <x v="2"/>
    <x v="17"/>
    <s v="20103484 - Fisioterapia - Patologia Em Um Membro (R$ 12,22)"/>
    <s v="Fisioterapia"/>
    <n v="1714561743"/>
    <s v="Finalizado (4/5)"/>
    <n v="10.7536"/>
    <n v="1.4663999999999999"/>
    <n v="12.22"/>
    <s v="Sessão Faturada"/>
    <n v="838224200051000"/>
    <n v="16940"/>
    <s v="Unidade Vieralves (ANEXO)"/>
    <n v="1714561743"/>
    <m/>
  </r>
  <r>
    <x v="25"/>
    <x v="62"/>
    <s v="Carla Rabelo de Oliveira"/>
    <s v="Feminino"/>
    <x v="2"/>
    <x v="17"/>
    <s v="20103484 - Fisioterapia - Patologia Em Um Membro (R$ 12,22), 20103514 - Fisioterapia - Patologia Em Diferentes Segmentos da Coluna (R$ 14,83)"/>
    <s v="Fisioterapia"/>
    <n v="1715435359"/>
    <s v="Finalizado (3/10)"/>
    <n v="23.803999999999998"/>
    <n v="3.246"/>
    <n v="27.05"/>
    <s v="Sessão a Faturar"/>
    <n v="772682029653000"/>
    <n v="59566"/>
    <s v="Unidade Vieralves (ANEXO)"/>
    <n v="1715435359"/>
    <m/>
  </r>
  <r>
    <x v="25"/>
    <x v="37"/>
    <s v="Celia Regina Simonetti Barbalho"/>
    <s v="Feminino"/>
    <x v="1"/>
    <x v="17"/>
    <s v="50000160 - Fisioterapia Ortopédica (R$ 20,00), 98980327 - Taxa de Eletroterapia (Tens) (R$ 15,00)"/>
    <s v="Fisioterapia"/>
    <n v="9311765"/>
    <s v="Finalizado (6/7)"/>
    <n v="30.8"/>
    <n v="4.2"/>
    <n v="35"/>
    <s v="Sessão Faturada"/>
    <s v="0901012965130039"/>
    <n v="36041"/>
    <s v="Unidade Vieralves (ANEXO)"/>
    <n v="9311765"/>
    <m/>
  </r>
  <r>
    <x v="25"/>
    <x v="37"/>
    <s v="Isabelle Aucar Gioia"/>
    <s v="Feminino"/>
    <x v="6"/>
    <x v="17"/>
    <s v="20103484 - Patologia Em Um Membro (R$ 14,16)"/>
    <s v="Fisioterapia"/>
    <n v="170013"/>
    <s v="Finalizado (5/10)"/>
    <n v="12.460800000000001"/>
    <n v="1.6992"/>
    <n v="14.16"/>
    <s v="Sessão a Faturar"/>
    <s v="58200789998000620016"/>
    <n v="53296"/>
    <s v="Unidade Vieralves (ANEXO)"/>
    <n v="170013"/>
    <s v="guia assinada. 14/03"/>
  </r>
  <r>
    <x v="25"/>
    <x v="37"/>
    <s v="Heloísa Ribeiro Alves"/>
    <s v="Feminino"/>
    <x v="8"/>
    <x v="17"/>
    <s v="20103492 - Patologia Em Dois Ou Mais Membros (R$ 14,83)"/>
    <s v="Fisioterapia"/>
    <n v="1709544860"/>
    <s v="Finalizado (8/10)"/>
    <n v="13.0504"/>
    <n v="1.7796000000000001"/>
    <n v="14.83"/>
    <s v="Sessão Faturada"/>
    <n v="954600017590000"/>
    <n v="59570"/>
    <s v="Unidade Vieralves (ANEXO)"/>
    <n v="1709544860"/>
    <m/>
  </r>
  <r>
    <x v="25"/>
    <x v="37"/>
    <s v="Heloísa Ribeiro Alves"/>
    <s v="Feminino"/>
    <x v="9"/>
    <x v="17"/>
    <s v="31602185 - Estimulação Elétrica Transcutânea (Tens) - Removido 13/04/2026 (R$ 40,00)"/>
    <s v="Fisioterapia"/>
    <n v="1710807896"/>
    <s v="Finalizado (7/9)"/>
    <n v="35.200000000000003"/>
    <n v="4.8"/>
    <n v="40"/>
    <s v="Sessão a Faturar"/>
    <n v="954600017590000"/>
    <n v="59570"/>
    <s v="Unidade Vieralves (ANEXO)"/>
    <n v="1710807896"/>
    <m/>
  </r>
  <r>
    <x v="25"/>
    <x v="37"/>
    <s v="Isabelle Aucar Gioia"/>
    <s v="Feminino"/>
    <x v="6"/>
    <x v="17"/>
    <s v="31602185 - Estimulação Elétrica Transcutanea (Tens) (R$ 40,00)"/>
    <s v="Fisioterapia"/>
    <n v="170015"/>
    <s v="Finalizado (4/10)"/>
    <n v="35.200000000000003"/>
    <n v="4.8"/>
    <n v="40"/>
    <s v="Sessão a Faturar"/>
    <s v="58200789998000620016"/>
    <n v="53296"/>
    <s v="Unidade Vieralves (ANEXO)"/>
    <n v="170015"/>
    <s v="guia assinada. 14/03"/>
  </r>
  <r>
    <x v="25"/>
    <x v="39"/>
    <s v="Philipe de Souza Brasil"/>
    <s v="Masculino"/>
    <x v="7"/>
    <x v="17"/>
    <s v="Vieiralves - 33 - Fisioterapia Ortopedica - Sessão Avulsa (R$ 90,00)"/>
    <s v="Fisioterapia"/>
    <m/>
    <s v="Finalizado (1/1)"/>
    <n v="70.2"/>
    <n v="19.8"/>
    <n v="90"/>
    <s v="Pago"/>
    <s v="00"/>
    <n v="59076"/>
    <s v="Unidade Vieralves (ANEXO)"/>
    <m/>
    <m/>
  </r>
  <r>
    <x v="11"/>
    <x v="89"/>
    <s v="Francisca Martins da Silveira"/>
    <s v="Feminino"/>
    <x v="3"/>
    <x v="17"/>
    <s v="0006 - Fisioterapia Ortopédica - Pacote Com 10 Sessões (R$ 40,00)"/>
    <s v="Fisioterapia"/>
    <n v="172346"/>
    <s v="Finalizado (3/10)"/>
    <n v="31.2"/>
    <n v="8.8000000000000007"/>
    <n v="40"/>
    <s v="Sessão a Faturar"/>
    <n v="2687"/>
    <n v="59016"/>
    <s v="Unidade Vieralves (ANEXO)"/>
    <n v="172346"/>
    <m/>
  </r>
  <r>
    <x v="11"/>
    <x v="89"/>
    <s v="Rachel Afonso Meira Ferreira"/>
    <s v="Feminino"/>
    <x v="6"/>
    <x v="17"/>
    <s v="20103492 - Patologia Em Dois Ou Mais Membros (R$ 30,26)"/>
    <s v="Fisioterapia"/>
    <n v="172091"/>
    <s v="Não compareceu (7/10)"/>
    <n v="30.26"/>
    <n v="0"/>
    <n v="30.26"/>
    <s v="Sessão a Faturar"/>
    <s v="54588888477391520023"/>
    <n v="55681"/>
    <s v="Unidade Vieralves (ANEXO)"/>
    <n v="172091"/>
    <m/>
  </r>
  <r>
    <x v="11"/>
    <x v="89"/>
    <s v="Carla Rabelo de Oliveira"/>
    <s v="Feminino"/>
    <x v="4"/>
    <x v="17"/>
    <s v="31602185 - Estimulação Elétrica Transcutânea - Removido 13/04/2026 (R$ 40,00)"/>
    <s v="Fisioterapia"/>
    <n v="1717936322"/>
    <s v="Finalizado (3/10)"/>
    <n v="35.200000000000003"/>
    <n v="4.8"/>
    <n v="40"/>
    <s v="Sessão a Faturar"/>
    <n v="772682029653000"/>
    <n v="59566"/>
    <s v="Unidade Vieralves (ANEXO)"/>
    <n v="1717936322"/>
    <m/>
  </r>
  <r>
    <x v="11"/>
    <x v="89"/>
    <s v="Samantha Nathalia da Silva Souza"/>
    <s v="Feminino"/>
    <x v="2"/>
    <x v="17"/>
    <s v="20103492 - Fisioterapia - Patologia Em Dois Ou Mais Membros (R$ 14,83)"/>
    <s v="Fisioterapia"/>
    <n v="1719325205"/>
    <s v="Finalizado (1/10)"/>
    <n v="13.0504"/>
    <n v="1.7796000000000001"/>
    <n v="14.83"/>
    <s v="Sessão a Faturar"/>
    <n v="774104016012010"/>
    <n v="59657"/>
    <s v="Unidade Vieralves (ANEXO)"/>
    <n v="1719325205"/>
    <m/>
  </r>
  <r>
    <x v="11"/>
    <x v="90"/>
    <s v="Samantha Nathalia da Silva Souza"/>
    <s v="Feminino"/>
    <x v="4"/>
    <x v="17"/>
    <s v="31602185 - Estimulação Elétrica Transcutânea - Removido 13/04/2026 (R$ 40,00)"/>
    <s v="Fisioterapia"/>
    <n v="1713821405"/>
    <s v="Finalizado (10/10)"/>
    <n v="35.200000000000003"/>
    <n v="4.8"/>
    <n v="40"/>
    <s v="Sessão Faturada"/>
    <n v="774104016012010"/>
    <n v="59657"/>
    <s v="Unidade Vieralves (ANEXO)"/>
    <n v="1713821405"/>
    <m/>
  </r>
  <r>
    <x v="11"/>
    <x v="90"/>
    <s v="Carla Rabelo de Oliveira"/>
    <s v="Feminino"/>
    <x v="2"/>
    <x v="17"/>
    <s v="20103484 - Fisioterapia - Patologia Em Um Membro (R$ 12,22), 20103514 - Fisioterapia - Patologia Em Diferentes Segmentos da Coluna (R$ 14,83)"/>
    <s v="Fisioterapia"/>
    <n v="1715435359"/>
    <s v="Finalizado (4/10)"/>
    <n v="23.803999999999998"/>
    <n v="3.246"/>
    <n v="27.05"/>
    <s v="Sessão a Faturar"/>
    <n v="772682029653000"/>
    <n v="59566"/>
    <s v="Unidade Vieralves (ANEXO)"/>
    <n v="1715435359"/>
    <m/>
  </r>
  <r>
    <x v="11"/>
    <x v="44"/>
    <s v="Francisca Eldi Frazao de Souza"/>
    <m/>
    <x v="1"/>
    <x v="17"/>
    <s v="50000160 - Fisioterapia Ortopédica (R$ 20,00), 98980327 - Taxa de Eletroterapia (Tens) (R$ 15,00)"/>
    <s v="Fisioterapia"/>
    <n v="9412489"/>
    <s v="Finalizado (8/10)"/>
    <n v="30.8"/>
    <n v="4.2"/>
    <n v="35"/>
    <s v="Sessão Faturada"/>
    <n v="1301011611080200"/>
    <n v="59503"/>
    <s v="Unidade Vieralves (ANEXO)"/>
    <n v="9412489"/>
    <m/>
  </r>
  <r>
    <x v="11"/>
    <x v="44"/>
    <s v="Adriana de Nazare Souto de Azevedo"/>
    <s v="Feminino"/>
    <x v="6"/>
    <x v="17"/>
    <s v="20103484 - Patologia Em Um Membro (R$ 14,16)"/>
    <s v="Fisioterapia"/>
    <n v="172123"/>
    <s v="Finalizado (6/10)"/>
    <n v="12.460800000000001"/>
    <n v="1.6992"/>
    <n v="14.16"/>
    <s v="Sessão a Faturar"/>
    <s v="54588888007376700028"/>
    <n v="59682"/>
    <s v="Unidade Vieralves (ANEXO)"/>
    <n v="172123"/>
    <m/>
  </r>
  <r>
    <x v="11"/>
    <x v="44"/>
    <s v="Ivanilsa de Castro Amorim"/>
    <s v="Feminino"/>
    <x v="29"/>
    <x v="17"/>
    <s v="50000160 - Fisioterapia Ortopedica/Neurológica (R$ 33,00)"/>
    <s v="Fisioterapia"/>
    <n v="1132894"/>
    <s v="Finalizado (4/10)"/>
    <n v="29.04"/>
    <n v="3.96"/>
    <n v="33"/>
    <s v="Sessão a Faturar"/>
    <n v="130260024272010"/>
    <n v="52811"/>
    <s v="Unidade Vieralves (ANEXO)"/>
    <n v="1132894"/>
    <m/>
  </r>
  <r>
    <x v="11"/>
    <x v="44"/>
    <s v="Patricia Geisa Chaves Cavalcante"/>
    <s v="Feminino"/>
    <x v="2"/>
    <x v="17"/>
    <s v="50000144 - Avaliação de Fisioterapia (R$ 51,42)"/>
    <s v="Fisioterapia"/>
    <n v="1719333297"/>
    <s v="Finalizado (1/1)"/>
    <n v="46.277999999999999"/>
    <n v="5.1420000000000003"/>
    <n v="51.42"/>
    <s v="Sessão Faturada"/>
    <n v="771015053562010"/>
    <n v="18038"/>
    <s v="Unidade Vieralves (ANEXO)"/>
    <n v="1719333297"/>
    <m/>
  </r>
  <r>
    <x v="11"/>
    <x v="60"/>
    <s v="Ivanilsa de Castro Amorim"/>
    <s v="Feminino"/>
    <x v="29"/>
    <x v="17"/>
    <s v="31602185 - Estimulação Elétrica Transcutanea (R$ 87,74)"/>
    <s v="Fisioterapia"/>
    <n v="1132899"/>
    <s v="Finalizado (4/10)"/>
    <n v="77.211200000000005"/>
    <n v="10.5288"/>
    <n v="87.74"/>
    <s v="Sessão a Faturar"/>
    <n v="130260024272010"/>
    <n v="52811"/>
    <s v="Unidade Vieralves (ANEXO)"/>
    <n v="1132899"/>
    <m/>
  </r>
  <r>
    <x v="11"/>
    <x v="60"/>
    <s v="Adriana de Nazare Souto de Azevedo"/>
    <s v="Feminino"/>
    <x v="6"/>
    <x v="17"/>
    <s v="31602185 - Estimulação Elétrica Transcutanea (Tens) (R$ 40,00)"/>
    <s v="Fisioterapia"/>
    <n v="172124"/>
    <s v="Finalizado (6/6)"/>
    <n v="35.200000000000003"/>
    <n v="4.8"/>
    <n v="40"/>
    <s v="Sessão a Faturar"/>
    <s v="54588888007376700028"/>
    <n v="59682"/>
    <s v="Unidade Vieralves (ANEXO)"/>
    <n v="172124"/>
    <m/>
  </r>
  <r>
    <x v="11"/>
    <x v="60"/>
    <s v="Patricia Geisa Chaves Cavalcante"/>
    <s v="Feminino"/>
    <x v="2"/>
    <x v="17"/>
    <s v="20103492 - Fisioterapia - Patologia Em Dois Ou Mais Membros (R$ 14,83), 20103506 - Fisioterapia - Patologia Em Um Segmento da Coluna (R$ 12,22)"/>
    <s v="Fisioterapia"/>
    <n v="1719335419"/>
    <s v="Finalizado (1/10)"/>
    <n v="23.803999999999998"/>
    <n v="3.246"/>
    <n v="27.05"/>
    <s v="Sessão a Faturar"/>
    <n v="771015053562010"/>
    <n v="18038"/>
    <s v="Unidade Vieralves (ANEXO)"/>
    <n v="1719335419"/>
    <m/>
  </r>
  <r>
    <x v="11"/>
    <x v="41"/>
    <s v="David de Souza Brandão"/>
    <s v="Masculino"/>
    <x v="1"/>
    <x v="17"/>
    <s v="50000160 - Fisioterapia Ortopédica (R$ 20,00), 98980327 - Taxa de Eletroterapia (Tens) (R$ 15,00)"/>
    <s v="Fisioterapia"/>
    <n v="9342262"/>
    <s v="Finalizado (7/10)"/>
    <n v="30.8"/>
    <n v="4.2"/>
    <n v="35"/>
    <s v="Sessão a Faturar"/>
    <s v="0901013409150193"/>
    <n v="48043"/>
    <s v="Unidade Vieralves (ANEXO)"/>
    <n v="9342262"/>
    <m/>
  </r>
  <r>
    <x v="11"/>
    <x v="41"/>
    <s v="Moacir Leal da Silva Neto"/>
    <s v="Masculino"/>
    <x v="4"/>
    <x v="17"/>
    <s v="31602185 - Estimulação Elétrica Transcutânea - Removido 13/04/2026 (R$ 40,00)"/>
    <s v="Fisioterapia"/>
    <n v="1716928467"/>
    <s v="Finalizado (3/7)"/>
    <n v="35.200000000000003"/>
    <n v="4.8"/>
    <n v="40"/>
    <s v="Sessão a Faturar"/>
    <n v="774642019992000"/>
    <n v="56958"/>
    <s v="Unidade Vieralves (ANEXO)"/>
    <n v="1716928467"/>
    <m/>
  </r>
  <r>
    <x v="11"/>
    <x v="41"/>
    <s v="José Pedro Silva Oliveira"/>
    <s v="Masculino"/>
    <x v="6"/>
    <x v="17"/>
    <s v="20103484 - Patologia Em Um Membro (R$ 14,16)"/>
    <s v="Fisioterapia"/>
    <n v="171768"/>
    <s v="Finalizado (8/10)"/>
    <n v="12.460800000000001"/>
    <n v="1.6992"/>
    <n v="14.16"/>
    <s v="Sessão a Faturar"/>
    <s v="58200789997018600019"/>
    <n v="59609"/>
    <s v="Unidade Vieralves (ANEXO)"/>
    <n v="171768"/>
    <m/>
  </r>
  <r>
    <x v="11"/>
    <x v="65"/>
    <s v="Moacir Leal da Silva Neto"/>
    <s v="Masculino"/>
    <x v="2"/>
    <x v="17"/>
    <s v="20103484 - Fisioterapia - Patologia Em Um Membro (R$ 12,22)"/>
    <s v="Fisioterapia"/>
    <n v="1713243091"/>
    <s v="Finalizado (4/5)"/>
    <n v="10.7536"/>
    <n v="1.4663999999999999"/>
    <n v="12.22"/>
    <s v="Sessão a Faturar"/>
    <n v="774642019992000"/>
    <n v="56958"/>
    <s v="Unidade Vieralves (ANEXO)"/>
    <n v="1713243091"/>
    <m/>
  </r>
  <r>
    <x v="11"/>
    <x v="65"/>
    <s v="José Pedro Silva Oliveira"/>
    <s v="Masculino"/>
    <x v="6"/>
    <x v="17"/>
    <s v="31602185 - Estimulação Elétrica Transcutanea (Tens) (R$ 40,00)"/>
    <s v="Fisioterapia"/>
    <n v="171769"/>
    <s v="Finalizado (8/9)"/>
    <n v="35.200000000000003"/>
    <n v="4.8"/>
    <n v="40"/>
    <s v="Sessão a Faturar"/>
    <s v="58200789997018600019"/>
    <n v="59609"/>
    <s v="Unidade Vieralves (ANEXO)"/>
    <n v="171769"/>
    <m/>
  </r>
  <r>
    <x v="11"/>
    <x v="36"/>
    <s v="Elizângela Barbosa Cardoso"/>
    <s v="Feminino"/>
    <x v="1"/>
    <x v="17"/>
    <s v="50000160 - Fisioterapia Ortopédica (R$ 20,00), 98980327 - Taxa de Eletroterapia (Tens) (R$ 15,00)"/>
    <s v="Fisioterapia"/>
    <n v="9429845"/>
    <s v="Finalizado (6/10)"/>
    <n v="30.8"/>
    <n v="4.2"/>
    <n v="35"/>
    <s v="Sessão Faturada"/>
    <s v="0901014051790015"/>
    <n v="59669"/>
    <s v="Unidade Vieralves (ANEXO)"/>
    <n v="9429845"/>
    <m/>
  </r>
  <r>
    <x v="11"/>
    <x v="36"/>
    <s v="Elzilene da Silva"/>
    <s v="Feminino"/>
    <x v="4"/>
    <x v="17"/>
    <s v="31602185 - Estimulação Elétrica Transcutânea - Removido 13/04/2026 (R$ 40,00)"/>
    <s v="Fisioterapia"/>
    <n v="1717991176"/>
    <s v="Finalizado (3/10)"/>
    <n v="35.200000000000003"/>
    <n v="4.8"/>
    <n v="40"/>
    <s v="Sessão a Faturar"/>
    <n v="831485900019000"/>
    <n v="44191"/>
    <s v="Unidade Vieralves (ANEXO)"/>
    <n v="1717991176"/>
    <m/>
  </r>
  <r>
    <x v="11"/>
    <x v="61"/>
    <s v="Elzilene da Silva"/>
    <s v="Feminino"/>
    <x v="2"/>
    <x v="17"/>
    <s v="20103662 - Fisioterapia - Pos Operatorio Em Um Membro (R$ 14,99)"/>
    <s v="Fisioterapia"/>
    <n v="1717522831"/>
    <s v="Finalizado (4/10)"/>
    <n v="13.1912"/>
    <n v="1.7988"/>
    <n v="14.99"/>
    <s v="Sessão a Faturar"/>
    <n v="831485900019000"/>
    <n v="44191"/>
    <s v="Unidade Vieralves (ANEXO)"/>
    <n v="1717522831"/>
    <m/>
  </r>
  <r>
    <x v="11"/>
    <x v="40"/>
    <s v="Wilma Raposo Camara"/>
    <s v="Feminino"/>
    <x v="1"/>
    <x v="17"/>
    <s v="50000160 - Fisioterapia Ortopédica (R$ 20,00), 98980327 - Taxa de Eletroterapia (Tens) (R$ 15,00)"/>
    <s v="Fisioterapia"/>
    <n v="9639442"/>
    <s v="Finalizado (8/10)"/>
    <n v="30.8"/>
    <n v="4.2"/>
    <n v="35"/>
    <s v="Sessão a Faturar"/>
    <n v="2001013243020000"/>
    <n v="57366"/>
    <s v="Unidade Vieralves (ANEXO)"/>
    <n v="9639442"/>
    <m/>
  </r>
  <r>
    <x v="11"/>
    <x v="40"/>
    <s v="Rosene Das Graças Silva de Oliveira"/>
    <m/>
    <x v="15"/>
    <x v="17"/>
    <s v="20103492 - Patologia Em Dois Ou Mais Membros (R$ 49,20)"/>
    <s v="Fisioterapia"/>
    <n v="239161619"/>
    <s v="Finalizado (6/10)"/>
    <n v="43.295999999999999"/>
    <n v="5.9039999999999999"/>
    <n v="49.2"/>
    <s v="Sessão a Faturar"/>
    <s v="041063200102004"/>
    <n v="57656"/>
    <s v="Unidade Vieralves (ANEXO)"/>
    <n v="239161619"/>
    <s v="GUIA ASSINADA"/>
  </r>
  <r>
    <x v="11"/>
    <x v="40"/>
    <s v="Ricardo Andreazze da Silva"/>
    <s v="Masculino"/>
    <x v="9"/>
    <x v="17"/>
    <s v="31602185 - Estimulação Elétrica Transcutânea (Tens) - Removido 13/04/2026 (R$ 40,00)"/>
    <s v="Fisioterapia"/>
    <n v="1710689081"/>
    <s v="Finalizado (8/10)"/>
    <n v="35.200000000000003"/>
    <n v="4.8"/>
    <n v="40"/>
    <s v="Sessão a Faturar"/>
    <n v="954600010545000"/>
    <n v="38890"/>
    <s v="Unidade Vieralves (ANEXO)"/>
    <n v="1710689081"/>
    <m/>
  </r>
  <r>
    <x v="11"/>
    <x v="45"/>
    <s v="Ricardo Andreazze da Silva"/>
    <s v="Masculino"/>
    <x v="8"/>
    <x v="17"/>
    <s v="20103484 - Patologia Em Um Membro (R$ 12,22)"/>
    <s v="Fisioterapia"/>
    <n v="1709502547"/>
    <s v="Finalizado (9/10)"/>
    <n v="10.7536"/>
    <n v="1.4663999999999999"/>
    <n v="12.22"/>
    <s v="Sessão Faturada"/>
    <n v="954600010545000"/>
    <n v="38890"/>
    <s v="Unidade Vieralves (ANEXO)"/>
    <n v="1709502547"/>
    <m/>
  </r>
  <r>
    <x v="11"/>
    <x v="35"/>
    <s v="Zilene Alves Lima Soares"/>
    <m/>
    <x v="1"/>
    <x v="17"/>
    <s v="50000160 - Fisioterapia Ortopédica (R$ 20,00), 98980327 - Taxa de Eletroterapia (Tens) (R$ 15,00)"/>
    <s v="Fisioterapia"/>
    <n v="9309497"/>
    <s v="Finalizado (5/5)"/>
    <n v="30.8"/>
    <n v="4.2"/>
    <n v="35"/>
    <s v="Sessão Faturada"/>
    <n v="902001770170010"/>
    <n v="57378"/>
    <s v="Unidade Vieralves (ANEXO)"/>
    <n v="9309497"/>
    <m/>
  </r>
  <r>
    <x v="11"/>
    <x v="35"/>
    <s v="Nelma Vieira Lopes"/>
    <s v="Feminino"/>
    <x v="2"/>
    <x v="17"/>
    <s v="20103662 - Fisioterapia - Pos Operatorio Em Um Membro (R$ 14,99)"/>
    <s v="Fisioterapia"/>
    <n v="1716562531"/>
    <s v="Finalizado (3/10)"/>
    <n v="13.1912"/>
    <n v="1.7988"/>
    <n v="14.99"/>
    <s v="Sessão a Faturar"/>
    <n v="952480019644000"/>
    <n v="21113"/>
    <s v="Unidade Vieralves (ANEXO)"/>
    <n v="1716562531"/>
    <m/>
  </r>
  <r>
    <x v="11"/>
    <x v="35"/>
    <s v="Robguir Silva dos Santos"/>
    <s v="Masculino"/>
    <x v="8"/>
    <x v="17"/>
    <s v="20103492 - Patologia Em Dois Ou Mais Membros (R$ 14,83)"/>
    <s v="Fisioterapia"/>
    <n v="1718429374"/>
    <s v="Finalizado (2/10)"/>
    <n v="13.0504"/>
    <n v="1.7796000000000001"/>
    <n v="14.83"/>
    <s v="Sessão a Faturar"/>
    <n v="954600030341000"/>
    <n v="59814"/>
    <s v="Unidade Vieralves (ANEXO)"/>
    <n v="1718429374"/>
    <m/>
  </r>
  <r>
    <x v="11"/>
    <x v="35"/>
    <s v="Daniel Alves Costa"/>
    <s v="Masculino"/>
    <x v="2"/>
    <x v="17"/>
    <s v="20103492 - Fisioterapia - Patologia Em Dois Ou Mais Membros (R$ 14,83)"/>
    <s v="Fisioterapia"/>
    <n v="1718461705"/>
    <s v="Finalizado (2/10)"/>
    <n v="13.0504"/>
    <n v="1.7796000000000001"/>
    <n v="14.83"/>
    <s v="Sessão a Faturar"/>
    <n v="773709045225010"/>
    <n v="43704"/>
    <s v="Unidade Vieralves (ANEXO)"/>
    <n v="1718461705"/>
    <m/>
  </r>
  <r>
    <x v="11"/>
    <x v="42"/>
    <s v="Nelma Vieira Lopes"/>
    <s v="Feminino"/>
    <x v="4"/>
    <x v="17"/>
    <s v="31602185 - Estimulação Elétrica Transcutânea - Removido 13/04/2026 (R$ 40,00)"/>
    <s v="Fisioterapia"/>
    <n v="1716564428"/>
    <s v="Finalizado (3/7)"/>
    <n v="35.200000000000003"/>
    <n v="4.8"/>
    <n v="40"/>
    <s v="Sessão a Faturar"/>
    <n v="952480019644000"/>
    <n v="21113"/>
    <s v="Unidade Vieralves (ANEXO)"/>
    <n v="1716564428"/>
    <m/>
  </r>
  <r>
    <x v="11"/>
    <x v="42"/>
    <s v="Daniel Alves Costa"/>
    <s v="Masculino"/>
    <x v="4"/>
    <x v="17"/>
    <s v="31602185 - Estimulação Elétrica Transcutânea - Removido 13/04/2026 (R$ 40,00)"/>
    <s v="Fisioterapia"/>
    <n v="1719430388"/>
    <s v="Finalizado (1/3)"/>
    <n v="35.200000000000003"/>
    <n v="4.8"/>
    <n v="40"/>
    <s v="Sessão a Faturar"/>
    <n v="773709045225010"/>
    <n v="43704"/>
    <s v="Unidade Vieralves (ANEXO)"/>
    <n v="1719430388"/>
    <m/>
  </r>
  <r>
    <x v="11"/>
    <x v="38"/>
    <s v="Paulo Roberto Pires de Sousa"/>
    <s v="Masculino"/>
    <x v="18"/>
    <x v="17"/>
    <s v="50000160 - Fisioterapia Ortopedica - Pacote (R$ 25,00)"/>
    <s v="Fisioterapia"/>
    <n v="170798"/>
    <s v="Finalizado (7/10)"/>
    <n v="22"/>
    <n v="3"/>
    <n v="25"/>
    <s v="Sessão a Faturar"/>
    <s v="00"/>
    <n v="59565"/>
    <s v="Unidade Vieralves (ANEXO)"/>
    <n v="170798"/>
    <m/>
  </r>
  <r>
    <x v="11"/>
    <x v="38"/>
    <s v="Antônio Edivaldo Pereira Nunes"/>
    <s v="Masculino"/>
    <x v="12"/>
    <x v="17"/>
    <s v="31602185 - Estimulação Elétrica Transcutânea (Tens) (R$ 49,00)"/>
    <s v="Fisioterapia"/>
    <n v="10312656"/>
    <s v="Finalizado (8/10)"/>
    <n v="43.12"/>
    <n v="5.88"/>
    <n v="49"/>
    <s v="Sessão a Faturar"/>
    <n v="9.5125782212117005E+17"/>
    <n v="57571"/>
    <s v="Unidade Vieralves (ANEXO)"/>
    <n v="10312656"/>
    <m/>
  </r>
  <r>
    <x v="11"/>
    <x v="38"/>
    <s v="Heloísa Ribeiro Alves"/>
    <s v="Feminino"/>
    <x v="8"/>
    <x v="17"/>
    <s v="20103492 - Patologia Em Dois Ou Mais Membros (R$ 14,83)"/>
    <s v="Fisioterapia"/>
    <n v="1709544860"/>
    <s v="Finalizado (9/10)"/>
    <n v="13.0504"/>
    <n v="1.7796000000000001"/>
    <n v="14.83"/>
    <s v="Sessão Faturada"/>
    <n v="954600017590000"/>
    <n v="59570"/>
    <s v="Unidade Vieralves (ANEXO)"/>
    <n v="1709544860"/>
    <m/>
  </r>
  <r>
    <x v="11"/>
    <x v="38"/>
    <s v="María de Fátima Cavalcante"/>
    <s v="Feminino"/>
    <x v="1"/>
    <x v="17"/>
    <s v="50000160 - Fisioterapia Ortopédica (R$ 20,00), 98980327 - Taxa de Eletroterapia (Tens) (R$ 15,00)"/>
    <s v="Fisioterapia"/>
    <n v="9639936"/>
    <s v="Finalizado (8/10)"/>
    <n v="30.8"/>
    <n v="4.2"/>
    <n v="35"/>
    <s v="Sessão a Faturar"/>
    <s v="0801012899750000"/>
    <n v="56109"/>
    <s v="Unidade Vieralves (ANEXO)"/>
    <n v="9639936"/>
    <s v="Guia assinada! 24.03"/>
  </r>
  <r>
    <x v="11"/>
    <x v="62"/>
    <s v="Heloísa Ribeiro Alves"/>
    <s v="Feminino"/>
    <x v="9"/>
    <x v="17"/>
    <s v="31602185 - Estimulação Elétrica Transcutânea (Tens) - Removido 13/04/2026 (R$ 40,00)"/>
    <s v="Fisioterapia"/>
    <n v="1710807896"/>
    <s v="Finalizado (8/9)"/>
    <n v="35.200000000000003"/>
    <n v="4.8"/>
    <n v="40"/>
    <s v="Sessão a Faturar"/>
    <n v="954600017590000"/>
    <n v="59570"/>
    <s v="Unidade Vieralves (ANEXO)"/>
    <n v="1710807896"/>
    <m/>
  </r>
  <r>
    <x v="11"/>
    <x v="37"/>
    <s v="Magaly Portela Regis"/>
    <s v="Feminino"/>
    <x v="2"/>
    <x v="17"/>
    <s v="20103484 - Fisioterapia - Patologia Em Um Membro (R$ 12,22)"/>
    <s v="Fisioterapia"/>
    <n v="1714561743"/>
    <s v="Finalizado (5/5)"/>
    <n v="10.7536"/>
    <n v="1.4663999999999999"/>
    <n v="12.22"/>
    <s v="Sessão Faturada"/>
    <n v="838224200051000"/>
    <n v="16940"/>
    <s v="Unidade Vieralves (ANEXO)"/>
    <n v="1714561743"/>
    <m/>
  </r>
  <r>
    <x v="11"/>
    <x v="37"/>
    <s v="Areta Pinto Figueiredo"/>
    <s v="Feminino"/>
    <x v="1"/>
    <x v="17"/>
    <s v="50000160 - Fisioterapia Ortopédica (R$ 20,00), 98980327 - Taxa de Eletroterapia (Tens) (R$ 15,00)"/>
    <s v="Fisioterapia"/>
    <n v="9516737"/>
    <s v="Finalizado (2/10)"/>
    <n v="30.8"/>
    <n v="4.2"/>
    <n v="35"/>
    <s v="Sessão Faturada"/>
    <n v="1301013001650100"/>
    <n v="20611"/>
    <s v="Unidade Vieralves (ANEXO)"/>
    <n v="9516737"/>
    <s v="Guia assinada! 28/03"/>
  </r>
  <r>
    <x v="11"/>
    <x v="37"/>
    <s v="Lenita de Salvi"/>
    <s v="Feminino"/>
    <x v="12"/>
    <x v="17"/>
    <s v="20103492 - Patol. Em Dois Ou Mais Membros (R$ 14,83)"/>
    <s v="Fisioterapia"/>
    <n v="171816"/>
    <s v="Finalizado (10/10)"/>
    <n v="13.0504"/>
    <n v="1.7796000000000001"/>
    <n v="14.83"/>
    <s v="Sessão a Faturar"/>
    <n v="9.5125288282221005E+17"/>
    <n v="52294"/>
    <s v="Unidade Vieralves (ANEXO)"/>
    <n v="171816"/>
    <m/>
  </r>
  <r>
    <x v="11"/>
    <x v="63"/>
    <s v="Lenita de Salvi"/>
    <s v="Feminino"/>
    <x v="12"/>
    <x v="17"/>
    <s v="31602185 - Estimulação Elétrica Transcutânea (Tens) (R$ 49,00)"/>
    <s v="Fisioterapia"/>
    <n v="10337257"/>
    <s v="Finalizado (7/8)"/>
    <n v="43.12"/>
    <n v="5.88"/>
    <n v="49"/>
    <s v="Sessão a Faturar"/>
    <n v="9.5125288282221005E+17"/>
    <n v="52294"/>
    <s v="Unidade Vieralves (ANEXO)"/>
    <n v="10337257"/>
    <m/>
  </r>
  <r>
    <x v="11"/>
    <x v="39"/>
    <s v="Marcia dos Santos"/>
    <s v="Feminino"/>
    <x v="6"/>
    <x v="17"/>
    <s v="20103484 - Patologia Em Um Membro (R$ 14,16)"/>
    <s v="Fisioterapia"/>
    <n v="171978"/>
    <s v="Finalizado (6/10)"/>
    <n v="12.460800000000001"/>
    <n v="1.6992"/>
    <n v="14.16"/>
    <s v="Sessão a Faturar"/>
    <s v="55788888490616460011"/>
    <n v="24503"/>
    <s v="Unidade Vieralves (ANEXO)"/>
    <n v="171978"/>
    <m/>
  </r>
  <r>
    <x v="11"/>
    <x v="64"/>
    <s v="Marcia dos Santos"/>
    <s v="Feminino"/>
    <x v="6"/>
    <x v="17"/>
    <s v="31602185 - Estimulação Elétrica Transcutanea (Tens) (R$ 40,00)"/>
    <s v="Fisioterapia"/>
    <n v="171979"/>
    <s v="Finalizado (7/7)"/>
    <n v="35.200000000000003"/>
    <n v="4.8"/>
    <n v="40"/>
    <s v="Sessão a Faturar"/>
    <s v="55788888490616460011"/>
    <n v="24503"/>
    <s v="Unidade Vieralves (ANEXO)"/>
    <n v="171979"/>
    <m/>
  </r>
  <r>
    <x v="12"/>
    <x v="36"/>
    <s v="Sonia Maria Morais Maia"/>
    <s v="Feminino"/>
    <x v="0"/>
    <x v="18"/>
    <s v="50000446 - Rpg (R$ 62,75)"/>
    <s v="Rpg"/>
    <s v="42263120260204230497"/>
    <s v="Finalizado (10/10)"/>
    <n v="50.2"/>
    <n v="12.55"/>
    <n v="62.75"/>
    <s v="Sessão Faturada"/>
    <s v="010650548005"/>
    <n v="55667"/>
    <s v="Unidade Sao Jose"/>
    <s v="42263120260204230497"/>
    <m/>
  </r>
  <r>
    <x v="12"/>
    <x v="37"/>
    <s v="Rafaela Pinheiro Lima"/>
    <s v="Feminino"/>
    <x v="7"/>
    <x v="18"/>
    <s v="Sao José - 9 - Rpg - Pacote (R$ 35,00)"/>
    <s v="Rpg"/>
    <n v="168811"/>
    <s v="Finalizado (2/10)"/>
    <n v="26.25"/>
    <n v="8.75"/>
    <n v="35"/>
    <s v="Pago"/>
    <n v="59182"/>
    <n v="59182"/>
    <s v="Unidade Sao Jose"/>
    <n v="168811"/>
    <m/>
  </r>
  <r>
    <x v="12"/>
    <x v="2"/>
    <s v="Maria Francisca da Silva Carvalho"/>
    <s v="Feminino"/>
    <x v="7"/>
    <x v="18"/>
    <s v="Sao José - 9 - Rpg - Pacote (R$ 35,00)"/>
    <s v="Rpg"/>
    <n v="166614"/>
    <s v="Finalizado (7/10)"/>
    <n v="26.25"/>
    <n v="8.75"/>
    <n v="35"/>
    <s v="Pago"/>
    <n v="58726"/>
    <n v="58726"/>
    <s v="Unidade Sao Jose"/>
    <n v="166614"/>
    <m/>
  </r>
  <r>
    <x v="12"/>
    <x v="15"/>
    <s v="Jailson da Silva Teixeira"/>
    <s v="Masculino"/>
    <x v="27"/>
    <x v="18"/>
    <s v="50000446 - Rpg (R$ 36,71)"/>
    <s v="Rpg"/>
    <n v="1702944696"/>
    <s v="Finalizado (3/3)"/>
    <n v="29.367999999999999"/>
    <n v="7.3419999999999996"/>
    <n v="36.71"/>
    <s v="Sessão Faturada"/>
    <n v="771015056251000"/>
    <n v="49655"/>
    <s v="Unidade Sao Jose"/>
    <n v="1702944696"/>
    <m/>
  </r>
  <r>
    <x v="12"/>
    <x v="17"/>
    <s v="Adna Melo da Silva Juvenal"/>
    <s v="Feminino"/>
    <x v="8"/>
    <x v="18"/>
    <s v="50000446 - Reeducação Postural Global (R$ 36,71)"/>
    <s v="Rpg"/>
    <n v="1703990258"/>
    <s v="Finalizado (2/5)"/>
    <n v="29.367999999999999"/>
    <n v="7.3419999999999996"/>
    <n v="36.71"/>
    <s v="Sessão Faturada"/>
    <n v="954600025615010"/>
    <n v="54008"/>
    <s v="Unidade Sao Jose"/>
    <n v="1703990258"/>
    <m/>
  </r>
  <r>
    <x v="14"/>
    <x v="44"/>
    <s v="Cleide Luiza da Silva Cabral"/>
    <s v="Feminino"/>
    <x v="27"/>
    <x v="18"/>
    <s v="50000446 - Rpg (R$ 36,71)"/>
    <s v="Rpg"/>
    <n v="1702556914"/>
    <s v="Finalizado (2/3)"/>
    <n v="29.367999999999999"/>
    <n v="7.3419999999999996"/>
    <n v="36.71"/>
    <s v="Sessão Faturada"/>
    <n v="897137800051020"/>
    <n v="54445"/>
    <s v="Unidade Sao Jose"/>
    <n v="1702556914"/>
    <m/>
  </r>
  <r>
    <x v="14"/>
    <x v="41"/>
    <s v="Ketlem Kamila Ribeiro dos Santos"/>
    <m/>
    <x v="27"/>
    <x v="18"/>
    <s v="50000446 - Rpg (R$ 36,71)"/>
    <s v="Rpg"/>
    <n v="1706685745"/>
    <s v="Finalizado (1/3)"/>
    <n v="29.367999999999999"/>
    <n v="7.3419999999999996"/>
    <n v="36.71"/>
    <s v="Sessão a Faturar"/>
    <n v="881758800094000"/>
    <n v="52913"/>
    <s v="Unidade Sao Jose"/>
    <n v="1706685745"/>
    <m/>
  </r>
  <r>
    <x v="14"/>
    <x v="36"/>
    <s v="Francinete Ferreira de Souza"/>
    <s v="Feminino"/>
    <x v="8"/>
    <x v="18"/>
    <s v="50000446 - Reeducação Postural Global (R$ 36,71)"/>
    <s v="Rpg"/>
    <n v="1704668912"/>
    <s v="Finalizado (2/5)"/>
    <n v="29.367999999999999"/>
    <n v="7.3419999999999996"/>
    <n v="36.71"/>
    <s v="Sessão Faturada"/>
    <n v="954390037672020"/>
    <n v="41225"/>
    <s v="Unidade Sao Jose"/>
    <n v="1704668912"/>
    <m/>
  </r>
  <r>
    <x v="14"/>
    <x v="36"/>
    <s v="Dilson Pereira Dourado"/>
    <m/>
    <x v="27"/>
    <x v="18"/>
    <s v="50000446 - Rpg (R$ 36,71)"/>
    <s v="Rpg"/>
    <n v="1706708501"/>
    <s v="Finalizado (1/5)"/>
    <n v="29.367999999999999"/>
    <n v="7.3419999999999996"/>
    <n v="36.71"/>
    <s v="Sessão Faturada"/>
    <n v="898081400019000"/>
    <n v="54845"/>
    <s v="Unidade Sao Jose"/>
    <n v="1706708501"/>
    <m/>
  </r>
  <r>
    <x v="14"/>
    <x v="35"/>
    <s v="Sonia Maria Morais Maia"/>
    <s v="Feminino"/>
    <x v="0"/>
    <x v="18"/>
    <s v="50000446 - Rpg (R$ 62,75)"/>
    <s v="Rpg"/>
    <s v="42263120260309430912"/>
    <s v="Finalizado (1/10)"/>
    <n v="50.2"/>
    <n v="12.55"/>
    <n v="62.75"/>
    <s v="Sessão a Faturar"/>
    <s v="010650548005"/>
    <n v="55667"/>
    <s v="Unidade Sao Jose"/>
    <s v="42263120260309430912"/>
    <m/>
  </r>
  <r>
    <x v="14"/>
    <x v="39"/>
    <s v="Misleia Fernandes Mendes"/>
    <s v="Feminino"/>
    <x v="27"/>
    <x v="18"/>
    <s v="50000446 - Rpg (R$ 36,71)"/>
    <s v="Rpg"/>
    <n v="1698940302"/>
    <s v="Finalizado (2/2)"/>
    <n v="29.367999999999999"/>
    <n v="7.3419999999999996"/>
    <n v="36.71"/>
    <s v="Sessão Faturada"/>
    <n v="770179020664010"/>
    <n v="44824"/>
    <s v="Unidade Sao Jose"/>
    <n v="1698940302"/>
    <m/>
  </r>
  <r>
    <x v="14"/>
    <x v="39"/>
    <s v="Rafaela Pinheiro Lima"/>
    <s v="Feminino"/>
    <x v="7"/>
    <x v="18"/>
    <s v="Sao José - 9 - Rpg - Pacote (R$ 35,00)"/>
    <s v="Rpg"/>
    <n v="168811"/>
    <s v="Finalizado (3/10)"/>
    <n v="26.25"/>
    <n v="8.75"/>
    <n v="35"/>
    <s v="Pago"/>
    <n v="59182"/>
    <n v="59182"/>
    <s v="Unidade Sao Jose"/>
    <n v="168811"/>
    <m/>
  </r>
  <r>
    <x v="14"/>
    <x v="2"/>
    <s v="Bruna Naiana Alves Gonçalves"/>
    <m/>
    <x v="27"/>
    <x v="18"/>
    <s v="50000446 - Rpg (R$ 36,71)"/>
    <s v="Rpg"/>
    <n v="1699017829"/>
    <s v="Finalizado (3/3)"/>
    <n v="29.367999999999999"/>
    <n v="7.3419999999999996"/>
    <n v="36.71"/>
    <s v="Sessão Faturada"/>
    <n v="898786000019010"/>
    <n v="57518"/>
    <s v="Unidade Sao Jose"/>
    <n v="1699017829"/>
    <m/>
  </r>
  <r>
    <x v="14"/>
    <x v="4"/>
    <s v="Maria Francisca da Silva Carvalho"/>
    <s v="Feminino"/>
    <x v="7"/>
    <x v="18"/>
    <s v="Sao José - 9 - Rpg - Pacote (R$ 35,00)"/>
    <s v="Rpg"/>
    <n v="166614"/>
    <s v="Finalizado (8/10)"/>
    <n v="26.25"/>
    <n v="8.75"/>
    <n v="35"/>
    <s v="Pago"/>
    <n v="58726"/>
    <n v="58726"/>
    <s v="Unidade Sao Jose"/>
    <n v="166614"/>
    <m/>
  </r>
  <r>
    <x v="14"/>
    <x v="6"/>
    <s v="Ana Cristina de Frota Palheta"/>
    <s v="Feminino"/>
    <x v="7"/>
    <x v="18"/>
    <s v="Sao José - 9 - Rpg - Pacote (R$ 35,00)"/>
    <s v="Rpg"/>
    <n v="148740"/>
    <s v="Finalizado (9/10)"/>
    <n v="26.25"/>
    <n v="8.75"/>
    <n v="35"/>
    <s v="Pago"/>
    <s v="54588888012065310011"/>
    <n v="20193"/>
    <s v="Unidade Sao Jose"/>
    <n v="148740"/>
    <m/>
  </r>
  <r>
    <x v="14"/>
    <x v="17"/>
    <s v="Adna Melo da Silva Juvenal"/>
    <s v="Feminino"/>
    <x v="8"/>
    <x v="18"/>
    <s v="50000446 - Reeducação Postural Global (R$ 36,71)"/>
    <s v="Rpg"/>
    <n v="1703990258"/>
    <s v="Finalizado (3/5)"/>
    <n v="29.367999999999999"/>
    <n v="7.3419999999999996"/>
    <n v="36.71"/>
    <s v="Sessão Faturada"/>
    <n v="954600025615010"/>
    <n v="54008"/>
    <s v="Unidade Sao Jose"/>
    <n v="1703990258"/>
    <m/>
  </r>
  <r>
    <x v="16"/>
    <x v="35"/>
    <s v="Dilson Pereira Dourado"/>
    <m/>
    <x v="27"/>
    <x v="18"/>
    <s v="50000446 - Rpg (R$ 36,71)"/>
    <s v="Rpg"/>
    <n v="1706708501"/>
    <s v="Finalizado (2/5)"/>
    <n v="29.367999999999999"/>
    <n v="7.3419999999999996"/>
    <n v="36.71"/>
    <s v="Sessão Faturada"/>
    <n v="898081400019000"/>
    <n v="54845"/>
    <s v="Unidade Sao Jose"/>
    <n v="1706708501"/>
    <m/>
  </r>
  <r>
    <x v="16"/>
    <x v="2"/>
    <s v="Joao Miguel Gonçalves Laureano"/>
    <s v="Masculino"/>
    <x v="2"/>
    <x v="18"/>
    <s v="50000446 - Rpg (R$ 36,71)"/>
    <s v="Rpg"/>
    <n v="1707984370"/>
    <s v="Finalizado (1/2)"/>
    <n v="29.367999999999999"/>
    <n v="7.3419999999999996"/>
    <n v="36.71"/>
    <s v="Sessão a Faturar"/>
    <n v="898786000019020"/>
    <n v="59194"/>
    <s v="Unidade Sao Jose"/>
    <n v="1707984370"/>
    <m/>
  </r>
  <r>
    <x v="16"/>
    <x v="13"/>
    <s v="Diana Costa Tavares Gonçalves"/>
    <s v="Feminino"/>
    <x v="27"/>
    <x v="18"/>
    <s v="50000446 - Rpg (R$ 36,71)"/>
    <s v="Rpg"/>
    <n v="1700087459"/>
    <s v="Finalizado (3/4)"/>
    <n v="29.367999999999999"/>
    <n v="7.3419999999999996"/>
    <n v="36.71"/>
    <s v="Sessão Faturada"/>
    <n v="813227000817000"/>
    <n v="52256"/>
    <s v="Unidade Sao Jose"/>
    <n v="1700087459"/>
    <m/>
  </r>
  <r>
    <x v="17"/>
    <x v="44"/>
    <s v="Marinete Torres Martins"/>
    <s v="Feminino"/>
    <x v="2"/>
    <x v="18"/>
    <s v="50000446 - Rpg (R$ 36,71)"/>
    <s v="Rpg"/>
    <n v="1702547778"/>
    <s v="Finalizado (2/4)"/>
    <n v="29.367999999999999"/>
    <n v="7.3419999999999996"/>
    <n v="36.71"/>
    <s v="Sessão Faturada"/>
    <n v="775255000396000"/>
    <n v="50094"/>
    <s v="Unidade Sao Jose"/>
    <n v="1702547778"/>
    <m/>
  </r>
  <r>
    <x v="17"/>
    <x v="44"/>
    <s v="Maria Das Graças Pereira Tassinary"/>
    <s v="Feminino"/>
    <x v="14"/>
    <x v="18"/>
    <s v="50000446 - Rpg (R$ 36,71)"/>
    <s v="Rpg"/>
    <n v="1703619691"/>
    <s v="Finalizado (3/3)"/>
    <n v="29.367999999999999"/>
    <n v="7.3419999999999996"/>
    <n v="36.71"/>
    <s v="Sessão Faturada"/>
    <n v="954390038288000"/>
    <n v="55581"/>
    <s v="Unidade Sao Jose"/>
    <n v="1703619691"/>
    <m/>
  </r>
  <r>
    <x v="17"/>
    <x v="36"/>
    <s v="Dilson Pereira Dourado"/>
    <m/>
    <x v="27"/>
    <x v="18"/>
    <s v="50000446 - Rpg (R$ 36,71)"/>
    <s v="Rpg"/>
    <n v="1706708501"/>
    <s v="Finalizado (3/5)"/>
    <n v="29.367999999999999"/>
    <n v="7.3419999999999996"/>
    <n v="36.71"/>
    <s v="Sessão Faturada"/>
    <n v="898081400019000"/>
    <n v="54845"/>
    <s v="Unidade Sao Jose"/>
    <n v="1706708501"/>
    <m/>
  </r>
  <r>
    <x v="17"/>
    <x v="40"/>
    <s v="Alessandro Ramos Veiga"/>
    <s v="Masculino"/>
    <x v="2"/>
    <x v="18"/>
    <s v="50000446 - Rpg (R$ 36,71)"/>
    <s v="Rpg"/>
    <n v="1708852090"/>
    <s v="Finalizado (1/4)"/>
    <n v="29.367999999999999"/>
    <n v="7.3419999999999996"/>
    <n v="36.71"/>
    <s v="Sessão Faturada"/>
    <n v="771015061093000"/>
    <n v="59531"/>
    <s v="Unidade Sao Jose"/>
    <n v="1708852090"/>
    <m/>
  </r>
  <r>
    <x v="17"/>
    <x v="4"/>
    <s v="Ketlem Kamila Ribeiro dos Santos"/>
    <m/>
    <x v="27"/>
    <x v="18"/>
    <s v="50000446 - Rpg (R$ 36,71)"/>
    <s v="Rpg"/>
    <n v="1706685745"/>
    <s v="Finalizado (2/3)"/>
    <n v="29.367999999999999"/>
    <n v="7.3419999999999996"/>
    <n v="36.71"/>
    <s v="Sessão a Faturar"/>
    <n v="881758800094000"/>
    <n v="52913"/>
    <s v="Unidade Sao Jose"/>
    <n v="1706685745"/>
    <m/>
  </r>
  <r>
    <x v="17"/>
    <x v="4"/>
    <s v="Maria Francisca da Silva Carvalho"/>
    <s v="Feminino"/>
    <x v="7"/>
    <x v="18"/>
    <s v="Sao José - 9 - Rpg - Pacote (R$ 35,00)"/>
    <s v="Rpg"/>
    <n v="166614"/>
    <s v="Finalizado (9/10)"/>
    <n v="26.25"/>
    <n v="8.75"/>
    <n v="35"/>
    <s v="Pago"/>
    <n v="58726"/>
    <n v="58726"/>
    <s v="Unidade Sao Jose"/>
    <n v="166614"/>
    <m/>
  </r>
  <r>
    <x v="17"/>
    <x v="15"/>
    <s v="Wilsiane Aciole Lopes"/>
    <s v="Feminino"/>
    <x v="2"/>
    <x v="18"/>
    <s v="50000446 - Rpg (R$ 36,71)"/>
    <s v="Rpg"/>
    <n v="1709206470"/>
    <s v="Finalizado (1/1)"/>
    <n v="29.367999999999999"/>
    <n v="7.3419999999999996"/>
    <n v="36.71"/>
    <s v="Sessão Faturada"/>
    <n v="773709039322010"/>
    <n v="56208"/>
    <s v="Unidade Sao Jose"/>
    <n v="1709206470"/>
    <m/>
  </r>
  <r>
    <x v="17"/>
    <x v="17"/>
    <s v="Adna Melo da Silva Juvenal"/>
    <s v="Feminino"/>
    <x v="8"/>
    <x v="18"/>
    <s v="50000446 - Reeducação Postural Global (R$ 36,71)"/>
    <s v="Rpg"/>
    <n v="1703990258"/>
    <s v="Finalizado (4/5)"/>
    <n v="29.367999999999999"/>
    <n v="7.3419999999999996"/>
    <n v="36.71"/>
    <s v="Sessão Faturada"/>
    <n v="954600025615010"/>
    <n v="54008"/>
    <s v="Unidade Sao Jose"/>
    <n v="1703990258"/>
    <m/>
  </r>
  <r>
    <x v="22"/>
    <x v="44"/>
    <s v="Ketlem Kamila Ribeiro dos Santos"/>
    <m/>
    <x v="2"/>
    <x v="18"/>
    <s v="50000446 - Rpg (R$ 36,71)"/>
    <s v="Rpg"/>
    <n v="1710064016"/>
    <s v="Finalizado (1/1)"/>
    <n v="29.367999999999999"/>
    <n v="7.3419999999999996"/>
    <n v="36.71"/>
    <s v="Sessão Faturada"/>
    <n v="881758800094000"/>
    <n v="52913"/>
    <s v="Unidade Sao Jose"/>
    <n v="1710064016"/>
    <m/>
  </r>
  <r>
    <x v="22"/>
    <x v="36"/>
    <s v="Sonia Maria Morais Maia"/>
    <s v="Feminino"/>
    <x v="0"/>
    <x v="18"/>
    <s v="50000446 - Rpg (R$ 62,75)"/>
    <s v="Rpg"/>
    <s v="42263120260309430912"/>
    <s v="Finalizado (2/10)"/>
    <n v="50.2"/>
    <n v="12.55"/>
    <n v="62.75"/>
    <s v="Sessão a Faturar"/>
    <s v="010650548005"/>
    <n v="55667"/>
    <s v="Unidade Sao Jose"/>
    <s v="42263120260309430912"/>
    <m/>
  </r>
  <r>
    <x v="22"/>
    <x v="40"/>
    <s v="Alessandro Ramos Veiga"/>
    <s v="Masculino"/>
    <x v="2"/>
    <x v="18"/>
    <s v="50000446 - Rpg (R$ 36,71)"/>
    <s v="Rpg"/>
    <n v="1708852090"/>
    <s v="Finalizado (2/4)"/>
    <n v="29.367999999999999"/>
    <n v="7.3419999999999996"/>
    <n v="36.71"/>
    <s v="Sessão Faturada"/>
    <n v="771015061093000"/>
    <n v="59531"/>
    <s v="Unidade Sao Jose"/>
    <n v="1708852090"/>
    <m/>
  </r>
  <r>
    <x v="22"/>
    <x v="40"/>
    <s v="Francinete Ferreira de Souza"/>
    <s v="Feminino"/>
    <x v="8"/>
    <x v="18"/>
    <s v="50000446 - Reeducação Postural Global (R$ 36,71)"/>
    <s v="Rpg"/>
    <n v="1704668912"/>
    <s v="Finalizado (3/5)"/>
    <n v="29.367999999999999"/>
    <n v="7.3419999999999996"/>
    <n v="36.71"/>
    <s v="Sessão Faturada"/>
    <n v="954390037672020"/>
    <n v="41225"/>
    <s v="Unidade Sao Jose"/>
    <n v="1704668912"/>
    <m/>
  </r>
  <r>
    <x v="22"/>
    <x v="35"/>
    <s v="Dilson Pereira Dourado"/>
    <m/>
    <x v="27"/>
    <x v="18"/>
    <s v="50000446 - Rpg (R$ 36,71)"/>
    <s v="Rpg"/>
    <n v="1706708501"/>
    <s v="Finalizado (4/5)"/>
    <n v="29.367999999999999"/>
    <n v="7.3419999999999996"/>
    <n v="36.71"/>
    <s v="Sessão Faturada"/>
    <n v="898081400019000"/>
    <n v="54845"/>
    <s v="Unidade Sao Jose"/>
    <n v="1706708501"/>
    <m/>
  </r>
  <r>
    <x v="22"/>
    <x v="13"/>
    <s v="Jeane Cardoso Pinheiro"/>
    <s v="Feminino"/>
    <x v="8"/>
    <x v="18"/>
    <s v="50000446 - Reeducação Postural Global (R$ 36,71)"/>
    <s v="Rpg"/>
    <n v="1710427686"/>
    <s v="Finalizado (1/1)"/>
    <n v="29.367999999999999"/>
    <n v="7.3419999999999996"/>
    <n v="36.71"/>
    <s v="Sessão Faturada"/>
    <n v="954600033294000"/>
    <n v="57294"/>
    <s v="Unidade Sao Jose"/>
    <n v="1710427686"/>
    <m/>
  </r>
  <r>
    <x v="20"/>
    <x v="44"/>
    <s v="Marta Marcione Bentes Albuquerque"/>
    <s v="Feminino"/>
    <x v="8"/>
    <x v="18"/>
    <s v="50000446 - Reeducação Postural Global (R$ 36,71)"/>
    <s v="Rpg"/>
    <n v="1698976569"/>
    <s v="Finalizado (4/4)"/>
    <n v="29.367999999999999"/>
    <n v="7.3419999999999996"/>
    <n v="36.71"/>
    <s v="Sessão Faturada"/>
    <n v="954600004960000"/>
    <n v="40103"/>
    <s v="Unidade Sao Jose"/>
    <n v="1698976569"/>
    <m/>
  </r>
  <r>
    <x v="20"/>
    <x v="44"/>
    <s v="Dilson Pereira Dourado"/>
    <m/>
    <x v="27"/>
    <x v="18"/>
    <s v="50000446 - Rpg (R$ 36,71)"/>
    <s v="Rpg"/>
    <n v="1706708501"/>
    <s v="Finalizado (5/5)"/>
    <n v="29.367999999999999"/>
    <n v="7.3419999999999996"/>
    <n v="36.71"/>
    <s v="Sessão Faturada"/>
    <n v="898081400019000"/>
    <n v="54845"/>
    <s v="Unidade Sao Jose"/>
    <n v="1706708501"/>
    <m/>
  </r>
  <r>
    <x v="20"/>
    <x v="40"/>
    <s v="Francinete Ferreira de Souza"/>
    <s v="Feminino"/>
    <x v="8"/>
    <x v="18"/>
    <s v="50000446 - Reeducação Postural Global (R$ 36,71)"/>
    <s v="Rpg"/>
    <n v="1704668912"/>
    <s v="Finalizado (4/5)"/>
    <n v="29.367999999999999"/>
    <n v="7.3419999999999996"/>
    <n v="36.71"/>
    <s v="Sessão Faturada"/>
    <n v="954390037672020"/>
    <n v="41225"/>
    <s v="Unidade Sao Jose"/>
    <n v="1704668912"/>
    <m/>
  </r>
  <r>
    <x v="20"/>
    <x v="35"/>
    <s v="Sonia Maria Morais Maia"/>
    <s v="Feminino"/>
    <x v="0"/>
    <x v="18"/>
    <s v="50000446 - Rpg (R$ 62,75)"/>
    <s v="Rpg"/>
    <s v="42263120260309430912"/>
    <s v="Finalizado (3/10)"/>
    <n v="50.2"/>
    <n v="12.55"/>
    <n v="62.75"/>
    <s v="Sessão a Faturar"/>
    <s v="010650548005"/>
    <n v="55667"/>
    <s v="Unidade Sao Jose"/>
    <s v="42263120260309430912"/>
    <m/>
  </r>
  <r>
    <x v="20"/>
    <x v="35"/>
    <s v="Andriely Oliveira Braga"/>
    <s v="Feminino"/>
    <x v="27"/>
    <x v="18"/>
    <s v="50000446 - Rpg (R$ 36,71)"/>
    <s v="Rpg"/>
    <n v="1711368085"/>
    <s v="Finalizado (1/5)"/>
    <n v="29.367999999999999"/>
    <n v="7.3419999999999996"/>
    <n v="36.71"/>
    <s v="Sessão Faturada"/>
    <n v="813227000396000"/>
    <n v="52145"/>
    <s v="Unidade Sao Jose"/>
    <n v="1711368085"/>
    <m/>
  </r>
  <r>
    <x v="20"/>
    <x v="22"/>
    <s v="Alessandro Ramos Veiga"/>
    <s v="Masculino"/>
    <x v="2"/>
    <x v="18"/>
    <s v="50000446 - Rpg (R$ 36,71)"/>
    <s v="Rpg"/>
    <n v="1708852090"/>
    <s v="Finalizado (3/4)"/>
    <n v="29.367999999999999"/>
    <n v="7.3419999999999996"/>
    <n v="36.71"/>
    <s v="Sessão Faturada"/>
    <n v="771015061093000"/>
    <n v="59531"/>
    <s v="Unidade Sao Jose"/>
    <n v="1708852090"/>
    <m/>
  </r>
  <r>
    <x v="20"/>
    <x v="22"/>
    <s v="Joao Miguel Gonçalves Laureano"/>
    <s v="Masculino"/>
    <x v="2"/>
    <x v="18"/>
    <s v="50000446 - Rpg (R$ 36,71)"/>
    <s v="Rpg"/>
    <n v="1707984370"/>
    <s v="Finalizado (2/2)"/>
    <n v="29.367999999999999"/>
    <n v="7.3419999999999996"/>
    <n v="36.71"/>
    <s v="Sessão a Faturar"/>
    <n v="898786000019020"/>
    <n v="59194"/>
    <s v="Unidade Sao Jose"/>
    <n v="1707984370"/>
    <m/>
  </r>
  <r>
    <x v="20"/>
    <x v="17"/>
    <s v="Adna Melo da Silva Juvenal"/>
    <s v="Feminino"/>
    <x v="8"/>
    <x v="18"/>
    <s v="50000446 - Reeducação Postural Global (R$ 36,71)"/>
    <s v="Rpg"/>
    <n v="1703990258"/>
    <s v="Finalizado (5/5)"/>
    <n v="29.367999999999999"/>
    <n v="7.3419999999999996"/>
    <n v="36.71"/>
    <s v="Sessão Faturada"/>
    <n v="954600025615010"/>
    <n v="54008"/>
    <s v="Unidade Sao Jose"/>
    <n v="1703990258"/>
    <m/>
  </r>
  <r>
    <x v="0"/>
    <x v="44"/>
    <s v="Marta Marcione Bentes Albuquerque"/>
    <s v="Feminino"/>
    <x v="8"/>
    <x v="18"/>
    <s v="50000446 - Reeducação Postural Global (R$ 36,71)"/>
    <s v="Rpg"/>
    <n v="1712568748"/>
    <s v="Finalizado (1/5)"/>
    <n v="29.367999999999999"/>
    <n v="7.3419999999999996"/>
    <n v="36.71"/>
    <s v="Sessão Faturada"/>
    <n v="954600004960000"/>
    <n v="40103"/>
    <s v="Unidade Sao Jose"/>
    <n v="1712568748"/>
    <m/>
  </r>
  <r>
    <x v="0"/>
    <x v="41"/>
    <s v="Marinete Torres Martins"/>
    <s v="Feminino"/>
    <x v="2"/>
    <x v="18"/>
    <s v="50000446 - Rpg (R$ 36,71)"/>
    <s v="Rpg"/>
    <n v="1702547778"/>
    <s v="Finalizado (3/4)"/>
    <n v="29.367999999999999"/>
    <n v="7.3419999999999996"/>
    <n v="36.71"/>
    <s v="Sessão Faturada"/>
    <n v="775255000396000"/>
    <n v="50094"/>
    <s v="Unidade Sao Jose"/>
    <n v="1702547778"/>
    <m/>
  </r>
  <r>
    <x v="0"/>
    <x v="40"/>
    <s v="Andriely Oliveira Braga"/>
    <s v="Feminino"/>
    <x v="27"/>
    <x v="18"/>
    <s v="50000446 - Rpg (R$ 36,71)"/>
    <s v="Rpg"/>
    <n v="1711368085"/>
    <s v="Finalizado (2/5)"/>
    <n v="29.367999999999999"/>
    <n v="7.3419999999999996"/>
    <n v="36.71"/>
    <s v="Sessão Faturada"/>
    <n v="813227000396000"/>
    <n v="52145"/>
    <s v="Unidade Sao Jose"/>
    <n v="1711368085"/>
    <m/>
  </r>
  <r>
    <x v="0"/>
    <x v="35"/>
    <s v="Sonia Maria Morais Maia"/>
    <s v="Feminino"/>
    <x v="0"/>
    <x v="18"/>
    <s v="50000446 - Rpg (R$ 62,75)"/>
    <s v="Rpg"/>
    <s v="42263120260309430912"/>
    <s v="Finalizado (4/10)"/>
    <n v="50.2"/>
    <n v="12.55"/>
    <n v="62.75"/>
    <s v="Sessão a Faturar"/>
    <s v="010650548005"/>
    <n v="55667"/>
    <s v="Unidade Sao Jose"/>
    <s v="42263120260309430912"/>
    <m/>
  </r>
  <r>
    <x v="0"/>
    <x v="4"/>
    <s v="Beatriz de Souza Figueiredo"/>
    <s v="Feminino"/>
    <x v="8"/>
    <x v="18"/>
    <s v="50000446 - Reeducação Postural Global (R$ 36,71)"/>
    <s v="Rpg"/>
    <n v="1712906344"/>
    <s v="Finalizado (1/5)"/>
    <n v="29.367999999999999"/>
    <n v="7.3419999999999996"/>
    <n v="36.71"/>
    <s v="Sessão a Faturar"/>
    <n v="954440004065020"/>
    <n v="57037"/>
    <s v="Unidade Sao Jose"/>
    <n v="1712906344"/>
    <m/>
  </r>
  <r>
    <x v="0"/>
    <x v="13"/>
    <s v="Diana Costa Tavares Gonçalves"/>
    <s v="Feminino"/>
    <x v="27"/>
    <x v="18"/>
    <s v="50000446 - Rpg (R$ 36,71)"/>
    <s v="Rpg"/>
    <n v="1700087459"/>
    <s v="Finalizado (4/4)"/>
    <n v="29.367999999999999"/>
    <n v="7.3419999999999996"/>
    <n v="36.71"/>
    <s v="Sessão Faturada"/>
    <n v="813227000817000"/>
    <n v="52256"/>
    <s v="Unidade Sao Jose"/>
    <n v="1700087459"/>
    <m/>
  </r>
  <r>
    <x v="2"/>
    <x v="44"/>
    <s v="Marinete Torres Martins"/>
    <s v="Feminino"/>
    <x v="2"/>
    <x v="18"/>
    <s v="50000446 - Rpg (R$ 36,71)"/>
    <s v="Rpg"/>
    <n v="1702547778"/>
    <s v="Finalizado (4/4)"/>
    <n v="29.367999999999999"/>
    <n v="7.3419999999999996"/>
    <n v="36.71"/>
    <s v="Sessão Faturada"/>
    <n v="775255000396000"/>
    <n v="50094"/>
    <s v="Unidade Sao Jose"/>
    <n v="1702547778"/>
    <m/>
  </r>
  <r>
    <x v="2"/>
    <x v="44"/>
    <s v="Marta Marcione Bentes Albuquerque"/>
    <s v="Feminino"/>
    <x v="8"/>
    <x v="18"/>
    <s v="50000446 - Reeducação Postural Global (R$ 36,71)"/>
    <s v="Rpg"/>
    <n v="1712568748"/>
    <s v="Finalizado (2/5)"/>
    <n v="29.367999999999999"/>
    <n v="7.3419999999999996"/>
    <n v="36.71"/>
    <s v="Sessão Faturada"/>
    <n v="954600004960000"/>
    <n v="40103"/>
    <s v="Unidade Sao Jose"/>
    <n v="1712568748"/>
    <m/>
  </r>
  <r>
    <x v="2"/>
    <x v="41"/>
    <s v="Misleia Fernandes Mendes"/>
    <s v="Feminino"/>
    <x v="27"/>
    <x v="18"/>
    <s v="50000446 - Rpg (R$ 36,71)"/>
    <s v="Rpg"/>
    <n v="1713859395"/>
    <s v="Finalizado (1/5)"/>
    <n v="29.367999999999999"/>
    <n v="7.3419999999999996"/>
    <n v="36.71"/>
    <s v="Sessão a Faturar"/>
    <n v="770179020664010"/>
    <n v="44824"/>
    <s v="Unidade Sao Jose"/>
    <n v="1713859395"/>
    <m/>
  </r>
  <r>
    <x v="2"/>
    <x v="36"/>
    <s v="Francinete Ferreira de Souza"/>
    <s v="Feminino"/>
    <x v="8"/>
    <x v="18"/>
    <s v="50000446 - Reeducação Postural Global (R$ 36,71)"/>
    <s v="Rpg"/>
    <n v="1704668912"/>
    <s v="Finalizado (5/5)"/>
    <n v="29.367999999999999"/>
    <n v="7.3419999999999996"/>
    <n v="36.71"/>
    <s v="Sessão Faturada"/>
    <n v="954390037672020"/>
    <n v="41225"/>
    <s v="Unidade Sao Jose"/>
    <n v="1704668912"/>
    <m/>
  </r>
  <r>
    <x v="2"/>
    <x v="35"/>
    <s v="Sonia Maria Morais Maia"/>
    <s v="Feminino"/>
    <x v="0"/>
    <x v="18"/>
    <s v="50000446 - Rpg (R$ 62,75)"/>
    <s v="Rpg"/>
    <s v="42263120260309430912"/>
    <s v="Finalizado (5/10)"/>
    <n v="50.2"/>
    <n v="12.55"/>
    <n v="62.75"/>
    <s v="Sessão a Faturar"/>
    <s v="010650548005"/>
    <n v="55667"/>
    <s v="Unidade Sao Jose"/>
    <s v="42263120260309430912"/>
    <m/>
  </r>
  <r>
    <x v="2"/>
    <x v="35"/>
    <s v="Andriely Oliveira Braga"/>
    <s v="Feminino"/>
    <x v="27"/>
    <x v="18"/>
    <s v="50000446 - Rpg (R$ 36,71)"/>
    <s v="Rpg"/>
    <n v="1711368085"/>
    <s v="Finalizado (3/5)"/>
    <n v="29.367999999999999"/>
    <n v="7.3419999999999996"/>
    <n v="36.71"/>
    <s v="Sessão Faturada"/>
    <n v="813227000396000"/>
    <n v="52145"/>
    <s v="Unidade Sao Jose"/>
    <n v="1711368085"/>
    <m/>
  </r>
  <r>
    <x v="2"/>
    <x v="38"/>
    <s v="Alessandro Ramos Veiga"/>
    <s v="Masculino"/>
    <x v="2"/>
    <x v="18"/>
    <s v="50000446 - Rpg (R$ 36,71)"/>
    <s v="Rpg"/>
    <n v="1708852090"/>
    <s v="Finalizado (4/4)"/>
    <n v="29.367999999999999"/>
    <n v="7.3419999999999996"/>
    <n v="36.71"/>
    <s v="Sessão Faturada"/>
    <n v="771015061093000"/>
    <n v="59531"/>
    <s v="Unidade Sao Jose"/>
    <n v="1708852090"/>
    <m/>
  </r>
  <r>
    <x v="2"/>
    <x v="2"/>
    <s v="Keila Maria Ferreira de Brito"/>
    <s v="Feminino"/>
    <x v="27"/>
    <x v="18"/>
    <s v="50000446 - Rpg (R$ 36,71)"/>
    <s v="Rpg"/>
    <n v="1714140859"/>
    <s v="Finalizado (1/1)"/>
    <n v="29.367999999999999"/>
    <n v="7.3419999999999996"/>
    <n v="36.71"/>
    <s v="Sessão Faturada"/>
    <n v="773458004820010"/>
    <n v="11496"/>
    <s v="Unidade Sao Jose"/>
    <n v="1714140859"/>
    <m/>
  </r>
  <r>
    <x v="2"/>
    <x v="17"/>
    <s v="Adna Melo da Silva Juvenal"/>
    <s v="Feminino"/>
    <x v="8"/>
    <x v="18"/>
    <s v="50000446 - Reeducação Postural Global (R$ 36,71)"/>
    <s v="Rpg"/>
    <n v="1714229047"/>
    <s v="Finalizado (1/5)"/>
    <n v="29.367999999999999"/>
    <n v="7.3419999999999996"/>
    <n v="36.71"/>
    <s v="Sessão a Faturar"/>
    <n v="954600025615010"/>
    <n v="54008"/>
    <s v="Unidade Sao Jose"/>
    <n v="1714229047"/>
    <m/>
  </r>
  <r>
    <x v="2"/>
    <x v="17"/>
    <s v="Jairo Barboza Domingues"/>
    <s v="Masculino"/>
    <x v="2"/>
    <x v="18"/>
    <s v="50000446 - Rpg (R$ 36,71)"/>
    <s v="Rpg"/>
    <n v="1714231750"/>
    <s v="Finalizado (1/4)"/>
    <n v="29.367999999999999"/>
    <n v="7.3419999999999996"/>
    <n v="36.71"/>
    <s v="Sessão Faturada"/>
    <n v="960016147828000"/>
    <n v="18356"/>
    <s v="Unidade Sao Jose"/>
    <n v="1714231750"/>
    <m/>
  </r>
  <r>
    <x v="4"/>
    <x v="44"/>
    <s v="Marta Marcione Bentes Albuquerque"/>
    <s v="Feminino"/>
    <x v="8"/>
    <x v="18"/>
    <s v="50000446 - Reeducação Postural Global (R$ 36,71)"/>
    <s v="Rpg"/>
    <n v="1712568748"/>
    <s v="Finalizado (3/5)"/>
    <n v="29.367999999999999"/>
    <n v="7.3419999999999996"/>
    <n v="36.71"/>
    <s v="Sessão Faturada"/>
    <n v="954600004960000"/>
    <n v="40103"/>
    <s v="Unidade Sao Jose"/>
    <n v="1712568748"/>
    <m/>
  </r>
  <r>
    <x v="4"/>
    <x v="35"/>
    <s v="Misleia Fernandes Mendes"/>
    <s v="Feminino"/>
    <x v="27"/>
    <x v="18"/>
    <s v="50000446 - Rpg (R$ 36,71)"/>
    <s v="Rpg"/>
    <n v="1713859395"/>
    <s v="Finalizado (2/5)"/>
    <n v="29.367999999999999"/>
    <n v="7.3419999999999996"/>
    <n v="36.71"/>
    <s v="Sessão a Faturar"/>
    <n v="770179020664010"/>
    <n v="44824"/>
    <s v="Unidade Sao Jose"/>
    <n v="1713859395"/>
    <m/>
  </r>
  <r>
    <x v="4"/>
    <x v="35"/>
    <s v="Sonia Maria Morais Maia"/>
    <s v="Feminino"/>
    <x v="0"/>
    <x v="18"/>
    <s v="50000446 - Rpg (R$ 62,75)"/>
    <s v="Rpg"/>
    <s v="42263120260309430912"/>
    <s v="Finalizado (6/10)"/>
    <n v="50.2"/>
    <n v="12.55"/>
    <n v="62.75"/>
    <s v="Sessão a Faturar"/>
    <s v="010650548005"/>
    <n v="55667"/>
    <s v="Unidade Sao Jose"/>
    <s v="42263120260309430912"/>
    <m/>
  </r>
  <r>
    <x v="4"/>
    <x v="15"/>
    <s v="Jairo Barboza Domingues"/>
    <s v="Masculino"/>
    <x v="2"/>
    <x v="18"/>
    <s v="50000446 - Rpg (R$ 36,71)"/>
    <s v="Rpg"/>
    <n v="1714231750"/>
    <s v="Finalizado (2/4)"/>
    <n v="29.367999999999999"/>
    <n v="7.3419999999999996"/>
    <n v="36.71"/>
    <s v="Sessão Faturada"/>
    <n v="960016147828000"/>
    <n v="18356"/>
    <s v="Unidade Sao Jose"/>
    <n v="1714231750"/>
    <m/>
  </r>
  <r>
    <x v="4"/>
    <x v="8"/>
    <s v="Adna Melo da Silva Juvenal"/>
    <s v="Feminino"/>
    <x v="8"/>
    <x v="18"/>
    <s v="50000446 - Reeducação Postural Global (R$ 36,71)"/>
    <s v="Rpg"/>
    <n v="1714229047"/>
    <s v="Não compareceu (2/5)"/>
    <n v="36.71"/>
    <n v="0"/>
    <n v="36.71"/>
    <s v="Sessão a Faturar"/>
    <n v="954600025615010"/>
    <n v="54008"/>
    <s v="Unidade Sao Jose"/>
    <n v="1714229047"/>
    <m/>
  </r>
  <r>
    <x v="7"/>
    <x v="44"/>
    <s v="Cleide Luiza da Silva Cabral"/>
    <s v="Feminino"/>
    <x v="27"/>
    <x v="18"/>
    <s v="50000446 - Rpg (R$ 36,71)"/>
    <s v="Rpg"/>
    <n v="1702556914"/>
    <s v="Finalizado (3/3)"/>
    <n v="29.367999999999999"/>
    <n v="7.3419999999999996"/>
    <n v="36.71"/>
    <s v="Sessão Faturada"/>
    <n v="897137800051020"/>
    <n v="54445"/>
    <s v="Unidade Sao Jose"/>
    <n v="1702556914"/>
    <m/>
  </r>
  <r>
    <x v="7"/>
    <x v="35"/>
    <s v="Sonia Maria Morais Maia"/>
    <s v="Feminino"/>
    <x v="0"/>
    <x v="18"/>
    <s v="50000446 - Rpg (R$ 62,75)"/>
    <s v="Rpg"/>
    <s v="42263120260309430912"/>
    <s v="Finalizado (7/10)"/>
    <n v="50.2"/>
    <n v="12.55"/>
    <n v="62.75"/>
    <s v="Sessão a Faturar"/>
    <s v="010650548005"/>
    <n v="55667"/>
    <s v="Unidade Sao Jose"/>
    <s v="42263120260309430912"/>
    <m/>
  </r>
  <r>
    <x v="7"/>
    <x v="38"/>
    <s v="Andriely Oliveira Braga"/>
    <s v="Feminino"/>
    <x v="27"/>
    <x v="18"/>
    <s v="50000446 - Rpg (R$ 36,71)"/>
    <s v="Rpg"/>
    <n v="1711368085"/>
    <s v="Finalizado (4/5)"/>
    <n v="29.367999999999999"/>
    <n v="7.3419999999999996"/>
    <n v="36.71"/>
    <s v="Sessão Faturada"/>
    <n v="813227000396000"/>
    <n v="52145"/>
    <s v="Unidade Sao Jose"/>
    <n v="1711368085"/>
    <m/>
  </r>
  <r>
    <x v="7"/>
    <x v="0"/>
    <s v="Ketlem Kamila Ribeiro dos Santos"/>
    <m/>
    <x v="27"/>
    <x v="18"/>
    <s v="50000446 - Rpg (R$ 36,71)"/>
    <s v="Rpg"/>
    <n v="1706685745"/>
    <s v="Finalizado (3/3)"/>
    <n v="29.367999999999999"/>
    <n v="7.3419999999999996"/>
    <n v="36.71"/>
    <s v="Sessão a Faturar"/>
    <n v="881758800094000"/>
    <n v="52913"/>
    <s v="Unidade Sao Jose"/>
    <n v="1706685745"/>
    <m/>
  </r>
  <r>
    <x v="7"/>
    <x v="17"/>
    <s v="Jairo Barboza Domingues"/>
    <s v="Masculino"/>
    <x v="2"/>
    <x v="18"/>
    <s v="50000446 - Rpg (R$ 36,71)"/>
    <s v="Rpg"/>
    <n v="1714231750"/>
    <s v="Finalizado (3/4)"/>
    <n v="29.367999999999999"/>
    <n v="7.3419999999999996"/>
    <n v="36.71"/>
    <s v="Sessão Faturada"/>
    <n v="960016147828000"/>
    <n v="18356"/>
    <s v="Unidade Sao Jose"/>
    <n v="1714231750"/>
    <m/>
  </r>
  <r>
    <x v="9"/>
    <x v="44"/>
    <s v="Rafaela Pinheiro Lima"/>
    <s v="Feminino"/>
    <x v="7"/>
    <x v="18"/>
    <s v="Sao José - 9 - Rpg - Pacote (R$ 35,00)"/>
    <s v="Rpg"/>
    <n v="168811"/>
    <s v="Finalizado (4/10)"/>
    <n v="26.25"/>
    <n v="8.75"/>
    <n v="35"/>
    <s v="Pago"/>
    <n v="59182"/>
    <n v="59182"/>
    <s v="Unidade Sao Jose"/>
    <n v="168811"/>
    <m/>
  </r>
  <r>
    <x v="9"/>
    <x v="36"/>
    <s v="Adan Williams Campos dos Santos"/>
    <s v="Masculino"/>
    <x v="27"/>
    <x v="18"/>
    <s v="50000446 - Rpg (R$ 36,71)"/>
    <s v="Rpg"/>
    <n v="1718051563"/>
    <s v="Finalizado (1/5)"/>
    <n v="29.367999999999999"/>
    <n v="7.3419999999999996"/>
    <n v="36.71"/>
    <s v="Sessão a Faturar"/>
    <n v="775252004774010"/>
    <n v="59766"/>
    <s v="Unidade Sao Jose"/>
    <n v="1718051563"/>
    <m/>
  </r>
  <r>
    <x v="9"/>
    <x v="35"/>
    <s v="Sonia Maria Morais Maia"/>
    <s v="Feminino"/>
    <x v="0"/>
    <x v="18"/>
    <s v="50000446 - Rpg (R$ 62,75)"/>
    <s v="Rpg"/>
    <s v="42263120260309430912"/>
    <s v="Finalizado (8/10)"/>
    <n v="50.2"/>
    <n v="12.55"/>
    <n v="62.75"/>
    <s v="Sessão a Faturar"/>
    <s v="010650548005"/>
    <n v="55667"/>
    <s v="Unidade Sao Jose"/>
    <s v="42263120260309430912"/>
    <m/>
  </r>
  <r>
    <x v="10"/>
    <x v="44"/>
    <s v="Cleide Luiza da Silva Cabral"/>
    <s v="Feminino"/>
    <x v="27"/>
    <x v="18"/>
    <s v="50000446 - Rpg (R$ 36,71)"/>
    <s v="Rpg"/>
    <n v="1718789561"/>
    <s v="Finalizado (1/5)"/>
    <n v="29.367999999999999"/>
    <n v="7.3419999999999996"/>
    <n v="36.71"/>
    <s v="Sessão a Faturar"/>
    <n v="897137800051020"/>
    <n v="54445"/>
    <s v="Unidade Sao Jose"/>
    <n v="1718789561"/>
    <m/>
  </r>
  <r>
    <x v="10"/>
    <x v="36"/>
    <s v="Adan Williams Campos dos Santos"/>
    <s v="Masculino"/>
    <x v="27"/>
    <x v="18"/>
    <s v="50000446 - Rpg (R$ 36,71)"/>
    <s v="Rpg"/>
    <n v="1718051563"/>
    <s v="Finalizado (2/5)"/>
    <n v="29.367999999999999"/>
    <n v="7.3419999999999996"/>
    <n v="36.71"/>
    <s v="Sessão a Faturar"/>
    <n v="775252004774010"/>
    <n v="59766"/>
    <s v="Unidade Sao Jose"/>
    <n v="1718051563"/>
    <m/>
  </r>
  <r>
    <x v="10"/>
    <x v="40"/>
    <s v="Andriely Oliveira Braga"/>
    <s v="Feminino"/>
    <x v="27"/>
    <x v="18"/>
    <s v="50000446 - Rpg (R$ 36,71)"/>
    <s v="Rpg"/>
    <n v="1711368085"/>
    <s v="Finalizado (5/5)"/>
    <n v="29.367999999999999"/>
    <n v="7.3419999999999996"/>
    <n v="36.71"/>
    <s v="Sessão Faturada"/>
    <n v="813227000396000"/>
    <n v="52145"/>
    <s v="Unidade Sao Jose"/>
    <n v="1711368085"/>
    <m/>
  </r>
  <r>
    <x v="10"/>
    <x v="35"/>
    <s v="Manuela Soares de Freitas Mendonca"/>
    <s v="Feminino"/>
    <x v="8"/>
    <x v="18"/>
    <s v="50000446 - Reeducação Postural Global (R$ 36,71)"/>
    <s v="Rpg"/>
    <n v="1718845009"/>
    <s v="Finalizado (1/5)"/>
    <n v="29.367999999999999"/>
    <n v="7.3419999999999996"/>
    <n v="36.71"/>
    <s v="Sessão a Faturar"/>
    <n v="954600000256030"/>
    <n v="53656"/>
    <s v="Unidade Sao Jose"/>
    <n v="1718845009"/>
    <m/>
  </r>
  <r>
    <x v="10"/>
    <x v="35"/>
    <s v="Sonia Maria Morais Maia"/>
    <s v="Feminino"/>
    <x v="0"/>
    <x v="18"/>
    <s v="50000446 - Rpg (R$ 62,75)"/>
    <s v="Rpg"/>
    <s v="42263120260309430912"/>
    <s v="Finalizado (9/10)"/>
    <n v="50.2"/>
    <n v="12.55"/>
    <n v="62.75"/>
    <s v="Sessão a Faturar"/>
    <s v="010650548005"/>
    <n v="55667"/>
    <s v="Unidade Sao Jose"/>
    <s v="42263120260309430912"/>
    <m/>
  </r>
  <r>
    <x v="10"/>
    <x v="37"/>
    <s v="Misleia Fernandes Mendes"/>
    <s v="Feminino"/>
    <x v="27"/>
    <x v="18"/>
    <s v="50000446 - Rpg (R$ 36,71)"/>
    <s v="Rpg"/>
    <n v="1713859395"/>
    <s v="Finalizado (3/5)"/>
    <n v="29.367999999999999"/>
    <n v="7.3419999999999996"/>
    <n v="36.71"/>
    <s v="Sessão a Faturar"/>
    <n v="770179020664010"/>
    <n v="44824"/>
    <s v="Unidade Sao Jose"/>
    <n v="1713859395"/>
    <m/>
  </r>
  <r>
    <x v="10"/>
    <x v="4"/>
    <s v="Leonardo Batista de Souza"/>
    <s v="Masculino"/>
    <x v="5"/>
    <x v="18"/>
    <s v="50000446 - Rpg (R$ 54,45)"/>
    <s v="Rpg"/>
    <n v="78983490"/>
    <s v="Finalizado (1/10)"/>
    <n v="43.56"/>
    <n v="10.89"/>
    <n v="54.45"/>
    <s v="Sessão a Faturar"/>
    <s v="0101516639000159"/>
    <n v="54993"/>
    <s v="Unidade Sao Jose"/>
    <n v="78983490"/>
    <m/>
  </r>
  <r>
    <x v="10"/>
    <x v="13"/>
    <s v="Manoel de Freitas Mendonça Junior"/>
    <s v="Masculino"/>
    <x v="8"/>
    <x v="18"/>
    <s v="50000446 - Reeducação Postural Global (R$ 36,71)"/>
    <s v="Rpg"/>
    <n v="1719135051"/>
    <s v="Finalizado (1/5)"/>
    <n v="29.367999999999999"/>
    <n v="7.3419999999999996"/>
    <n v="36.71"/>
    <s v="Sessão a Faturar"/>
    <n v="954600000256030"/>
    <n v="24180"/>
    <s v="Unidade Sao Jose"/>
    <n v="1719135051"/>
    <m/>
  </r>
  <r>
    <x v="10"/>
    <x v="13"/>
    <s v="Manoel de Freitas Mendonça Junior"/>
    <s v="Masculino"/>
    <x v="8"/>
    <x v="18"/>
    <s v="50000144 - Avaliação de Fisioterapia (R$ 51,42)"/>
    <s v="Rpg"/>
    <n v="1719134741"/>
    <s v="Finalizado (1/1)"/>
    <n v="51.42"/>
    <n v="0"/>
    <n v="51.42"/>
    <s v="Sessão Faturada"/>
    <n v="954600000256030"/>
    <n v="24180"/>
    <s v="Unidade Sao Jose"/>
    <n v="1719134741"/>
    <m/>
  </r>
  <r>
    <x v="10"/>
    <x v="6"/>
    <s v="Beatriz de Souza Figueiredo"/>
    <s v="Feminino"/>
    <x v="8"/>
    <x v="18"/>
    <s v="50000446 - Reeducação Postural Global (R$ 36,71)"/>
    <s v="Rpg"/>
    <n v="1712906344"/>
    <s v="Finalizado (2/5)"/>
    <n v="29.367999999999999"/>
    <n v="7.3419999999999996"/>
    <n v="36.71"/>
    <s v="Sessão a Faturar"/>
    <n v="954440004065020"/>
    <n v="57037"/>
    <s v="Unidade Sao Jose"/>
    <n v="1712906344"/>
    <m/>
  </r>
  <r>
    <x v="10"/>
    <x v="6"/>
    <s v="Adriane Rodrigues da Costa"/>
    <s v="Feminino"/>
    <x v="2"/>
    <x v="18"/>
    <s v="50000446 - Rpg (R$ 36,71)"/>
    <s v="Rpg"/>
    <n v="1719111424"/>
    <s v="Finalizado (1/5)"/>
    <n v="29.367999999999999"/>
    <n v="7.3419999999999996"/>
    <n v="36.71"/>
    <s v="Sessão a Faturar"/>
    <n v="770202163023010"/>
    <n v="59812"/>
    <s v="Unidade Sao Jose"/>
    <n v="1719111424"/>
    <m/>
  </r>
  <r>
    <x v="10"/>
    <x v="15"/>
    <s v="Diana Costa Tavares Gonçalves"/>
    <s v="Feminino"/>
    <x v="27"/>
    <x v="18"/>
    <s v="50000446 - Rpg (R$ 36,71)"/>
    <s v="Rpg"/>
    <n v="1719123886"/>
    <s v="Finalizado (1/5)"/>
    <n v="29.367999999999999"/>
    <n v="7.3419999999999996"/>
    <n v="36.71"/>
    <s v="Sessão a Faturar"/>
    <n v="813227000817000"/>
    <n v="52256"/>
    <s v="Unidade Sao Jose"/>
    <n v="1719123886"/>
    <m/>
  </r>
  <r>
    <x v="10"/>
    <x v="17"/>
    <s v="Jairo Barboza Domingues"/>
    <s v="Masculino"/>
    <x v="2"/>
    <x v="18"/>
    <s v="50000446 - Rpg (R$ 36,71)"/>
    <s v="Rpg"/>
    <n v="1714231750"/>
    <s v="Finalizado (4/4)"/>
    <n v="29.367999999999999"/>
    <n v="7.3419999999999996"/>
    <n v="36.71"/>
    <s v="Sessão Faturada"/>
    <n v="960016147828000"/>
    <n v="18356"/>
    <s v="Unidade Sao Jose"/>
    <n v="1714231750"/>
    <m/>
  </r>
  <r>
    <x v="12"/>
    <x v="40"/>
    <s v="Alessandro Brito Dias"/>
    <s v="Masculino"/>
    <x v="4"/>
    <x v="19"/>
    <s v="31601014 - Acupuntura (R$ 54,56)"/>
    <s v="Acupuntura"/>
    <n v="1703644008"/>
    <s v="Finalizado (4/5)"/>
    <n v="45.830399999999997"/>
    <n v="8.7295999999999996"/>
    <n v="54.56"/>
    <s v="Sessão Faturada"/>
    <n v="774642022179000"/>
    <n v="51704"/>
    <s v="Unidade Vieiralves"/>
    <n v="1703644008"/>
    <m/>
  </r>
  <r>
    <x v="12"/>
    <x v="40"/>
    <s v="Helen dos Santos Viana"/>
    <m/>
    <x v="4"/>
    <x v="19"/>
    <s v="31601014 - Acupuntura (R$ 54,56)"/>
    <s v="Acupuntura"/>
    <n v="1705578061"/>
    <s v="Finalizado (1/5)"/>
    <n v="45.830399999999997"/>
    <n v="8.7295999999999996"/>
    <n v="54.56"/>
    <s v="Sessão Faturada"/>
    <n v="774642026174020"/>
    <n v="59475"/>
    <s v="Unidade Vieiralves"/>
    <n v="1705578061"/>
    <m/>
  </r>
  <r>
    <x v="12"/>
    <x v="39"/>
    <s v="Juliana Schettini Sobrinho Dourado"/>
    <m/>
    <x v="6"/>
    <x v="19"/>
    <s v="31601014 - Acupuntura (R$ 51,33)"/>
    <s v="Acupuntura"/>
    <n v="168606"/>
    <s v="Finalizado (3/4)"/>
    <n v="43.117199999999997"/>
    <n v="8.2127999999999997"/>
    <n v="51.33"/>
    <s v="Sessão a Faturar"/>
    <s v="51588888483923230010"/>
    <n v="58626"/>
    <s v="Unidade Vieiralves"/>
    <n v="168606"/>
    <m/>
  </r>
  <r>
    <x v="12"/>
    <x v="43"/>
    <s v="Ednamar da Silva Barros"/>
    <s v="Feminino"/>
    <x v="4"/>
    <x v="19"/>
    <s v="31601014 - Acupuntura (R$ 54,56)"/>
    <s v="Acupuntura"/>
    <n v="1705691427"/>
    <s v="Finalizado (1/3)"/>
    <n v="45.830399999999997"/>
    <n v="8.7295999999999996"/>
    <n v="54.56"/>
    <s v="Sessão Faturada"/>
    <n v="771015041971000"/>
    <n v="58523"/>
    <s v="Unidade Vieiralves"/>
    <n v="1705691427"/>
    <m/>
  </r>
  <r>
    <x v="13"/>
    <x v="41"/>
    <s v="Maria Raimunda da Silva Guedes Lima"/>
    <s v="Feminino"/>
    <x v="4"/>
    <x v="19"/>
    <s v="31601014 - Acupuntura (R$ 54,56)"/>
    <s v="Acupuntura"/>
    <n v="1703617855"/>
    <s v="Finalizado (3/5)"/>
    <n v="45.830399999999997"/>
    <n v="8.7295999999999996"/>
    <n v="54.56"/>
    <s v="Sessão Faturada"/>
    <n v="960016575471000"/>
    <n v="21019"/>
    <s v="Unidade Vieiralves"/>
    <n v="1703617855"/>
    <m/>
  </r>
  <r>
    <x v="14"/>
    <x v="41"/>
    <s v="Vera Lucia Alves dos Anjos"/>
    <s v="Feminino"/>
    <x v="4"/>
    <x v="19"/>
    <s v="31601014 - Acupuntura (R$ 54,56)"/>
    <s v="Acupuntura"/>
    <n v="1701707786"/>
    <s v="Finalizado (3/3)"/>
    <n v="45.830399999999997"/>
    <n v="8.7295999999999996"/>
    <n v="54.56"/>
    <s v="Sessão Faturada"/>
    <n v="771329018236000"/>
    <n v="12555"/>
    <s v="Unidade Vieiralves"/>
    <n v="1701707786"/>
    <m/>
  </r>
  <r>
    <x v="14"/>
    <x v="36"/>
    <s v="Maria Raimunda da Silva Guedes Lima"/>
    <s v="Feminino"/>
    <x v="4"/>
    <x v="19"/>
    <s v="31601014 - Acupuntura (R$ 54,56)"/>
    <s v="Acupuntura"/>
    <n v="1703617855"/>
    <s v="Finalizado (4/5)"/>
    <n v="45.830399999999997"/>
    <n v="8.7295999999999996"/>
    <n v="54.56"/>
    <s v="Sessão Faturada"/>
    <n v="960016575471000"/>
    <n v="21019"/>
    <s v="Unidade Vieiralves"/>
    <n v="1703617855"/>
    <m/>
  </r>
  <r>
    <x v="14"/>
    <x v="36"/>
    <s v="Ivanilsa de Castro Amorim"/>
    <s v="Feminino"/>
    <x v="29"/>
    <x v="19"/>
    <s v="31601014 - Acupuntura (R$ 73,38)"/>
    <s v="Acupuntura"/>
    <n v="958738"/>
    <s v="Finalizado (10/10)"/>
    <n v="61.639200000000002"/>
    <n v="11.7408"/>
    <n v="73.38"/>
    <s v="Sessão Faturada"/>
    <n v="130260024272010"/>
    <n v="52811"/>
    <s v="Unidade Vieiralves"/>
    <n v="958738"/>
    <m/>
  </r>
  <r>
    <x v="14"/>
    <x v="40"/>
    <s v="Alessandro Brito Dias"/>
    <s v="Masculino"/>
    <x v="4"/>
    <x v="19"/>
    <s v="31601014 - Acupuntura (R$ 54,56)"/>
    <s v="Acupuntura"/>
    <n v="1703644008"/>
    <s v="Finalizado (5/5)"/>
    <n v="45.830399999999997"/>
    <n v="8.7295999999999996"/>
    <n v="54.56"/>
    <s v="Sessão Faturada"/>
    <n v="774642022179000"/>
    <n v="51704"/>
    <s v="Unidade Vieiralves"/>
    <n v="1703644008"/>
    <m/>
  </r>
  <r>
    <x v="14"/>
    <x v="38"/>
    <s v="Sandra Souza Cavalcante"/>
    <m/>
    <x v="4"/>
    <x v="19"/>
    <s v="31601014 - Acupuntura (R$ 54,56)"/>
    <s v="Acupuntura"/>
    <n v="1706747686"/>
    <s v="Finalizado (1/5)"/>
    <n v="45.830399999999997"/>
    <n v="8.7295999999999996"/>
    <n v="54.56"/>
    <s v="Sessão Faturada"/>
    <n v="773299001503000"/>
    <n v="59519"/>
    <s v="Unidade Vieiralves"/>
    <n v="1706747686"/>
    <m/>
  </r>
  <r>
    <x v="15"/>
    <x v="41"/>
    <s v="Sandra Souza Cavalcante"/>
    <m/>
    <x v="4"/>
    <x v="19"/>
    <s v="31601014 - Acupuntura (R$ 54,56)"/>
    <s v="Acupuntura"/>
    <n v="1706747686"/>
    <s v="Finalizado (2/5)"/>
    <n v="45.830399999999997"/>
    <n v="8.7295999999999996"/>
    <n v="54.56"/>
    <s v="Sessão Faturada"/>
    <n v="773299001503000"/>
    <n v="59519"/>
    <s v="Unidade Vieiralves"/>
    <n v="1706747686"/>
    <m/>
  </r>
  <r>
    <x v="15"/>
    <x v="36"/>
    <s v="Maria Raimunda da Silva Guedes Lima"/>
    <s v="Feminino"/>
    <x v="4"/>
    <x v="19"/>
    <s v="31601014 - Acupuntura (R$ 54,56)"/>
    <s v="Acupuntura"/>
    <n v="1703617855"/>
    <s v="Finalizado (5/5)"/>
    <n v="45.830399999999997"/>
    <n v="8.7295999999999996"/>
    <n v="54.56"/>
    <s v="Sessão Faturada"/>
    <n v="960016575471000"/>
    <n v="21019"/>
    <s v="Unidade Vieiralves"/>
    <n v="1703617855"/>
    <m/>
  </r>
  <r>
    <x v="15"/>
    <x v="36"/>
    <s v="Ivanilsa de Castro Amorim"/>
    <s v="Feminino"/>
    <x v="29"/>
    <x v="19"/>
    <s v="31601014 - Acupuntura (R$ 73,38)"/>
    <s v="Acupuntura"/>
    <n v="1096427"/>
    <s v="Finalizado (1/10)"/>
    <n v="61.639200000000002"/>
    <n v="11.7408"/>
    <n v="73.38"/>
    <s v="Sessão Faturada"/>
    <n v="130260024272010"/>
    <n v="52811"/>
    <s v="Unidade Vieiralves"/>
    <n v="1096427"/>
    <m/>
  </r>
  <r>
    <x v="15"/>
    <x v="35"/>
    <s v="Luciana Ferreira Viana"/>
    <m/>
    <x v="7"/>
    <x v="19"/>
    <s v="Vieiralves - 32 - Acupuntura Unitário - Pacote (R$ 80,00)"/>
    <s v="Acupuntura"/>
    <m/>
    <s v="Finalizado (1/10)"/>
    <n v="62.4"/>
    <n v="17.600000000000001"/>
    <n v="80"/>
    <s v="Pago"/>
    <s v="00"/>
    <n v="59537"/>
    <s v="Unidade Vieiralves"/>
    <m/>
    <m/>
  </r>
  <r>
    <x v="15"/>
    <x v="37"/>
    <s v="Lucia Ferreira Viana"/>
    <s v="Feminino"/>
    <x v="7"/>
    <x v="19"/>
    <s v="Part Convenio - 4 - Acupuntura - Pacote (R$ 65,00)"/>
    <s v="Acupuntura"/>
    <m/>
    <s v="Finalizado (1/10)"/>
    <n v="50.7"/>
    <n v="14.3"/>
    <n v="65"/>
    <s v="Pago"/>
    <s v="010650248904"/>
    <n v="10197"/>
    <s v="Unidade Vieiralves"/>
    <m/>
    <m/>
  </r>
  <r>
    <x v="15"/>
    <x v="37"/>
    <s v="Fabíola Graziele Martins de Lima"/>
    <s v="Feminino"/>
    <x v="9"/>
    <x v="19"/>
    <s v="31601014 - Acupuntura (R$ 54,56)"/>
    <s v="Acupuntura"/>
    <n v="1706400728"/>
    <s v="Finalizado (2/5)"/>
    <n v="45.830399999999997"/>
    <n v="8.7295999999999996"/>
    <n v="54.56"/>
    <s v="Sessão Faturada"/>
    <n v="954590029556010"/>
    <n v="59043"/>
    <s v="Unidade Vieiralves"/>
    <n v="1706400728"/>
    <m/>
  </r>
  <r>
    <x v="16"/>
    <x v="41"/>
    <s v="Vera Lucia Alves dos Anjos"/>
    <s v="Feminino"/>
    <x v="4"/>
    <x v="19"/>
    <s v="31601014 - Acupuntura (R$ 54,56)"/>
    <s v="Acupuntura"/>
    <n v="1707726087"/>
    <s v="Finalizado (1/1)"/>
    <n v="45.830399999999997"/>
    <n v="8.7295999999999996"/>
    <n v="54.56"/>
    <s v="Sessão Faturada"/>
    <n v="771329018236000"/>
    <n v="12555"/>
    <s v="Unidade Vieiralves"/>
    <n v="1707726087"/>
    <m/>
  </r>
  <r>
    <x v="16"/>
    <x v="41"/>
    <s v="Keven Barbosa Vieira"/>
    <s v="Masculino"/>
    <x v="4"/>
    <x v="19"/>
    <s v="31601014 - Acupuntura (R$ 54,56)"/>
    <s v="Acupuntura"/>
    <n v="1707734942"/>
    <s v="Finalizado (1/1)"/>
    <n v="45.830399999999997"/>
    <n v="8.7295999999999996"/>
    <n v="54.56"/>
    <s v="Sessão Faturada"/>
    <n v="610171790051010"/>
    <n v="59491"/>
    <s v="Unidade Vieiralves"/>
    <n v="1707734942"/>
    <m/>
  </r>
  <r>
    <x v="16"/>
    <x v="36"/>
    <s v="Sandra Souza Cavalcante"/>
    <m/>
    <x v="4"/>
    <x v="19"/>
    <s v="31601014 - Acupuntura (R$ 54,56)"/>
    <s v="Acupuntura"/>
    <n v="1706747686"/>
    <s v="Finalizado (3/5)"/>
    <n v="45.830399999999997"/>
    <n v="8.7295999999999996"/>
    <n v="54.56"/>
    <s v="Sessão Faturada"/>
    <n v="773299001503000"/>
    <n v="59519"/>
    <s v="Unidade Vieiralves"/>
    <n v="1706747686"/>
    <m/>
  </r>
  <r>
    <x v="16"/>
    <x v="36"/>
    <s v="Ivanilsa de Castro Amorim"/>
    <s v="Feminino"/>
    <x v="29"/>
    <x v="19"/>
    <s v="31601014 - Acupuntura (R$ 73,38)"/>
    <s v="Acupuntura"/>
    <n v="1096427"/>
    <s v="Finalizado (2/10)"/>
    <n v="61.639200000000002"/>
    <n v="11.7408"/>
    <n v="73.38"/>
    <s v="Sessão Faturada"/>
    <n v="130260024272010"/>
    <n v="52811"/>
    <s v="Unidade Vieiralves"/>
    <n v="1096427"/>
    <m/>
  </r>
  <r>
    <x v="16"/>
    <x v="35"/>
    <s v="Helen dos Santos Viana"/>
    <m/>
    <x v="4"/>
    <x v="19"/>
    <s v="31601014 - Acupuntura (R$ 54,56)"/>
    <s v="Acupuntura"/>
    <n v="1705578061"/>
    <s v="Finalizado (2/5)"/>
    <n v="45.830399999999997"/>
    <n v="8.7295999999999996"/>
    <n v="54.56"/>
    <s v="Sessão Faturada"/>
    <n v="774642026174020"/>
    <n v="59475"/>
    <s v="Unidade Vieiralves"/>
    <n v="1705578061"/>
    <m/>
  </r>
  <r>
    <x v="16"/>
    <x v="38"/>
    <s v="Fabíola Graziele Martins de Lima"/>
    <s v="Feminino"/>
    <x v="9"/>
    <x v="19"/>
    <s v="31601014 - Acupuntura (R$ 54,56)"/>
    <s v="Acupuntura"/>
    <n v="1706400728"/>
    <s v="Finalizado (3/5)"/>
    <n v="45.830399999999997"/>
    <n v="8.7295999999999996"/>
    <n v="54.56"/>
    <s v="Sessão Faturada"/>
    <n v="954590029556010"/>
    <n v="59043"/>
    <s v="Unidade Vieiralves"/>
    <n v="1706400728"/>
    <m/>
  </r>
  <r>
    <x v="16"/>
    <x v="39"/>
    <s v="Juliana Schettini Sobrinho Dourado"/>
    <m/>
    <x v="6"/>
    <x v="19"/>
    <s v="31601014 - Acupuntura (R$ 51,33)"/>
    <s v="Acupuntura"/>
    <n v="168606"/>
    <s v="Finalizado (4/4)"/>
    <n v="43.117199999999997"/>
    <n v="8.2127999999999997"/>
    <n v="51.33"/>
    <s v="Sessão a Faturar"/>
    <s v="51588888483923230010"/>
    <n v="58626"/>
    <s v="Unidade Vieiralves"/>
    <n v="168606"/>
    <m/>
  </r>
  <r>
    <x v="21"/>
    <x v="36"/>
    <s v="Sandra Souza Cavalcante"/>
    <m/>
    <x v="4"/>
    <x v="19"/>
    <s v="31601014 - Acupuntura (R$ 54,56)"/>
    <s v="Acupuntura"/>
    <n v="1706747686"/>
    <s v="Finalizado (4/5)"/>
    <n v="45.830399999999997"/>
    <n v="8.7295999999999996"/>
    <n v="54.56"/>
    <s v="Sessão Faturada"/>
    <n v="773299001503000"/>
    <n v="59519"/>
    <s v="Unidade Vieiralves"/>
    <n v="1706747686"/>
    <m/>
  </r>
  <r>
    <x v="21"/>
    <x v="40"/>
    <s v="Luiza Silvestre da Silva"/>
    <s v="Feminino"/>
    <x v="4"/>
    <x v="19"/>
    <s v="31601014 - Acupuntura (R$ 54,56)"/>
    <s v="Acupuntura"/>
    <n v="1708244045"/>
    <s v="Finalizado (1/1)"/>
    <n v="45.830399999999997"/>
    <n v="8.7295999999999996"/>
    <n v="54.56"/>
    <s v="Sessão Faturada"/>
    <n v="770179021261010"/>
    <n v="11820"/>
    <s v="Unidade Vieiralves"/>
    <n v="1708244045"/>
    <m/>
  </r>
  <r>
    <x v="17"/>
    <x v="41"/>
    <s v="Adriane Cavalcante Xavier"/>
    <s v="Feminino"/>
    <x v="4"/>
    <x v="19"/>
    <s v="31601014 - Acupuntura (R$ 54,56)"/>
    <s v="Acupuntura"/>
    <n v="1708785000"/>
    <s v="Finalizado (1/5)"/>
    <n v="45.830399999999997"/>
    <n v="8.7295999999999996"/>
    <n v="54.56"/>
    <s v="Sessão Faturada"/>
    <n v="811285500019020"/>
    <n v="43789"/>
    <s v="Unidade Vieiralves"/>
    <n v="1708785000"/>
    <m/>
  </r>
  <r>
    <x v="17"/>
    <x v="35"/>
    <s v="Adriana Santos Gonçalves da Silva"/>
    <s v="Feminino"/>
    <x v="4"/>
    <x v="19"/>
    <s v="31601014 - Acupuntura (R$ 54,56)"/>
    <s v="Acupuntura"/>
    <n v="1708903652"/>
    <s v="Finalizado (1/4)"/>
    <n v="45.830399999999997"/>
    <n v="8.7295999999999996"/>
    <n v="54.56"/>
    <s v="Sessão Faturada"/>
    <n v="611019330003020"/>
    <n v="45664"/>
    <s v="Unidade Vieiralves"/>
    <n v="1708903652"/>
    <m/>
  </r>
  <r>
    <x v="17"/>
    <x v="43"/>
    <s v="Ednamar da Silva Barros"/>
    <s v="Feminino"/>
    <x v="4"/>
    <x v="19"/>
    <s v="31601014 - Acupuntura (R$ 54,56)"/>
    <s v="Acupuntura"/>
    <n v="1705691427"/>
    <s v="Finalizado (3/3)"/>
    <n v="45.830399999999997"/>
    <n v="8.7295999999999996"/>
    <n v="54.56"/>
    <s v="Sessão Faturada"/>
    <n v="771015041971000"/>
    <n v="58523"/>
    <s v="Unidade Vieiralves"/>
    <n v="1705691427"/>
    <m/>
  </r>
  <r>
    <x v="18"/>
    <x v="36"/>
    <s v="Maria Raimunda da Silva Guedes Lima"/>
    <s v="Feminino"/>
    <x v="4"/>
    <x v="19"/>
    <s v="31601014 - Acupuntura (R$ 54,56)"/>
    <s v="Acupuntura"/>
    <n v="1709429597"/>
    <s v="Finalizado (1/5)"/>
    <n v="45.830399999999997"/>
    <n v="8.7295999999999996"/>
    <n v="54.56"/>
    <s v="Sessão Faturada"/>
    <n v="960016575471000"/>
    <n v="21019"/>
    <s v="Unidade Vieiralves"/>
    <n v="1709429597"/>
    <m/>
  </r>
  <r>
    <x v="18"/>
    <x v="37"/>
    <s v="Luciana Ferreira Viana"/>
    <m/>
    <x v="7"/>
    <x v="19"/>
    <s v="Vieiralves - 32 - Acupuntura Unitário - Pacote (R$ 80,00)"/>
    <s v="Acupuntura"/>
    <m/>
    <s v="Finalizado (2/10)"/>
    <n v="62.4"/>
    <n v="17.600000000000001"/>
    <n v="80"/>
    <s v="Pago"/>
    <s v="00"/>
    <n v="59537"/>
    <s v="Unidade Vieiralves"/>
    <m/>
    <m/>
  </r>
  <r>
    <x v="18"/>
    <x v="37"/>
    <s v="Vivianne Cristina Canavarro Fernandes Rocha"/>
    <s v="Feminino"/>
    <x v="6"/>
    <x v="19"/>
    <s v="31601014 - Acupuntura (R$ 51,33)"/>
    <s v="Acupuntura"/>
    <n v="171016"/>
    <s v="Finalizado (1/4)"/>
    <n v="43.117199999999997"/>
    <n v="8.2127999999999997"/>
    <n v="51.33"/>
    <s v="Sessão a Faturar"/>
    <s v="54588888491549250012"/>
    <n v="59548"/>
    <s v="Unidade Vieiralves"/>
    <n v="171016"/>
    <m/>
  </r>
  <r>
    <x v="18"/>
    <x v="39"/>
    <s v="Lucia Ferreira Viana"/>
    <s v="Feminino"/>
    <x v="7"/>
    <x v="19"/>
    <s v="Part Convenio - 4 - Acupuntura - Pacote (R$ 65,00)"/>
    <s v="Acupuntura"/>
    <m/>
    <s v="Finalizado (2/10)"/>
    <n v="50.7"/>
    <n v="14.3"/>
    <n v="65"/>
    <s v="Pago"/>
    <s v="010650248904"/>
    <n v="10197"/>
    <s v="Unidade Vieiralves"/>
    <m/>
    <m/>
  </r>
  <r>
    <x v="22"/>
    <x v="36"/>
    <s v="Ivanilsa de Castro Amorim"/>
    <s v="Feminino"/>
    <x v="29"/>
    <x v="19"/>
    <s v="31601014 - Acupuntura (R$ 73,38)"/>
    <s v="Acupuntura"/>
    <n v="1096427"/>
    <s v="Finalizado (3/10)"/>
    <n v="61.639200000000002"/>
    <n v="11.7408"/>
    <n v="73.38"/>
    <s v="Sessão Faturada"/>
    <n v="130260024272010"/>
    <n v="52811"/>
    <s v="Unidade Vieiralves"/>
    <n v="1096427"/>
    <m/>
  </r>
  <r>
    <x v="22"/>
    <x v="36"/>
    <s v="Maria Raimunda da Silva Guedes Lima"/>
    <s v="Feminino"/>
    <x v="4"/>
    <x v="19"/>
    <s v="31601014 - Acupuntura (R$ 54,56)"/>
    <s v="Acupuntura"/>
    <n v="1709429597"/>
    <s v="Finalizado (2/5)"/>
    <n v="45.830399999999997"/>
    <n v="8.7295999999999996"/>
    <n v="54.56"/>
    <s v="Sessão Faturada"/>
    <n v="960016575471000"/>
    <n v="21019"/>
    <s v="Unidade Vieiralves"/>
    <n v="1709429597"/>
    <m/>
  </r>
  <r>
    <x v="22"/>
    <x v="40"/>
    <s v="Sandra Souza Cavalcante"/>
    <m/>
    <x v="4"/>
    <x v="19"/>
    <s v="31601014 - Acupuntura (R$ 54,56)"/>
    <s v="Acupuntura"/>
    <n v="1706747686"/>
    <s v="Finalizado (5/5)"/>
    <n v="45.830399999999997"/>
    <n v="8.7295999999999996"/>
    <n v="54.56"/>
    <s v="Sessão Faturada"/>
    <n v="773299001503000"/>
    <n v="59519"/>
    <s v="Unidade Vieiralves"/>
    <n v="1706747686"/>
    <m/>
  </r>
  <r>
    <x v="22"/>
    <x v="40"/>
    <s v="Adriane Cavalcante Xavier"/>
    <s v="Feminino"/>
    <x v="4"/>
    <x v="19"/>
    <s v="31601014 - Acupuntura (R$ 54,56)"/>
    <s v="Acupuntura"/>
    <n v="1708785000"/>
    <s v="Finalizado (2/5)"/>
    <n v="45.830399999999997"/>
    <n v="8.7295999999999996"/>
    <n v="54.56"/>
    <s v="Sessão Faturada"/>
    <n v="811285500019020"/>
    <n v="43789"/>
    <s v="Unidade Vieiralves"/>
    <n v="1708785000"/>
    <m/>
  </r>
  <r>
    <x v="22"/>
    <x v="35"/>
    <s v="Helen dos Santos Viana"/>
    <m/>
    <x v="4"/>
    <x v="19"/>
    <s v="31601014 - Acupuntura (R$ 54,56)"/>
    <s v="Acupuntura"/>
    <n v="1705578061"/>
    <s v="Finalizado (3/5)"/>
    <n v="45.830399999999997"/>
    <n v="8.7295999999999996"/>
    <n v="54.56"/>
    <s v="Sessão Faturada"/>
    <n v="774642026174020"/>
    <n v="59475"/>
    <s v="Unidade Vieiralves"/>
    <n v="1705578061"/>
    <m/>
  </r>
  <r>
    <x v="22"/>
    <x v="38"/>
    <s v="Adriana Santos Gonçalves da Silva"/>
    <s v="Feminino"/>
    <x v="4"/>
    <x v="19"/>
    <s v="31601014 - Acupuntura (R$ 54,56)"/>
    <s v="Acupuntura"/>
    <n v="1708903652"/>
    <s v="Finalizado (2/4)"/>
    <n v="45.830399999999997"/>
    <n v="8.7295999999999996"/>
    <n v="54.56"/>
    <s v="Sessão Faturada"/>
    <n v="611019330003020"/>
    <n v="45664"/>
    <s v="Unidade Vieiralves"/>
    <n v="1708903652"/>
    <m/>
  </r>
  <r>
    <x v="19"/>
    <x v="36"/>
    <s v="Adriane Cavalcante Xavier"/>
    <s v="Feminino"/>
    <x v="4"/>
    <x v="19"/>
    <s v="31601014 - Acupuntura (R$ 54,56)"/>
    <s v="Acupuntura"/>
    <n v="1708785000"/>
    <s v="Finalizado (3/5)"/>
    <n v="45.830399999999997"/>
    <n v="8.7295999999999996"/>
    <n v="54.56"/>
    <s v="Sessão Faturada"/>
    <n v="811285500019020"/>
    <n v="43789"/>
    <s v="Unidade Vieiralves"/>
    <n v="1708785000"/>
    <m/>
  </r>
  <r>
    <x v="19"/>
    <x v="36"/>
    <s v="Maria Raimunda da Silva Guedes Lima"/>
    <s v="Feminino"/>
    <x v="4"/>
    <x v="19"/>
    <s v="31601014 - Acupuntura (R$ 54,56)"/>
    <s v="Acupuntura"/>
    <n v="1709429597"/>
    <s v="Finalizado (3/5)"/>
    <n v="45.830399999999997"/>
    <n v="8.7295999999999996"/>
    <n v="54.56"/>
    <s v="Sessão Faturada"/>
    <n v="960016575471000"/>
    <n v="21019"/>
    <s v="Unidade Vieiralves"/>
    <n v="1709429597"/>
    <m/>
  </r>
  <r>
    <x v="19"/>
    <x v="36"/>
    <s v="Ivanilsa de Castro Amorim"/>
    <s v="Feminino"/>
    <x v="29"/>
    <x v="19"/>
    <s v="31601014 - Acupuntura (R$ 73,38)"/>
    <s v="Acupuntura"/>
    <n v="1096427"/>
    <s v="Finalizado (4/10)"/>
    <n v="61.639200000000002"/>
    <n v="11.7408"/>
    <n v="73.38"/>
    <s v="Sessão Faturada"/>
    <n v="130260024272010"/>
    <n v="52811"/>
    <s v="Unidade Vieiralves"/>
    <n v="1096427"/>
    <m/>
  </r>
  <r>
    <x v="19"/>
    <x v="38"/>
    <s v="Jussara Maria Bandeira de Melo Rio Branco"/>
    <s v="Feminino"/>
    <x v="6"/>
    <x v="19"/>
    <s v="31601014 - Acupuntura (R$ 51,33)"/>
    <s v="Acupuntura"/>
    <n v="168777"/>
    <s v="Finalizado (3/3)"/>
    <n v="43.117199999999997"/>
    <n v="8.2127999999999997"/>
    <n v="51.33"/>
    <s v="Sessão a Faturar"/>
    <s v="55788888481071980013"/>
    <n v="15916"/>
    <s v="Unidade Vieiralves"/>
    <n v="168777"/>
    <m/>
  </r>
  <r>
    <x v="19"/>
    <x v="38"/>
    <s v="Luciana Ferreira Viana"/>
    <m/>
    <x v="7"/>
    <x v="19"/>
    <s v="Vieiralves - 32 - Acupuntura Unitário - Pacote (R$ 80,00)"/>
    <s v="Acupuntura"/>
    <m/>
    <s v="Finalizado (3/10)"/>
    <n v="62.4"/>
    <n v="17.600000000000001"/>
    <n v="80"/>
    <s v="Pago"/>
    <s v="00"/>
    <n v="59537"/>
    <s v="Unidade Vieiralves"/>
    <m/>
    <m/>
  </r>
  <r>
    <x v="19"/>
    <x v="38"/>
    <s v="Lucia Ferreira Viana"/>
    <s v="Feminino"/>
    <x v="7"/>
    <x v="19"/>
    <s v="Part Convenio - 4 - Acupuntura - Pacote (R$ 65,00)"/>
    <s v="Acupuntura"/>
    <m/>
    <s v="Finalizado (3/10)"/>
    <n v="50.7"/>
    <n v="14.3"/>
    <n v="65"/>
    <s v="Pago"/>
    <s v="010650248904"/>
    <n v="10197"/>
    <s v="Unidade Vieiralves"/>
    <m/>
    <m/>
  </r>
  <r>
    <x v="20"/>
    <x v="36"/>
    <s v="Ivanilsa de Castro Amorim"/>
    <s v="Feminino"/>
    <x v="29"/>
    <x v="19"/>
    <s v="31601014 - Acupuntura (R$ 73,38)"/>
    <s v="Acupuntura"/>
    <n v="1096427"/>
    <s v="Finalizado (5/10)"/>
    <n v="61.639200000000002"/>
    <n v="11.7408"/>
    <n v="73.38"/>
    <s v="Sessão Faturada"/>
    <n v="130260024272010"/>
    <n v="52811"/>
    <s v="Unidade Vieiralves"/>
    <n v="1096427"/>
    <m/>
  </r>
  <r>
    <x v="20"/>
    <x v="35"/>
    <s v="Adriana Santos Gonçalves da Silva"/>
    <s v="Feminino"/>
    <x v="4"/>
    <x v="19"/>
    <s v="31601014 - Acupuntura (R$ 54,56)"/>
    <s v="Acupuntura"/>
    <n v="1708903652"/>
    <s v="Finalizado (3/4)"/>
    <n v="45.830399999999997"/>
    <n v="8.7295999999999996"/>
    <n v="54.56"/>
    <s v="Sessão Faturada"/>
    <n v="611019330003020"/>
    <n v="45664"/>
    <s v="Unidade Vieiralves"/>
    <n v="1708903652"/>
    <m/>
  </r>
  <r>
    <x v="20"/>
    <x v="35"/>
    <s v="Vivianne Cristina Canavarro Fernandes Rocha"/>
    <s v="Feminino"/>
    <x v="6"/>
    <x v="19"/>
    <s v="31601014 - Acupuntura (R$ 51,33)"/>
    <s v="Acupuntura"/>
    <n v="171016"/>
    <s v="Finalizado (2/4)"/>
    <n v="43.117199999999997"/>
    <n v="8.2127999999999997"/>
    <n v="51.33"/>
    <s v="Sessão a Faturar"/>
    <s v="54588888491549250012"/>
    <n v="59548"/>
    <s v="Unidade Vieiralves"/>
    <n v="171016"/>
    <m/>
  </r>
  <r>
    <x v="20"/>
    <x v="37"/>
    <s v="Ludmylla Rosa Silva Laune Fonseca"/>
    <s v="Feminino"/>
    <x v="29"/>
    <x v="19"/>
    <s v="31601014 - Acupuntura (R$ 73,38)"/>
    <s v="Acupuntura"/>
    <n v="939876"/>
    <s v="Finalizado (10/10)"/>
    <n v="61.639200000000002"/>
    <n v="11.7408"/>
    <n v="73.38"/>
    <s v="Sessão Faturada"/>
    <n v="130260009348020"/>
    <n v="14852"/>
    <s v="Unidade Vieiralves"/>
    <n v="939876"/>
    <m/>
  </r>
  <r>
    <x v="20"/>
    <x v="39"/>
    <s v="Juliana Schettini Sobrinho Dourado"/>
    <m/>
    <x v="6"/>
    <x v="19"/>
    <s v="31601014 - Acupuntura (R$ 51,33)"/>
    <s v="Acupuntura"/>
    <n v="171613"/>
    <s v="Finalizado (1/4)"/>
    <n v="43.117199999999997"/>
    <n v="8.2127999999999997"/>
    <n v="51.33"/>
    <s v="Sessão a Faturar"/>
    <s v="51588888483923230010"/>
    <n v="58626"/>
    <s v="Unidade Vieiralves"/>
    <n v="171613"/>
    <m/>
  </r>
  <r>
    <x v="20"/>
    <x v="43"/>
    <s v="Helen dos Santos Viana"/>
    <m/>
    <x v="4"/>
    <x v="19"/>
    <s v="31601014 - Acupuntura (R$ 54,56)"/>
    <s v="Acupuntura"/>
    <n v="1705578061"/>
    <s v="Finalizado (4/5)"/>
    <n v="45.830399999999997"/>
    <n v="8.7295999999999996"/>
    <n v="54.56"/>
    <s v="Sessão Faturada"/>
    <n v="774642026174020"/>
    <n v="59475"/>
    <s v="Unidade Vieiralves"/>
    <n v="1705578061"/>
    <m/>
  </r>
  <r>
    <x v="23"/>
    <x v="40"/>
    <s v="Erlom André de Matos"/>
    <s v="Masculino"/>
    <x v="4"/>
    <x v="19"/>
    <s v="31601014 - Acupuntura (R$ 54,56)"/>
    <s v="Acupuntura"/>
    <n v="1710508088"/>
    <s v="Finalizado (3/5)"/>
    <n v="45.830399999999997"/>
    <n v="8.7295999999999996"/>
    <n v="54.56"/>
    <s v="Sessão Faturada"/>
    <n v="893331302089010"/>
    <n v="59095"/>
    <s v="Unidade Vieiralves"/>
    <n v="1710508088"/>
    <m/>
  </r>
  <r>
    <x v="23"/>
    <x v="35"/>
    <s v="Luciana Ferreira Viana"/>
    <m/>
    <x v="7"/>
    <x v="19"/>
    <s v="Vieiralves - 32 - Acupuntura Unitário - Pacote (R$ 80,00)"/>
    <s v="Acupuntura"/>
    <m/>
    <s v="Finalizado (4/10)"/>
    <n v="62.4"/>
    <n v="17.600000000000001"/>
    <n v="80"/>
    <s v="Pago"/>
    <s v="00"/>
    <n v="59537"/>
    <s v="Unidade Vieiralves"/>
    <m/>
    <m/>
  </r>
  <r>
    <x v="23"/>
    <x v="38"/>
    <s v="Lucia Ferreira Viana"/>
    <s v="Feminino"/>
    <x v="7"/>
    <x v="19"/>
    <s v="Part Convenio - 4 - Acupuntura - Pacote (R$ 65,00)"/>
    <s v="Acupuntura"/>
    <m/>
    <s v="Finalizado (4/10)"/>
    <n v="50.7"/>
    <n v="14.3"/>
    <n v="65"/>
    <s v="Pago"/>
    <s v="010650248904"/>
    <n v="10197"/>
    <s v="Unidade Vieiralves"/>
    <m/>
    <m/>
  </r>
  <r>
    <x v="23"/>
    <x v="37"/>
    <s v="Ormandina Martins Leão"/>
    <s v="Feminino"/>
    <x v="5"/>
    <x v="19"/>
    <s v="31601014 - Acupuntura - 04/03/2026 (R$ 86,81)"/>
    <s v="Acupuntura"/>
    <n v="76457810"/>
    <s v="Finalizado (8/10)"/>
    <n v="72.920400000000001"/>
    <n v="13.8896"/>
    <n v="86.81"/>
    <s v="Sessão Faturada"/>
    <s v="0100865562010408"/>
    <n v="275"/>
    <s v="Unidade Vieiralves"/>
    <n v="76457810"/>
    <m/>
  </r>
  <r>
    <x v="0"/>
    <x v="36"/>
    <s v="Sandra Souza Cavalcante"/>
    <m/>
    <x v="4"/>
    <x v="19"/>
    <s v="31601014 - Acupuntura (R$ 54,56)"/>
    <s v="Acupuntura"/>
    <n v="1712538643"/>
    <s v="Finalizado (1/5)"/>
    <n v="45.830399999999997"/>
    <n v="8.7295999999999996"/>
    <n v="54.56"/>
    <s v="Sessão Faturada"/>
    <n v="773299001503000"/>
    <n v="59519"/>
    <s v="Unidade Vieiralves"/>
    <n v="1712538643"/>
    <m/>
  </r>
  <r>
    <x v="0"/>
    <x v="40"/>
    <s v="Emanuele Menezes da Silva"/>
    <s v="Feminino"/>
    <x v="4"/>
    <x v="19"/>
    <s v="31601014 - Acupuntura (R$ 54,56)"/>
    <s v="Acupuntura"/>
    <n v="1712573766"/>
    <s v="Finalizado (1/3)"/>
    <n v="45.830399999999997"/>
    <n v="8.7295999999999996"/>
    <n v="54.56"/>
    <s v="Sessão a Faturar"/>
    <n v="774642014893010"/>
    <n v="44534"/>
    <s v="Unidade Vieiralves"/>
    <n v="1712573766"/>
    <m/>
  </r>
  <r>
    <x v="0"/>
    <x v="35"/>
    <s v="Helen dos Santos Viana"/>
    <m/>
    <x v="4"/>
    <x v="19"/>
    <s v="31601014 - Acupuntura (R$ 54,56)"/>
    <s v="Acupuntura"/>
    <n v="1705578061"/>
    <s v="Finalizado (5/5)"/>
    <n v="45.830399999999997"/>
    <n v="8.7295999999999996"/>
    <n v="54.56"/>
    <s v="Sessão Faturada"/>
    <n v="774642026174020"/>
    <n v="59475"/>
    <s v="Unidade Vieiralves"/>
    <n v="1705578061"/>
    <m/>
  </r>
  <r>
    <x v="0"/>
    <x v="39"/>
    <s v="Juliana Schettini Sobrinho Dourado"/>
    <m/>
    <x v="6"/>
    <x v="19"/>
    <s v="31601014 - Acupuntura (R$ 51,33)"/>
    <s v="Acupuntura"/>
    <n v="171613"/>
    <s v="Finalizado (2/4)"/>
    <n v="43.117199999999997"/>
    <n v="8.2127999999999997"/>
    <n v="51.33"/>
    <s v="Sessão a Faturar"/>
    <s v="51588888483923230010"/>
    <n v="58626"/>
    <s v="Unidade Vieiralves"/>
    <n v="171613"/>
    <m/>
  </r>
  <r>
    <x v="1"/>
    <x v="36"/>
    <s v="Maria Raimunda da Silva Guedes Lima"/>
    <s v="Feminino"/>
    <x v="4"/>
    <x v="19"/>
    <s v="31601014 - Acupuntura (R$ 54,56)"/>
    <s v="Acupuntura"/>
    <n v="1709429597"/>
    <s v="Finalizado (4/5)"/>
    <n v="45.830399999999997"/>
    <n v="8.7295999999999996"/>
    <n v="54.56"/>
    <s v="Sessão Faturada"/>
    <n v="960016575471000"/>
    <n v="21019"/>
    <s v="Unidade Vieiralves"/>
    <n v="1709429597"/>
    <m/>
  </r>
  <r>
    <x v="1"/>
    <x v="36"/>
    <s v="Ivanilsa de Castro Amorim"/>
    <s v="Feminino"/>
    <x v="29"/>
    <x v="19"/>
    <s v="31601014 - Acupuntura (R$ 73,38)"/>
    <s v="Acupuntura"/>
    <n v="1096427"/>
    <s v="Finalizado (6/10)"/>
    <n v="61.639200000000002"/>
    <n v="11.7408"/>
    <n v="73.38"/>
    <s v="Sessão Faturada"/>
    <n v="130260024272010"/>
    <n v="52811"/>
    <s v="Unidade Vieiralves"/>
    <n v="1096427"/>
    <m/>
  </r>
  <r>
    <x v="1"/>
    <x v="38"/>
    <s v="Lucia Ferreira Viana"/>
    <s v="Feminino"/>
    <x v="7"/>
    <x v="19"/>
    <s v="Part Convenio - 4 - Acupuntura - Pacote (R$ 65,00)"/>
    <s v="Acupuntura"/>
    <m/>
    <s v="Finalizado (5/10)"/>
    <n v="50.7"/>
    <n v="14.3"/>
    <n v="65"/>
    <s v="Pago"/>
    <s v="010650248904"/>
    <n v="10197"/>
    <s v="Unidade Vieiralves"/>
    <m/>
    <m/>
  </r>
  <r>
    <x v="1"/>
    <x v="38"/>
    <s v="Luciana Ferreira Viana"/>
    <m/>
    <x v="7"/>
    <x v="19"/>
    <s v="Vieiralves - 32 - Acupuntura Unitário - Pacote (R$ 80,00)"/>
    <s v="Acupuntura"/>
    <m/>
    <s v="Finalizado (5/10)"/>
    <n v="62.4"/>
    <n v="17.600000000000001"/>
    <n v="80"/>
    <s v="Pago"/>
    <s v="00"/>
    <n v="59537"/>
    <s v="Unidade Vieiralves"/>
    <m/>
    <m/>
  </r>
  <r>
    <x v="1"/>
    <x v="38"/>
    <s v="Rosineide Bandeira Gomes"/>
    <s v="Feminino"/>
    <x v="7"/>
    <x v="19"/>
    <s v="Vieiralves - 6 - Avaliação de Acupuntura (R$ 200,00)"/>
    <s v="Acupuntura"/>
    <m/>
    <s v="Finalizado (1/1)"/>
    <n v="156"/>
    <n v="44"/>
    <n v="200"/>
    <s v="Pago"/>
    <s v="00"/>
    <n v="59676"/>
    <s v="Unidade Vieiralves"/>
    <m/>
    <m/>
  </r>
  <r>
    <x v="1"/>
    <x v="37"/>
    <s v="Fabíola Graziele Martins de Lima"/>
    <s v="Feminino"/>
    <x v="9"/>
    <x v="19"/>
    <s v="31601014 - Acupuntura (R$ 54,56)"/>
    <s v="Acupuntura"/>
    <n v="1713340607"/>
    <s v="Finalizado (1/5)"/>
    <n v="45.830399999999997"/>
    <n v="8.7295999999999996"/>
    <n v="54.56"/>
    <s v="Sessão Faturada"/>
    <n v="954590029556010"/>
    <n v="59043"/>
    <s v="Unidade Vieiralves"/>
    <n v="1713340607"/>
    <m/>
  </r>
  <r>
    <x v="3"/>
    <x v="36"/>
    <s v="Maria Raimunda da Silva Guedes Lima"/>
    <s v="Feminino"/>
    <x v="4"/>
    <x v="19"/>
    <s v="31601014 - Acupuntura (R$ 54,56)"/>
    <s v="Acupuntura"/>
    <n v="1709429597"/>
    <s v="Finalizado (5/5)"/>
    <n v="45.830399999999997"/>
    <n v="8.7295999999999996"/>
    <n v="54.56"/>
    <s v="Sessão Faturada"/>
    <n v="960016575471000"/>
    <n v="21019"/>
    <s v="Unidade Vieiralves"/>
    <n v="1709429597"/>
    <m/>
  </r>
  <r>
    <x v="3"/>
    <x v="36"/>
    <s v="Ivanilsa de Castro Amorim"/>
    <s v="Feminino"/>
    <x v="29"/>
    <x v="19"/>
    <s v="31601014 - Acupuntura (R$ 73,38)"/>
    <s v="Acupuntura"/>
    <n v="1096427"/>
    <s v="Finalizado (7/10)"/>
    <n v="61.639200000000002"/>
    <n v="11.7408"/>
    <n v="73.38"/>
    <s v="Sessão Faturada"/>
    <n v="130260024272010"/>
    <n v="52811"/>
    <s v="Unidade Vieiralves"/>
    <n v="1096427"/>
    <m/>
  </r>
  <r>
    <x v="3"/>
    <x v="40"/>
    <s v="Cristina dos Santos Braga"/>
    <m/>
    <x v="20"/>
    <x v="19"/>
    <s v="00010774 - Avaliação de Acupuntura (R$ 40,00)"/>
    <s v="Acupuntura"/>
    <n v="55730160"/>
    <s v="Finalizado (1/1)"/>
    <n v="40"/>
    <n v="0"/>
    <n v="40"/>
    <s v="Sessão Faturada"/>
    <n v="10511000263700"/>
    <n v="59694"/>
    <s v="Unidade Vieiralves"/>
    <n v="55730160"/>
    <m/>
  </r>
  <r>
    <x v="3"/>
    <x v="40"/>
    <s v="Cristina dos Santos Braga"/>
    <m/>
    <x v="20"/>
    <x v="19"/>
    <s v="00010987 - Acupuntura Por Sessão - 02/04/2026 (R$ 42,00)"/>
    <s v="Acupuntura"/>
    <n v="55730050"/>
    <s v="Finalizado (1/10)"/>
    <n v="35.28"/>
    <n v="6.72"/>
    <n v="42"/>
    <s v="Sessão a Faturar"/>
    <n v="10511000263700"/>
    <n v="59694"/>
    <s v="Unidade Vieiralves"/>
    <n v="55730050"/>
    <m/>
  </r>
  <r>
    <x v="3"/>
    <x v="38"/>
    <s v="Ana Carolina Bento Andrade da Encarnação"/>
    <s v="Feminino"/>
    <x v="4"/>
    <x v="19"/>
    <s v="31601014 - Acupuntura (R$ 54,56)"/>
    <s v="Acupuntura"/>
    <n v="1713614073"/>
    <s v="Finalizado (2/4)"/>
    <n v="45.830399999999997"/>
    <n v="8.7295999999999996"/>
    <n v="54.56"/>
    <s v="Sessão a Faturar"/>
    <n v="771015045292010"/>
    <n v="21604"/>
    <s v="Unidade Vieiralves"/>
    <n v="1713614073"/>
    <m/>
  </r>
  <r>
    <x v="3"/>
    <x v="39"/>
    <s v="Flavia Simoes Correa"/>
    <m/>
    <x v="18"/>
    <x v="19"/>
    <s v="31601014 - Acupuntura - Pacote (R$ 40,00)"/>
    <s v="Acupuntura"/>
    <n v="172134"/>
    <s v="Finalizado (1/10)"/>
    <n v="33.6"/>
    <n v="6.4"/>
    <n v="40"/>
    <s v="Sessão a Faturar"/>
    <n v="36000000100"/>
    <n v="54680"/>
    <s v="Unidade Vieiralves"/>
    <n v="172134"/>
    <m/>
  </r>
  <r>
    <x v="4"/>
    <x v="36"/>
    <s v="Adriane Cavalcante Xavier"/>
    <s v="Feminino"/>
    <x v="4"/>
    <x v="19"/>
    <s v="31601014 - Acupuntura (R$ 54,56)"/>
    <s v="Acupuntura"/>
    <n v="1708785000"/>
    <s v="Finalizado (4/5)"/>
    <n v="45.830399999999997"/>
    <n v="8.7295999999999996"/>
    <n v="54.56"/>
    <s v="Sessão Faturada"/>
    <n v="811285500019020"/>
    <n v="43789"/>
    <s v="Unidade Vieiralves"/>
    <n v="1708785000"/>
    <m/>
  </r>
  <r>
    <x v="4"/>
    <x v="40"/>
    <s v="Elzi Cleide Caetano da Costa"/>
    <s v="Feminino"/>
    <x v="6"/>
    <x v="19"/>
    <s v="31601014 - Acupuntura (R$ 51,33)"/>
    <s v="Acupuntura"/>
    <n v="163654"/>
    <s v="Finalizado (4/4)"/>
    <n v="43.117199999999997"/>
    <n v="8.2127999999999997"/>
    <n v="51.33"/>
    <s v="Sessão Faturada"/>
    <s v="86979122003944240017"/>
    <n v="53521"/>
    <s v="Unidade Vieiralves"/>
    <n v="163654"/>
    <m/>
  </r>
  <r>
    <x v="4"/>
    <x v="35"/>
    <s v="Vivianne Cristina Canavarro Fernandes Rocha"/>
    <s v="Feminino"/>
    <x v="6"/>
    <x v="19"/>
    <s v="31601014 - Acupuntura (R$ 51,33)"/>
    <s v="Acupuntura"/>
    <n v="171016"/>
    <s v="Finalizado (3/4)"/>
    <n v="43.117199999999997"/>
    <n v="8.2127999999999997"/>
    <n v="51.33"/>
    <s v="Sessão a Faturar"/>
    <s v="54588888491549250012"/>
    <n v="59548"/>
    <s v="Unidade Vieiralves"/>
    <n v="171016"/>
    <m/>
  </r>
  <r>
    <x v="4"/>
    <x v="35"/>
    <s v="Fabíola Graziele Martins de Lima"/>
    <s v="Feminino"/>
    <x v="9"/>
    <x v="19"/>
    <s v="31601014 - Acupuntura (R$ 54,56)"/>
    <s v="Acupuntura"/>
    <n v="1713340607"/>
    <s v="Finalizado (3/5)"/>
    <n v="45.830399999999997"/>
    <n v="8.7295999999999996"/>
    <n v="54.56"/>
    <s v="Sessão Faturada"/>
    <n v="954590029556010"/>
    <n v="59043"/>
    <s v="Unidade Vieiralves"/>
    <n v="1713340607"/>
    <m/>
  </r>
  <r>
    <x v="4"/>
    <x v="39"/>
    <s v="Juliana Schettini Sobrinho Dourado"/>
    <m/>
    <x v="6"/>
    <x v="19"/>
    <s v="31601014 - Acupuntura (R$ 51,33)"/>
    <s v="Acupuntura"/>
    <n v="171613"/>
    <s v="Finalizado (3/4)"/>
    <n v="43.117199999999997"/>
    <n v="8.2127999999999997"/>
    <n v="51.33"/>
    <s v="Sessão a Faturar"/>
    <s v="51588888483923230010"/>
    <n v="58626"/>
    <s v="Unidade Vieiralves"/>
    <n v="171613"/>
    <m/>
  </r>
  <r>
    <x v="4"/>
    <x v="43"/>
    <s v="Jefferson Castro Simplicio"/>
    <s v="Masculino"/>
    <x v="4"/>
    <x v="19"/>
    <s v="31601014 - Acupuntura (R$ 54,56)"/>
    <s v="Acupuntura"/>
    <n v="1707993442"/>
    <s v="Finalizado (5/5)"/>
    <n v="45.830399999999997"/>
    <n v="8.7295999999999996"/>
    <n v="54.56"/>
    <s v="Sessão Faturada"/>
    <n v="960130225177000"/>
    <n v="43518"/>
    <s v="Unidade Vieiralves"/>
    <n v="1707993442"/>
    <m/>
  </r>
  <r>
    <x v="24"/>
    <x v="36"/>
    <s v="Erlom André de Matos"/>
    <s v="Masculino"/>
    <x v="4"/>
    <x v="19"/>
    <s v="31601014 - Acupuntura (R$ 54,56)"/>
    <s v="Acupuntura"/>
    <n v="1710508088"/>
    <s v="Finalizado (5/5)"/>
    <n v="45.830399999999997"/>
    <n v="8.7295999999999996"/>
    <n v="54.56"/>
    <s v="Sessão Faturada"/>
    <n v="893331302089010"/>
    <n v="59095"/>
    <s v="Unidade Vieiralves"/>
    <n v="1710508088"/>
    <m/>
  </r>
  <r>
    <x v="24"/>
    <x v="38"/>
    <s v="Viviane Paes Barreto da Silva"/>
    <s v="Feminino"/>
    <x v="4"/>
    <x v="19"/>
    <s v="31601014 - Acupuntura (R$ 54,56)"/>
    <s v="Acupuntura"/>
    <n v="1713638120"/>
    <s v="Finalizado (2/5)"/>
    <n v="45.830399999999997"/>
    <n v="8.7295999999999996"/>
    <n v="54.56"/>
    <s v="Sessão Faturada"/>
    <n v="853503800205040"/>
    <n v="59636"/>
    <s v="Unidade Vieiralves"/>
    <n v="1713638120"/>
    <m/>
  </r>
  <r>
    <x v="24"/>
    <x v="38"/>
    <s v="Lucia Ferreira Viana"/>
    <s v="Feminino"/>
    <x v="7"/>
    <x v="19"/>
    <s v="Part Convenio - 4 - Acupuntura - Pacote (R$ 65,00)"/>
    <s v="Acupuntura"/>
    <m/>
    <s v="Finalizado (6/10)"/>
    <n v="50.7"/>
    <n v="14.3"/>
    <n v="65"/>
    <s v="Pago"/>
    <s v="010650248904"/>
    <n v="10197"/>
    <s v="Unidade Vieiralves"/>
    <m/>
    <m/>
  </r>
  <r>
    <x v="24"/>
    <x v="38"/>
    <s v="Luciana Ferreira Viana"/>
    <m/>
    <x v="7"/>
    <x v="19"/>
    <s v="Vieiralves - 32 - Acupuntura Unitário - Pacote (R$ 80,00)"/>
    <s v="Acupuntura"/>
    <m/>
    <s v="Finalizado (6/10)"/>
    <n v="62.4"/>
    <n v="17.600000000000001"/>
    <n v="80"/>
    <s v="Pago"/>
    <s v="00"/>
    <n v="59537"/>
    <s v="Unidade Vieiralves"/>
    <m/>
    <m/>
  </r>
  <r>
    <x v="24"/>
    <x v="43"/>
    <s v="Maria de Fatima Fernandes Lima"/>
    <s v="Feminino"/>
    <x v="4"/>
    <x v="19"/>
    <s v="31601014 - Acupuntura (R$ 54,56)"/>
    <s v="Acupuntura"/>
    <n v="1715503807"/>
    <s v="Finalizado (1/5)"/>
    <n v="45.830399999999997"/>
    <n v="8.7295999999999996"/>
    <n v="54.56"/>
    <s v="Sessão a Faturar"/>
    <n v="771015039616020"/>
    <n v="57076"/>
    <s v="Unidade Vieiralves"/>
    <n v="1715503807"/>
    <m/>
  </r>
  <r>
    <x v="5"/>
    <x v="35"/>
    <s v="Cristina dos Santos Braga"/>
    <m/>
    <x v="20"/>
    <x v="19"/>
    <s v="00010987 - Acupuntura Por Sessão - 02/04/2026 (R$ 42,00)"/>
    <s v="Acupuntura"/>
    <n v="55730050"/>
    <s v="Finalizado (2/10)"/>
    <n v="35.28"/>
    <n v="6.72"/>
    <n v="42"/>
    <s v="Sessão a Faturar"/>
    <n v="10511000263700"/>
    <n v="59694"/>
    <s v="Unidade Vieiralves"/>
    <n v="55730050"/>
    <m/>
  </r>
  <r>
    <x v="5"/>
    <x v="35"/>
    <s v="Luciana Ferreira Viana"/>
    <m/>
    <x v="7"/>
    <x v="19"/>
    <s v="Vieiralves - 32 - Acupuntura Unitário - Pacote (R$ 80,00)"/>
    <s v="Acupuntura"/>
    <m/>
    <s v="Finalizado (7/10)"/>
    <n v="62.4"/>
    <n v="17.600000000000001"/>
    <n v="80"/>
    <s v="Pago"/>
    <s v="00"/>
    <n v="59537"/>
    <s v="Unidade Vieiralves"/>
    <m/>
    <m/>
  </r>
  <r>
    <x v="5"/>
    <x v="43"/>
    <s v="Fabíola Graziele Martins de Lima"/>
    <s v="Feminino"/>
    <x v="9"/>
    <x v="19"/>
    <s v="31601014 - Acupuntura (R$ 54,56)"/>
    <s v="Acupuntura"/>
    <n v="1713340607"/>
    <s v="Finalizado (4/5)"/>
    <n v="45.830399999999997"/>
    <n v="8.7295999999999996"/>
    <n v="54.56"/>
    <s v="Sessão Faturada"/>
    <n v="954590029556010"/>
    <n v="59043"/>
    <s v="Unidade Vieiralves"/>
    <n v="1713340607"/>
    <m/>
  </r>
  <r>
    <x v="6"/>
    <x v="41"/>
    <s v="Maria Raimunda da Silva Guedes Lima"/>
    <s v="Feminino"/>
    <x v="4"/>
    <x v="19"/>
    <s v="31601014 - Acupuntura (R$ 54,56)"/>
    <s v="Acupuntura"/>
    <n v="1716407081"/>
    <s v="Finalizado (1/5)"/>
    <n v="45.830399999999997"/>
    <n v="8.7295999999999996"/>
    <n v="54.56"/>
    <s v="Sessão a Faturar"/>
    <n v="960016575471000"/>
    <n v="21019"/>
    <s v="Unidade Vieiralves"/>
    <n v="1716407081"/>
    <m/>
  </r>
  <r>
    <x v="6"/>
    <x v="36"/>
    <s v="Emanuele Menezes da Silva"/>
    <s v="Feminino"/>
    <x v="4"/>
    <x v="19"/>
    <s v="31601014 - Acupuntura (R$ 54,56)"/>
    <s v="Acupuntura"/>
    <n v="1712573766"/>
    <s v="Finalizado (2/3)"/>
    <n v="45.830399999999997"/>
    <n v="8.7295999999999996"/>
    <n v="54.56"/>
    <s v="Sessão a Faturar"/>
    <n v="774642014893010"/>
    <n v="44534"/>
    <s v="Unidade Vieiralves"/>
    <n v="1712573766"/>
    <m/>
  </r>
  <r>
    <x v="6"/>
    <x v="40"/>
    <s v="Cristina dos Santos Braga"/>
    <m/>
    <x v="20"/>
    <x v="19"/>
    <s v="00010987 - Acupuntura Por Sessão - 02/04/2026 (R$ 42,00)"/>
    <s v="Acupuntura"/>
    <n v="55730050"/>
    <s v="Finalizado (3/10)"/>
    <n v="35.28"/>
    <n v="6.72"/>
    <n v="42"/>
    <s v="Sessão a Faturar"/>
    <n v="10511000263700"/>
    <n v="59694"/>
    <s v="Unidade Vieiralves"/>
    <n v="55730050"/>
    <m/>
  </r>
  <r>
    <x v="6"/>
    <x v="35"/>
    <s v="Karoline Lima de Oliveira"/>
    <s v="Feminino"/>
    <x v="9"/>
    <x v="19"/>
    <s v="31601014 - Acupuntura (R$ 54,56)"/>
    <s v="Acupuntura"/>
    <n v="1716474875"/>
    <s v="Finalizado (1/5)"/>
    <n v="45.830399999999997"/>
    <n v="8.7295999999999996"/>
    <n v="54.56"/>
    <s v="Sessão a Faturar"/>
    <n v="954600003484010"/>
    <n v="59690"/>
    <s v="Unidade Vieiralves"/>
    <n v="1716474875"/>
    <m/>
  </r>
  <r>
    <x v="6"/>
    <x v="35"/>
    <s v="Lucia Ferreira Viana"/>
    <s v="Feminino"/>
    <x v="7"/>
    <x v="19"/>
    <s v="Part Convenio - 4 - Acupuntura - Pacote (R$ 65,00)"/>
    <s v="Acupuntura"/>
    <m/>
    <s v="Finalizado (7/10)"/>
    <n v="50.7"/>
    <n v="14.3"/>
    <n v="65"/>
    <s v="Pago"/>
    <s v="010650248904"/>
    <n v="10197"/>
    <s v="Unidade Vieiralves"/>
    <m/>
    <m/>
  </r>
  <r>
    <x v="6"/>
    <x v="38"/>
    <s v="Vivianne Cristina Canavarro Fernandes Rocha"/>
    <s v="Feminino"/>
    <x v="6"/>
    <x v="19"/>
    <s v="31601014 - Acupuntura (R$ 51,33)"/>
    <s v="Acupuntura"/>
    <n v="171016"/>
    <s v="Finalizado (4/4)"/>
    <n v="43.117199999999997"/>
    <n v="8.2127999999999997"/>
    <n v="51.33"/>
    <s v="Sessão a Faturar"/>
    <s v="54588888491549250012"/>
    <n v="59548"/>
    <s v="Unidade Vieiralves"/>
    <n v="171016"/>
    <m/>
  </r>
  <r>
    <x v="6"/>
    <x v="38"/>
    <s v="Aline de Paula Lima"/>
    <s v="Feminino"/>
    <x v="9"/>
    <x v="19"/>
    <s v="31601014 - Acupuntura (R$ 54,56)"/>
    <s v="Acupuntura"/>
    <n v="1716507577"/>
    <s v="Finalizado (1/5)"/>
    <n v="45.830399999999997"/>
    <n v="8.7295999999999996"/>
    <n v="54.56"/>
    <s v="Sessão a Faturar"/>
    <n v="954600033081030"/>
    <n v="47919"/>
    <s v="Unidade Vieiralves"/>
    <n v="1716507577"/>
    <m/>
  </r>
  <r>
    <x v="6"/>
    <x v="37"/>
    <s v="Flavia Simoes Correa"/>
    <m/>
    <x v="18"/>
    <x v="19"/>
    <s v="31601014 - Acupuntura - Pacote (R$ 40,00)"/>
    <s v="Acupuntura"/>
    <n v="172134"/>
    <s v="Finalizado (2/10)"/>
    <n v="33.6"/>
    <n v="6.4"/>
    <n v="40"/>
    <s v="Sessão a Faturar"/>
    <n v="36000000100"/>
    <n v="54680"/>
    <s v="Unidade Vieiralves"/>
    <n v="172134"/>
    <m/>
  </r>
  <r>
    <x v="6"/>
    <x v="43"/>
    <s v="Fabíola Graziele Martins de Lima"/>
    <s v="Feminino"/>
    <x v="9"/>
    <x v="19"/>
    <s v="31601014 - Acupuntura (R$ 54,56)"/>
    <s v="Acupuntura"/>
    <n v="1713340607"/>
    <s v="Finalizado (5/5)"/>
    <n v="45.830399999999997"/>
    <n v="8.7295999999999996"/>
    <n v="54.56"/>
    <s v="Sessão Faturada"/>
    <n v="954590029556010"/>
    <n v="59043"/>
    <s v="Unidade Vieiralves"/>
    <n v="1713340607"/>
    <m/>
  </r>
  <r>
    <x v="7"/>
    <x v="36"/>
    <s v="Ivanilsa de Castro Amorim"/>
    <s v="Feminino"/>
    <x v="29"/>
    <x v="19"/>
    <s v="31601014 - Acupuntura (R$ 73,38)"/>
    <s v="Acupuntura"/>
    <n v="1096427"/>
    <s v="Finalizado (8/10)"/>
    <n v="61.639200000000002"/>
    <n v="11.7408"/>
    <n v="73.38"/>
    <s v="Sessão Faturada"/>
    <n v="130260024272010"/>
    <n v="52811"/>
    <s v="Unidade Vieiralves"/>
    <n v="1096427"/>
    <m/>
  </r>
  <r>
    <x v="7"/>
    <x v="35"/>
    <s v="Luciana Ferreira Viana"/>
    <m/>
    <x v="7"/>
    <x v="19"/>
    <s v="Vieiralves - 32 - Acupuntura Unitário - Pacote (R$ 80,00)"/>
    <s v="Acupuntura"/>
    <m/>
    <s v="Finalizado (8/10)"/>
    <n v="62.4"/>
    <n v="17.600000000000001"/>
    <n v="80"/>
    <s v="Pago"/>
    <s v="00"/>
    <n v="59537"/>
    <s v="Unidade Vieiralves"/>
    <m/>
    <m/>
  </r>
  <r>
    <x v="7"/>
    <x v="35"/>
    <s v="Cristina dos Santos Braga"/>
    <m/>
    <x v="20"/>
    <x v="19"/>
    <s v="00010987 - Acupuntura Por Sessão - 02/04/2026 (R$ 42,00)"/>
    <s v="Acupuntura"/>
    <n v="55730050"/>
    <s v="Finalizado (4/10)"/>
    <n v="35.28"/>
    <n v="6.72"/>
    <n v="42"/>
    <s v="Sessão a Faturar"/>
    <n v="10511000263700"/>
    <n v="59694"/>
    <s v="Unidade Vieiralves"/>
    <n v="55730050"/>
    <m/>
  </r>
  <r>
    <x v="7"/>
    <x v="38"/>
    <s v="Andre Luiz da Rocha Moura"/>
    <s v="Masculino"/>
    <x v="4"/>
    <x v="19"/>
    <s v="31601014 - Acupuntura (R$ 54,56)"/>
    <s v="Acupuntura"/>
    <n v="1716772831"/>
    <s v="Finalizado (2/5)"/>
    <n v="45.830399999999997"/>
    <n v="8.7295999999999996"/>
    <n v="54.56"/>
    <s v="Sessão Faturada"/>
    <n v="771015054119000"/>
    <n v="52042"/>
    <s v="Unidade Vieiralves"/>
    <n v="1716772831"/>
    <m/>
  </r>
  <r>
    <x v="7"/>
    <x v="37"/>
    <s v="Leandro Nascimento da Silva Tachy"/>
    <s v="Masculino"/>
    <x v="4"/>
    <x v="19"/>
    <s v="31601014 - Acupuntura (R$ 54,56)"/>
    <s v="Acupuntura"/>
    <n v="1717068924"/>
    <s v="Finalizado (1/5)"/>
    <n v="45.830399999999997"/>
    <n v="8.7295999999999996"/>
    <n v="54.56"/>
    <s v="Sessão a Faturar"/>
    <n v="774063008605000"/>
    <n v="59722"/>
    <s v="Unidade Vieiralves"/>
    <n v="1717068924"/>
    <m/>
  </r>
  <r>
    <x v="7"/>
    <x v="43"/>
    <s v="Fabíola Graziele Martins de Lima"/>
    <s v="Feminino"/>
    <x v="9"/>
    <x v="19"/>
    <s v="31601014 - Acupuntura (R$ 54,56)"/>
    <s v="Acupuntura"/>
    <n v="1717078638"/>
    <s v="Finalizado (1/5)"/>
    <n v="45.830399999999997"/>
    <n v="8.7295999999999996"/>
    <n v="54.56"/>
    <s v="Sessão a Faturar"/>
    <n v="954590029556010"/>
    <n v="59043"/>
    <s v="Unidade Vieiralves"/>
    <n v="1717078638"/>
    <m/>
  </r>
  <r>
    <x v="8"/>
    <x v="36"/>
    <s v="Ivanilsa de Castro Amorim"/>
    <s v="Feminino"/>
    <x v="29"/>
    <x v="19"/>
    <s v="31601014 - Acupuntura (R$ 73,38)"/>
    <s v="Acupuntura"/>
    <n v="1096427"/>
    <s v="Finalizado (9/10)"/>
    <n v="61.639200000000002"/>
    <n v="11.7408"/>
    <n v="73.38"/>
    <s v="Sessão Faturada"/>
    <n v="130260024272010"/>
    <n v="52811"/>
    <s v="Unidade Vieiralves"/>
    <n v="1096427"/>
    <m/>
  </r>
  <r>
    <x v="8"/>
    <x v="36"/>
    <s v="Emanuele Menezes da Silva"/>
    <s v="Feminino"/>
    <x v="4"/>
    <x v="19"/>
    <s v="31601014 - Acupuntura (R$ 54,56)"/>
    <s v="Acupuntura"/>
    <n v="1712573766"/>
    <s v="Finalizado (3/3)"/>
    <n v="45.830399999999997"/>
    <n v="8.7295999999999996"/>
    <n v="54.56"/>
    <s v="Sessão a Faturar"/>
    <n v="774642014893010"/>
    <n v="44534"/>
    <s v="Unidade Vieiralves"/>
    <n v="1712573766"/>
    <m/>
  </r>
  <r>
    <x v="8"/>
    <x v="36"/>
    <s v="Maria Raimunda da Silva Guedes Lima"/>
    <s v="Feminino"/>
    <x v="4"/>
    <x v="19"/>
    <s v="31601014 - Acupuntura (R$ 54,56)"/>
    <s v="Acupuntura"/>
    <n v="1716407081"/>
    <s v="Finalizado (2/5)"/>
    <n v="45.830399999999997"/>
    <n v="8.7295999999999996"/>
    <n v="54.56"/>
    <s v="Sessão a Faturar"/>
    <n v="960016575471000"/>
    <n v="21019"/>
    <s v="Unidade Vieiralves"/>
    <n v="1716407081"/>
    <m/>
  </r>
  <r>
    <x v="8"/>
    <x v="38"/>
    <s v="Lucia Ferreira Viana"/>
    <s v="Feminino"/>
    <x v="7"/>
    <x v="19"/>
    <s v="Part Convenio - 4 - Acupuntura - Pacote (R$ 65,00)"/>
    <s v="Acupuntura"/>
    <m/>
    <s v="Finalizado (8/10)"/>
    <n v="50.7"/>
    <n v="14.3"/>
    <n v="65"/>
    <s v="Pago"/>
    <s v="010650248904"/>
    <n v="10197"/>
    <s v="Unidade Vieiralves"/>
    <m/>
    <m/>
  </r>
  <r>
    <x v="8"/>
    <x v="38"/>
    <s v="Flavia Simoes Correa"/>
    <m/>
    <x v="18"/>
    <x v="19"/>
    <s v="31601014 - Acupuntura - Pacote (R$ 40,00)"/>
    <s v="Acupuntura"/>
    <n v="172134"/>
    <s v="Finalizado (3/10)"/>
    <n v="33.6"/>
    <n v="6.4"/>
    <n v="40"/>
    <s v="Sessão a Faturar"/>
    <n v="36000000100"/>
    <n v="54680"/>
    <s v="Unidade Vieiralves"/>
    <n v="172134"/>
    <m/>
  </r>
  <r>
    <x v="8"/>
    <x v="38"/>
    <s v="Andre Luiz da Rocha Moura"/>
    <s v="Masculino"/>
    <x v="4"/>
    <x v="19"/>
    <s v="31601014 - Acupuntura (R$ 54,56)"/>
    <s v="Acupuntura"/>
    <n v="1716772831"/>
    <s v="Finalizado (3/5)"/>
    <n v="45.830399999999997"/>
    <n v="8.7295999999999996"/>
    <n v="54.56"/>
    <s v="Sessão Faturada"/>
    <n v="771015054119000"/>
    <n v="52042"/>
    <s v="Unidade Vieiralves"/>
    <n v="1716772831"/>
    <m/>
  </r>
  <r>
    <x v="8"/>
    <x v="37"/>
    <s v="Fabíola Graziele Martins de Lima"/>
    <s v="Feminino"/>
    <x v="9"/>
    <x v="19"/>
    <s v="31601014 - Acupuntura (R$ 54,56)"/>
    <s v="Acupuntura"/>
    <n v="1717078638"/>
    <s v="Finalizado (2/5)"/>
    <n v="45.830399999999997"/>
    <n v="8.7295999999999996"/>
    <n v="54.56"/>
    <s v="Sessão a Faturar"/>
    <n v="954590029556010"/>
    <n v="59043"/>
    <s v="Unidade Vieiralves"/>
    <n v="1717078638"/>
    <m/>
  </r>
  <r>
    <x v="8"/>
    <x v="39"/>
    <s v="Vivianne Cristina Canavarro Fernandes Rocha"/>
    <s v="Feminino"/>
    <x v="6"/>
    <x v="19"/>
    <s v="31601014 - Acupuntura (R$ 51,33)"/>
    <s v="Acupuntura"/>
    <n v="172838"/>
    <s v="Finalizado (1/4)"/>
    <n v="43.117199999999997"/>
    <n v="8.2127999999999997"/>
    <n v="51.33"/>
    <s v="Sessão a Faturar"/>
    <s v="54588888491549250012"/>
    <n v="59548"/>
    <s v="Unidade Vieiralves"/>
    <n v="172838"/>
    <m/>
  </r>
  <r>
    <x v="8"/>
    <x v="39"/>
    <s v="Marcia Maria de Souza Miranda"/>
    <s v="Feminino"/>
    <x v="4"/>
    <x v="19"/>
    <s v="31601014 - Acupuntura (R$ 54,56)"/>
    <s v="Acupuntura"/>
    <n v="1717615372"/>
    <s v="Finalizado (1/5)"/>
    <n v="45.830399999999997"/>
    <n v="8.7295999999999996"/>
    <n v="54.56"/>
    <s v="Sessão Faturada"/>
    <n v="884774402038000"/>
    <n v="59779"/>
    <s v="Unidade Vieiralves"/>
    <n v="1717615372"/>
    <m/>
  </r>
  <r>
    <x v="9"/>
    <x v="36"/>
    <s v="Adriane Cavalcante Xavier"/>
    <s v="Feminino"/>
    <x v="4"/>
    <x v="19"/>
    <s v="31601014 - Acupuntura (R$ 54,56)"/>
    <s v="Acupuntura"/>
    <n v="1708785000"/>
    <s v="Finalizado (5/5)"/>
    <n v="45.830399999999997"/>
    <n v="8.7295999999999996"/>
    <n v="54.56"/>
    <s v="Sessão Faturada"/>
    <n v="811285500019020"/>
    <n v="43789"/>
    <s v="Unidade Vieiralves"/>
    <n v="1708785000"/>
    <m/>
  </r>
  <r>
    <x v="9"/>
    <x v="35"/>
    <s v="Cristina dos Santos Braga"/>
    <m/>
    <x v="20"/>
    <x v="19"/>
    <s v="00010987 - Acupuntura Por Sessão - 02/04/2026 (R$ 42,00)"/>
    <s v="Acupuntura"/>
    <n v="55730050"/>
    <s v="Finalizado (5/10)"/>
    <n v="35.28"/>
    <n v="6.72"/>
    <n v="42"/>
    <s v="Sessão a Faturar"/>
    <n v="10511000263700"/>
    <n v="59694"/>
    <s v="Unidade Vieiralves"/>
    <n v="55730050"/>
    <m/>
  </r>
  <r>
    <x v="9"/>
    <x v="38"/>
    <s v="Andre Luiz da Rocha Moura"/>
    <s v="Masculino"/>
    <x v="4"/>
    <x v="19"/>
    <s v="31601014 - Acupuntura (R$ 54,56)"/>
    <s v="Acupuntura"/>
    <n v="1716772831"/>
    <s v="Finalizado (4/5)"/>
    <n v="45.830399999999997"/>
    <n v="8.7295999999999996"/>
    <n v="54.56"/>
    <s v="Sessão Faturada"/>
    <n v="771015054119000"/>
    <n v="52042"/>
    <s v="Unidade Vieiralves"/>
    <n v="1716772831"/>
    <m/>
  </r>
  <r>
    <x v="9"/>
    <x v="38"/>
    <s v="Luciana Ferreira Viana"/>
    <m/>
    <x v="7"/>
    <x v="19"/>
    <s v="Vieiralves - 32 - Acupuntura Unitário - Pacote (R$ 80,00)"/>
    <s v="Acupuntura"/>
    <m/>
    <s v="Finalizado (9/10)"/>
    <n v="62.4"/>
    <n v="17.600000000000001"/>
    <n v="80"/>
    <s v="Pago"/>
    <s v="00"/>
    <n v="59537"/>
    <s v="Unidade Vieiralves"/>
    <m/>
    <m/>
  </r>
  <r>
    <x v="9"/>
    <x v="37"/>
    <s v="Fabíola Graziele Martins de Lima"/>
    <s v="Feminino"/>
    <x v="9"/>
    <x v="19"/>
    <s v="31601014 - Acupuntura (R$ 54,56)"/>
    <s v="Acupuntura"/>
    <n v="1717078638"/>
    <s v="Finalizado (3/5)"/>
    <n v="45.830399999999997"/>
    <n v="8.7295999999999996"/>
    <n v="54.56"/>
    <s v="Sessão a Faturar"/>
    <n v="954590029556010"/>
    <n v="59043"/>
    <s v="Unidade Vieiralves"/>
    <n v="1717078638"/>
    <m/>
  </r>
  <r>
    <x v="9"/>
    <x v="37"/>
    <s v="Marcia Maria de Souza Miranda"/>
    <s v="Feminino"/>
    <x v="4"/>
    <x v="19"/>
    <s v="31601014 - Acupuntura (R$ 54,56)"/>
    <s v="Acupuntura"/>
    <n v="1717615372"/>
    <s v="Finalizado (2/5)"/>
    <n v="45.830399999999997"/>
    <n v="8.7295999999999996"/>
    <n v="54.56"/>
    <s v="Sessão Faturada"/>
    <n v="884774402038000"/>
    <n v="59779"/>
    <s v="Unidade Vieiralves"/>
    <n v="1717615372"/>
    <m/>
  </r>
  <r>
    <x v="25"/>
    <x v="36"/>
    <s v="Milcidiane Rodrigues Matos"/>
    <s v="Feminino"/>
    <x v="4"/>
    <x v="19"/>
    <s v="31601014 - Acupuntura (R$ 54,56)"/>
    <s v="Acupuntura"/>
    <n v="1718442097"/>
    <s v="Finalizado (1/5)"/>
    <n v="45.830399999999997"/>
    <n v="8.7295999999999996"/>
    <n v="54.56"/>
    <s v="Sessão a Faturar"/>
    <n v="960018979049010"/>
    <n v="58717"/>
    <s v="Unidade Vieiralves"/>
    <n v="1718442097"/>
    <m/>
  </r>
  <r>
    <x v="25"/>
    <x v="35"/>
    <s v="Andre Luiz da Rocha Moura"/>
    <s v="Masculino"/>
    <x v="4"/>
    <x v="19"/>
    <s v="31601014 - Acupuntura (R$ 54,56)"/>
    <s v="Acupuntura"/>
    <n v="1716772831"/>
    <s v="Finalizado (5/5)"/>
    <n v="45.830399999999997"/>
    <n v="8.7295999999999996"/>
    <n v="54.56"/>
    <s v="Sessão Faturada"/>
    <n v="771015054119000"/>
    <n v="52042"/>
    <s v="Unidade Vieiralves"/>
    <n v="1716772831"/>
    <m/>
  </r>
  <r>
    <x v="25"/>
    <x v="38"/>
    <s v="Debora Câmara Rosolino"/>
    <s v="Feminino"/>
    <x v="5"/>
    <x v="19"/>
    <s v="31601014 - Acupuntura (R$ 90,51)"/>
    <s v="Acupuntura"/>
    <n v="173115"/>
    <s v="Finalizado (1/10)"/>
    <n v="76.028400000000005"/>
    <n v="14.4816"/>
    <n v="90.51"/>
    <s v="Sessão a Faturar"/>
    <s v="0100845223001299"/>
    <n v="47068"/>
    <s v="Unidade Vieiralves"/>
    <n v="173115"/>
    <m/>
  </r>
  <r>
    <x v="25"/>
    <x v="38"/>
    <s v="Lucia Ferreira Viana"/>
    <s v="Feminino"/>
    <x v="7"/>
    <x v="19"/>
    <s v="Part Convenio - 4 - Acupuntura - Pacote (R$ 65,00)"/>
    <s v="Acupuntura"/>
    <m/>
    <s v="Finalizado (9/10)"/>
    <n v="50.7"/>
    <n v="14.3"/>
    <n v="65"/>
    <s v="Pago"/>
    <s v="010650248904"/>
    <n v="10197"/>
    <s v="Unidade Vieiralves"/>
    <m/>
    <m/>
  </r>
  <r>
    <x v="25"/>
    <x v="38"/>
    <s v="Viviane Paes Barreto da Silva"/>
    <s v="Feminino"/>
    <x v="4"/>
    <x v="19"/>
    <s v="31601014 - Acupuntura (R$ 54,56)"/>
    <s v="Acupuntura"/>
    <n v="1713638120"/>
    <s v="Finalizado (4/5)"/>
    <n v="45.830399999999997"/>
    <n v="8.7295999999999996"/>
    <n v="54.56"/>
    <s v="Sessão Faturada"/>
    <n v="853503800205040"/>
    <n v="59636"/>
    <s v="Unidade Vieiralves"/>
    <n v="1713638120"/>
    <m/>
  </r>
  <r>
    <x v="25"/>
    <x v="39"/>
    <s v="Kamilla Eduarda Freires Pinheiro"/>
    <s v="Feminino"/>
    <x v="4"/>
    <x v="19"/>
    <s v="31601014 - Acupuntura (R$ 54,56)"/>
    <s v="Acupuntura"/>
    <n v="1718498596"/>
    <s v="Finalizado (1/1)"/>
    <n v="45.830399999999997"/>
    <n v="8.7295999999999996"/>
    <n v="54.56"/>
    <s v="Sessão a Faturar"/>
    <n v="774063017213000"/>
    <n v="59212"/>
    <s v="Unidade Vieiralves"/>
    <n v="1718498596"/>
    <m/>
  </r>
  <r>
    <x v="25"/>
    <x v="39"/>
    <s v="Marcia Maria de Souza Miranda"/>
    <s v="Feminino"/>
    <x v="4"/>
    <x v="19"/>
    <s v="31601014 - Acupuntura (R$ 54,56)"/>
    <s v="Acupuntura"/>
    <n v="1717615372"/>
    <s v="Finalizado (3/5)"/>
    <n v="45.830399999999997"/>
    <n v="8.7295999999999996"/>
    <n v="54.56"/>
    <s v="Sessão Faturada"/>
    <n v="884774402038000"/>
    <n v="59779"/>
    <s v="Unidade Vieiralves"/>
    <n v="1717615372"/>
    <m/>
  </r>
  <r>
    <x v="25"/>
    <x v="43"/>
    <s v="Andrea Kelly Silva Nascimento Rodrigues"/>
    <s v="Feminino"/>
    <x v="28"/>
    <x v="19"/>
    <s v="31601014 - Acupuntura (R$ 54,56)"/>
    <s v="Acupuntura"/>
    <m/>
    <s v="Finalizado (1/1)"/>
    <n v="45.830399999999997"/>
    <n v="8.7295999999999996"/>
    <n v="54.56"/>
    <s v="Sessão a Faturar"/>
    <s v="00"/>
    <n v="15332"/>
    <s v="Unidade Vieiralves"/>
    <m/>
    <m/>
  </r>
  <r>
    <x v="25"/>
    <x v="43"/>
    <s v="Maria de Fatima Fernandes Lima"/>
    <s v="Feminino"/>
    <x v="4"/>
    <x v="19"/>
    <s v="31601014 - Acupuntura (R$ 54,56)"/>
    <s v="Acupuntura"/>
    <n v="1715503807"/>
    <s v="Finalizado (2/5)"/>
    <n v="45.830399999999997"/>
    <n v="8.7295999999999996"/>
    <n v="54.56"/>
    <s v="Sessão a Faturar"/>
    <n v="771015039616020"/>
    <n v="57076"/>
    <s v="Unidade Vieiralves"/>
    <n v="1715503807"/>
    <m/>
  </r>
  <r>
    <x v="10"/>
    <x v="40"/>
    <s v="Maria da Conceição Grandal Oliveira"/>
    <s v="Feminino"/>
    <x v="21"/>
    <x v="19"/>
    <s v="31601014 - Sessão de Acupuntura (R$ 70,00)"/>
    <s v="Acupuntura"/>
    <n v="172971"/>
    <s v="Finalizado (2/10)"/>
    <n v="58.8"/>
    <n v="11.2"/>
    <n v="70"/>
    <s v="Sessão a Faturar"/>
    <n v="10519601"/>
    <n v="59789"/>
    <s v="Unidade Vieiralves"/>
    <n v="172971"/>
    <m/>
  </r>
  <r>
    <x v="10"/>
    <x v="40"/>
    <s v="Karoline Lima de Oliveira"/>
    <s v="Feminino"/>
    <x v="9"/>
    <x v="19"/>
    <s v="31601014 - Acupuntura (R$ 54,56)"/>
    <s v="Acupuntura"/>
    <n v="1716474875"/>
    <s v="Finalizado (3/5)"/>
    <n v="45.830399999999997"/>
    <n v="8.7295999999999996"/>
    <n v="54.56"/>
    <s v="Sessão a Faturar"/>
    <n v="954600003484010"/>
    <n v="59690"/>
    <s v="Unidade Vieiralves"/>
    <n v="1716474875"/>
    <m/>
  </r>
  <r>
    <x v="10"/>
    <x v="40"/>
    <s v="Rejane Ponce de Leao Vasconcelos"/>
    <s v="Feminino"/>
    <x v="6"/>
    <x v="19"/>
    <s v="31601014 - Acupuntura (R$ 51,33)"/>
    <s v="Acupuntura"/>
    <n v="173846"/>
    <s v="Finalizado (1/4)"/>
    <n v="43.117199999999997"/>
    <n v="8.2127999999999997"/>
    <n v="51.33"/>
    <s v="Sessão a Faturar"/>
    <s v="54588888463522610020"/>
    <n v="35800"/>
    <s v="Unidade Vieiralves"/>
    <n v="173846"/>
    <m/>
  </r>
  <r>
    <x v="10"/>
    <x v="38"/>
    <s v="Andre Luiz da Rocha Moura"/>
    <s v="Masculino"/>
    <x v="4"/>
    <x v="19"/>
    <s v="31601014 - Acupuntura (R$ 54,56)"/>
    <s v="Acupuntura"/>
    <n v="1718871125"/>
    <s v="Finalizado (1/5)"/>
    <n v="45.830399999999997"/>
    <n v="8.7295999999999996"/>
    <n v="54.56"/>
    <s v="Sessão a Faturar"/>
    <n v="771015054119000"/>
    <n v="52042"/>
    <s v="Unidade Vieiralves"/>
    <n v="1718871125"/>
    <m/>
  </r>
  <r>
    <x v="10"/>
    <x v="37"/>
    <s v="Luciana Ferreira Viana"/>
    <m/>
    <x v="7"/>
    <x v="19"/>
    <s v="Vieiralves - 32 - Acupuntura Unitário - Pacote (R$ 80,00)"/>
    <s v="Acupuntura"/>
    <m/>
    <s v="Finalizado (10/10)"/>
    <n v="62.4"/>
    <n v="17.600000000000001"/>
    <n v="80"/>
    <s v="Pago"/>
    <s v="00"/>
    <n v="59537"/>
    <s v="Unidade Vieiralves"/>
    <m/>
    <m/>
  </r>
  <r>
    <x v="10"/>
    <x v="39"/>
    <s v="Sandra Rodrigues Finkler"/>
    <s v="Feminino"/>
    <x v="22"/>
    <x v="19"/>
    <s v="00000000 - Acupuntura (R$ 0,00)"/>
    <s v="Acupuntura"/>
    <m/>
    <s v="Finalizado (1/10)"/>
    <n v="0"/>
    <n v="0"/>
    <n v="0"/>
    <s v="Sessão a Faturar"/>
    <m/>
    <n v="53084"/>
    <s v="Unidade Vieiralves"/>
    <m/>
    <m/>
  </r>
  <r>
    <x v="10"/>
    <x v="39"/>
    <s v="Vivianne Cristina Canavarro Fernandes Rocha"/>
    <s v="Feminino"/>
    <x v="6"/>
    <x v="19"/>
    <s v="31601014 - Acupuntura (R$ 51,33)"/>
    <s v="Acupuntura"/>
    <n v="172838"/>
    <s v="Finalizado (2/4)"/>
    <n v="43.117199999999997"/>
    <n v="8.2127999999999997"/>
    <n v="51.33"/>
    <s v="Sessão a Faturar"/>
    <s v="54588888491549250012"/>
    <n v="59548"/>
    <s v="Unidade Vieiralves"/>
    <n v="172838"/>
    <m/>
  </r>
  <r>
    <x v="12"/>
    <x v="89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5/10)"/>
    <n v="35.200000000000003"/>
    <n v="4.8"/>
    <n v="40"/>
    <s v="Sessão Faturada"/>
    <n v="901013279890040"/>
    <n v="59419"/>
    <s v="Unidade Vieiralves"/>
    <n v="8991656"/>
    <m/>
  </r>
  <r>
    <x v="12"/>
    <x v="44"/>
    <s v="Zemilto Martins Ceara"/>
    <s v="Masculino"/>
    <x v="2"/>
    <x v="20"/>
    <s v="20103492 - Fisioterapia - Patologia Em Dois Ou Mais Membros (R$ 14,83)"/>
    <s v="Fisioterapia"/>
    <n v="1705564788"/>
    <s v="Finalizado (1/8)"/>
    <n v="13.0504"/>
    <n v="1.7796000000000001"/>
    <n v="14.83"/>
    <s v="Sessão Faturada"/>
    <n v="841006100370010"/>
    <n v="9050"/>
    <s v="Unidade Vieiralves"/>
    <n v="1705564788"/>
    <m/>
  </r>
  <r>
    <x v="12"/>
    <x v="44"/>
    <s v="Zemilto Martins Ceara"/>
    <s v="Masculino"/>
    <x v="2"/>
    <x v="20"/>
    <s v="20103115 - Atividade Reflexa Cinesioterápica (R$ 20,81)"/>
    <s v="Fisioterapia"/>
    <n v="1705565257"/>
    <s v="Finalizado (1/5)"/>
    <n v="18.312799999999999"/>
    <n v="2.4971999999999999"/>
    <n v="20.81"/>
    <s v="Sessão Faturada"/>
    <n v="841006100370010"/>
    <n v="9050"/>
    <s v="Unidade Vieiralves"/>
    <n v="1705565257"/>
    <m/>
  </r>
  <r>
    <x v="12"/>
    <x v="44"/>
    <s v="Ana Claudia Teixeira de Souza Viapiana"/>
    <m/>
    <x v="2"/>
    <x v="20"/>
    <s v="20103115 - Atividade Reflexa Cinesioterápica (R$ 20,81)"/>
    <s v="Fisioterapia"/>
    <n v="1702571886"/>
    <s v="Finalizado (5/5)"/>
    <n v="18.312799999999999"/>
    <n v="2.4971999999999999"/>
    <n v="20.81"/>
    <s v="Sessão Faturada"/>
    <n v="896958600019010"/>
    <n v="59405"/>
    <s v="Unidade Vieiralves"/>
    <n v="1702571886"/>
    <m/>
  </r>
  <r>
    <x v="12"/>
    <x v="60"/>
    <s v="Ana Claudia Teixeira de Souza Viapiana"/>
    <m/>
    <x v="2"/>
    <x v="20"/>
    <s v="20103484 - Fisioterapia - Patologia Em Um Membro (R$ 12,22)"/>
    <s v="Fisioterapia"/>
    <n v="1702570635"/>
    <s v="Finalizado (5/5)"/>
    <n v="10.7536"/>
    <n v="1.4663999999999999"/>
    <n v="12.22"/>
    <s v="Sessão Faturada"/>
    <n v="896958600019010"/>
    <n v="59405"/>
    <s v="Unidade Vieiralves"/>
    <n v="1702570635"/>
    <m/>
  </r>
  <r>
    <x v="12"/>
    <x v="41"/>
    <s v="Edna Lucia Moraes Derzi"/>
    <s v="Feminino"/>
    <x v="6"/>
    <x v="20"/>
    <s v="20103492 - Patologia Em Dois Ou Mais Membros (R$ 30,26)"/>
    <s v="Fisioterapia"/>
    <n v="169205"/>
    <s v="Finalizado (5/5)"/>
    <n v="26.628799999999998"/>
    <n v="3.6312000000000002"/>
    <n v="30.26"/>
    <s v="Sessão Faturada"/>
    <s v="54588888469679780015"/>
    <n v="13101"/>
    <s v="Unidade Vieiralves"/>
    <n v="169205"/>
    <m/>
  </r>
  <r>
    <x v="12"/>
    <x v="41"/>
    <s v="Edna Lucia Moraes Derzi"/>
    <s v="Feminino"/>
    <x v="6"/>
    <x v="20"/>
    <s v="31602185 - Estimulação Elétrica Transcutanea (Tens) (R$ 40,00)"/>
    <s v="Fisioterapia"/>
    <n v="169206"/>
    <s v="Finalizado (5/5)"/>
    <n v="35.200000000000003"/>
    <n v="4.8"/>
    <n v="40"/>
    <s v="Sessão a Faturar"/>
    <s v="54588888469679780015"/>
    <n v="13101"/>
    <s v="Unidade Vieiralves"/>
    <n v="169206"/>
    <m/>
  </r>
  <r>
    <x v="12"/>
    <x v="41"/>
    <s v="Alessandro Brito Dias"/>
    <s v="Masculino"/>
    <x v="2"/>
    <x v="20"/>
    <s v="20103115 - Atividade Reflexa Cinesioterápica (R$ 20,81)"/>
    <s v="Fisioterapia"/>
    <n v="1703642731"/>
    <s v="Finalizado (4/5)"/>
    <n v="18.312799999999999"/>
    <n v="2.4971999999999999"/>
    <n v="20.81"/>
    <s v="Sessão Faturada"/>
    <n v="774642022179000"/>
    <n v="51704"/>
    <s v="Unidade Vieiralves"/>
    <n v="1703642731"/>
    <m/>
  </r>
  <r>
    <x v="12"/>
    <x v="41"/>
    <s v="Alessandro Brito Dias"/>
    <s v="Masculino"/>
    <x v="2"/>
    <x v="20"/>
    <s v="20103484 - Fisioterapia - Patologia Em Um Membro (R$ 12,22)"/>
    <s v="Fisioterapia"/>
    <n v="1703641797"/>
    <s v="Finalizado (4/5)"/>
    <n v="10.7536"/>
    <n v="1.4663999999999999"/>
    <n v="12.22"/>
    <s v="Sessão Faturada"/>
    <n v="774642022179000"/>
    <n v="51704"/>
    <s v="Unidade Vieiralves"/>
    <n v="1703641797"/>
    <m/>
  </r>
  <r>
    <x v="12"/>
    <x v="41"/>
    <s v="Helen dos Santos Viana"/>
    <m/>
    <x v="2"/>
    <x v="20"/>
    <s v="50000144 - Avaliação de Fisioterapia (R$ 51,42)"/>
    <s v="Fisioterapia"/>
    <n v="1705573386"/>
    <s v="Finalizado (1/1)"/>
    <n v="46.277999999999999"/>
    <n v="5.1420000000000003"/>
    <n v="51.42"/>
    <s v="Sessão Faturada"/>
    <n v="774642026174020"/>
    <n v="59475"/>
    <s v="Unidade Vieiralves"/>
    <n v="1705573386"/>
    <m/>
  </r>
  <r>
    <x v="12"/>
    <x v="76"/>
    <s v="Helen dos Santos Viana"/>
    <m/>
    <x v="2"/>
    <x v="20"/>
    <s v="20103492 - Fisioterapia - Patologia Em Dois Ou Mais Membros (R$ 14,83)"/>
    <s v="Fisioterapia"/>
    <n v="1705574850"/>
    <s v="Finalizado (1/6)"/>
    <n v="13.0504"/>
    <n v="1.7796000000000001"/>
    <n v="14.83"/>
    <s v="Sessão Faturada"/>
    <n v="774642026174020"/>
    <n v="59475"/>
    <s v="Unidade Vieiralves"/>
    <n v="1705574850"/>
    <m/>
  </r>
  <r>
    <x v="12"/>
    <x v="48"/>
    <s v="Helen dos Santos Viana"/>
    <m/>
    <x v="2"/>
    <x v="20"/>
    <s v="20103115 - Atividade Reflexa Cinesioterápica (R$ 20,81)"/>
    <s v="Fisioterapia"/>
    <n v="1705575657"/>
    <s v="Finalizado (1/2)"/>
    <n v="18.312799999999999"/>
    <n v="2.4971999999999999"/>
    <n v="20.81"/>
    <s v="Sessão Faturada"/>
    <n v="774642026174020"/>
    <n v="59475"/>
    <s v="Unidade Vieiralves"/>
    <n v="1705575657"/>
    <m/>
  </r>
  <r>
    <x v="12"/>
    <x v="36"/>
    <s v="Tatianna Silva Portes"/>
    <s v="Feminino"/>
    <x v="5"/>
    <x v="20"/>
    <s v="98860020 - Fisioterapia Complexidade 2 - 04/03/2026 (R$ 70,79)"/>
    <s v="Fisioterapia"/>
    <n v="77595650"/>
    <s v="Finalizado (1/10)"/>
    <n v="62.295200000000001"/>
    <n v="8.4947999999999997"/>
    <n v="70.790000000000006"/>
    <s v="Sessão Faturada"/>
    <s v="0100621050010300"/>
    <n v="55555"/>
    <s v="Unidade Vieiralves"/>
    <n v="77595650"/>
    <m/>
  </r>
  <r>
    <x v="12"/>
    <x v="36"/>
    <s v="Remulo Jose Nascimento Filho"/>
    <s v="Masculino"/>
    <x v="2"/>
    <x v="20"/>
    <s v="20103662 - Fisioterapia - Pos Operatorio Em Um Membro (R$ 14,99)"/>
    <s v="Fisioterapia"/>
    <n v="1702655737"/>
    <s v="Finalizado (5/5)"/>
    <n v="13.1912"/>
    <n v="1.7988"/>
    <n v="14.99"/>
    <s v="Sessão Faturada"/>
    <s v="56788888022609450103"/>
    <n v="45990"/>
    <s v="Unidade Vieiralves"/>
    <n v="1702655737"/>
    <m/>
  </r>
  <r>
    <x v="12"/>
    <x v="61"/>
    <s v="Tatianna Silva Portes"/>
    <s v="Feminino"/>
    <x v="5"/>
    <x v="20"/>
    <s v="31602185 - Estimulação Elétrica Transcutânea (Tens) - 04/03/2026 (R$ 120,28)"/>
    <s v="Fisioterapia"/>
    <n v="72467510"/>
    <s v="Finalizado (10/10)"/>
    <n v="105.8464"/>
    <n v="14.4336"/>
    <n v="120.28"/>
    <s v="Sessão Faturada"/>
    <s v="0100621050010300"/>
    <n v="55555"/>
    <s v="Unidade Vieiralves"/>
    <n v="72467510"/>
    <m/>
  </r>
  <r>
    <x v="12"/>
    <x v="61"/>
    <s v="Remulo Jose Nascimento Filho"/>
    <s v="Masculino"/>
    <x v="2"/>
    <x v="20"/>
    <s v="20103115 - Atividade Reflexa Cinesioterápica (R$ 20,81)"/>
    <s v="Fisioterapia"/>
    <n v="1702657579"/>
    <s v="Finalizado (5/5)"/>
    <n v="18.312799999999999"/>
    <n v="2.4971999999999999"/>
    <n v="20.81"/>
    <s v="Sessão Faturada"/>
    <s v="56788888022609450103"/>
    <n v="45990"/>
    <s v="Unidade Vieiralves"/>
    <n v="1702657579"/>
    <m/>
  </r>
  <r>
    <x v="12"/>
    <x v="40"/>
    <s v="Auxiliadora Brito de Lima"/>
    <m/>
    <x v="6"/>
    <x v="20"/>
    <s v="20103484 - Patologia Em Um Membro (R$ 14,16), 20103514 - Patologia Em Dois Ou Mais Segmentos da Coluna (R$ 32,82)"/>
    <s v="Fisioterapia"/>
    <n v="169027"/>
    <s v="Finalizado (4/5)"/>
    <n v="41.342399999999998"/>
    <n v="5.6375999999999999"/>
    <n v="46.98"/>
    <s v="Sessão a Faturar"/>
    <s v="55788888491272530020"/>
    <n v="51936"/>
    <s v="Unidade Vieiralves"/>
    <n v="169027"/>
    <m/>
  </r>
  <r>
    <x v="12"/>
    <x v="40"/>
    <s v="Nely Cruz Ferreira"/>
    <s v="Feminino"/>
    <x v="1"/>
    <x v="20"/>
    <s v="50000160 - Fisioterapia Ortopédica (R$ 20,00), 98980327 - Taxa de Eletroterapia (Tens) (R$ 15,00)"/>
    <s v="Fisioterapia"/>
    <n v="8674348"/>
    <s v="Finalizado (7/10)"/>
    <n v="30.8"/>
    <n v="4.2"/>
    <n v="35"/>
    <s v="Sessão Faturada"/>
    <n v="1401013004130100"/>
    <n v="21829"/>
    <s v="Unidade Vieiralves"/>
    <n v="8674348"/>
    <m/>
  </r>
  <r>
    <x v="12"/>
    <x v="45"/>
    <s v="Auxiliadora Brito de Lima"/>
    <m/>
    <x v="6"/>
    <x v="20"/>
    <s v="31602185 - Estimulação Elétrica Transcutanea (Tens) (R$ 40,00)"/>
    <s v="Fisioterapia"/>
    <n v="169028"/>
    <s v="Finalizado (4/5)"/>
    <n v="35.200000000000003"/>
    <n v="4.8"/>
    <n v="40"/>
    <s v="Sessão a Faturar"/>
    <s v="55788888491272530020"/>
    <n v="51936"/>
    <s v="Unidade Vieiralves"/>
    <n v="169028"/>
    <m/>
  </r>
  <r>
    <x v="12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01771403"/>
    <s v="Finalizado (3/5)"/>
    <n v="23.803999999999998"/>
    <n v="3.246"/>
    <n v="27.05"/>
    <s v="Sessão Faturada"/>
    <n v="812980300400020"/>
    <n v="59087"/>
    <s v="Unidade Vieiralves"/>
    <n v="1701771403"/>
    <m/>
  </r>
  <r>
    <x v="12"/>
    <x v="35"/>
    <s v="Marina Sales da Silva"/>
    <s v="Feminino"/>
    <x v="2"/>
    <x v="20"/>
    <s v="20103506 - Fisioterapia - Patologia Em Um Segmento da Coluna (R$ 12,22)"/>
    <s v="Fisioterapia"/>
    <n v="1702675156"/>
    <s v="Finalizado (4/5)"/>
    <n v="10.7536"/>
    <n v="1.4663999999999999"/>
    <n v="12.22"/>
    <s v="Sessão Faturada"/>
    <n v="771015052256010"/>
    <n v="57575"/>
    <s v="Unidade Vieiralves"/>
    <n v="1702675156"/>
    <m/>
  </r>
  <r>
    <x v="12"/>
    <x v="42"/>
    <s v="Marina Sales da Silva"/>
    <s v="Feminino"/>
    <x v="2"/>
    <x v="20"/>
    <s v="20103115 - Atividade Reflexa Cinesioterápica (R$ 20,81)"/>
    <s v="Fisioterapia"/>
    <n v="1702676307"/>
    <s v="Finalizado (4/5)"/>
    <n v="18.312799999999999"/>
    <n v="2.4971999999999999"/>
    <n v="20.81"/>
    <s v="Sessão Faturada"/>
    <n v="771015052256010"/>
    <n v="57575"/>
    <s v="Unidade Vieiralves"/>
    <n v="1702676307"/>
    <m/>
  </r>
  <r>
    <x v="12"/>
    <x v="42"/>
    <s v="Nadia Livia Dantas Farias"/>
    <m/>
    <x v="2"/>
    <x v="20"/>
    <s v="20103115 - Atividade Reflexa Cinesioterápica (R$ 20,81)"/>
    <s v="Fisioterapia"/>
    <n v="1701772001"/>
    <s v="Finalizado (3/4)"/>
    <n v="18.312799999999999"/>
    <n v="2.4971999999999999"/>
    <n v="20.81"/>
    <s v="Sessão a Faturar"/>
    <n v="812980300400020"/>
    <n v="59087"/>
    <s v="Unidade Vieiralves"/>
    <n v="1701772001"/>
    <m/>
  </r>
  <r>
    <x v="12"/>
    <x v="38"/>
    <s v="Juliana Schettini Sobrinho Dourado"/>
    <m/>
    <x v="6"/>
    <x v="20"/>
    <s v="20103484 - Patologia Em Um Membro (R$ 14,16)"/>
    <s v="Fisioterapia"/>
    <n v="169920"/>
    <s v="Finalizado (2/5)"/>
    <n v="12.460800000000001"/>
    <n v="1.6992"/>
    <n v="14.16"/>
    <s v="Sessão a Faturar"/>
    <s v="51588888483923230010"/>
    <n v="58626"/>
    <s v="Unidade Vieiralves"/>
    <n v="169920"/>
    <m/>
  </r>
  <r>
    <x v="12"/>
    <x v="38"/>
    <s v="Minervina Lucia Marques Fonseca"/>
    <s v="Feminino"/>
    <x v="0"/>
    <x v="20"/>
    <s v="50000160 - Fisioterapia Ortopedica (R$ 49,72)"/>
    <s v="Fisioterapia"/>
    <s v="42263120260227375135"/>
    <s v="Finalizado (2/10)"/>
    <n v="43.753599999999999"/>
    <n v="5.9664000000000001"/>
    <n v="49.72"/>
    <s v="Sessão Faturada"/>
    <s v="010650809004"/>
    <n v="40041"/>
    <s v="Unidade Vieiralves"/>
    <s v="42263120260227375135"/>
    <m/>
  </r>
  <r>
    <x v="12"/>
    <x v="38"/>
    <s v="Rita de Lima  Viana Ramos"/>
    <s v="Feminino"/>
    <x v="2"/>
    <x v="20"/>
    <s v="50000144 - Avaliação de Fisioterapia (R$ 51,42)"/>
    <s v="Fisioterapia"/>
    <n v="1705663949"/>
    <s v="Finalizado (1/1)"/>
    <n v="46.277999999999999"/>
    <n v="5.1420000000000003"/>
    <n v="51.42"/>
    <s v="Sessão Faturada"/>
    <n v="960016167330010"/>
    <n v="46729"/>
    <s v="Unidade Vieiralves"/>
    <n v="1705663949"/>
    <m/>
  </r>
  <r>
    <x v="12"/>
    <x v="38"/>
    <s v="Rita de Lima  Viana Ramos"/>
    <s v="Feminino"/>
    <x v="2"/>
    <x v="20"/>
    <s v="20103115 - Atividade Reflexa Cinesioterápica (R$ 20,81)"/>
    <s v="Fisioterapia"/>
    <n v="1705662421"/>
    <s v="Finalizado (1/4)"/>
    <n v="18.312799999999999"/>
    <n v="2.4971999999999999"/>
    <n v="20.81"/>
    <s v="Sessão Faturada"/>
    <n v="960016167330010"/>
    <n v="46729"/>
    <s v="Unidade Vieiralves"/>
    <n v="1705662421"/>
    <m/>
  </r>
  <r>
    <x v="12"/>
    <x v="62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2/10)"/>
    <n v="47.634399999999999"/>
    <n v="6.4955999999999996"/>
    <n v="54.13"/>
    <s v="Sessão Faturada"/>
    <s v="010650809004"/>
    <n v="40041"/>
    <s v="Unidade Vieiralves"/>
    <n v="4.2263120227375E+16"/>
    <m/>
  </r>
  <r>
    <x v="12"/>
    <x v="62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1/10)"/>
    <n v="26.1008"/>
    <n v="3.5592000000000001"/>
    <n v="29.66"/>
    <s v="Sessão Faturada"/>
    <n v="960016167330010"/>
    <n v="46729"/>
    <s v="Unidade Vieiralves"/>
    <n v="1705661090"/>
    <m/>
  </r>
  <r>
    <x v="12"/>
    <x v="62"/>
    <s v="Juliana Schettini Sobrinho Dourado"/>
    <m/>
    <x v="6"/>
    <x v="20"/>
    <s v="31602185 - Estimulação Elétrica Transcutanea (Tens) (R$ 40,00)"/>
    <s v="Fisioterapia"/>
    <n v="169922"/>
    <s v="Finalizado (2/5)"/>
    <n v="35.200000000000003"/>
    <n v="4.8"/>
    <n v="40"/>
    <s v="Sessão a Faturar"/>
    <s v="51588888483923230010"/>
    <n v="58626"/>
    <s v="Unidade Vieiralves"/>
    <n v="169922"/>
    <m/>
  </r>
  <r>
    <x v="12"/>
    <x v="37"/>
    <s v="Valdemira Almeida Rolim"/>
    <s v="Feminino"/>
    <x v="2"/>
    <x v="20"/>
    <s v="20103492 - Fisioterapia - Patologia Em Dois Ou Mais Membros (R$ 14,83)"/>
    <s v="Fisioterapia"/>
    <n v="1704748616"/>
    <s v="Finalizado (2/4)"/>
    <n v="13.0504"/>
    <n v="1.7796000000000001"/>
    <n v="14.83"/>
    <s v="Sessão Faturada"/>
    <n v="771015041971010"/>
    <n v="58522"/>
    <s v="Unidade Vieiralves"/>
    <n v="1704748616"/>
    <m/>
  </r>
  <r>
    <x v="12"/>
    <x v="37"/>
    <s v="Ricardo Marques de Abreu"/>
    <s v="Masculino"/>
    <x v="1"/>
    <x v="20"/>
    <s v="50000160 - Fisioterapia Ortopédica (R$ 20,00), 98980327 - Taxa de Eletroterapia (Tens) (R$ 15,00)"/>
    <s v="Fisioterapia"/>
    <n v="8922131"/>
    <s v="Finalizado (6/10)"/>
    <n v="30.8"/>
    <n v="4.2"/>
    <n v="35"/>
    <s v="Sessão Faturada"/>
    <n v="2001013216580000"/>
    <n v="43902"/>
    <s v="Unidade Vieiralves"/>
    <n v="8922131"/>
    <m/>
  </r>
  <r>
    <x v="12"/>
    <x v="37"/>
    <s v="Arisson Carlos Pardo de Queiroz"/>
    <m/>
    <x v="2"/>
    <x v="20"/>
    <s v="20103115 - Atividade Reflexa Cinesioterápica (R$ 20,81)"/>
    <s v="Fisioterapia"/>
    <n v="1703745325"/>
    <s v="Finalizado (3/5)"/>
    <n v="18.312799999999999"/>
    <n v="2.4971999999999999"/>
    <n v="20.81"/>
    <s v="Sessão Faturada"/>
    <n v="771015042510010"/>
    <n v="58957"/>
    <s v="Unidade Vieiralves"/>
    <n v="1703745325"/>
    <m/>
  </r>
  <r>
    <x v="12"/>
    <x v="37"/>
    <s v="Laindks Lopes"/>
    <s v="Feminino"/>
    <x v="2"/>
    <x v="20"/>
    <s v="20103506 - Fisioterapia - Patologia Em Um Segmento da Coluna (R$ 12,22)"/>
    <s v="Fisioterapia"/>
    <n v="1705697611"/>
    <s v="Finalizado (1/5)"/>
    <n v="10.7536"/>
    <n v="1.4663999999999999"/>
    <n v="12.22"/>
    <s v="Sessão Faturada"/>
    <n v="611453030001010"/>
    <n v="29"/>
    <s v="Unidade Vieiralves"/>
    <n v="1705697611"/>
    <m/>
  </r>
  <r>
    <x v="12"/>
    <x v="63"/>
    <s v="Valdemira Almeida Rolim"/>
    <s v="Feminino"/>
    <x v="2"/>
    <x v="20"/>
    <s v="20103115 - Atividade Reflexa Cinesioterápica (R$ 20,81)"/>
    <s v="Fisioterapia"/>
    <n v="1704749518"/>
    <s v="Finalizado (2/4)"/>
    <n v="18.312799999999999"/>
    <n v="2.4971999999999999"/>
    <n v="20.81"/>
    <s v="Sessão Faturada"/>
    <n v="771015041971010"/>
    <n v="58522"/>
    <s v="Unidade Vieiralves"/>
    <n v="1704749518"/>
    <m/>
  </r>
  <r>
    <x v="12"/>
    <x v="63"/>
    <s v="Arisson Carlos Pardo de Queiroz"/>
    <m/>
    <x v="2"/>
    <x v="20"/>
    <s v="20103484 - Fisioterapia - Patologia Em Um Membro (R$ 12,22)"/>
    <s v="Fisioterapia"/>
    <n v="1703743543"/>
    <s v="Finalizado (3/5)"/>
    <n v="10.7536"/>
    <n v="1.4663999999999999"/>
    <n v="12.22"/>
    <s v="Sessão Faturada"/>
    <n v="771015042510010"/>
    <n v="58957"/>
    <s v="Unidade Vieiralves"/>
    <n v="1703743543"/>
    <m/>
  </r>
  <r>
    <x v="12"/>
    <x v="39"/>
    <s v="Aline Ferreira Pereira"/>
    <s v="Feminino"/>
    <x v="3"/>
    <x v="20"/>
    <s v="0006 - Fisioterapia Ortopédica - Pacote Com 10 Sessões (R$ 40,00)"/>
    <s v="Fisioterapia"/>
    <n v="169451"/>
    <s v="Finalizado (3/10)"/>
    <n v="31.2"/>
    <n v="8.8000000000000007"/>
    <n v="40"/>
    <s v="Sessão a Faturar"/>
    <n v="6741"/>
    <n v="59441"/>
    <s v="Unidade Vieiralves"/>
    <n v="169451"/>
    <m/>
  </r>
  <r>
    <x v="12"/>
    <x v="39"/>
    <s v="Marcos Roberto Moura de Oliveira"/>
    <s v="Masculino"/>
    <x v="1"/>
    <x v="20"/>
    <s v="50000160 - Fisioterapia Ortopédica (R$ 20,00), 98980327 - Taxa de Eletroterapia (Tens) (R$ 15,00)"/>
    <s v="Fisioterapia"/>
    <n v="9054318"/>
    <s v="Finalizado (2/3)"/>
    <n v="30.8"/>
    <n v="4.2"/>
    <n v="35"/>
    <s v="Sessão Faturada"/>
    <n v="1201013224590100"/>
    <n v="10333"/>
    <s v="Unidade Vieiralves"/>
    <n v="9054318"/>
    <m/>
  </r>
  <r>
    <x v="12"/>
    <x v="39"/>
    <s v="Rozirlande Oliveira do Valle"/>
    <s v="Feminino"/>
    <x v="6"/>
    <x v="20"/>
    <s v="50000144 - Avaliação de Fisioterapia (R$ 56,52)"/>
    <s v="Fisioterapia"/>
    <n v="7700047064"/>
    <s v="Finalizado (1/1)"/>
    <n v="50.868000000000002"/>
    <n v="5.6520000000000001"/>
    <n v="56.52"/>
    <s v="Sessão Faturada"/>
    <s v="58201466755603470024"/>
    <n v="38049"/>
    <s v="Unidade Vieiralves"/>
    <n v="7700047064"/>
    <m/>
  </r>
  <r>
    <x v="12"/>
    <x v="39"/>
    <s v="Ludmylla Rosa Silva Laune Fonseca"/>
    <s v="Feminino"/>
    <x v="29"/>
    <x v="20"/>
    <s v="31602185 - Estimulação Elétrica Transcutanea (R$ 87,74)"/>
    <s v="Fisioterapia"/>
    <n v="935125"/>
    <s v="Finalizado (9/10)"/>
    <n v="77.211200000000005"/>
    <n v="10.5288"/>
    <n v="87.74"/>
    <s v="Sessão Faturada"/>
    <n v="130260009348020"/>
    <n v="14852"/>
    <s v="Unidade Vieiralves"/>
    <n v="935125"/>
    <m/>
  </r>
  <r>
    <x v="12"/>
    <x v="72"/>
    <s v="Rozirlande Oliveira do Valle"/>
    <s v="Feminino"/>
    <x v="6"/>
    <x v="20"/>
    <s v="20103484 - Patologia Em Um Membro (R$ 14,16)"/>
    <s v="Fisioterapia"/>
    <n v="170134"/>
    <s v="Finalizado (1/10)"/>
    <n v="12.460800000000001"/>
    <n v="1.6992"/>
    <n v="14.16"/>
    <s v="Sessão a Faturar"/>
    <s v="58201466755603470024"/>
    <n v="38049"/>
    <s v="Unidade Vieiralves"/>
    <n v="170134"/>
    <m/>
  </r>
  <r>
    <x v="12"/>
    <x v="59"/>
    <s v="Rozirlande Oliveira do Valle"/>
    <s v="Feminino"/>
    <x v="6"/>
    <x v="20"/>
    <s v="31602185 - Estimulação Elétrica Transcutanea (Tens) (R$ 40,00)"/>
    <s v="Fisioterapia"/>
    <n v="170135"/>
    <s v="Finalizado (1/10)"/>
    <n v="35.200000000000003"/>
    <n v="4.8"/>
    <n v="40"/>
    <s v="Sessão a Faturar"/>
    <s v="58201466755603470024"/>
    <n v="38049"/>
    <s v="Unidade Vieiralves"/>
    <n v="170135"/>
    <m/>
  </r>
  <r>
    <x v="12"/>
    <x v="0"/>
    <s v="Ana Lucia Medeiros Figliuolo"/>
    <s v="Feminino"/>
    <x v="1"/>
    <x v="20"/>
    <s v="50000160 - Fisioterapia Ortopédica (R$ 20,00), 98980327 - Taxa de Eletroterapia (Tens) (R$ 15,00)"/>
    <s v="Fisioterapia"/>
    <n v="8589451"/>
    <s v="Finalizado (10/10)"/>
    <n v="30.8"/>
    <n v="4.2"/>
    <n v="35"/>
    <s v="Sessão Faturada"/>
    <s v="0901013317940180"/>
    <n v="32208"/>
    <s v="Unidade Vieralves (ANEXO)"/>
    <n v="8589451"/>
    <m/>
  </r>
  <r>
    <x v="12"/>
    <x v="0"/>
    <s v="Ivanildes Barbosa da Silva"/>
    <s v="Feminino"/>
    <x v="6"/>
    <x v="20"/>
    <s v="20103484 - Patologia Em Um Membro (R$ 14,16)"/>
    <s v="Fisioterapia"/>
    <n v="169848"/>
    <s v="Finalizado (2/5)"/>
    <n v="12.460800000000001"/>
    <n v="1.6992"/>
    <n v="14.16"/>
    <s v="Sessão a Faturar"/>
    <s v="54588888019240100022"/>
    <n v="58583"/>
    <s v="Unidade Vieralves (ANEXO)"/>
    <n v="169848"/>
    <m/>
  </r>
  <r>
    <x v="12"/>
    <x v="0"/>
    <s v="Eliana Souza de Lima"/>
    <s v="Feminino"/>
    <x v="15"/>
    <x v="20"/>
    <s v="20103484 - Patologia Em Um Membro (R$ 37,14)"/>
    <s v="Fisioterapia"/>
    <n v="227717729"/>
    <s v="Não compareceu (8/10)"/>
    <n v="37.14"/>
    <n v="0"/>
    <n v="37.14"/>
    <s v="Sessão Faturada"/>
    <s v="013058180102004"/>
    <n v="58062"/>
    <s v="Unidade Vieralves (ANEXO)"/>
    <n v="227717729"/>
    <s v="Guia assinada! 05/12"/>
  </r>
  <r>
    <x v="12"/>
    <x v="1"/>
    <s v="Ivanildes Barbosa da Silva"/>
    <s v="Feminino"/>
    <x v="6"/>
    <x v="20"/>
    <s v="31602185 - Estimulação Elétrica Transcutanea (Tens) (R$ 40,00)"/>
    <s v="Fisioterapia"/>
    <n v="169849"/>
    <s v="Finalizado (2/5)"/>
    <n v="35.200000000000003"/>
    <n v="4.8"/>
    <n v="40"/>
    <s v="Sessão a Faturar"/>
    <s v="54588888019240100022"/>
    <n v="58583"/>
    <s v="Unidade Vieralves (ANEXO)"/>
    <n v="169849"/>
    <m/>
  </r>
  <r>
    <x v="12"/>
    <x v="2"/>
    <s v="Kamila Barbosa da Silva"/>
    <s v="Feminino"/>
    <x v="6"/>
    <x v="20"/>
    <s v="20103662 - Pos Operatorio Em Um Membro (R$ 22,53)"/>
    <s v="Fisioterapia"/>
    <n v="168829"/>
    <s v="Finalizado (5/5)"/>
    <n v="19.8264"/>
    <n v="2.7035999999999998"/>
    <n v="22.53"/>
    <s v="Sessão a Faturar"/>
    <s v="56788888480435940014"/>
    <n v="48822"/>
    <s v="Unidade Vieralves (ANEXO)"/>
    <n v="168829"/>
    <m/>
  </r>
  <r>
    <x v="12"/>
    <x v="2"/>
    <s v="Andressa Ludmyla Menezes de Mesquita"/>
    <s v="Feminino"/>
    <x v="2"/>
    <x v="20"/>
    <s v="20103115 - Atividade Reflexa Cinesioterápica (R$ 20,81)"/>
    <s v="Fisioterapia"/>
    <n v="1703408783"/>
    <s v="Finalizado (3/5)"/>
    <n v="18.312799999999999"/>
    <n v="2.4971999999999999"/>
    <n v="20.81"/>
    <s v="Sessão Faturada"/>
    <n v="771015039489020"/>
    <n v="59357"/>
    <s v="Unidade Vieralves (ANEXO)"/>
    <n v="1703408783"/>
    <m/>
  </r>
  <r>
    <x v="12"/>
    <x v="2"/>
    <s v="Erika da Silva Guedes"/>
    <s v="Feminino"/>
    <x v="6"/>
    <x v="20"/>
    <s v="31602185 - Estimulação Elétrica Transcutanea (Tens) (R$ 40,00)"/>
    <s v="Fisioterapia"/>
    <n v="169521"/>
    <s v="Finalizado (4/5)"/>
    <n v="35.200000000000003"/>
    <n v="4.8"/>
    <n v="40"/>
    <s v="Sessão a Faturar"/>
    <s v="58200789998086170014"/>
    <n v="59434"/>
    <s v="Unidade Vieralves (ANEXO)"/>
    <n v="169521"/>
    <m/>
  </r>
  <r>
    <x v="12"/>
    <x v="3"/>
    <s v="Erika da Silva Guedes"/>
    <s v="Feminino"/>
    <x v="6"/>
    <x v="20"/>
    <s v="20103492 - Patologia Em Dois Ou Mais Membros (R$ 30,26)"/>
    <s v="Fisioterapia"/>
    <n v="170311"/>
    <s v="Finalizado (1/5)"/>
    <n v="26.628799999999998"/>
    <n v="3.6312000000000002"/>
    <n v="30.26"/>
    <s v="Sessão a Faturar"/>
    <s v="58200789998086170014"/>
    <n v="59434"/>
    <s v="Unidade Vieralves (ANEXO)"/>
    <n v="170311"/>
    <m/>
  </r>
  <r>
    <x v="12"/>
    <x v="3"/>
    <s v="Kamila Barbosa da Silva"/>
    <s v="Feminino"/>
    <x v="6"/>
    <x v="20"/>
    <s v="31602185 - Estimulação Elétrica Transcutanea (Tens) (R$ 40,00)"/>
    <s v="Fisioterapia"/>
    <n v="168830"/>
    <s v="Finalizado (5/5)"/>
    <n v="35.200000000000003"/>
    <n v="4.8"/>
    <n v="40"/>
    <s v="Sessão a Faturar"/>
    <s v="56788888480435940014"/>
    <n v="48822"/>
    <s v="Unidade Vieralves (ANEXO)"/>
    <n v="168830"/>
    <m/>
  </r>
  <r>
    <x v="12"/>
    <x v="3"/>
    <s v="Andressa Ludmyla Menezes de Mesquita"/>
    <s v="Feminino"/>
    <x v="2"/>
    <x v="20"/>
    <s v="20103492 - Fisioterapia - Patologia Em Dois Ou Mais Membros (R$ 14,83)"/>
    <s v="Fisioterapia"/>
    <n v="1703408046"/>
    <s v="Finalizado (3/5)"/>
    <n v="13.0504"/>
    <n v="1.7796000000000001"/>
    <n v="14.83"/>
    <s v="Sessão Faturada"/>
    <n v="771015039489020"/>
    <n v="59357"/>
    <s v="Unidade Vieralves (ANEXO)"/>
    <n v="1703408046"/>
    <m/>
  </r>
  <r>
    <x v="12"/>
    <x v="4"/>
    <s v="Sonia dos Santos Pereira"/>
    <s v="Feminino"/>
    <x v="14"/>
    <x v="20"/>
    <s v="20103484 - Fisioterapia - Patologia Em Um Membro (R$ 12,22), 20103506 - Fisioterapia - Patologia Em Um Segmento da Coluna (R$ 12,22)"/>
    <s v="Fisioterapia"/>
    <n v="1704867371"/>
    <s v="Finalizado (2/4)"/>
    <n v="21.507200000000001"/>
    <n v="2.9327999999999999"/>
    <n v="24.44"/>
    <s v="Sessão a Faturar"/>
    <n v="775216009806030"/>
    <n v="56433"/>
    <s v="Unidade Vieralves (ANEXO)"/>
    <n v="1704867371"/>
    <m/>
  </r>
  <r>
    <x v="12"/>
    <x v="4"/>
    <s v="Jackeline de Oliveira"/>
    <s v="Feminino"/>
    <x v="2"/>
    <x v="20"/>
    <s v="20103514 - Fisioterapia - Patologia Em Diferentes Segmentos da Coluna (R$ 14,83)"/>
    <s v="Fisioterapia"/>
    <n v="1702914060"/>
    <s v="Finalizado (3/5)"/>
    <n v="13.0504"/>
    <n v="1.7796000000000001"/>
    <n v="14.83"/>
    <s v="Sessão Faturada"/>
    <n v="895789500019010"/>
    <n v="3659"/>
    <s v="Unidade Vieralves (ANEXO)"/>
    <n v="1702914060"/>
    <m/>
  </r>
  <r>
    <x v="12"/>
    <x v="5"/>
    <s v="Jackeline de Oliveira"/>
    <s v="Feminino"/>
    <x v="2"/>
    <x v="20"/>
    <s v="20103115 - Atividade Reflexa Cinesioterápica (R$ 20,81)"/>
    <s v="Fisioterapia"/>
    <n v="1702915214"/>
    <s v="Finalizado (3/5)"/>
    <n v="18.312799999999999"/>
    <n v="2.4971999999999999"/>
    <n v="20.81"/>
    <s v="Sessão Faturada"/>
    <n v="895789500019010"/>
    <n v="3659"/>
    <s v="Unidade Vieralves (ANEXO)"/>
    <n v="1702915214"/>
    <m/>
  </r>
  <r>
    <x v="12"/>
    <x v="5"/>
    <s v="Sonia dos Santos Pereira"/>
    <s v="Feminino"/>
    <x v="8"/>
    <x v="20"/>
    <s v="20103115 - Atividade Reflexa Cinesioterápica (R$ 20,81)"/>
    <s v="Fisioterapia"/>
    <n v="1704868019"/>
    <s v="Finalizado (2/2)"/>
    <n v="18.312799999999999"/>
    <n v="2.4971999999999999"/>
    <n v="20.81"/>
    <s v="Sessão Faturada"/>
    <n v="775216009806030"/>
    <n v="56433"/>
    <s v="Unidade Vieralves (ANEXO)"/>
    <n v="1704868019"/>
    <m/>
  </r>
  <r>
    <x v="12"/>
    <x v="13"/>
    <s v="Sofia Araujo Pereira Ferreira"/>
    <s v="Feminino"/>
    <x v="2"/>
    <x v="20"/>
    <s v="20103514 - Fisioterapia - Patologia Em Diferentes Segmentos da Coluna (R$ 14,83)"/>
    <s v="Fisioterapia"/>
    <n v="1702869461"/>
    <s v="Finalizado (2/5)"/>
    <n v="13.0504"/>
    <n v="1.7796000000000001"/>
    <n v="14.83"/>
    <s v="Sessão Faturada"/>
    <n v="814438300051020"/>
    <n v="59164"/>
    <s v="Unidade Vieralves (ANEXO)"/>
    <n v="1702869461"/>
    <m/>
  </r>
  <r>
    <x v="12"/>
    <x v="13"/>
    <s v="Michel Harrison Lima de Almeida"/>
    <s v="Masculino"/>
    <x v="2"/>
    <x v="20"/>
    <s v="20103484 - Fisioterapia - Patologia Em Um Membro (R$ 12,22)"/>
    <s v="Fisioterapia"/>
    <n v="1703785324"/>
    <s v="Finalizado (5/5)"/>
    <n v="10.7536"/>
    <n v="1.4663999999999999"/>
    <n v="12.22"/>
    <s v="Sessão Faturada"/>
    <n v="774063001732040"/>
    <n v="59458"/>
    <s v="Unidade Vieralves (ANEXO)"/>
    <n v="1703785324"/>
    <m/>
  </r>
  <r>
    <x v="12"/>
    <x v="13"/>
    <s v="Melinda Claudia de Araujo Teles"/>
    <s v="Feminino"/>
    <x v="2"/>
    <x v="20"/>
    <s v="50000144 - Avaliação de Fisioterapia (R$ 51,42)"/>
    <s v="Fisioterapia"/>
    <n v="1705883537"/>
    <s v="Finalizado (1/1)"/>
    <n v="46.277999999999999"/>
    <n v="5.1420000000000003"/>
    <n v="51.42"/>
    <s v="Sessão Faturada"/>
    <n v="774170001627040"/>
    <n v="35526"/>
    <s v="Unidade Vieralves (ANEXO)"/>
    <n v="1705883537"/>
    <m/>
  </r>
  <r>
    <x v="12"/>
    <x v="31"/>
    <s v="Melinda Claudia de Araujo Teles"/>
    <s v="Feminino"/>
    <x v="2"/>
    <x v="20"/>
    <s v="20103484 - Fisioterapia - Patologia Em Um Membro (R$ 12,22)"/>
    <s v="Fisioterapia"/>
    <n v="1705884123"/>
    <s v="Finalizado (1/2)"/>
    <n v="10.7536"/>
    <n v="1.4663999999999999"/>
    <n v="12.22"/>
    <s v="Sessão Faturada"/>
    <n v="774170001627040"/>
    <n v="35526"/>
    <s v="Unidade Vieralves (ANEXO)"/>
    <n v="1705884123"/>
    <m/>
  </r>
  <r>
    <x v="12"/>
    <x v="14"/>
    <s v="Sofia Araujo Pereira Ferreira"/>
    <s v="Feminino"/>
    <x v="2"/>
    <x v="20"/>
    <s v="20103115 - Atividade Reflexa Cinesioterápica (R$ 20,81)"/>
    <s v="Fisioterapia"/>
    <n v="1702870293"/>
    <s v="Finalizado (2/4)"/>
    <n v="18.312799999999999"/>
    <n v="2.4971999999999999"/>
    <n v="20.81"/>
    <s v="Sessão Faturada"/>
    <n v="814438300051020"/>
    <n v="59164"/>
    <s v="Unidade Vieralves (ANEXO)"/>
    <n v="1702870293"/>
    <m/>
  </r>
  <r>
    <x v="12"/>
    <x v="14"/>
    <s v="Michel Harrison Lima de Almeida"/>
    <s v="Masculino"/>
    <x v="2"/>
    <x v="20"/>
    <s v="20103115 - Atividade Reflexa Cinesioterápica (R$ 20,81)"/>
    <s v="Fisioterapia"/>
    <n v="1703785919"/>
    <s v="Finalizado (5/5)"/>
    <n v="18.312799999999999"/>
    <n v="2.4971999999999999"/>
    <n v="20.81"/>
    <s v="Sessão Faturada"/>
    <n v="774063001732040"/>
    <n v="59458"/>
    <s v="Unidade Vieralves (ANEXO)"/>
    <n v="1703785919"/>
    <m/>
  </r>
  <r>
    <x v="12"/>
    <x v="32"/>
    <s v="Melinda Claudia de Araujo Teles"/>
    <s v="Feminino"/>
    <x v="2"/>
    <x v="20"/>
    <s v="20103115 - Atividade Reflexa Cinesioterápica (R$ 20,81)"/>
    <s v="Fisioterapia"/>
    <n v="1705885061"/>
    <s v="Finalizado (1/2)"/>
    <n v="18.312799999999999"/>
    <n v="2.4971999999999999"/>
    <n v="20.81"/>
    <s v="Sessão Faturada"/>
    <n v="774170001627040"/>
    <n v="35526"/>
    <s v="Unidade Vieralves (ANEXO)"/>
    <n v="1705885061"/>
    <m/>
  </r>
  <r>
    <x v="12"/>
    <x v="6"/>
    <s v="Iranildo Macedo Soares"/>
    <s v="Masculino"/>
    <x v="11"/>
    <x v="20"/>
    <s v="20103484 - Fisioterapia - Patologia Em Um Membro (R$ 80,33)"/>
    <s v="Fisioterapia"/>
    <n v="2508"/>
    <s v="Finalizado (4/8)"/>
    <n v="70.690399999999997"/>
    <n v="9.6395999999999997"/>
    <n v="80.33"/>
    <s v="Sessão Faturada"/>
    <n v="2302034"/>
    <n v="59195"/>
    <s v="Unidade Vieralves (ANEXO)"/>
    <n v="2508"/>
    <m/>
  </r>
  <r>
    <x v="12"/>
    <x v="6"/>
    <s v="Núbia Sena Abrantes"/>
    <s v="Feminino"/>
    <x v="1"/>
    <x v="20"/>
    <s v="50000160 - Fisioterapia Ortopédica (R$ 20,00), 98980327 - Taxa de Eletroterapia (Tens) (R$ 15,00)"/>
    <s v="Fisioterapia"/>
    <n v="8955494"/>
    <s v="Finalizado (3/10)"/>
    <n v="30.8"/>
    <n v="4.2"/>
    <n v="35"/>
    <s v="Sessão Faturada"/>
    <s v="0903002964650113"/>
    <n v="56048"/>
    <s v="Unidade Vieralves (ANEXO)"/>
    <n v="8955494"/>
    <s v="guia assinada "/>
  </r>
  <r>
    <x v="12"/>
    <x v="6"/>
    <s v="Vivian Fonseca de Oliveira"/>
    <s v="Feminino"/>
    <x v="2"/>
    <x v="20"/>
    <s v="20103506 - Fisioterapia - Patologia Em Um Segmento da Coluna (R$ 12,22)"/>
    <s v="Fisioterapia"/>
    <n v="1703929642"/>
    <s v="Finalizado (2/3)"/>
    <n v="10.7536"/>
    <n v="1.4663999999999999"/>
    <n v="12.22"/>
    <s v="Sessão Faturada"/>
    <n v="774642011100020"/>
    <n v="45139"/>
    <s v="Unidade Vieralves (ANEXO)"/>
    <n v="1703929642"/>
    <m/>
  </r>
  <r>
    <x v="12"/>
    <x v="7"/>
    <s v="Vivian Fonseca de Oliveira"/>
    <s v="Feminino"/>
    <x v="2"/>
    <x v="20"/>
    <s v="20103115 - Atividade Reflexa Cinesioterápica (R$ 20,81)"/>
    <s v="Fisioterapia"/>
    <n v="1703930649"/>
    <s v="Finalizado (2/2)"/>
    <n v="18.312799999999999"/>
    <n v="2.4971999999999999"/>
    <n v="20.81"/>
    <s v="Sessão Faturada"/>
    <n v="774642011100020"/>
    <n v="45139"/>
    <s v="Unidade Vieralves (ANEXO)"/>
    <n v="1703930649"/>
    <m/>
  </r>
  <r>
    <x v="12"/>
    <x v="17"/>
    <s v="Rosana Silva dos Santos"/>
    <s v="Feminino"/>
    <x v="1"/>
    <x v="20"/>
    <s v="50000160 - Fisioterapia Ortopédica (R$ 20,00), 98980327 - Taxa de Eletroterapia (Tens) (R$ 15,00)"/>
    <s v="Fisioterapia"/>
    <n v="9036802"/>
    <s v="Finalizado (5/10)"/>
    <n v="30.8"/>
    <n v="4.2"/>
    <n v="35"/>
    <s v="Sessão Faturada"/>
    <n v="1101006073830400"/>
    <n v="58800"/>
    <s v="Unidade Vieralves (ANEXO)"/>
    <n v="9036802"/>
    <m/>
  </r>
  <r>
    <x v="12"/>
    <x v="8"/>
    <s v="Renata de Aguiar Torres"/>
    <s v="Feminino"/>
    <x v="2"/>
    <x v="20"/>
    <s v="20103492 - Fisioterapia - Patologia Em Dois Ou Mais Membros (R$ 14,83)"/>
    <s v="Fisioterapia"/>
    <n v="1702975911"/>
    <s v="Finalizado (2/4)"/>
    <n v="13.0504"/>
    <n v="1.7796000000000001"/>
    <n v="14.83"/>
    <s v="Sessão Faturada"/>
    <n v="960019412893000"/>
    <n v="49038"/>
    <s v="Unidade Vieralves (ANEXO)"/>
    <n v="1702975911"/>
    <m/>
  </r>
  <r>
    <x v="12"/>
    <x v="8"/>
    <s v="Gisele dos Santos Costa"/>
    <s v="Feminino"/>
    <x v="1"/>
    <x v="20"/>
    <s v="50000160 - Fisioterapia Ortopédica (R$ 20,00), 98980327 - Taxa de Eletroterapia (Tens) (R$ 15,00)"/>
    <s v="Fisioterapia"/>
    <n v="9123592"/>
    <s v="Finalizado (1/8)"/>
    <n v="30.8"/>
    <n v="4.2"/>
    <n v="35"/>
    <s v="Sessão Faturada"/>
    <n v="1901012931170000"/>
    <n v="53642"/>
    <s v="Unidade Vieralves (ANEXO)"/>
    <n v="9123592"/>
    <m/>
  </r>
  <r>
    <x v="12"/>
    <x v="8"/>
    <s v="Marcus Vinicius Oliveira Lima"/>
    <s v="Masculino"/>
    <x v="2"/>
    <x v="20"/>
    <s v="20103506 - Fisioterapia - Patologia Em Um Segmento da Coluna (R$ 12,22)"/>
    <s v="Fisioterapia"/>
    <n v="1702964726"/>
    <s v="Finalizado (3/3)"/>
    <n v="10.7536"/>
    <n v="1.4663999999999999"/>
    <n v="12.22"/>
    <s v="Sessão Faturada"/>
    <n v="774981006378020"/>
    <n v="58759"/>
    <s v="Unidade Vieralves (ANEXO)"/>
    <n v="1702964726"/>
    <m/>
  </r>
  <r>
    <x v="12"/>
    <x v="9"/>
    <s v="Renata de Aguiar Torres"/>
    <s v="Feminino"/>
    <x v="2"/>
    <x v="20"/>
    <s v="20103115 - Atividade Reflexa Cinesioterápica (R$ 20,81)"/>
    <s v="Fisioterapia"/>
    <n v="1702976547"/>
    <s v="Finalizado (2/3)"/>
    <n v="18.312799999999999"/>
    <n v="2.4971999999999999"/>
    <n v="20.81"/>
    <s v="Sessão Faturada"/>
    <n v="960019412893000"/>
    <n v="49038"/>
    <s v="Unidade Vieralves (ANEXO)"/>
    <n v="1702976547"/>
    <m/>
  </r>
  <r>
    <x v="12"/>
    <x v="9"/>
    <s v="Marcus Vinicius Oliveira Lima"/>
    <s v="Masculino"/>
    <x v="2"/>
    <x v="20"/>
    <s v="20103115 - Atividade Reflexa Cinesioterápica (R$ 20,81)"/>
    <s v="Fisioterapia"/>
    <n v="1702965495"/>
    <s v="Finalizado (3/3)"/>
    <n v="18.312799999999999"/>
    <n v="2.4971999999999999"/>
    <n v="20.81"/>
    <s v="Sessão Faturada"/>
    <n v="774981006378020"/>
    <n v="58759"/>
    <s v="Unidade Vieralves (ANEXO)"/>
    <n v="1702965495"/>
    <m/>
  </r>
  <r>
    <x v="12"/>
    <x v="10"/>
    <s v="Ariany Mendes de Souza"/>
    <s v="Feminino"/>
    <x v="2"/>
    <x v="20"/>
    <s v="20103484 - Fisioterapia - Patologia Em Um Membro (R$ 12,22), 20103514 - Fisioterapia - Patologia Em Diferentes Segmentos da Coluna (R$ 14,83)"/>
    <s v="Fisioterapia"/>
    <n v="1705958986"/>
    <s v="Finalizado (1/1)"/>
    <n v="23.803999999999998"/>
    <n v="3.246"/>
    <n v="27.05"/>
    <s v="Sessão Faturada"/>
    <n v="774063014222010"/>
    <n v="59413"/>
    <s v="Unidade Vieralves (ANEXO)"/>
    <n v="1705958986"/>
    <m/>
  </r>
  <r>
    <x v="12"/>
    <x v="10"/>
    <s v="Cristiane Portilho Nascimento Pardo"/>
    <s v="Feminino"/>
    <x v="5"/>
    <x v="20"/>
    <s v="50000144 - Avaliação de Fisioterapia (R$ 37,63)"/>
    <s v="Fisioterapia"/>
    <n v="169840"/>
    <s v="Finalizado (1/1)"/>
    <n v="33.866999999999997"/>
    <n v="3.7629999999999999"/>
    <n v="37.630000000000003"/>
    <s v="Sessão Faturada"/>
    <s v="010093389000"/>
    <n v="11201"/>
    <s v="Unidade Vieralves (ANEXO)"/>
    <n v="169840"/>
    <m/>
  </r>
  <r>
    <x v="12"/>
    <x v="10"/>
    <s v="Sabrina Frota Miranda"/>
    <s v="Feminino"/>
    <x v="2"/>
    <x v="20"/>
    <s v="20103484 - Fisioterapia - Patologia Em Um Membro (R$ 12,22)"/>
    <s v="Fisioterapia"/>
    <n v="1704013274"/>
    <s v="Finalizado (2/5)"/>
    <n v="10.7536"/>
    <n v="1.4663999999999999"/>
    <n v="12.22"/>
    <s v="Sessão Faturada"/>
    <n v="774170004260000"/>
    <n v="58714"/>
    <s v="Unidade Vieralves (ANEXO)"/>
    <n v="1704013274"/>
    <m/>
  </r>
  <r>
    <x v="12"/>
    <x v="11"/>
    <s v="Sabrina Frota Miranda"/>
    <s v="Feminino"/>
    <x v="2"/>
    <x v="20"/>
    <s v="20103115 - Atividade Reflexa Cinesioterápica (R$ 20,81)"/>
    <s v="Fisioterapia"/>
    <n v="1704013931"/>
    <s v="Finalizado (2/3)"/>
    <n v="18.312799999999999"/>
    <n v="2.4971999999999999"/>
    <n v="20.81"/>
    <s v="Sessão Faturada"/>
    <n v="774170004260000"/>
    <n v="58714"/>
    <s v="Unidade Vieralves (ANEXO)"/>
    <n v="1704013931"/>
    <m/>
  </r>
  <r>
    <x v="12"/>
    <x v="11"/>
    <s v="Cristiane Portilho Nascimento Pardo"/>
    <s v="Feminino"/>
    <x v="5"/>
    <x v="20"/>
    <s v="98860011 - Fisioterapia Complexidade 1 (R$ 55,26)"/>
    <s v="Fisioterapia"/>
    <n v="78145750"/>
    <s v="Finalizado (1/10)"/>
    <n v="48.628799999999998"/>
    <n v="6.6311999999999998"/>
    <n v="55.26"/>
    <s v="Sessão Faturada"/>
    <s v="010093389000"/>
    <n v="11201"/>
    <s v="Unidade Vieralves (ANEXO)"/>
    <n v="78145750"/>
    <s v="GUIA ASSINADA!!!!"/>
  </r>
  <r>
    <x v="12"/>
    <x v="11"/>
    <s v="Ariany Mendes de Souza"/>
    <s v="Feminino"/>
    <x v="2"/>
    <x v="20"/>
    <s v="20103115 - Atividade Reflexa Cinesioterápica (R$ 20,81)"/>
    <s v="Fisioterapia"/>
    <n v="1705959334"/>
    <s v="Finalizado (1/1)"/>
    <n v="18.312799999999999"/>
    <n v="2.4971999999999999"/>
    <n v="20.81"/>
    <s v="Sessão Faturada"/>
    <n v="774063014222010"/>
    <n v="59413"/>
    <s v="Unidade Vieralves (ANEXO)"/>
    <n v="1705959334"/>
    <m/>
  </r>
  <r>
    <x v="12"/>
    <x v="12"/>
    <s v="Daniel Silva de Moraes"/>
    <s v="Masculino"/>
    <x v="2"/>
    <x v="20"/>
    <s v="20103492 - Fisioterapia - Patologia Em Dois Ou Mais Membros (R$ 14,83)"/>
    <s v="Fisioterapia"/>
    <n v="1705969156"/>
    <s v="Finalizado (1/3)"/>
    <n v="13.0504"/>
    <n v="1.7796000000000001"/>
    <n v="14.83"/>
    <s v="Sessão Faturada"/>
    <n v="771015049905000"/>
    <n v="43875"/>
    <s v="Unidade Vieralves (ANEXO)"/>
    <n v="1705969156"/>
    <m/>
  </r>
  <r>
    <x v="12"/>
    <x v="19"/>
    <s v="Daniel Silva de Moraes"/>
    <s v="Masculino"/>
    <x v="2"/>
    <x v="20"/>
    <s v="20103115 - Atividade Reflexa Cinesioterápica (R$ 20,81)"/>
    <s v="Fisioterapia"/>
    <n v="1705969754"/>
    <s v="Finalizado (1/2)"/>
    <n v="18.312799999999999"/>
    <n v="2.4971999999999999"/>
    <n v="20.81"/>
    <s v="Sessão Faturada"/>
    <n v="771015049905000"/>
    <n v="43875"/>
    <s v="Unidade Vieralves (ANEXO)"/>
    <n v="1705969754"/>
    <m/>
  </r>
  <r>
    <x v="13"/>
    <x v="89"/>
    <s v="Rozirlande Oliveira do Valle"/>
    <s v="Feminino"/>
    <x v="6"/>
    <x v="20"/>
    <s v="20103484 - Patologia Em Um Membro (R$ 14,16)"/>
    <s v="Fisioterapia"/>
    <n v="170134"/>
    <s v="Finalizado (2/10)"/>
    <n v="12.460800000000001"/>
    <n v="1.6992"/>
    <n v="14.16"/>
    <s v="Sessão a Faturar"/>
    <s v="58201466755603470024"/>
    <n v="38049"/>
    <s v="Unidade Vieiralves"/>
    <n v="170134"/>
    <m/>
  </r>
  <r>
    <x v="13"/>
    <x v="89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6/10)"/>
    <n v="35.200000000000003"/>
    <n v="4.8"/>
    <n v="40"/>
    <s v="Sessão Faturada"/>
    <n v="901013279890040"/>
    <n v="59419"/>
    <s v="Unidade Vieiralves"/>
    <n v="8991656"/>
    <m/>
  </r>
  <r>
    <x v="13"/>
    <x v="89"/>
    <s v="Maria Raimunda da Silva Guedes Lima"/>
    <s v="Feminino"/>
    <x v="2"/>
    <x v="20"/>
    <s v="20103492 - Fisioterapia - Patologia Em Dois Ou Mais Membros (R$ 14,83)"/>
    <s v="Fisioterapia"/>
    <n v="1703614874"/>
    <s v="Finalizado (3/5)"/>
    <n v="13.0504"/>
    <n v="1.7796000000000001"/>
    <n v="14.83"/>
    <s v="Sessão Faturada"/>
    <n v="960016575471000"/>
    <n v="21019"/>
    <s v="Unidade Vieiralves"/>
    <n v="1703614874"/>
    <m/>
  </r>
  <r>
    <x v="13"/>
    <x v="90"/>
    <s v="Maria Raimunda da Silva Guedes Lima"/>
    <s v="Feminino"/>
    <x v="2"/>
    <x v="20"/>
    <s v="20103115 - Atividade Reflexa Cinesioterápica (R$ 20,81)"/>
    <s v="Fisioterapia"/>
    <n v="1703615658"/>
    <s v="Finalizado (3/5)"/>
    <n v="18.312799999999999"/>
    <n v="2.4971999999999999"/>
    <n v="20.81"/>
    <s v="Sessão Faturada"/>
    <n v="960016575471000"/>
    <n v="21019"/>
    <s v="Unidade Vieiralves"/>
    <n v="1703615658"/>
    <m/>
  </r>
  <r>
    <x v="13"/>
    <x v="90"/>
    <s v="Rozirlande Oliveira do Valle"/>
    <s v="Feminino"/>
    <x v="6"/>
    <x v="20"/>
    <s v="31602185 - Estimulação Elétrica Transcutanea (Tens) (R$ 40,00)"/>
    <s v="Fisioterapia"/>
    <n v="170135"/>
    <s v="Finalizado (2/10)"/>
    <n v="35.200000000000003"/>
    <n v="4.8"/>
    <n v="40"/>
    <s v="Sessão a Faturar"/>
    <s v="58201466755603470024"/>
    <n v="38049"/>
    <s v="Unidade Vieiralves"/>
    <n v="170135"/>
    <m/>
  </r>
  <r>
    <x v="13"/>
    <x v="44"/>
    <s v="Zemilto Martins Ceara"/>
    <s v="Masculino"/>
    <x v="2"/>
    <x v="20"/>
    <s v="20103492 - Fisioterapia - Patologia Em Dois Ou Mais Membros (R$ 14,83)"/>
    <s v="Fisioterapia"/>
    <n v="1705564788"/>
    <s v="Finalizado (2/8)"/>
    <n v="13.0504"/>
    <n v="1.7796000000000001"/>
    <n v="14.83"/>
    <s v="Sessão Faturada"/>
    <n v="841006100370010"/>
    <n v="9050"/>
    <s v="Unidade Vieiralves"/>
    <n v="1705564788"/>
    <m/>
  </r>
  <r>
    <x v="13"/>
    <x v="60"/>
    <s v="Zemilto Martins Ceara"/>
    <s v="Masculino"/>
    <x v="2"/>
    <x v="20"/>
    <s v="20103115 - Atividade Reflexa Cinesioterápica (R$ 20,81)"/>
    <s v="Fisioterapia"/>
    <n v="1705565257"/>
    <s v="Finalizado (2/5)"/>
    <n v="18.312799999999999"/>
    <n v="2.4971999999999999"/>
    <n v="20.81"/>
    <s v="Sessão Faturada"/>
    <n v="841006100370010"/>
    <n v="9050"/>
    <s v="Unidade Vieiralves"/>
    <n v="1705565257"/>
    <m/>
  </r>
  <r>
    <x v="13"/>
    <x v="41"/>
    <s v="Oto Trindade Backsmann"/>
    <s v="Masculino"/>
    <x v="6"/>
    <x v="20"/>
    <s v="20103514 - Patologia Em Dois Ou Mais Segmentos da Coluna (R$ 32,82)"/>
    <s v="Fisioterapia"/>
    <n v="170242"/>
    <s v="Finalizado (1/5)"/>
    <n v="28.881599999999999"/>
    <n v="3.9384000000000001"/>
    <n v="32.82"/>
    <s v="Sessão a Faturar"/>
    <s v="54588888485990460010"/>
    <n v="18508"/>
    <s v="Unidade Vieiralves"/>
    <n v="170242"/>
    <m/>
  </r>
  <r>
    <x v="13"/>
    <x v="41"/>
    <s v="Paulo Cesar Colares de Oliveira"/>
    <s v="Masculino"/>
    <x v="10"/>
    <x v="20"/>
    <s v="50000160 - Fisioterapia Ortopédica (R$ 15,00)"/>
    <s v="Fisioterapia"/>
    <n v="15072661"/>
    <s v="Finalizado (8/10)"/>
    <n v="13.2"/>
    <n v="1.8"/>
    <n v="15"/>
    <s v="Sessão Faturada"/>
    <s v="00010064270172001"/>
    <n v="59266"/>
    <s v="Unidade Vieiralves"/>
    <n v="15072661"/>
    <m/>
  </r>
  <r>
    <x v="13"/>
    <x v="41"/>
    <s v="Rafael Daniel Gerzvolf"/>
    <s v="Masculino"/>
    <x v="6"/>
    <x v="20"/>
    <s v="20103484 - Patologia Em Um Membro (R$ 14,16)"/>
    <s v="Fisioterapia"/>
    <n v="170049"/>
    <s v="Finalizado (2/5)"/>
    <n v="12.460800000000001"/>
    <n v="1.6992"/>
    <n v="14.16"/>
    <s v="Sessão a Faturar"/>
    <s v="51588888488560580015"/>
    <n v="57485"/>
    <s v="Unidade Vieiralves"/>
    <n v="170049"/>
    <m/>
  </r>
  <r>
    <x v="13"/>
    <x v="65"/>
    <s v="Rafael Daniel Gerzvolf"/>
    <s v="Masculino"/>
    <x v="6"/>
    <x v="20"/>
    <s v="31602185 - Estimulação Elétrica Transcutanea (Tens) (R$ 40,00)"/>
    <s v="Fisioterapia"/>
    <n v="169207"/>
    <s v="Finalizado (5/5)"/>
    <n v="35.200000000000003"/>
    <n v="4.8"/>
    <n v="40"/>
    <s v="Sessão Faturada"/>
    <s v="51588888488560580015"/>
    <n v="57485"/>
    <s v="Unidade Vieiralves"/>
    <n v="169207"/>
    <m/>
  </r>
  <r>
    <x v="13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2/10)"/>
    <n v="30.8"/>
    <n v="4.2"/>
    <n v="35"/>
    <s v="Sessão Faturada"/>
    <s v="0901013959170057"/>
    <n v="15532"/>
    <s v="Unidade Vieiralves"/>
    <n v="9093197"/>
    <m/>
  </r>
  <r>
    <x v="13"/>
    <x v="36"/>
    <s v="Claudia Miyuki Muramoto Sako"/>
    <s v="Feminino"/>
    <x v="2"/>
    <x v="20"/>
    <s v="20103492 - Fisioterapia - Patologia Em Dois Ou Mais Membros (R$ 14,83)"/>
    <s v="Fisioterapia"/>
    <n v="1701146746"/>
    <s v="Finalizado (4/5)"/>
    <n v="13.0504"/>
    <n v="1.7796000000000001"/>
    <n v="14.83"/>
    <s v="Sessão Faturada"/>
    <n v="885854000132010"/>
    <n v="49229"/>
    <s v="Unidade Vieiralves"/>
    <n v="1701146746"/>
    <m/>
  </r>
  <r>
    <x v="13"/>
    <x v="61"/>
    <s v="Claudia Miyuki Muramoto Sako"/>
    <s v="Feminino"/>
    <x v="2"/>
    <x v="20"/>
    <s v="20103115 - Atividade Reflexa Cinesioterápica (R$ 20,81)"/>
    <s v="Fisioterapia"/>
    <n v="1701149244"/>
    <s v="Finalizado (4/5)"/>
    <n v="18.312799999999999"/>
    <n v="2.4971999999999999"/>
    <n v="20.81"/>
    <s v="Sessão Faturada"/>
    <n v="885854000132010"/>
    <n v="49229"/>
    <s v="Unidade Vieiralves"/>
    <n v="1701149244"/>
    <m/>
  </r>
  <r>
    <x v="13"/>
    <x v="40"/>
    <s v="Dilcilene Angelim da Silva Santos"/>
    <m/>
    <x v="7"/>
    <x v="20"/>
    <s v="Vieiralves - 1 - Fisioterapia Ortopedica - Pacote (R$ 80,00)"/>
    <s v="Fisioterapia"/>
    <n v="165818"/>
    <s v="Finalizado (10/10)"/>
    <n v="62.4"/>
    <n v="17.600000000000001"/>
    <n v="80"/>
    <s v="Pago"/>
    <n v="59115"/>
    <n v="59115"/>
    <s v="Unidade Vieiralves"/>
    <n v="165818"/>
    <m/>
  </r>
  <r>
    <x v="13"/>
    <x v="35"/>
    <s v="Beatriz Coelho da Silva"/>
    <s v="Feminino"/>
    <x v="2"/>
    <x v="20"/>
    <s v="50000144 - Avaliação de Fisioterapia (R$ 51,42)"/>
    <s v="Fisioterapia"/>
    <n v="1706222949"/>
    <s v="Finalizado (1/1)"/>
    <n v="46.277999999999999"/>
    <n v="5.1420000000000003"/>
    <n v="51.42"/>
    <s v="Sessão Faturada"/>
    <n v="774063006521000"/>
    <n v="48489"/>
    <s v="Unidade Vieiralves"/>
    <n v="1706222949"/>
    <m/>
  </r>
  <r>
    <x v="13"/>
    <x v="35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2/10)"/>
    <n v="30.8"/>
    <n v="4.2"/>
    <n v="35"/>
    <s v="Sessão Faturada"/>
    <s v="0201013982810029"/>
    <n v="19454"/>
    <s v="Unidade Vieiralves"/>
    <n v="9052356"/>
    <m/>
  </r>
  <r>
    <x v="13"/>
    <x v="70"/>
    <s v="Beatriz Coelho da Silva"/>
    <s v="Feminino"/>
    <x v="2"/>
    <x v="20"/>
    <s v="20103506 - Fisioterapia - Patologia Em Um Segmento da Coluna (R$ 12,22)"/>
    <s v="Fisioterapia"/>
    <n v="1706225002"/>
    <s v="Finalizado (1/4)"/>
    <n v="10.7536"/>
    <n v="1.4663999999999999"/>
    <n v="12.22"/>
    <s v="Sessão Faturada"/>
    <n v="774063006521000"/>
    <n v="48489"/>
    <s v="Unidade Vieiralves"/>
    <n v="1706225002"/>
    <m/>
  </r>
  <r>
    <x v="13"/>
    <x v="71"/>
    <s v="Beatriz Coelho da Silva"/>
    <s v="Feminino"/>
    <x v="2"/>
    <x v="20"/>
    <s v="20103115 - Atividade Reflexa Cinesioterápica (R$ 20,81)"/>
    <s v="Fisioterapia"/>
    <n v="1706226214"/>
    <s v="Finalizado (1/4)"/>
    <n v="18.312799999999999"/>
    <n v="2.4971999999999999"/>
    <n v="20.81"/>
    <s v="Sessão Faturada"/>
    <n v="774063006521000"/>
    <n v="48489"/>
    <s v="Unidade Vieiralves"/>
    <n v="1706226214"/>
    <m/>
  </r>
  <r>
    <x v="13"/>
    <x v="38"/>
    <s v="Maria Mineia Mendes Miki"/>
    <s v="Feminino"/>
    <x v="6"/>
    <x v="20"/>
    <s v="20103492 - Patologia Em Dois Ou Mais Membros (R$ 30,26)"/>
    <s v="Fisioterapia"/>
    <n v="169818"/>
    <s v="Finalizado (4/5)"/>
    <n v="26.628799999999998"/>
    <n v="3.6312000000000002"/>
    <n v="30.26"/>
    <s v="Sessão a Faturar"/>
    <s v="54588888007376590036"/>
    <n v="17465"/>
    <s v="Unidade Vieiralves"/>
    <n v="169818"/>
    <m/>
  </r>
  <r>
    <x v="13"/>
    <x v="38"/>
    <s v="Arisson Carlos Pardo de Queiroz"/>
    <m/>
    <x v="2"/>
    <x v="20"/>
    <s v="20103484 - Fisioterapia - Patologia Em Um Membro (R$ 12,22)"/>
    <s v="Fisioterapia"/>
    <n v="1703743543"/>
    <s v="Finalizado (4/5)"/>
    <n v="10.7536"/>
    <n v="1.4663999999999999"/>
    <n v="12.22"/>
    <s v="Sessão Faturada"/>
    <n v="771015042510010"/>
    <n v="58957"/>
    <s v="Unidade Vieiralves"/>
    <n v="1703743543"/>
    <m/>
  </r>
  <r>
    <x v="13"/>
    <x v="38"/>
    <s v="Minervina Lucia Marques Fonseca"/>
    <s v="Feminino"/>
    <x v="0"/>
    <x v="20"/>
    <s v="50000160 - Fisioterapia Ortopedica (R$ 49,72)"/>
    <s v="Fisioterapia"/>
    <s v="42263120260227375135"/>
    <s v="Finalizado (3/10)"/>
    <n v="43.753599999999999"/>
    <n v="5.9664000000000001"/>
    <n v="49.72"/>
    <s v="Sessão Faturada"/>
    <s v="010650809004"/>
    <n v="40041"/>
    <s v="Unidade Vieiralves"/>
    <s v="42263120260227375135"/>
    <m/>
  </r>
  <r>
    <x v="13"/>
    <x v="62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3/10)"/>
    <n v="47.634399999999999"/>
    <n v="6.4955999999999996"/>
    <n v="54.13"/>
    <s v="Sessão Faturada"/>
    <s v="010650809004"/>
    <n v="40041"/>
    <s v="Unidade Vieiralves"/>
    <n v="4.2263120227375E+16"/>
    <m/>
  </r>
  <r>
    <x v="13"/>
    <x v="62"/>
    <s v="Maria Mineia Mendes Miki"/>
    <s v="Feminino"/>
    <x v="6"/>
    <x v="20"/>
    <s v="31602185 - Estimulação Elétrica Transcutanea (Tens) (R$ 40,00)"/>
    <s v="Fisioterapia"/>
    <n v="169816"/>
    <s v="Finalizado (4/5)"/>
    <n v="35.200000000000003"/>
    <n v="4.8"/>
    <n v="40"/>
    <s v="Sessão a Faturar"/>
    <s v="54588888007376590036"/>
    <n v="17465"/>
    <s v="Unidade Vieiralves"/>
    <n v="169816"/>
    <m/>
  </r>
  <r>
    <x v="13"/>
    <x v="62"/>
    <s v="Arisson Carlos Pardo de Queiroz"/>
    <m/>
    <x v="2"/>
    <x v="20"/>
    <s v="20103115 - Atividade Reflexa Cinesioterápica (R$ 20,81)"/>
    <s v="Fisioterapia"/>
    <n v="1703745325"/>
    <s v="Finalizado (4/5)"/>
    <n v="18.312799999999999"/>
    <n v="2.4971999999999999"/>
    <n v="20.81"/>
    <s v="Sessão Faturada"/>
    <n v="771015042510010"/>
    <n v="58957"/>
    <s v="Unidade Vieiralves"/>
    <n v="1703745325"/>
    <m/>
  </r>
  <r>
    <x v="13"/>
    <x v="37"/>
    <s v="Dina Francoile Viana Ramos"/>
    <s v="Feminino"/>
    <x v="2"/>
    <x v="20"/>
    <s v="20103492 - Fisioterapia - Patologia Em Dois Ou Mais Membros (R$ 14,83)"/>
    <s v="Fisioterapia"/>
    <n v="1706286360"/>
    <s v="Finalizado (1/10)"/>
    <n v="13.0504"/>
    <n v="1.7796000000000001"/>
    <n v="14.83"/>
    <s v="Sessão Faturada"/>
    <n v="960016167330060"/>
    <n v="16965"/>
    <s v="Unidade Vieiralves"/>
    <n v="1706286360"/>
    <m/>
  </r>
  <r>
    <x v="13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2/10)"/>
    <n v="26.1008"/>
    <n v="3.5592000000000001"/>
    <n v="29.66"/>
    <s v="Sessão Faturada"/>
    <n v="960016167330010"/>
    <n v="46729"/>
    <s v="Unidade Vieiralves"/>
    <n v="1705661090"/>
    <m/>
  </r>
  <r>
    <x v="13"/>
    <x v="37"/>
    <s v="Jessica Talitta Tavares Pardo"/>
    <m/>
    <x v="6"/>
    <x v="20"/>
    <s v="20103492 - Patologia Em Dois Ou Mais Membros (R$ 30,26), 20103506 - Patologia Em Um Segmento da Coluna (R$ 14,16)"/>
    <s v="Fisioterapia"/>
    <n v="163943"/>
    <s v="Não compareceu (10/11)"/>
    <n v="44.42"/>
    <n v="0"/>
    <n v="44.42"/>
    <s v="Sessão Faturada"/>
    <s v="51588888485034390014"/>
    <n v="58861"/>
    <s v="Unidade Vieiralves"/>
    <n v="163943"/>
    <m/>
  </r>
  <r>
    <x v="13"/>
    <x v="37"/>
    <s v="Ivete Akimi Massuda"/>
    <s v="Feminino"/>
    <x v="6"/>
    <x v="20"/>
    <s v="20103506 - Patologia Em Um Segmento da Coluna (R$ 14,16)"/>
    <s v="Fisioterapia"/>
    <n v="168890"/>
    <s v="Finalizado (4/5)"/>
    <n v="12.460800000000001"/>
    <n v="1.6992"/>
    <n v="14.16"/>
    <s v="Sessão a Faturar"/>
    <s v="54588888473661890020"/>
    <n v="43609"/>
    <s v="Unidade Vieiralves"/>
    <n v="168890"/>
    <m/>
  </r>
  <r>
    <x v="13"/>
    <x v="63"/>
    <s v="Rita de Lima  Viana Ramos"/>
    <s v="Feminino"/>
    <x v="2"/>
    <x v="20"/>
    <s v="20103115 - Atividade Reflexa Cinesioterápica (R$ 20,81)"/>
    <s v="Fisioterapia"/>
    <n v="1705662421"/>
    <s v="Finalizado (2/4)"/>
    <n v="18.312799999999999"/>
    <n v="2.4971999999999999"/>
    <n v="20.81"/>
    <s v="Sessão Faturada"/>
    <n v="960016167330010"/>
    <n v="46729"/>
    <s v="Unidade Vieiralves"/>
    <n v="1705662421"/>
    <m/>
  </r>
  <r>
    <x v="13"/>
    <x v="63"/>
    <s v="Dina Francoile Viana Ramos"/>
    <s v="Feminino"/>
    <x v="2"/>
    <x v="20"/>
    <s v="20103115 - Atividade Reflexa Cinesioterápica (R$ 20,81)"/>
    <s v="Fisioterapia"/>
    <n v="1706287395"/>
    <s v="Finalizado (1/4)"/>
    <n v="18.312799999999999"/>
    <n v="2.4971999999999999"/>
    <n v="20.81"/>
    <s v="Sessão Faturada"/>
    <n v="960016167330060"/>
    <n v="16965"/>
    <s v="Unidade Vieiralves"/>
    <n v="1706287395"/>
    <m/>
  </r>
  <r>
    <x v="13"/>
    <x v="63"/>
    <s v="Ivete Akimi Massuda"/>
    <s v="Feminino"/>
    <x v="6"/>
    <x v="20"/>
    <s v="31602185 - Estimulação Elétrica Transcutanea (Tens) (R$ 40,00)"/>
    <s v="Fisioterapia"/>
    <n v="168891"/>
    <s v="Finalizado (4/5)"/>
    <n v="35.200000000000003"/>
    <n v="4.8"/>
    <n v="40"/>
    <s v="Sessão a Faturar"/>
    <s v="54588888473661890020"/>
    <n v="43609"/>
    <s v="Unidade Vieiralves"/>
    <n v="168891"/>
    <m/>
  </r>
  <r>
    <x v="13"/>
    <x v="63"/>
    <s v="Jessica Talitta Tavares Pardo"/>
    <m/>
    <x v="6"/>
    <x v="20"/>
    <s v="31602185 - Estimulação Elétrica Transcutanea (Tens) (R$ 40,00)"/>
    <s v="Fisioterapia"/>
    <n v="163944"/>
    <s v="Não compareceu (10/11)"/>
    <n v="40"/>
    <n v="0"/>
    <n v="40"/>
    <s v="Sessão Faturada"/>
    <s v="51588888485034390014"/>
    <n v="58861"/>
    <s v="Unidade Vieiralves"/>
    <n v="163944"/>
    <m/>
  </r>
  <r>
    <x v="13"/>
    <x v="39"/>
    <s v="Luciana Holanda de Souza"/>
    <s v="Feminino"/>
    <x v="7"/>
    <x v="20"/>
    <s v="Vieiralves - 1 - Fisioterapia Ortopedica - Pacote (R$ 40,00)"/>
    <s v="Fisioterapia"/>
    <m/>
    <s v="Finalizado (3/10)"/>
    <n v="31.2"/>
    <n v="8.8000000000000007"/>
    <n v="40"/>
    <s v="Pago"/>
    <s v="00"/>
    <n v="59427"/>
    <s v="Unidade Vieiralves"/>
    <m/>
    <m/>
  </r>
  <r>
    <x v="13"/>
    <x v="0"/>
    <s v="Julyene Vitória Santos Martendal"/>
    <s v="Feminino"/>
    <x v="6"/>
    <x v="20"/>
    <s v="20103484 - Patologia Em Um Membro (R$ 14,16)"/>
    <s v="Fisioterapia"/>
    <n v="168937"/>
    <s v="Finalizado (4/5)"/>
    <n v="12.460800000000001"/>
    <n v="1.6992"/>
    <n v="14.16"/>
    <s v="Sessão a Faturar"/>
    <s v="56788888488539110013"/>
    <n v="57410"/>
    <s v="Unidade Vieralves (ANEXO)"/>
    <n v="168937"/>
    <m/>
  </r>
  <r>
    <x v="13"/>
    <x v="0"/>
    <s v="Alessandra Souza Braga Bedoschi"/>
    <s v="Feminino"/>
    <x v="6"/>
    <x v="20"/>
    <s v="20103506 - Patologia Em Um Segmento da Coluna (R$ 14,16)"/>
    <s v="Fisioterapia"/>
    <n v="169526"/>
    <s v="Finalizado (2/3)"/>
    <n v="12.460800000000001"/>
    <n v="1.6992"/>
    <n v="14.16"/>
    <s v="Sessão a Faturar"/>
    <s v="55782971001828710021"/>
    <n v="59376"/>
    <s v="Unidade Vieralves (ANEXO)"/>
    <n v="169526"/>
    <m/>
  </r>
  <r>
    <x v="13"/>
    <x v="0"/>
    <s v="Fabíola Graziele Martins de Lima"/>
    <s v="Feminino"/>
    <x v="8"/>
    <x v="20"/>
    <s v="20103484 - Patologia Em Um Membro (R$ 12,22)"/>
    <s v="Fisioterapia"/>
    <n v="1706399609"/>
    <s v="Finalizado (1/5)"/>
    <n v="10.7536"/>
    <n v="1.4663999999999999"/>
    <n v="12.22"/>
    <s v="Sessão a Faturar"/>
    <n v="954590029556010"/>
    <n v="59043"/>
    <s v="Unidade Vieralves (ANEXO)"/>
    <n v="1706399609"/>
    <m/>
  </r>
  <r>
    <x v="13"/>
    <x v="1"/>
    <s v="Fabíola Graziele Martins de Lima"/>
    <s v="Feminino"/>
    <x v="8"/>
    <x v="20"/>
    <s v="20103115 - Atividade Reflexa Cinesioterápica (R$ 20,81)"/>
    <s v="Fisioterapia"/>
    <n v="1706400132"/>
    <s v="Finalizado (1/4)"/>
    <n v="18.312799999999999"/>
    <n v="2.4971999999999999"/>
    <n v="20.81"/>
    <s v="Sessão Faturada"/>
    <n v="954590029556010"/>
    <n v="59043"/>
    <s v="Unidade Vieralves (ANEXO)"/>
    <n v="1706400132"/>
    <m/>
  </r>
  <r>
    <x v="13"/>
    <x v="1"/>
    <s v="Julyene Vitória Santos Martendal"/>
    <s v="Feminino"/>
    <x v="6"/>
    <x v="20"/>
    <s v="31602185 - Estimulação Elétrica Transcutanea (Tens) (R$ 40,00)"/>
    <s v="Fisioterapia"/>
    <n v="168938"/>
    <s v="Finalizado (4/5)"/>
    <n v="35.200000000000003"/>
    <n v="4.8"/>
    <n v="40"/>
    <s v="Sessão a Faturar"/>
    <s v="56788888488539110013"/>
    <n v="57410"/>
    <s v="Unidade Vieralves (ANEXO)"/>
    <n v="168938"/>
    <m/>
  </r>
  <r>
    <x v="13"/>
    <x v="1"/>
    <s v="Alessandra Souza Braga Bedoschi"/>
    <s v="Feminino"/>
    <x v="6"/>
    <x v="20"/>
    <s v="31602185 - Estimulação Elétrica Transcutanea (Tens) (R$ 40,00)"/>
    <s v="Fisioterapia"/>
    <n v="169843"/>
    <s v="Finalizado (2/3)"/>
    <n v="35.200000000000003"/>
    <n v="4.8"/>
    <n v="40"/>
    <s v="Sessão a Faturar"/>
    <s v="55782971001828710021"/>
    <n v="59376"/>
    <s v="Unidade Vieralves (ANEXO)"/>
    <n v="169843"/>
    <m/>
  </r>
  <r>
    <x v="13"/>
    <x v="4"/>
    <s v="Natálya da Silva Sampaio"/>
    <s v="Feminino"/>
    <x v="1"/>
    <x v="20"/>
    <s v="50000160 - Fisioterapia Ortopédica (R$ 20,00), 98980327 - Taxa de Eletroterapia (Tens) (R$ 15,00)"/>
    <s v="Fisioterapia"/>
    <n v="8830882"/>
    <s v="Finalizado (7/10)"/>
    <n v="30.8"/>
    <n v="4.2"/>
    <n v="35"/>
    <s v="Sessão Faturada"/>
    <n v="1301013026380200"/>
    <n v="59331"/>
    <s v="Unidade Vieralves (ANEXO)"/>
    <n v="8830882"/>
    <m/>
  </r>
  <r>
    <x v="13"/>
    <x v="4"/>
    <s v="Richarles de Araújo Sousa"/>
    <s v="Masculino"/>
    <x v="1"/>
    <x v="20"/>
    <s v="50000160 - Fisioterapia Ortopédica (R$ 20,00), 98980327 - Taxa de Eletroterapia (Tens) (R$ 15,00)"/>
    <s v="Fisioterapia"/>
    <n v="8830350"/>
    <s v="Finalizado (7/10)"/>
    <n v="30.8"/>
    <n v="4.2"/>
    <n v="35"/>
    <s v="Sessão Faturada"/>
    <n v="1301013026380000"/>
    <n v="58337"/>
    <s v="Unidade Vieralves (ANEXO)"/>
    <n v="8830350"/>
    <m/>
  </r>
  <r>
    <x v="13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3/10)"/>
    <n v="30.8"/>
    <n v="4.2"/>
    <n v="35"/>
    <s v="Sessão Faturada"/>
    <n v="2001012922200100"/>
    <n v="59047"/>
    <s v="Unidade Vieralves (ANEXO)"/>
    <n v="9016939"/>
    <m/>
  </r>
  <r>
    <x v="13"/>
    <x v="4"/>
    <s v="Andressa Ludmyla Menezes de Mesquita"/>
    <s v="Feminino"/>
    <x v="2"/>
    <x v="20"/>
    <s v="20103492 - Fisioterapia - Patologia Em Dois Ou Mais Membros (R$ 14,83)"/>
    <s v="Fisioterapia"/>
    <n v="1703408046"/>
    <s v="Finalizado (4/5)"/>
    <n v="13.0504"/>
    <n v="1.7796000000000001"/>
    <n v="14.83"/>
    <s v="Sessão Faturada"/>
    <n v="771015039489020"/>
    <n v="59357"/>
    <s v="Unidade Vieralves (ANEXO)"/>
    <n v="1703408046"/>
    <m/>
  </r>
  <r>
    <x v="13"/>
    <x v="5"/>
    <s v="Andressa Ludmyla Menezes de Mesquita"/>
    <s v="Feminino"/>
    <x v="2"/>
    <x v="20"/>
    <s v="20103115 - Atividade Reflexa Cinesioterápica (R$ 20,81)"/>
    <s v="Fisioterapia"/>
    <n v="1703408783"/>
    <s v="Finalizado (4/5)"/>
    <n v="18.312799999999999"/>
    <n v="2.4971999999999999"/>
    <n v="20.81"/>
    <s v="Sessão Faturada"/>
    <n v="771015039489020"/>
    <n v="59357"/>
    <s v="Unidade Vieralves (ANEXO)"/>
    <n v="1703408783"/>
    <m/>
  </r>
  <r>
    <x v="13"/>
    <x v="13"/>
    <s v="Estela Maria Galvao Vidal de Abreu"/>
    <s v="Feminino"/>
    <x v="2"/>
    <x v="20"/>
    <s v="20103484 - Fisioterapia - Patologia Em Um Membro (R$ 12,22), 20103506 - Fisioterapia - Patologia Em Um Segmento da Coluna (R$ 12,22)"/>
    <s v="Fisioterapia"/>
    <n v="1701958335"/>
    <s v="Finalizado (4/5)"/>
    <n v="21.507200000000001"/>
    <n v="2.9327999999999999"/>
    <n v="24.44"/>
    <s v="Sessão Faturada"/>
    <n v="836922200019000"/>
    <n v="45049"/>
    <s v="Unidade Vieralves (ANEXO)"/>
    <n v="1701958335"/>
    <m/>
  </r>
  <r>
    <x v="13"/>
    <x v="13"/>
    <s v="Caroline Duarte Brighente"/>
    <s v="Feminino"/>
    <x v="1"/>
    <x v="20"/>
    <s v="50000160 - Fisioterapia Ortopédica (R$ 20,00), 98980327 - Taxa de Eletroterapia (Tens) (R$ 15,00)"/>
    <s v="Fisioterapia"/>
    <n v="8894697"/>
    <s v="Finalizado (9/10)"/>
    <n v="30.8"/>
    <n v="4.2"/>
    <n v="35"/>
    <s v="Sessão Faturada"/>
    <s v="0501011606920055"/>
    <n v="59374"/>
    <s v="Unidade Vieralves (ANEXO)"/>
    <n v="8894697"/>
    <m/>
  </r>
  <r>
    <x v="13"/>
    <x v="14"/>
    <s v="Estela Maria Galvao Vidal de Abreu"/>
    <s v="Feminino"/>
    <x v="2"/>
    <x v="20"/>
    <s v="20103115 - Atividade Reflexa Cinesioterápica (R$ 20,81)"/>
    <s v="Fisioterapia"/>
    <n v="1701959034"/>
    <s v="Finalizado (4/5)"/>
    <n v="18.312799999999999"/>
    <n v="2.4971999999999999"/>
    <n v="20.81"/>
    <s v="Sessão Faturada"/>
    <n v="836922200019000"/>
    <n v="45049"/>
    <s v="Unidade Vieralves (ANEXO)"/>
    <n v="1701959034"/>
    <m/>
  </r>
  <r>
    <x v="13"/>
    <x v="15"/>
    <s v="Ana Clara de Morais Virginio"/>
    <s v="Feminino"/>
    <x v="6"/>
    <x v="20"/>
    <s v="31602185 - Estimulação Elétrica Transcutanea (Tens) (R$ 40,00)"/>
    <s v="Fisioterapia"/>
    <n v="169145"/>
    <s v="Finalizado (4/5)"/>
    <n v="35.200000000000003"/>
    <n v="4.8"/>
    <n v="40"/>
    <s v="Sessão a Faturar"/>
    <s v="55788888491532830118"/>
    <n v="59365"/>
    <s v="Unidade Vieralves (ANEXO)"/>
    <n v="169145"/>
    <m/>
  </r>
  <r>
    <x v="13"/>
    <x v="15"/>
    <s v="Vinicius de Souza Teixeira"/>
    <s v="Masculino"/>
    <x v="2"/>
    <x v="20"/>
    <s v="20103115 - Atividade Reflexa Cinesioterápica (R$ 20,81)"/>
    <s v="Fisioterapia"/>
    <n v="1703958506"/>
    <s v="Finalizado (4/5)"/>
    <n v="18.312799999999999"/>
    <n v="2.4971999999999999"/>
    <n v="20.81"/>
    <s v="Sessão Faturada"/>
    <n v="774642030686000"/>
    <n v="59192"/>
    <s v="Unidade Vieralves (ANEXO)"/>
    <n v="1703958506"/>
    <m/>
  </r>
  <r>
    <x v="13"/>
    <x v="16"/>
    <s v="Vinicius de Souza Teixeira"/>
    <s v="Masculino"/>
    <x v="2"/>
    <x v="20"/>
    <s v="20103484 - Fisioterapia - Patologia Em Um Membro (R$ 12,22), 20103514 - Fisioterapia - Patologia Em Diferentes Segmentos da Coluna (R$ 14,83)"/>
    <s v="Fisioterapia"/>
    <n v="1703957238"/>
    <s v="Finalizado (4/5)"/>
    <n v="23.803999999999998"/>
    <n v="3.246"/>
    <n v="27.05"/>
    <s v="Sessão Faturada"/>
    <n v="774642030686000"/>
    <n v="59192"/>
    <s v="Unidade Vieralves (ANEXO)"/>
    <n v="1703957238"/>
    <m/>
  </r>
  <r>
    <x v="13"/>
    <x v="16"/>
    <s v="Ana Clara de Morais Virginio"/>
    <s v="Feminino"/>
    <x v="6"/>
    <x v="20"/>
    <s v="20103506 - Patologia Em Um Segmento da Coluna (R$ 14,16)"/>
    <s v="Fisioterapia"/>
    <n v="169144"/>
    <s v="Finalizado (4/5)"/>
    <n v="12.460800000000001"/>
    <n v="1.6992"/>
    <n v="14.16"/>
    <s v="Sessão a Faturar"/>
    <s v="55788888491532830118"/>
    <n v="59365"/>
    <s v="Unidade Vieralves (ANEXO)"/>
    <n v="169144"/>
    <m/>
  </r>
  <r>
    <x v="13"/>
    <x v="17"/>
    <s v="Larissa Castro Barbosa"/>
    <s v="Feminino"/>
    <x v="1"/>
    <x v="20"/>
    <s v="50000160 - Fisioterapia Ortopédica (R$ 20,00), 98980327 - Taxa de Eletroterapia (Tens) (R$ 15,00)"/>
    <s v="Fisioterapia"/>
    <n v="9107766"/>
    <s v="Finalizado (2/10)"/>
    <n v="30.8"/>
    <n v="4.2"/>
    <n v="35"/>
    <s v="Sessão Faturada"/>
    <s v="0901010162540294"/>
    <n v="53890"/>
    <s v="Unidade Vieralves (ANEXO)"/>
    <n v="9107766"/>
    <m/>
  </r>
  <r>
    <x v="13"/>
    <x v="17"/>
    <s v="Maria Auxiliadora da Silva Castelano"/>
    <s v="Feminino"/>
    <x v="2"/>
    <x v="20"/>
    <s v="20103492 - Fisioterapia - Patologia Em Dois Ou Mais Membros (R$ 14,83)"/>
    <s v="Fisioterapia"/>
    <n v="1703487063"/>
    <s v="Finalizado (4/5)"/>
    <n v="13.0504"/>
    <n v="1.7796000000000001"/>
    <n v="14.83"/>
    <s v="Sessão Faturada"/>
    <n v="773458002496010"/>
    <n v="13771"/>
    <s v="Unidade Vieralves (ANEXO)"/>
    <n v="1703487063"/>
    <m/>
  </r>
  <r>
    <x v="13"/>
    <x v="18"/>
    <s v="Maria Auxiliadora da Silva Castelano"/>
    <s v="Feminino"/>
    <x v="2"/>
    <x v="20"/>
    <s v="20103115 - Atividade Reflexa Cinesioterápica (R$ 20,81)"/>
    <s v="Fisioterapia"/>
    <n v="1703487618"/>
    <s v="Finalizado (4/5)"/>
    <n v="18.312799999999999"/>
    <n v="2.4971999999999999"/>
    <n v="20.81"/>
    <s v="Sessão Faturada"/>
    <n v="773458002496010"/>
    <n v="13771"/>
    <s v="Unidade Vieralves (ANEXO)"/>
    <n v="1703487618"/>
    <m/>
  </r>
  <r>
    <x v="13"/>
    <x v="8"/>
    <s v="Muniz Cristina Figueiredo Vieira"/>
    <s v="Feminino"/>
    <x v="0"/>
    <x v="20"/>
    <s v="31602185 - Estimulação Elétrica Transcutânea Fisioterapia (Novo - 01/12) (R$ 54,13)"/>
    <s v="Fisioterapia"/>
    <s v="42263120260305416790"/>
    <s v="Finalizado (1/1)"/>
    <n v="47.634399999999999"/>
    <n v="6.4955999999999996"/>
    <n v="54.13"/>
    <s v="Sessão a Faturar"/>
    <s v="010060054004"/>
    <n v="46247"/>
    <s v="Unidade Vieralves (ANEXO)"/>
    <s v="42263120260305416790"/>
    <m/>
  </r>
  <r>
    <x v="13"/>
    <x v="8"/>
    <s v="Gaspar Henrique Alves Mota"/>
    <m/>
    <x v="2"/>
    <x v="20"/>
    <s v="20103514 - Fisioterapia - Patologia Em Diferentes Segmentos da Coluna (R$ 14,83)"/>
    <s v="Fisioterapia"/>
    <n v="1706520582"/>
    <s v="Finalizado (1/5)"/>
    <n v="13.0504"/>
    <n v="1.7796000000000001"/>
    <n v="14.83"/>
    <s v="Sessão Faturada"/>
    <n v="774642013528010"/>
    <n v="54316"/>
    <s v="Unidade Vieralves (ANEXO)"/>
    <n v="1706520582"/>
    <m/>
  </r>
  <r>
    <x v="13"/>
    <x v="8"/>
    <s v="Antonio Helio Borges Eliziario"/>
    <s v="Masculino"/>
    <x v="2"/>
    <x v="20"/>
    <s v="20103484 - Fisioterapia - Patologia Em Um Membro (R$ 12,22)"/>
    <s v="Fisioterapia"/>
    <n v="1703491942"/>
    <s v="Finalizado (3/4)"/>
    <n v="10.7536"/>
    <n v="1.4663999999999999"/>
    <n v="12.22"/>
    <s v="Sessão Faturada"/>
    <n v="960016147160000"/>
    <n v="59407"/>
    <s v="Unidade Vieralves (ANEXO)"/>
    <n v="1703491942"/>
    <m/>
  </r>
  <r>
    <x v="13"/>
    <x v="33"/>
    <s v="Muniz Cristina Figueiredo Vieira"/>
    <s v="Feminino"/>
    <x v="0"/>
    <x v="20"/>
    <s v="50000160 - Fisioterapia Ortopedica (R$ 49,72)"/>
    <s v="Fisioterapia"/>
    <s v="42263120260305416457"/>
    <s v="Finalizado (1/2)"/>
    <n v="43.753599999999999"/>
    <n v="5.9664000000000001"/>
    <n v="49.72"/>
    <s v="Sessão a Faturar"/>
    <s v="010060054004"/>
    <n v="46247"/>
    <s v="Unidade Vieralves (ANEXO)"/>
    <s v="42263120260305416457"/>
    <m/>
  </r>
  <r>
    <x v="13"/>
    <x v="9"/>
    <s v="Gaspar Henrique Alves Mota"/>
    <m/>
    <x v="2"/>
    <x v="20"/>
    <s v="20103115 - Atividade Reflexa Cinesioterápica (R$ 20,81)"/>
    <s v="Fisioterapia"/>
    <n v="1706520928"/>
    <s v="Finalizado (1/4)"/>
    <n v="18.312799999999999"/>
    <n v="2.4971999999999999"/>
    <n v="20.81"/>
    <s v="Sessão Faturada"/>
    <n v="774642013528010"/>
    <n v="54316"/>
    <s v="Unidade Vieralves (ANEXO)"/>
    <n v="1706520928"/>
    <m/>
  </r>
  <r>
    <x v="13"/>
    <x v="9"/>
    <s v="Antonio Helio Borges Eliziario"/>
    <s v="Masculino"/>
    <x v="2"/>
    <x v="20"/>
    <s v="20103115 - Atividade Reflexa Cinesioterápica (R$ 20,81)"/>
    <s v="Fisioterapia"/>
    <n v="1703492548"/>
    <s v="Finalizado (3/4)"/>
    <n v="18.312799999999999"/>
    <n v="2.4971999999999999"/>
    <n v="20.81"/>
    <s v="Sessão Faturada"/>
    <n v="960016147160000"/>
    <n v="59407"/>
    <s v="Unidade Vieralves (ANEXO)"/>
    <n v="1703492548"/>
    <m/>
  </r>
  <r>
    <x v="13"/>
    <x v="34"/>
    <s v="Muniz Cristina Figueiredo Vieira"/>
    <s v="Feminino"/>
    <x v="0"/>
    <x v="20"/>
    <s v="50000144 - Avaliação de Fisioterapia (R$ 39,72)"/>
    <s v="Fisioterapia"/>
    <n v="169857"/>
    <s v="Finalizado (1/1)"/>
    <n v="35.747999999999998"/>
    <n v="3.972"/>
    <n v="39.72"/>
    <s v="Sessão Faturada"/>
    <s v="010060054004"/>
    <n v="46247"/>
    <s v="Unidade Vieralves (ANEXO)"/>
    <n v="169857"/>
    <m/>
  </r>
  <r>
    <x v="13"/>
    <x v="10"/>
    <s v="Alexsandro de Pierri Camara Frangos"/>
    <s v="Masculino"/>
    <x v="6"/>
    <x v="20"/>
    <s v="20103514 - Patologia Em Dois Ou Mais Segmentos da Coluna (R$ 32,82)"/>
    <s v="Fisioterapia"/>
    <n v="170025"/>
    <s v="Finalizado (2/5)"/>
    <n v="28.881599999999999"/>
    <n v="3.9384000000000001"/>
    <n v="32.82"/>
    <s v="Sessão a Faturar"/>
    <s v="44520813095886520010"/>
    <n v="59453"/>
    <s v="Unidade Vieralves (ANEXO)"/>
    <n v="170025"/>
    <m/>
  </r>
  <r>
    <x v="13"/>
    <x v="10"/>
    <s v="Ney Henrique Lopes Cordeiro"/>
    <s v="Masculino"/>
    <x v="2"/>
    <x v="20"/>
    <s v="20103662 - Fisioterapia - Pos Operatorio Em Um Membro (R$ 14,99)"/>
    <s v="Fisioterapia"/>
    <n v="1703505993"/>
    <s v="Finalizado (3/5)"/>
    <n v="13.1912"/>
    <n v="1.7988"/>
    <n v="14.99"/>
    <s v="Sessão Faturada"/>
    <n v="610171790036010"/>
    <n v="58355"/>
    <s v="Unidade Vieralves (ANEXO)"/>
    <n v="1703505993"/>
    <m/>
  </r>
  <r>
    <x v="13"/>
    <x v="11"/>
    <s v="Alexsandro de Pierri Camara Frangos"/>
    <s v="Masculino"/>
    <x v="6"/>
    <x v="20"/>
    <s v="31602185 - Estimulação Elétrica Transcutanea (Tens) (R$ 40,00)"/>
    <s v="Fisioterapia"/>
    <n v="170027"/>
    <s v="Finalizado (2/5)"/>
    <n v="35.200000000000003"/>
    <n v="4.8"/>
    <n v="40"/>
    <s v="Sessão a Faturar"/>
    <s v="44520813095886520010"/>
    <n v="59453"/>
    <s v="Unidade Vieralves (ANEXO)"/>
    <n v="170027"/>
    <s v="guia assinada"/>
  </r>
  <r>
    <x v="13"/>
    <x v="12"/>
    <s v="Victor Thury Vieira Hauache"/>
    <s v="Masculino"/>
    <x v="6"/>
    <x v="20"/>
    <s v="31602185 - Estimulação Elétrica Transcutanea (Tens) (R$ 40,00)"/>
    <s v="Fisioterapia"/>
    <n v="170379"/>
    <s v="Finalizado (1/5)"/>
    <n v="35.200000000000003"/>
    <n v="4.8"/>
    <n v="40"/>
    <s v="Sessão a Faturar"/>
    <s v="55788888476678190110"/>
    <n v="59493"/>
    <s v="Unidade Vieralves (ANEXO)"/>
    <n v="170379"/>
    <m/>
  </r>
  <r>
    <x v="13"/>
    <x v="46"/>
    <s v="Victor Thury Vieira Hauache"/>
    <s v="Masculino"/>
    <x v="6"/>
    <x v="20"/>
    <s v="50000144 - Avaliação de Fisioterapia (R$ 56,52)"/>
    <s v="Fisioterapia"/>
    <n v="7700047079"/>
    <s v="Finalizado (1/1)"/>
    <n v="50.868000000000002"/>
    <n v="5.6520000000000001"/>
    <n v="56.52"/>
    <s v="Sessão Faturada"/>
    <s v="55788888476678190110"/>
    <n v="59493"/>
    <s v="Unidade Vieralves (ANEXO)"/>
    <n v="7700047079"/>
    <m/>
  </r>
  <r>
    <x v="13"/>
    <x v="84"/>
    <s v="Victor Thury Vieira Hauache"/>
    <s v="Masculino"/>
    <x v="6"/>
    <x v="20"/>
    <s v="20103484 - Patologia Em Um Membro (R$ 14,16)"/>
    <s v="Fisioterapia"/>
    <n v="170378"/>
    <s v="Finalizado (1/5)"/>
    <n v="12.460800000000001"/>
    <n v="1.6992"/>
    <n v="14.16"/>
    <s v="Sessão a Faturar"/>
    <s v="55788888476678190110"/>
    <n v="59493"/>
    <s v="Unidade Vieralves (ANEXO)"/>
    <n v="170378"/>
    <m/>
  </r>
  <r>
    <x v="13"/>
    <x v="20"/>
    <s v="Willian Jean Silva Colares"/>
    <s v="Masculino"/>
    <x v="2"/>
    <x v="20"/>
    <s v="20103484 - Fisioterapia - Patologia Em Um Membro (R$ 12,22)"/>
    <s v="Fisioterapia"/>
    <n v="1704495607"/>
    <s v="Finalizado (4/5)"/>
    <n v="10.7536"/>
    <n v="1.4663999999999999"/>
    <n v="12.22"/>
    <s v="Sessão Faturada"/>
    <n v="775219005800000"/>
    <n v="59277"/>
    <s v="Unidade Vieralves (ANEXO)"/>
    <n v="1704495607"/>
    <m/>
  </r>
  <r>
    <x v="13"/>
    <x v="21"/>
    <s v="Willian Jean Silva Colares"/>
    <s v="Masculino"/>
    <x v="2"/>
    <x v="20"/>
    <s v="20103115 - Atividade Reflexa Cinesioterápica (R$ 20,81)"/>
    <s v="Fisioterapia"/>
    <n v="1704495959"/>
    <s v="Finalizado (4/5)"/>
    <n v="18.312799999999999"/>
    <n v="2.4971999999999999"/>
    <n v="20.81"/>
    <s v="Sessão Faturada"/>
    <n v="775219005800000"/>
    <n v="59277"/>
    <s v="Unidade Vieralves (ANEXO)"/>
    <n v="1704495959"/>
    <m/>
  </r>
  <r>
    <x v="14"/>
    <x v="89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7/10)"/>
    <n v="35.200000000000003"/>
    <n v="4.8"/>
    <n v="40"/>
    <s v="Sessão Faturada"/>
    <n v="901013279890040"/>
    <n v="59419"/>
    <s v="Unidade Vieiralves"/>
    <n v="8991656"/>
    <m/>
  </r>
  <r>
    <x v="14"/>
    <x v="89"/>
    <s v="Maria Raimunda da Silva Guedes Lima"/>
    <s v="Feminino"/>
    <x v="2"/>
    <x v="20"/>
    <s v="20103492 - Fisioterapia - Patologia Em Dois Ou Mais Membros (R$ 14,83)"/>
    <s v="Fisioterapia"/>
    <n v="1703614874"/>
    <s v="Finalizado (4/5)"/>
    <n v="13.0504"/>
    <n v="1.7796000000000001"/>
    <n v="14.83"/>
    <s v="Sessão Faturada"/>
    <n v="960016575471000"/>
    <n v="21019"/>
    <s v="Unidade Vieiralves"/>
    <n v="1703614874"/>
    <m/>
  </r>
  <r>
    <x v="14"/>
    <x v="90"/>
    <s v="Maria Raimunda da Silva Guedes Lima"/>
    <s v="Feminino"/>
    <x v="2"/>
    <x v="20"/>
    <s v="20103115 - Atividade Reflexa Cinesioterápica (R$ 20,81)"/>
    <s v="Fisioterapia"/>
    <n v="1703615658"/>
    <s v="Finalizado (4/5)"/>
    <n v="18.312799999999999"/>
    <n v="2.4971999999999999"/>
    <n v="20.81"/>
    <s v="Sessão Faturada"/>
    <n v="960016575471000"/>
    <n v="21019"/>
    <s v="Unidade Vieiralves"/>
    <n v="1703615658"/>
    <m/>
  </r>
  <r>
    <x v="14"/>
    <x v="44"/>
    <s v="Edna Lucia Moraes Derzi"/>
    <s v="Feminino"/>
    <x v="6"/>
    <x v="20"/>
    <s v="20103492 - Patologia Em Dois Ou Mais Membros (R$ 30,26)"/>
    <s v="Fisioterapia"/>
    <n v="170406"/>
    <s v="Finalizado (1/10)"/>
    <n v="26.628799999999998"/>
    <n v="3.6312000000000002"/>
    <n v="30.26"/>
    <s v="Sessão a Faturar"/>
    <s v="54588888469679780015"/>
    <n v="13101"/>
    <s v="Unidade Vieiralves"/>
    <n v="170406"/>
    <m/>
  </r>
  <r>
    <x v="14"/>
    <x v="60"/>
    <s v="Edna Lucia Moraes Derzi"/>
    <s v="Feminino"/>
    <x v="6"/>
    <x v="20"/>
    <s v="31602185 - Estimulação Elétrica Transcutanea (Tens) - 01/09/2025 (R$ 96,68)"/>
    <s v="Fisioterapia"/>
    <n v="144931"/>
    <s v="Finalizado (7/7)"/>
    <n v="85.078400000000002"/>
    <n v="11.601599999999999"/>
    <n v="96.68"/>
    <s v="Sessão Faturada"/>
    <s v="54588888469679780015"/>
    <n v="13101"/>
    <s v="Unidade Vieiralves"/>
    <n v="144931"/>
    <m/>
  </r>
  <r>
    <x v="14"/>
    <x v="41"/>
    <s v="Juliana Schettini Sobrinho Dourado"/>
    <m/>
    <x v="6"/>
    <x v="20"/>
    <s v="20103484 - Patologia Em Um Membro (R$ 14,16)"/>
    <s v="Fisioterapia"/>
    <n v="169920"/>
    <s v="Finalizado (3/5)"/>
    <n v="12.460800000000001"/>
    <n v="1.6992"/>
    <n v="14.16"/>
    <s v="Sessão a Faturar"/>
    <s v="51588888483923230010"/>
    <n v="58626"/>
    <s v="Unidade Vieiralves"/>
    <n v="169920"/>
    <m/>
  </r>
  <r>
    <x v="14"/>
    <x v="41"/>
    <s v="Alessandro Brito Dias"/>
    <s v="Masculino"/>
    <x v="2"/>
    <x v="20"/>
    <s v="20103484 - Fisioterapia - Patologia Em Um Membro (R$ 12,22)"/>
    <s v="Fisioterapia"/>
    <n v="1703641797"/>
    <s v="Finalizado (5/5)"/>
    <n v="10.7536"/>
    <n v="1.4663999999999999"/>
    <n v="12.22"/>
    <s v="Sessão Faturada"/>
    <n v="774642022179000"/>
    <n v="51704"/>
    <s v="Unidade Vieiralves"/>
    <n v="1703641797"/>
    <m/>
  </r>
  <r>
    <x v="14"/>
    <x v="41"/>
    <s v="Oto Trindade Backsmann"/>
    <s v="Masculino"/>
    <x v="6"/>
    <x v="20"/>
    <s v="20103514 - Patologia Em Dois Ou Mais Segmentos da Coluna (R$ 32,82)"/>
    <s v="Fisioterapia"/>
    <n v="170242"/>
    <s v="Finalizado (2/5)"/>
    <n v="28.881599999999999"/>
    <n v="3.9384000000000001"/>
    <n v="32.82"/>
    <s v="Sessão a Faturar"/>
    <s v="54588888485990460010"/>
    <n v="18508"/>
    <s v="Unidade Vieiralves"/>
    <n v="170242"/>
    <m/>
  </r>
  <r>
    <x v="14"/>
    <x v="41"/>
    <s v="Paulo Cesar Colares de Oliveira"/>
    <s v="Masculino"/>
    <x v="10"/>
    <x v="20"/>
    <s v="50000160 - Fisioterapia Ortopédica (R$ 15,00)"/>
    <s v="Fisioterapia"/>
    <n v="15072661"/>
    <s v="Finalizado (9/10)"/>
    <n v="13.2"/>
    <n v="1.8"/>
    <n v="15"/>
    <s v="Sessão Faturada"/>
    <s v="00010064270172001"/>
    <n v="59266"/>
    <s v="Unidade Vieiralves"/>
    <n v="15072661"/>
    <m/>
  </r>
  <r>
    <x v="14"/>
    <x v="65"/>
    <s v="Alessandro Brito Dias"/>
    <s v="Masculino"/>
    <x v="2"/>
    <x v="20"/>
    <s v="20103115 - Atividade Reflexa Cinesioterápica (R$ 20,81)"/>
    <s v="Fisioterapia"/>
    <n v="1703642731"/>
    <s v="Finalizado (5/5)"/>
    <n v="18.312799999999999"/>
    <n v="2.4971999999999999"/>
    <n v="20.81"/>
    <s v="Sessão Faturada"/>
    <n v="774642022179000"/>
    <n v="51704"/>
    <s v="Unidade Vieiralves"/>
    <n v="1703642731"/>
    <m/>
  </r>
  <r>
    <x v="14"/>
    <x v="36"/>
    <s v="Grace Mary Araujo de Souza"/>
    <s v="Feminino"/>
    <x v="1"/>
    <x v="20"/>
    <s v="50000160 - Fisioterapia Ortopédica (R$ 20,00), 98980327 - Taxa de Eletroterapia (Tens) (R$ 15,00)"/>
    <s v="Fisioterapia"/>
    <n v="8530573"/>
    <s v="Finalizado (8/10)"/>
    <n v="30.8"/>
    <n v="4.2"/>
    <n v="35"/>
    <s v="Sessão Faturada"/>
    <s v="0201013190830080"/>
    <n v="44903"/>
    <s v="Unidade Vieiralves"/>
    <n v="8530573"/>
    <s v="Guia assinada!"/>
  </r>
  <r>
    <x v="14"/>
    <x v="36"/>
    <s v="Laindks Lopes"/>
    <s v="Feminino"/>
    <x v="2"/>
    <x v="20"/>
    <s v="20103506 - Fisioterapia - Patologia Em Um Segmento da Coluna (R$ 12,22)"/>
    <s v="Fisioterapia"/>
    <n v="1705697611"/>
    <s v="Finalizado (2/5)"/>
    <n v="10.7536"/>
    <n v="1.4663999999999999"/>
    <n v="12.22"/>
    <s v="Sessão Faturada"/>
    <n v="611453030001010"/>
    <n v="29"/>
    <s v="Unidade Vieiralves"/>
    <n v="1705697611"/>
    <m/>
  </r>
  <r>
    <x v="14"/>
    <x v="36"/>
    <s v="Remulo Jose Nascimento Filho"/>
    <s v="Masculino"/>
    <x v="2"/>
    <x v="20"/>
    <s v="20103662 - Fisioterapia - Pos Operatorio Em Um Membro (R$ 14,99)"/>
    <s v="Fisioterapia"/>
    <n v="1706714003"/>
    <s v="Finalizado (1/5)"/>
    <n v="13.1912"/>
    <n v="1.7988"/>
    <n v="14.99"/>
    <s v="Sessão Faturada"/>
    <s v="56788888022609450103"/>
    <n v="45990"/>
    <s v="Unidade Vieiralves"/>
    <n v="1706714003"/>
    <m/>
  </r>
  <r>
    <x v="14"/>
    <x v="61"/>
    <s v="Remulo Jose Nascimento Filho"/>
    <s v="Masculino"/>
    <x v="2"/>
    <x v="20"/>
    <s v="20103115 - Atividade Reflexa Cinesioterápica (R$ 20,81)"/>
    <s v="Fisioterapia"/>
    <n v="1706715476"/>
    <s v="Finalizado (1/4)"/>
    <n v="18.312799999999999"/>
    <n v="2.4971999999999999"/>
    <n v="20.81"/>
    <s v="Sessão Faturada"/>
    <s v="56788888022609450103"/>
    <n v="45990"/>
    <s v="Unidade Vieiralves"/>
    <n v="1706715476"/>
    <m/>
  </r>
  <r>
    <x v="14"/>
    <x v="40"/>
    <s v="Nely Cruz Ferreira"/>
    <s v="Feminino"/>
    <x v="1"/>
    <x v="20"/>
    <s v="50000160 - Fisioterapia Ortopédica (R$ 20,00), 98980327 - Taxa de Eletroterapia (Tens) (R$ 15,00)"/>
    <s v="Fisioterapia"/>
    <n v="8674348"/>
    <s v="Finalizado (8/10)"/>
    <n v="30.8"/>
    <n v="4.2"/>
    <n v="35"/>
    <s v="Sessão Faturada"/>
    <n v="1401013004130100"/>
    <n v="21829"/>
    <s v="Unidade Vieiralves"/>
    <n v="8674348"/>
    <m/>
  </r>
  <r>
    <x v="14"/>
    <x v="40"/>
    <s v="Auxiliadora Brito de Lima"/>
    <m/>
    <x v="6"/>
    <x v="20"/>
    <s v="20103484 - Patologia Em Um Membro (R$ 14,16), 20103514 - Patologia Em Dois Ou Mais Segmentos da Coluna (R$ 32,82)"/>
    <s v="Fisioterapia"/>
    <n v="169027"/>
    <s v="Finalizado (5/5)"/>
    <n v="41.342399999999998"/>
    <n v="5.6375999999999999"/>
    <n v="46.98"/>
    <s v="Sessão a Faturar"/>
    <s v="55788888491272530020"/>
    <n v="51936"/>
    <s v="Unidade Vieiralves"/>
    <n v="169027"/>
    <m/>
  </r>
  <r>
    <x v="14"/>
    <x v="40"/>
    <s v="Sandra Souza Cavalcante"/>
    <m/>
    <x v="2"/>
    <x v="20"/>
    <s v="50000144 - Avaliação de Fisioterapia (R$ 51,42)"/>
    <s v="Fisioterapia"/>
    <n v="1706741815"/>
    <s v="Finalizado (1/1)"/>
    <n v="46.277999999999999"/>
    <n v="5.1420000000000003"/>
    <n v="51.42"/>
    <s v="Sessão Faturada"/>
    <n v="773299001503000"/>
    <n v="59519"/>
    <s v="Unidade Vieiralves"/>
    <n v="1706741815"/>
    <m/>
  </r>
  <r>
    <x v="14"/>
    <x v="49"/>
    <s v="Sandra Souza Cavalcante"/>
    <m/>
    <x v="2"/>
    <x v="20"/>
    <s v="20103115 - Atividade Reflexa Cinesioterápica (R$ 20,81)"/>
    <s v="Fisioterapia"/>
    <n v="1706743302"/>
    <s v="Finalizado (1/5)"/>
    <n v="18.312799999999999"/>
    <n v="2.4971999999999999"/>
    <n v="20.81"/>
    <s v="Sessão Faturada"/>
    <n v="773299001503000"/>
    <n v="59519"/>
    <s v="Unidade Vieiralves"/>
    <n v="1706743302"/>
    <m/>
  </r>
  <r>
    <x v="14"/>
    <x v="45"/>
    <s v="Auxiliadora Brito de Lima"/>
    <m/>
    <x v="6"/>
    <x v="20"/>
    <s v="31602185 - Estimulação Elétrica Transcutanea (Tens) (R$ 40,00)"/>
    <s v="Fisioterapia"/>
    <n v="169028"/>
    <s v="Finalizado (5/5)"/>
    <n v="35.200000000000003"/>
    <n v="4.8"/>
    <n v="40"/>
    <s v="Sessão a Faturar"/>
    <s v="55788888491272530020"/>
    <n v="51936"/>
    <s v="Unidade Vieiralves"/>
    <n v="169028"/>
    <m/>
  </r>
  <r>
    <x v="14"/>
    <x v="55"/>
    <s v="Sandra Souza Cavalcante"/>
    <m/>
    <x v="2"/>
    <x v="20"/>
    <s v="20103484 - Fisioterapia - Patologia Em Um Membro (R$ 12,22)"/>
    <s v="Fisioterapia"/>
    <n v="1706742835"/>
    <s v="Finalizado (1/5)"/>
    <n v="10.7536"/>
    <n v="1.4663999999999999"/>
    <n v="12.22"/>
    <s v="Sessão Faturada"/>
    <n v="773299001503000"/>
    <n v="59519"/>
    <s v="Unidade Vieiralves"/>
    <n v="1706742835"/>
    <m/>
  </r>
  <r>
    <x v="14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01771403"/>
    <s v="Finalizado (4/5)"/>
    <n v="23.803999999999998"/>
    <n v="3.246"/>
    <n v="27.05"/>
    <s v="Sessão Faturada"/>
    <n v="812980300400020"/>
    <n v="59087"/>
    <s v="Unidade Vieiralves"/>
    <n v="1701771403"/>
    <m/>
  </r>
  <r>
    <x v="14"/>
    <x v="35"/>
    <s v="Marina Sales da Silva"/>
    <s v="Feminino"/>
    <x v="2"/>
    <x v="20"/>
    <s v="20103506 - Fisioterapia - Patologia Em Um Segmento da Coluna (R$ 12,22)"/>
    <s v="Fisioterapia"/>
    <n v="1702675156"/>
    <s v="Finalizado (5/5)"/>
    <n v="10.7536"/>
    <n v="1.4663999999999999"/>
    <n v="12.22"/>
    <s v="Sessão Faturada"/>
    <n v="771015052256010"/>
    <n v="57575"/>
    <s v="Unidade Vieiralves"/>
    <n v="1702675156"/>
    <m/>
  </r>
  <r>
    <x v="14"/>
    <x v="42"/>
    <s v="Marina Sales da Silva"/>
    <s v="Feminino"/>
    <x v="2"/>
    <x v="20"/>
    <s v="20103115 - Atividade Reflexa Cinesioterápica (R$ 20,81)"/>
    <s v="Fisioterapia"/>
    <n v="1702676307"/>
    <s v="Finalizado (5/5)"/>
    <n v="18.312799999999999"/>
    <n v="2.4971999999999999"/>
    <n v="20.81"/>
    <s v="Sessão Faturada"/>
    <n v="771015052256010"/>
    <n v="57575"/>
    <s v="Unidade Vieiralves"/>
    <n v="1702676307"/>
    <m/>
  </r>
  <r>
    <x v="14"/>
    <x v="42"/>
    <s v="Nadia Livia Dantas Farias"/>
    <m/>
    <x v="2"/>
    <x v="20"/>
    <s v="20103115 - Atividade Reflexa Cinesioterápica (R$ 20,81)"/>
    <s v="Fisioterapia"/>
    <n v="1701772001"/>
    <s v="Finalizado (4/4)"/>
    <n v="18.312799999999999"/>
    <n v="2.4971999999999999"/>
    <n v="20.81"/>
    <s v="Sessão a Faturar"/>
    <n v="812980300400020"/>
    <n v="59087"/>
    <s v="Unidade Vieiralves"/>
    <n v="1701772001"/>
    <m/>
  </r>
  <r>
    <x v="14"/>
    <x v="38"/>
    <s v="Valmir Cesar Pozzetti"/>
    <s v="Masculino"/>
    <x v="1"/>
    <x v="20"/>
    <s v="50000160 - Fisioterapia Ortopédica (R$ 20,00), 98980327 - Taxa de Eletroterapia (Tens) (R$ 15,00)"/>
    <s v="Fisioterapia"/>
    <n v="8913272"/>
    <s v="Finalizado (5/10)"/>
    <n v="30.8"/>
    <n v="4.2"/>
    <n v="35"/>
    <s v="Sessão Faturada"/>
    <s v="0901013948180030"/>
    <n v="43203"/>
    <s v="Unidade Vieiralves"/>
    <n v="8913272"/>
    <m/>
  </r>
  <r>
    <x v="14"/>
    <x v="38"/>
    <s v="Minervina Lucia Marques Fonseca"/>
    <s v="Feminino"/>
    <x v="0"/>
    <x v="20"/>
    <s v="50000160 - Fisioterapia Ortopedica (R$ 49,72)"/>
    <s v="Fisioterapia"/>
    <s v="42263120260227375135"/>
    <s v="Finalizado (4/10)"/>
    <n v="43.753599999999999"/>
    <n v="5.9664000000000001"/>
    <n v="49.72"/>
    <s v="Sessão Faturada"/>
    <s v="010650809004"/>
    <n v="40041"/>
    <s v="Unidade Vieiralves"/>
    <s v="42263120260227375135"/>
    <m/>
  </r>
  <r>
    <x v="14"/>
    <x v="62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4/10)"/>
    <n v="47.634399999999999"/>
    <n v="6.4955999999999996"/>
    <n v="54.13"/>
    <s v="Sessão Faturada"/>
    <s v="010650809004"/>
    <n v="40041"/>
    <s v="Unidade Vieiralves"/>
    <n v="4.2263120227375E+16"/>
    <m/>
  </r>
  <r>
    <x v="14"/>
    <x v="37"/>
    <s v="Ricardo Marques de Abreu"/>
    <s v="Masculino"/>
    <x v="1"/>
    <x v="20"/>
    <s v="50000160 - Fisioterapia Ortopédica (R$ 20,00), 98980327 - Taxa de Eletroterapia (Tens) (R$ 15,00)"/>
    <s v="Fisioterapia"/>
    <n v="8922131"/>
    <s v="Finalizado (8/10)"/>
    <n v="30.8"/>
    <n v="4.2"/>
    <n v="35"/>
    <s v="Sessão Faturada"/>
    <n v="2001013216580000"/>
    <n v="43902"/>
    <s v="Unidade Vieiralves"/>
    <n v="8922131"/>
    <m/>
  </r>
  <r>
    <x v="14"/>
    <x v="37"/>
    <s v="Valdemira Almeida Rolim"/>
    <s v="Feminino"/>
    <x v="2"/>
    <x v="20"/>
    <s v="20103492 - Fisioterapia - Patologia Em Dois Ou Mais Membros (R$ 14,83)"/>
    <s v="Fisioterapia"/>
    <n v="1704748616"/>
    <s v="Finalizado (3/4)"/>
    <n v="13.0504"/>
    <n v="1.7796000000000001"/>
    <n v="14.83"/>
    <s v="Sessão Faturada"/>
    <n v="771015041971010"/>
    <n v="58522"/>
    <s v="Unidade Vieiralves"/>
    <n v="1704748616"/>
    <m/>
  </r>
  <r>
    <x v="14"/>
    <x v="63"/>
    <s v="Valdemira Almeida Rolim"/>
    <s v="Feminino"/>
    <x v="2"/>
    <x v="20"/>
    <s v="20103115 - Atividade Reflexa Cinesioterápica (R$ 20,81)"/>
    <s v="Fisioterapia"/>
    <n v="1704749518"/>
    <s v="Finalizado (3/4)"/>
    <n v="18.312799999999999"/>
    <n v="2.4971999999999999"/>
    <n v="20.81"/>
    <s v="Sessão Faturada"/>
    <n v="771015041971010"/>
    <n v="58522"/>
    <s v="Unidade Vieiralves"/>
    <n v="1704749518"/>
    <m/>
  </r>
  <r>
    <x v="14"/>
    <x v="39"/>
    <s v="Beatriz Coelho da Silva"/>
    <s v="Feminino"/>
    <x v="2"/>
    <x v="20"/>
    <s v="20103506 - Fisioterapia - Patologia Em Um Segmento da Coluna (R$ 12,22)"/>
    <s v="Fisioterapia"/>
    <n v="1706225002"/>
    <s v="Finalizado (2/4)"/>
    <n v="10.7536"/>
    <n v="1.4663999999999999"/>
    <n v="12.22"/>
    <s v="Sessão Faturada"/>
    <n v="774063006521000"/>
    <n v="48489"/>
    <s v="Unidade Vieiralves"/>
    <n v="1706225002"/>
    <m/>
  </r>
  <r>
    <x v="14"/>
    <x v="39"/>
    <s v="Aline Ferreira Pereira"/>
    <s v="Feminino"/>
    <x v="3"/>
    <x v="20"/>
    <s v="0006 - Fisioterapia Ortopédica - Pacote Com 10 Sessões (R$ 40,00)"/>
    <s v="Fisioterapia"/>
    <n v="169451"/>
    <s v="Finalizado (4/10)"/>
    <n v="31.2"/>
    <n v="8.8000000000000007"/>
    <n v="40"/>
    <s v="Sessão a Faturar"/>
    <n v="6741"/>
    <n v="59441"/>
    <s v="Unidade Vieiralves"/>
    <n v="169451"/>
    <m/>
  </r>
  <r>
    <x v="14"/>
    <x v="64"/>
    <s v="Beatriz Coelho da Silva"/>
    <s v="Feminino"/>
    <x v="2"/>
    <x v="20"/>
    <s v="20103115 - Atividade Reflexa Cinesioterápica (R$ 20,81)"/>
    <s v="Fisioterapia"/>
    <n v="1706226214"/>
    <s v="Finalizado (2/4)"/>
    <n v="18.312799999999999"/>
    <n v="2.4971999999999999"/>
    <n v="20.81"/>
    <s v="Sessão Faturada"/>
    <n v="774063006521000"/>
    <n v="48489"/>
    <s v="Unidade Vieiralves"/>
    <n v="1706226214"/>
    <m/>
  </r>
  <r>
    <x v="14"/>
    <x v="0"/>
    <s v="Caroline Duarte Brighente"/>
    <s v="Feminino"/>
    <x v="1"/>
    <x v="20"/>
    <s v="50000160 - Fisioterapia Ortopédica (R$ 20,00), 98980327 - Taxa de Eletroterapia (Tens) (R$ 15,00)"/>
    <s v="Fisioterapia"/>
    <n v="8894697"/>
    <s v="Finalizado (10/10)"/>
    <n v="30.8"/>
    <n v="4.2"/>
    <n v="35"/>
    <s v="Sessão Faturada"/>
    <s v="0501011606920055"/>
    <n v="59374"/>
    <s v="Unidade Vieralves (ANEXO)"/>
    <n v="8894697"/>
    <m/>
  </r>
  <r>
    <x v="14"/>
    <x v="2"/>
    <s v="Alessandra Souza Braga Bedoschi"/>
    <s v="Feminino"/>
    <x v="6"/>
    <x v="20"/>
    <s v="20103506 - Patologia Em Um Segmento da Coluna (R$ 14,16)"/>
    <s v="Fisioterapia"/>
    <n v="169526"/>
    <s v="Finalizado (3/3)"/>
    <n v="12.460800000000001"/>
    <n v="1.6992"/>
    <n v="14.16"/>
    <s v="Sessão a Faturar"/>
    <s v="55782971001828710021"/>
    <n v="59376"/>
    <s v="Unidade Vieralves (ANEXO)"/>
    <n v="169526"/>
    <m/>
  </r>
  <r>
    <x v="14"/>
    <x v="2"/>
    <s v="Victoria de Moraes Martins Pereira"/>
    <s v="Masculino"/>
    <x v="6"/>
    <x v="20"/>
    <s v="20103662 - Pos Operatorio Em Um Membro (R$ 22,53)"/>
    <s v="Fisioterapia"/>
    <n v="169746"/>
    <s v="Finalizado (2/5)"/>
    <n v="19.8264"/>
    <n v="2.7035999999999998"/>
    <n v="22.53"/>
    <s v="Sessão a Faturar"/>
    <s v="55788888488381350015"/>
    <n v="48970"/>
    <s v="Unidade Vieralves (ANEXO)"/>
    <n v="169746"/>
    <m/>
  </r>
  <r>
    <x v="14"/>
    <x v="3"/>
    <s v="Victoria de Moraes Martins Pereira"/>
    <s v="Masculino"/>
    <x v="6"/>
    <x v="20"/>
    <s v="31602185 - Estimulação Elétrica Transcutanea (Tens) (R$ 40,00)"/>
    <s v="Fisioterapia"/>
    <n v="169747"/>
    <s v="Finalizado (2/5)"/>
    <n v="35.200000000000003"/>
    <n v="4.8"/>
    <n v="40"/>
    <s v="Sessão a Faturar"/>
    <s v="55788888488381350015"/>
    <n v="48970"/>
    <s v="Unidade Vieralves (ANEXO)"/>
    <n v="169747"/>
    <m/>
  </r>
  <r>
    <x v="14"/>
    <x v="3"/>
    <s v="Alessandra Souza Braga Bedoschi"/>
    <s v="Feminino"/>
    <x v="6"/>
    <x v="20"/>
    <s v="31602185 - Estimulação Elétrica Transcutanea (Tens) (R$ 40,00)"/>
    <s v="Fisioterapia"/>
    <n v="169843"/>
    <s v="Finalizado (3/3)"/>
    <n v="35.200000000000003"/>
    <n v="4.8"/>
    <n v="40"/>
    <s v="Sessão a Faturar"/>
    <s v="55782971001828710021"/>
    <n v="59376"/>
    <s v="Unidade Vieralves (ANEXO)"/>
    <n v="169843"/>
    <m/>
  </r>
  <r>
    <x v="14"/>
    <x v="4"/>
    <s v="Laiane Tammy Abati"/>
    <s v="Feminino"/>
    <x v="1"/>
    <x v="20"/>
    <s v="50000160 - Fisioterapia Ortopédica (R$ 20,00), 98980327 - Taxa de Eletroterapia (Tens) (R$ 15,00)"/>
    <s v="Fisioterapia"/>
    <n v="8920855"/>
    <s v="Finalizado (2/10)"/>
    <n v="30.8"/>
    <n v="4.2"/>
    <n v="35"/>
    <s v="Sessão Faturada"/>
    <s v="0901013277860067"/>
    <n v="59363"/>
    <s v="Unidade Vieralves (ANEXO)"/>
    <n v="8920855"/>
    <s v="GUIA ASSINADA!!!!!"/>
  </r>
  <r>
    <x v="14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4/10)"/>
    <n v="30.8"/>
    <n v="4.2"/>
    <n v="35"/>
    <s v="Sessão Faturada"/>
    <n v="2001012922200100"/>
    <n v="59047"/>
    <s v="Unidade Vieralves (ANEXO)"/>
    <n v="9016939"/>
    <m/>
  </r>
  <r>
    <x v="14"/>
    <x v="13"/>
    <s v="Melinda Claudia de Araujo Teles"/>
    <s v="Feminino"/>
    <x v="2"/>
    <x v="20"/>
    <s v="20103484 - Fisioterapia - Patologia Em Um Membro (R$ 12,22)"/>
    <s v="Fisioterapia"/>
    <n v="1705884123"/>
    <s v="Finalizado (2/2)"/>
    <n v="10.7536"/>
    <n v="1.4663999999999999"/>
    <n v="12.22"/>
    <s v="Sessão Faturada"/>
    <n v="774170001627040"/>
    <n v="35526"/>
    <s v="Unidade Vieralves (ANEXO)"/>
    <n v="1705884123"/>
    <m/>
  </r>
  <r>
    <x v="14"/>
    <x v="14"/>
    <s v="Melinda Claudia de Araujo Teles"/>
    <s v="Feminino"/>
    <x v="2"/>
    <x v="20"/>
    <s v="20103115 - Atividade Reflexa Cinesioterápica (R$ 20,81)"/>
    <s v="Fisioterapia"/>
    <n v="1705885061"/>
    <s v="Finalizado (2/2)"/>
    <n v="18.312799999999999"/>
    <n v="2.4971999999999999"/>
    <n v="20.81"/>
    <s v="Sessão Faturada"/>
    <n v="774170001627040"/>
    <n v="35526"/>
    <s v="Unidade Vieralves (ANEXO)"/>
    <n v="1705885061"/>
    <m/>
  </r>
  <r>
    <x v="14"/>
    <x v="6"/>
    <s v="Iranildo Macedo Soares"/>
    <s v="Masculino"/>
    <x v="11"/>
    <x v="20"/>
    <s v="20103484 - Fisioterapia - Patologia Em Um Membro (R$ 80,33)"/>
    <s v="Fisioterapia"/>
    <n v="2508"/>
    <s v="Finalizado (5/8)"/>
    <n v="70.690399999999997"/>
    <n v="9.6395999999999997"/>
    <n v="80.33"/>
    <s v="Sessão Faturada"/>
    <n v="2302034"/>
    <n v="59195"/>
    <s v="Unidade Vieralves (ANEXO)"/>
    <n v="2508"/>
    <m/>
  </r>
  <r>
    <x v="14"/>
    <x v="6"/>
    <s v="Núbia Sena Abrantes"/>
    <s v="Feminino"/>
    <x v="1"/>
    <x v="20"/>
    <s v="50000160 - Fisioterapia Ortopédica (R$ 20,00), 98980327 - Taxa de Eletroterapia (Tens) (R$ 15,00)"/>
    <s v="Fisioterapia"/>
    <n v="8955494"/>
    <s v="Finalizado (4/10)"/>
    <n v="30.8"/>
    <n v="4.2"/>
    <n v="35"/>
    <s v="Sessão Faturada"/>
    <s v="0903002964650113"/>
    <n v="56048"/>
    <s v="Unidade Vieralves (ANEXO)"/>
    <n v="8955494"/>
    <s v="guia assinada "/>
  </r>
  <r>
    <x v="14"/>
    <x v="6"/>
    <s v="Claudia Maria de Moura Abrahim"/>
    <s v="Feminino"/>
    <x v="1"/>
    <x v="20"/>
    <s v="50000217 - Fisioterapia Pré e Pós Operatória (R$ 25,00), 98980327 - Taxa de Eletroterapia (Tens) (R$ 15,00)"/>
    <s v="Fisioterapia"/>
    <n v="9030934"/>
    <s v="Finalizado (3/10)"/>
    <n v="35.200000000000003"/>
    <n v="4.8"/>
    <n v="40"/>
    <s v="Sessão Faturada"/>
    <s v="0901001967210050"/>
    <n v="21456"/>
    <s v="Unidade Vieralves (ANEXO)"/>
    <n v="9030934"/>
    <m/>
  </r>
  <r>
    <x v="14"/>
    <x v="6"/>
    <s v="Michel Harrison Lima de Almeida"/>
    <s v="Masculino"/>
    <x v="2"/>
    <x v="20"/>
    <s v="20103115 - Atividade Reflexa Cinesioterápica (R$ 20,81)"/>
    <s v="Fisioterapia"/>
    <n v="1706995893"/>
    <s v="Finalizado (1/1)"/>
    <n v="18.312799999999999"/>
    <n v="2.4971999999999999"/>
    <n v="20.81"/>
    <s v="Sessão Faturada"/>
    <n v="774063001732040"/>
    <n v="59458"/>
    <s v="Unidade Vieralves (ANEXO)"/>
    <n v="1706995893"/>
    <m/>
  </r>
  <r>
    <x v="14"/>
    <x v="7"/>
    <s v="Michel Harrison Lima de Almeida"/>
    <s v="Masculino"/>
    <x v="2"/>
    <x v="20"/>
    <s v="20103484 - Fisioterapia - Patologia Em Um Membro (R$ 12,22)"/>
    <s v="Fisioterapia"/>
    <n v="1706994892"/>
    <s v="Finalizado (1/1)"/>
    <n v="10.7536"/>
    <n v="1.4663999999999999"/>
    <n v="12.22"/>
    <s v="Sessão Faturada"/>
    <n v="774063001732040"/>
    <n v="59458"/>
    <s v="Unidade Vieralves (ANEXO)"/>
    <n v="1706994892"/>
    <m/>
  </r>
  <r>
    <x v="14"/>
    <x v="15"/>
    <s v="Vinicius de Souza Teixeira"/>
    <s v="Masculino"/>
    <x v="2"/>
    <x v="20"/>
    <s v="20103115 - Atividade Reflexa Cinesioterápica (R$ 20,81)"/>
    <s v="Fisioterapia"/>
    <n v="1703958506"/>
    <s v="Finalizado (5/5)"/>
    <n v="18.312799999999999"/>
    <n v="2.4971999999999999"/>
    <n v="20.81"/>
    <s v="Sessão Faturada"/>
    <n v="774642030686000"/>
    <n v="59192"/>
    <s v="Unidade Vieralves (ANEXO)"/>
    <n v="1703958506"/>
    <m/>
  </r>
  <r>
    <x v="14"/>
    <x v="16"/>
    <s v="Vinicius de Souza Teixeira"/>
    <s v="Masculino"/>
    <x v="2"/>
    <x v="20"/>
    <s v="20103484 - Fisioterapia - Patologia Em Um Membro (R$ 12,22), 20103514 - Fisioterapia - Patologia Em Diferentes Segmentos da Coluna (R$ 14,83)"/>
    <s v="Fisioterapia"/>
    <n v="1703957238"/>
    <s v="Finalizado (5/5)"/>
    <n v="23.803999999999998"/>
    <n v="3.246"/>
    <n v="27.05"/>
    <s v="Sessão Faturada"/>
    <n v="774642030686000"/>
    <n v="59192"/>
    <s v="Unidade Vieralves (ANEXO)"/>
    <n v="1703957238"/>
    <m/>
  </r>
  <r>
    <x v="14"/>
    <x v="17"/>
    <s v="Maria Auxiliadora da Silva Castelano"/>
    <s v="Feminino"/>
    <x v="2"/>
    <x v="20"/>
    <s v="20103492 - Fisioterapia - Patologia Em Dois Ou Mais Membros (R$ 14,83)"/>
    <s v="Fisioterapia"/>
    <n v="1703487063"/>
    <s v="Finalizado (5/5)"/>
    <n v="13.0504"/>
    <n v="1.7796000000000001"/>
    <n v="14.83"/>
    <s v="Sessão Faturada"/>
    <n v="773458002496010"/>
    <n v="13771"/>
    <s v="Unidade Vieralves (ANEXO)"/>
    <n v="1703487063"/>
    <m/>
  </r>
  <r>
    <x v="14"/>
    <x v="17"/>
    <s v="Muniz Cristina Figueiredo Vieira"/>
    <s v="Feminino"/>
    <x v="0"/>
    <x v="20"/>
    <s v="50000160 - Fisioterapia Ortopedica (R$ 49,72)"/>
    <s v="Fisioterapia"/>
    <s v="42263120260305416457"/>
    <s v="Finalizado (2/2)"/>
    <n v="43.753599999999999"/>
    <n v="5.9664000000000001"/>
    <n v="49.72"/>
    <s v="Sessão a Faturar"/>
    <s v="010060054004"/>
    <n v="46247"/>
    <s v="Unidade Vieralves (ANEXO)"/>
    <s v="42263120260305416457"/>
    <m/>
  </r>
  <r>
    <x v="14"/>
    <x v="18"/>
    <s v="Maria Auxiliadora da Silva Castelano"/>
    <s v="Feminino"/>
    <x v="2"/>
    <x v="20"/>
    <s v="20103115 - Atividade Reflexa Cinesioterápica (R$ 20,81)"/>
    <s v="Fisioterapia"/>
    <n v="1703487618"/>
    <s v="Finalizado (5/5)"/>
    <n v="18.312799999999999"/>
    <n v="2.4971999999999999"/>
    <n v="20.81"/>
    <s v="Sessão Faturada"/>
    <n v="773458002496010"/>
    <n v="13771"/>
    <s v="Unidade Vieralves (ANEXO)"/>
    <n v="1703487618"/>
    <m/>
  </r>
  <r>
    <x v="14"/>
    <x v="8"/>
    <s v="Gaspar Henrique Alves Mota"/>
    <m/>
    <x v="2"/>
    <x v="20"/>
    <s v="20103514 - Fisioterapia - Patologia Em Diferentes Segmentos da Coluna (R$ 14,83)"/>
    <s v="Fisioterapia"/>
    <n v="1706520582"/>
    <s v="Finalizado (2/5)"/>
    <n v="13.0504"/>
    <n v="1.7796000000000001"/>
    <n v="14.83"/>
    <s v="Sessão Faturada"/>
    <n v="774642013528010"/>
    <n v="54316"/>
    <s v="Unidade Vieralves (ANEXO)"/>
    <n v="1706520582"/>
    <m/>
  </r>
  <r>
    <x v="14"/>
    <x v="9"/>
    <s v="Gaspar Henrique Alves Mota"/>
    <m/>
    <x v="2"/>
    <x v="20"/>
    <s v="20103115 - Atividade Reflexa Cinesioterápica (R$ 20,81)"/>
    <s v="Fisioterapia"/>
    <n v="1706520928"/>
    <s v="Finalizado (2/4)"/>
    <n v="18.312799999999999"/>
    <n v="2.4971999999999999"/>
    <n v="20.81"/>
    <s v="Sessão Faturada"/>
    <n v="774642013528010"/>
    <n v="54316"/>
    <s v="Unidade Vieralves (ANEXO)"/>
    <n v="1706520928"/>
    <m/>
  </r>
  <r>
    <x v="14"/>
    <x v="10"/>
    <s v="Victor Thury Vieira Hauache"/>
    <s v="Masculino"/>
    <x v="6"/>
    <x v="20"/>
    <s v="31602185 - Estimulação Elétrica Transcutanea (Tens) (R$ 40,00)"/>
    <s v="Fisioterapia"/>
    <n v="170379"/>
    <s v="Finalizado (2/5)"/>
    <n v="35.200000000000003"/>
    <n v="4.8"/>
    <n v="40"/>
    <s v="Sessão a Faturar"/>
    <s v="55788888476678190110"/>
    <n v="59493"/>
    <s v="Unidade Vieralves (ANEXO)"/>
    <n v="170379"/>
    <m/>
  </r>
  <r>
    <x v="14"/>
    <x v="10"/>
    <s v="Armando Altomir Fonseca Bastos"/>
    <s v="Masculino"/>
    <x v="6"/>
    <x v="20"/>
    <s v="20103484 - Patologia Em Um Membro (R$ 14,16)"/>
    <s v="Fisioterapia"/>
    <n v="170551"/>
    <s v="Finalizado (1/3)"/>
    <n v="12.460800000000001"/>
    <n v="1.6992"/>
    <n v="14.16"/>
    <s v="Sessão a Faturar"/>
    <s v="55788888493949060020"/>
    <n v="59494"/>
    <s v="Unidade Vieralves (ANEXO)"/>
    <n v="170551"/>
    <m/>
  </r>
  <r>
    <x v="14"/>
    <x v="10"/>
    <s v="Willian Jean Silva Colares"/>
    <s v="Masculino"/>
    <x v="2"/>
    <x v="20"/>
    <s v="20103484 - Fisioterapia - Patologia Em Um Membro (R$ 12,22)"/>
    <s v="Fisioterapia"/>
    <n v="1704495607"/>
    <s v="Finalizado (5/5)"/>
    <n v="10.7536"/>
    <n v="1.4663999999999999"/>
    <n v="12.22"/>
    <s v="Sessão Faturada"/>
    <n v="775219005800000"/>
    <n v="59277"/>
    <s v="Unidade Vieralves (ANEXO)"/>
    <n v="1704495607"/>
    <m/>
  </r>
  <r>
    <x v="14"/>
    <x v="83"/>
    <s v="Armando Altomir Fonseca Bastos"/>
    <s v="Masculino"/>
    <x v="6"/>
    <x v="20"/>
    <s v="31602185 - Estimulação Elétrica Transcutanea (Tens) (R$ 40,00)"/>
    <s v="Fisioterapia"/>
    <n v="170552"/>
    <s v="Finalizado (1/3)"/>
    <n v="35.200000000000003"/>
    <n v="4.8"/>
    <n v="40"/>
    <s v="Sessão a Faturar"/>
    <s v="55788888493949060020"/>
    <n v="59494"/>
    <s v="Unidade Vieralves (ANEXO)"/>
    <n v="170552"/>
    <m/>
  </r>
  <r>
    <x v="14"/>
    <x v="11"/>
    <s v="Victor Thury Vieira Hauache"/>
    <s v="Masculino"/>
    <x v="6"/>
    <x v="20"/>
    <s v="20103484 - Patologia Em Um Membro (R$ 14,16)"/>
    <s v="Fisioterapia"/>
    <n v="170378"/>
    <s v="Finalizado (2/5)"/>
    <n v="12.460800000000001"/>
    <n v="1.6992"/>
    <n v="14.16"/>
    <s v="Sessão a Faturar"/>
    <s v="55788888476678190110"/>
    <n v="59493"/>
    <s v="Unidade Vieralves (ANEXO)"/>
    <n v="170378"/>
    <m/>
  </r>
  <r>
    <x v="14"/>
    <x v="11"/>
    <s v="Willian Jean Silva Colares"/>
    <s v="Masculino"/>
    <x v="2"/>
    <x v="20"/>
    <s v="20103115 - Atividade Reflexa Cinesioterápica (R$ 20,81)"/>
    <s v="Fisioterapia"/>
    <n v="1704495959"/>
    <s v="Finalizado (5/5)"/>
    <n v="18.312799999999999"/>
    <n v="2.4971999999999999"/>
    <n v="20.81"/>
    <s v="Sessão Faturada"/>
    <n v="775219005800000"/>
    <n v="59277"/>
    <s v="Unidade Vieralves (ANEXO)"/>
    <n v="1704495959"/>
    <m/>
  </r>
  <r>
    <x v="14"/>
    <x v="54"/>
    <s v="Armando Altomir Fonseca Bastos"/>
    <s v="Masculino"/>
    <x v="6"/>
    <x v="20"/>
    <s v="50000144 - Avaliação de Fisioterapia (R$ 56,52)"/>
    <s v="Fisioterapia"/>
    <n v="7700047098"/>
    <s v="Finalizado (1/1)"/>
    <n v="50.868000000000002"/>
    <n v="5.6520000000000001"/>
    <n v="56.52"/>
    <s v="Sessão Faturada"/>
    <s v="55788888493949060020"/>
    <n v="59494"/>
    <s v="Unidade Vieralves (ANEXO)"/>
    <n v="7700047098"/>
    <m/>
  </r>
  <r>
    <x v="15"/>
    <x v="89"/>
    <s v="Rozirlande Oliveira do Valle"/>
    <s v="Feminino"/>
    <x v="6"/>
    <x v="20"/>
    <s v="20103484 - Patologia Em Um Membro (R$ 14,16)"/>
    <s v="Fisioterapia"/>
    <n v="170134"/>
    <s v="Finalizado (3/10)"/>
    <n v="12.460800000000001"/>
    <n v="1.6992"/>
    <n v="14.16"/>
    <s v="Sessão a Faturar"/>
    <s v="58201466755603470024"/>
    <n v="38049"/>
    <s v="Unidade Vieiralves"/>
    <n v="170134"/>
    <m/>
  </r>
  <r>
    <x v="15"/>
    <x v="89"/>
    <s v="Sandra Souza Cavalcante"/>
    <m/>
    <x v="2"/>
    <x v="20"/>
    <s v="20103115 - Atividade Reflexa Cinesioterápica (R$ 20,81)"/>
    <s v="Fisioterapia"/>
    <n v="1706743302"/>
    <s v="Finalizado (2/5)"/>
    <n v="18.312799999999999"/>
    <n v="2.4971999999999999"/>
    <n v="20.81"/>
    <s v="Sessão Faturada"/>
    <n v="773299001503000"/>
    <n v="59519"/>
    <s v="Unidade Vieiralves"/>
    <n v="1706743302"/>
    <m/>
  </r>
  <r>
    <x v="15"/>
    <x v="89"/>
    <s v="Rozirlande Oliveira do Valle"/>
    <s v="Feminino"/>
    <x v="6"/>
    <x v="20"/>
    <s v="31602185 - Estimulação Elétrica Transcutanea (Tens) (R$ 40,00)"/>
    <s v="Fisioterapia"/>
    <n v="170135"/>
    <s v="Finalizado (3/10)"/>
    <n v="35.200000000000003"/>
    <n v="4.8"/>
    <n v="40"/>
    <s v="Sessão a Faturar"/>
    <s v="58201466755603470024"/>
    <n v="38049"/>
    <s v="Unidade Vieiralves"/>
    <n v="170135"/>
    <m/>
  </r>
  <r>
    <x v="15"/>
    <x v="89"/>
    <s v="Maria Raimunda da Silva Guedes Lima"/>
    <s v="Feminino"/>
    <x v="2"/>
    <x v="20"/>
    <s v="20103492 - Fisioterapia - Patologia Em Dois Ou Mais Membros (R$ 14,83)"/>
    <s v="Fisioterapia"/>
    <n v="1703614874"/>
    <s v="Finalizado (5/5)"/>
    <n v="13.0504"/>
    <n v="1.7796000000000001"/>
    <n v="14.83"/>
    <s v="Sessão Faturada"/>
    <n v="960016575471000"/>
    <n v="21019"/>
    <s v="Unidade Vieiralves"/>
    <n v="1703614874"/>
    <m/>
  </r>
  <r>
    <x v="15"/>
    <x v="90"/>
    <s v="Maria Raimunda da Silva Guedes Lima"/>
    <s v="Feminino"/>
    <x v="2"/>
    <x v="20"/>
    <s v="20103115 - Atividade Reflexa Cinesioterápica (R$ 20,81)"/>
    <s v="Fisioterapia"/>
    <n v="1703615658"/>
    <s v="Finalizado (5/5)"/>
    <n v="18.312799999999999"/>
    <n v="2.4971999999999999"/>
    <n v="20.81"/>
    <s v="Sessão Faturada"/>
    <n v="960016575471000"/>
    <n v="21019"/>
    <s v="Unidade Vieiralves"/>
    <n v="1703615658"/>
    <m/>
  </r>
  <r>
    <x v="15"/>
    <x v="90"/>
    <s v="Sandra Souza Cavalcante"/>
    <m/>
    <x v="2"/>
    <x v="20"/>
    <s v="20103484 - Fisioterapia - Patologia Em Um Membro (R$ 12,22)"/>
    <s v="Fisioterapia"/>
    <n v="1706742835"/>
    <s v="Finalizado (2/5)"/>
    <n v="10.7536"/>
    <n v="1.4663999999999999"/>
    <n v="12.22"/>
    <s v="Sessão Faturada"/>
    <n v="773299001503000"/>
    <n v="59519"/>
    <s v="Unidade Vieiralves"/>
    <n v="1706742835"/>
    <m/>
  </r>
  <r>
    <x v="15"/>
    <x v="44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8/10)"/>
    <n v="35.200000000000003"/>
    <n v="4.8"/>
    <n v="40"/>
    <s v="Sessão Faturada"/>
    <n v="901013279890040"/>
    <n v="59419"/>
    <s v="Unidade Vieiralves"/>
    <n v="8991656"/>
    <m/>
  </r>
  <r>
    <x v="15"/>
    <x v="41"/>
    <s v="Rafael Daniel Gerzvolf"/>
    <s v="Masculino"/>
    <x v="6"/>
    <x v="20"/>
    <s v="20103484 - Patologia Em Um Membro (R$ 14,16)"/>
    <s v="Fisioterapia"/>
    <n v="170049"/>
    <s v="Finalizado (3/5)"/>
    <n v="12.460800000000001"/>
    <n v="1.6992"/>
    <n v="14.16"/>
    <s v="Sessão a Faturar"/>
    <s v="51588888488560580015"/>
    <n v="57485"/>
    <s v="Unidade Vieiralves"/>
    <n v="170049"/>
    <m/>
  </r>
  <r>
    <x v="15"/>
    <x v="36"/>
    <s v="Claudia Miyuki Muramoto Sako"/>
    <s v="Feminino"/>
    <x v="2"/>
    <x v="20"/>
    <s v="20103492 - Fisioterapia - Patologia Em Dois Ou Mais Membros (R$ 14,83)"/>
    <s v="Fisioterapia"/>
    <n v="1701146746"/>
    <s v="Finalizado (5/5)"/>
    <n v="13.0504"/>
    <n v="1.7796000000000001"/>
    <n v="14.83"/>
    <s v="Sessão Faturada"/>
    <n v="885854000132010"/>
    <n v="49229"/>
    <s v="Unidade Vieiralves"/>
    <n v="1701146746"/>
    <m/>
  </r>
  <r>
    <x v="15"/>
    <x v="36"/>
    <s v="Remulo Jose Nascimento Filho"/>
    <s v="Masculino"/>
    <x v="2"/>
    <x v="20"/>
    <s v="20103662 - Fisioterapia - Pos Operatorio Em Um Membro (R$ 14,99)"/>
    <s v="Fisioterapia"/>
    <n v="1706714003"/>
    <s v="Finalizado (2/5)"/>
    <n v="13.1912"/>
    <n v="1.7988"/>
    <n v="14.99"/>
    <s v="Sessão Faturada"/>
    <s v="56788888022609450103"/>
    <n v="45990"/>
    <s v="Unidade Vieiralves"/>
    <n v="1706714003"/>
    <m/>
  </r>
  <r>
    <x v="15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3/10)"/>
    <n v="30.8"/>
    <n v="4.2"/>
    <n v="35"/>
    <s v="Sessão Faturada"/>
    <s v="0901013959170057"/>
    <n v="15532"/>
    <s v="Unidade Vieiralves"/>
    <n v="9093197"/>
    <m/>
  </r>
  <r>
    <x v="15"/>
    <x v="61"/>
    <s v="Claudia Miyuki Muramoto Sako"/>
    <s v="Feminino"/>
    <x v="2"/>
    <x v="20"/>
    <s v="20103115 - Atividade Reflexa Cinesioterápica (R$ 20,81)"/>
    <s v="Fisioterapia"/>
    <n v="1701149244"/>
    <s v="Finalizado (5/5)"/>
    <n v="18.312799999999999"/>
    <n v="2.4971999999999999"/>
    <n v="20.81"/>
    <s v="Sessão Faturada"/>
    <n v="885854000132010"/>
    <n v="49229"/>
    <s v="Unidade Vieiralves"/>
    <n v="1701149244"/>
    <m/>
  </r>
  <r>
    <x v="15"/>
    <x v="61"/>
    <s v="Remulo Jose Nascimento Filho"/>
    <s v="Masculino"/>
    <x v="2"/>
    <x v="20"/>
    <s v="20103115 - Atividade Reflexa Cinesioterápica (R$ 20,81)"/>
    <s v="Fisioterapia"/>
    <n v="1706715476"/>
    <s v="Finalizado (2/4)"/>
    <n v="18.312799999999999"/>
    <n v="2.4971999999999999"/>
    <n v="20.81"/>
    <s v="Sessão Faturada"/>
    <s v="56788888022609450103"/>
    <n v="45990"/>
    <s v="Unidade Vieiralves"/>
    <n v="1706715476"/>
    <m/>
  </r>
  <r>
    <x v="15"/>
    <x v="40"/>
    <s v="Ana Paula Braga de Freitas"/>
    <s v="Feminino"/>
    <x v="1"/>
    <x v="20"/>
    <s v="50000144 - Consulta de Fisioterapia (R$ 16,00)"/>
    <s v="Fisioterapia"/>
    <n v="9176633"/>
    <s v="Finalizado (1/1)"/>
    <n v="14.4"/>
    <n v="1.6"/>
    <n v="16"/>
    <s v="Sessão Faturada"/>
    <s v="0901013100580025"/>
    <n v="59522"/>
    <s v="Unidade Vieiralves"/>
    <n v="9176633"/>
    <m/>
  </r>
  <r>
    <x v="15"/>
    <x v="45"/>
    <s v="Ana Paula Braga de Freitas"/>
    <s v="Feminino"/>
    <x v="1"/>
    <x v="20"/>
    <s v="50000160 - Fisioterapia Ortopédica (R$ 20,00), 98980327 - Taxa de Eletroterapia (Tens) (R$ 15,00)"/>
    <s v="Fisioterapia"/>
    <n v="9176962"/>
    <s v="Finalizado (1/4)"/>
    <n v="30.8"/>
    <n v="4.2"/>
    <n v="35"/>
    <s v="Sessão Faturada"/>
    <s v="0901013100580025"/>
    <n v="59522"/>
    <s v="Unidade Vieiralves"/>
    <n v="9176962"/>
    <m/>
  </r>
  <r>
    <x v="15"/>
    <x v="35"/>
    <s v="Fabíola Graziele Martins de Lima"/>
    <s v="Feminino"/>
    <x v="8"/>
    <x v="20"/>
    <s v="20103484 - Patologia Em Um Membro (R$ 12,22)"/>
    <s v="Fisioterapia"/>
    <n v="1706399609"/>
    <s v="Finalizado (2/5)"/>
    <n v="10.7536"/>
    <n v="1.4663999999999999"/>
    <n v="12.22"/>
    <s v="Sessão a Faturar"/>
    <n v="954590029556010"/>
    <n v="59043"/>
    <s v="Unidade Vieiralves"/>
    <n v="1706399609"/>
    <m/>
  </r>
  <r>
    <x v="15"/>
    <x v="70"/>
    <s v="Fabíola Graziele Martins de Lima"/>
    <s v="Feminino"/>
    <x v="8"/>
    <x v="20"/>
    <s v="20103115 - Atividade Reflexa Cinesioterápica (R$ 20,81)"/>
    <s v="Fisioterapia"/>
    <n v="1706400132"/>
    <s v="Finalizado (2/4)"/>
    <n v="18.312799999999999"/>
    <n v="2.4971999999999999"/>
    <n v="20.81"/>
    <s v="Sessão Faturada"/>
    <n v="954590029556010"/>
    <n v="59043"/>
    <s v="Unidade Vieiralves"/>
    <n v="1706400132"/>
    <m/>
  </r>
  <r>
    <x v="15"/>
    <x v="71"/>
    <s v="Fabíola Graziele Martins de Lima"/>
    <s v="Feminino"/>
    <x v="9"/>
    <x v="20"/>
    <s v="31602185 - Estimulação Elétrica Transcutânea (Tens) - Removido 13/04/2026 (R$ 40,00)"/>
    <s v="Fisioterapia"/>
    <n v="1707338393"/>
    <s v="Finalizado (1/5)"/>
    <n v="35.200000000000003"/>
    <n v="4.8"/>
    <n v="40"/>
    <s v="Sessão Faturada"/>
    <n v="954590029556010"/>
    <n v="59043"/>
    <s v="Unidade Vieiralves"/>
    <n v="1707338393"/>
    <m/>
  </r>
  <r>
    <x v="15"/>
    <x v="38"/>
    <s v="Luciana Ferreira Viana"/>
    <m/>
    <x v="7"/>
    <x v="20"/>
    <s v="Vieiralves - 1 - Fisioterapia Ortopedica - Pacote (R$ 40,00)"/>
    <s v="Fisioterapia"/>
    <m/>
    <s v="Finalizado (1/10)"/>
    <n v="31.2"/>
    <n v="8.8000000000000007"/>
    <n v="40"/>
    <s v="Pago"/>
    <s v="00"/>
    <n v="59537"/>
    <s v="Unidade Vieiralves"/>
    <m/>
    <m/>
  </r>
  <r>
    <x v="15"/>
    <x v="38"/>
    <s v="Arisson Carlos Pardo de Queiroz"/>
    <m/>
    <x v="2"/>
    <x v="20"/>
    <s v="20103115 - Atividade Reflexa Cinesioterápica (R$ 20,81)"/>
    <s v="Fisioterapia"/>
    <n v="1703745325"/>
    <s v="Finalizado (5/5)"/>
    <n v="18.312799999999999"/>
    <n v="2.4971999999999999"/>
    <n v="20.81"/>
    <s v="Sessão Faturada"/>
    <n v="771015042510010"/>
    <n v="58957"/>
    <s v="Unidade Vieiralves"/>
    <n v="1703745325"/>
    <m/>
  </r>
  <r>
    <x v="15"/>
    <x v="38"/>
    <s v="Arisson Carlos Pardo de Queiroz"/>
    <m/>
    <x v="2"/>
    <x v="20"/>
    <s v="20103484 - Fisioterapia - Patologia Em Um Membro (R$ 12,22)"/>
    <s v="Fisioterapia"/>
    <n v="1703743543"/>
    <s v="Finalizado (5/5)"/>
    <n v="10.7536"/>
    <n v="1.4663999999999999"/>
    <n v="12.22"/>
    <s v="Sessão Faturada"/>
    <n v="771015042510010"/>
    <n v="58957"/>
    <s v="Unidade Vieiralves"/>
    <n v="1703743543"/>
    <m/>
  </r>
  <r>
    <x v="15"/>
    <x v="38"/>
    <s v="Minervina Lucia Marques Fonseca"/>
    <s v="Feminino"/>
    <x v="0"/>
    <x v="20"/>
    <s v="50000160 - Fisioterapia Ortopedica (R$ 49,72)"/>
    <s v="Fisioterapia"/>
    <s v="42263120260227375135"/>
    <s v="Finalizado (5/10)"/>
    <n v="43.753599999999999"/>
    <n v="5.9664000000000001"/>
    <n v="49.72"/>
    <s v="Sessão Faturada"/>
    <s v="010650809004"/>
    <n v="40041"/>
    <s v="Unidade Vieiralves"/>
    <s v="42263120260227375135"/>
    <m/>
  </r>
  <r>
    <x v="15"/>
    <x v="38"/>
    <s v="Maria Mineia Mendes Miki"/>
    <s v="Feminino"/>
    <x v="6"/>
    <x v="20"/>
    <s v="20103492 - Patologia Em Dois Ou Mais Membros (R$ 30,26)"/>
    <s v="Fisioterapia"/>
    <n v="169818"/>
    <s v="Finalizado (5/5)"/>
    <n v="26.628799999999998"/>
    <n v="3.6312000000000002"/>
    <n v="30.26"/>
    <s v="Sessão a Faturar"/>
    <s v="54588888007376590036"/>
    <n v="17465"/>
    <s v="Unidade Vieiralves"/>
    <n v="169818"/>
    <m/>
  </r>
  <r>
    <x v="15"/>
    <x v="62"/>
    <s v="Maria Mineia Mendes Miki"/>
    <s v="Feminino"/>
    <x v="6"/>
    <x v="20"/>
    <s v="31602185 - Estimulação Elétrica Transcutanea (Tens) (R$ 40,00)"/>
    <s v="Fisioterapia"/>
    <n v="169816"/>
    <s v="Finalizado (5/5)"/>
    <n v="35.200000000000003"/>
    <n v="4.8"/>
    <n v="40"/>
    <s v="Sessão a Faturar"/>
    <s v="54588888007376590036"/>
    <n v="17465"/>
    <s v="Unidade Vieiralves"/>
    <n v="169816"/>
    <m/>
  </r>
  <r>
    <x v="15"/>
    <x v="62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5/10)"/>
    <n v="47.634399999999999"/>
    <n v="6.4955999999999996"/>
    <n v="54.13"/>
    <s v="Sessão Faturada"/>
    <s v="010650809004"/>
    <n v="40041"/>
    <s v="Unidade Vieiralves"/>
    <n v="4.2263120227375E+16"/>
    <m/>
  </r>
  <r>
    <x v="15"/>
    <x v="37"/>
    <s v="Dina Francoile Viana Ramos"/>
    <s v="Feminino"/>
    <x v="2"/>
    <x v="20"/>
    <s v="20103492 - Fisioterapia - Patologia Em Dois Ou Mais Membros (R$ 14,83)"/>
    <s v="Fisioterapia"/>
    <n v="1706286360"/>
    <s v="Finalizado (2/10)"/>
    <n v="13.0504"/>
    <n v="1.7796000000000001"/>
    <n v="14.83"/>
    <s v="Sessão Faturada"/>
    <n v="960016167330060"/>
    <n v="16965"/>
    <s v="Unidade Vieiralves"/>
    <n v="1706286360"/>
    <m/>
  </r>
  <r>
    <x v="15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3/10)"/>
    <n v="26.1008"/>
    <n v="3.5592000000000001"/>
    <n v="29.66"/>
    <s v="Sessão Faturada"/>
    <n v="960016167330010"/>
    <n v="46729"/>
    <s v="Unidade Vieiralves"/>
    <n v="1705661090"/>
    <m/>
  </r>
  <r>
    <x v="15"/>
    <x v="37"/>
    <s v="Ivete Akimi Massuda"/>
    <s v="Feminino"/>
    <x v="6"/>
    <x v="20"/>
    <s v="20103506 - Patologia Em Um Segmento da Coluna (R$ 14,16)"/>
    <s v="Fisioterapia"/>
    <n v="168890"/>
    <s v="Finalizado (5/5)"/>
    <n v="12.460800000000001"/>
    <n v="1.6992"/>
    <n v="14.16"/>
    <s v="Sessão a Faturar"/>
    <s v="54588888473661890020"/>
    <n v="43609"/>
    <s v="Unidade Vieiralves"/>
    <n v="168890"/>
    <m/>
  </r>
  <r>
    <x v="15"/>
    <x v="37"/>
    <s v="Jessica Talitta Tavares Pardo"/>
    <m/>
    <x v="6"/>
    <x v="20"/>
    <s v="20103492 - Patologia Em Dois Ou Mais Membros (R$ 30,26), 20103506 - Patologia Em Um Segmento da Coluna (R$ 14,16)"/>
    <s v="Fisioterapia"/>
    <n v="163943"/>
    <s v="Finalizado (11/11)"/>
    <n v="39.089599999999997"/>
    <n v="5.3304"/>
    <n v="44.42"/>
    <s v="Sessão a Faturar"/>
    <s v="51588888485034390014"/>
    <n v="58861"/>
    <s v="Unidade Vieiralves"/>
    <n v="163943"/>
    <m/>
  </r>
  <r>
    <x v="15"/>
    <x v="63"/>
    <s v="Dina Francoile Viana Ramos"/>
    <s v="Feminino"/>
    <x v="2"/>
    <x v="20"/>
    <s v="20103115 - Atividade Reflexa Cinesioterápica (R$ 20,81)"/>
    <s v="Fisioterapia"/>
    <n v="1706287395"/>
    <s v="Finalizado (2/4)"/>
    <n v="18.312799999999999"/>
    <n v="2.4971999999999999"/>
    <n v="20.81"/>
    <s v="Sessão Faturada"/>
    <n v="960016167330060"/>
    <n v="16965"/>
    <s v="Unidade Vieiralves"/>
    <n v="1706287395"/>
    <m/>
  </r>
  <r>
    <x v="15"/>
    <x v="63"/>
    <s v="Rita de Lima  Viana Ramos"/>
    <s v="Feminino"/>
    <x v="2"/>
    <x v="20"/>
    <s v="20103115 - Atividade Reflexa Cinesioterápica (R$ 20,81)"/>
    <s v="Fisioterapia"/>
    <n v="1705662421"/>
    <s v="Finalizado (3/4)"/>
    <n v="18.312799999999999"/>
    <n v="2.4971999999999999"/>
    <n v="20.81"/>
    <s v="Sessão Faturada"/>
    <n v="960016167330010"/>
    <n v="46729"/>
    <s v="Unidade Vieiralves"/>
    <n v="1705662421"/>
    <m/>
  </r>
  <r>
    <x v="15"/>
    <x v="63"/>
    <s v="Jessica Talitta Tavares Pardo"/>
    <m/>
    <x v="6"/>
    <x v="20"/>
    <s v="31602185 - Estimulação Elétrica Transcutanea (Tens) (R$ 40,00)"/>
    <s v="Fisioterapia"/>
    <n v="163944"/>
    <s v="Finalizado (11/11)"/>
    <n v="35.200000000000003"/>
    <n v="4.8"/>
    <n v="40"/>
    <s v="Sessão a Faturar"/>
    <s v="51588888485034390014"/>
    <n v="58861"/>
    <s v="Unidade Vieiralves"/>
    <n v="163944"/>
    <m/>
  </r>
  <r>
    <x v="15"/>
    <x v="63"/>
    <s v="Ivete Akimi Massuda"/>
    <s v="Feminino"/>
    <x v="6"/>
    <x v="20"/>
    <s v="31602185 - Estimulação Elétrica Transcutanea (Tens) (R$ 40,00)"/>
    <s v="Fisioterapia"/>
    <n v="168891"/>
    <s v="Finalizado (5/5)"/>
    <n v="35.200000000000003"/>
    <n v="4.8"/>
    <n v="40"/>
    <s v="Sessão a Faturar"/>
    <s v="54588888473661890020"/>
    <n v="43609"/>
    <s v="Unidade Vieiralves"/>
    <n v="168891"/>
    <m/>
  </r>
  <r>
    <x v="15"/>
    <x v="0"/>
    <s v="Caroline Duarte Brighente"/>
    <s v="Feminino"/>
    <x v="1"/>
    <x v="20"/>
    <s v="50000160 - Fisioterapia Ortopédica (R$ 20,00), 98980327 - Taxa de Eletroterapia (Tens) (R$ 15,00)"/>
    <s v="Fisioterapia"/>
    <n v="9161743"/>
    <s v="Finalizado (1/10)"/>
    <n v="30.8"/>
    <n v="4.2"/>
    <n v="35"/>
    <s v="Sessão Faturada"/>
    <s v="0501011606920055"/>
    <n v="59374"/>
    <s v="Unidade Vieralves (ANEXO)"/>
    <n v="9161743"/>
    <m/>
  </r>
  <r>
    <x v="15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5/10)"/>
    <n v="30.8"/>
    <n v="4.2"/>
    <n v="35"/>
    <s v="Sessão Faturada"/>
    <n v="2001012922200100"/>
    <n v="59047"/>
    <s v="Unidade Vieralves (ANEXO)"/>
    <n v="9016939"/>
    <m/>
  </r>
  <r>
    <x v="15"/>
    <x v="4"/>
    <s v="Andressa Ludmyla Menezes de Mesquita"/>
    <s v="Feminino"/>
    <x v="2"/>
    <x v="20"/>
    <s v="20103492 - Fisioterapia - Patologia Em Dois Ou Mais Membros (R$ 14,83)"/>
    <s v="Fisioterapia"/>
    <n v="1703408046"/>
    <s v="Finalizado (5/5)"/>
    <n v="13.0504"/>
    <n v="1.7796000000000001"/>
    <n v="14.83"/>
    <s v="Sessão Faturada"/>
    <n v="771015039489020"/>
    <n v="59357"/>
    <s v="Unidade Vieralves (ANEXO)"/>
    <n v="1703408046"/>
    <m/>
  </r>
  <r>
    <x v="15"/>
    <x v="4"/>
    <s v="Natálya da Silva Sampaio"/>
    <s v="Feminino"/>
    <x v="1"/>
    <x v="20"/>
    <s v="50000160 - Fisioterapia Ortopédica (R$ 20,00), 98980327 - Taxa de Eletroterapia (Tens) (R$ 15,00)"/>
    <s v="Fisioterapia"/>
    <n v="8830882"/>
    <s v="Finalizado (8/10)"/>
    <n v="30.8"/>
    <n v="4.2"/>
    <n v="35"/>
    <s v="Sessão Faturada"/>
    <n v="1301013026380200"/>
    <n v="59331"/>
    <s v="Unidade Vieralves (ANEXO)"/>
    <n v="8830882"/>
    <m/>
  </r>
  <r>
    <x v="15"/>
    <x v="4"/>
    <s v="Richarles de Araújo Sousa"/>
    <s v="Masculino"/>
    <x v="1"/>
    <x v="20"/>
    <s v="50000160 - Fisioterapia Ortopédica (R$ 20,00), 98980327 - Taxa de Eletroterapia (Tens) (R$ 15,00)"/>
    <s v="Fisioterapia"/>
    <n v="8830350"/>
    <s v="Finalizado (8/10)"/>
    <n v="30.8"/>
    <n v="4.2"/>
    <n v="35"/>
    <s v="Sessão Faturada"/>
    <n v="1301013026380000"/>
    <n v="58337"/>
    <s v="Unidade Vieralves (ANEXO)"/>
    <n v="8830350"/>
    <m/>
  </r>
  <r>
    <x v="15"/>
    <x v="5"/>
    <s v="Andressa Ludmyla Menezes de Mesquita"/>
    <s v="Feminino"/>
    <x v="2"/>
    <x v="20"/>
    <s v="20103115 - Atividade Reflexa Cinesioterápica (R$ 20,81)"/>
    <s v="Fisioterapia"/>
    <n v="1703408783"/>
    <s v="Finalizado (5/5)"/>
    <n v="18.312799999999999"/>
    <n v="2.4971999999999999"/>
    <n v="20.81"/>
    <s v="Sessão Faturada"/>
    <n v="771015039489020"/>
    <n v="59357"/>
    <s v="Unidade Vieralves (ANEXO)"/>
    <n v="1703408783"/>
    <m/>
  </r>
  <r>
    <x v="15"/>
    <x v="13"/>
    <s v="Claudia Maria de Moura Abrahim"/>
    <s v="Feminino"/>
    <x v="1"/>
    <x v="20"/>
    <s v="50000217 - Fisioterapia Pré e Pós Operatória (R$ 25,00), 98980327 - Taxa de Eletroterapia (Tens) (R$ 15,00)"/>
    <s v="Fisioterapia"/>
    <n v="9030934"/>
    <s v="Finalizado (4/10)"/>
    <n v="35.200000000000003"/>
    <n v="4.8"/>
    <n v="40"/>
    <s v="Sessão Faturada"/>
    <s v="0901001967210050"/>
    <n v="21456"/>
    <s v="Unidade Vieralves (ANEXO)"/>
    <n v="9030934"/>
    <m/>
  </r>
  <r>
    <x v="15"/>
    <x v="13"/>
    <s v="Sofia Araujo Pereira Ferreira"/>
    <s v="Feminino"/>
    <x v="2"/>
    <x v="20"/>
    <s v="20103514 - Fisioterapia - Patologia Em Diferentes Segmentos da Coluna (R$ 14,83)"/>
    <s v="Fisioterapia"/>
    <n v="1702869461"/>
    <s v="Finalizado (3/5)"/>
    <n v="13.0504"/>
    <n v="1.7796000000000001"/>
    <n v="14.83"/>
    <s v="Sessão Faturada"/>
    <n v="814438300051020"/>
    <n v="59164"/>
    <s v="Unidade Vieralves (ANEXO)"/>
    <n v="1702869461"/>
    <m/>
  </r>
  <r>
    <x v="15"/>
    <x v="13"/>
    <s v="Estela Maria Galvao Vidal de Abreu"/>
    <s v="Feminino"/>
    <x v="2"/>
    <x v="20"/>
    <s v="20103484 - Fisioterapia - Patologia Em Um Membro (R$ 12,22), 20103506 - Fisioterapia - Patologia Em Um Segmento da Coluna (R$ 12,22)"/>
    <s v="Fisioterapia"/>
    <n v="1701958335"/>
    <s v="Finalizado (5/5)"/>
    <n v="21.507200000000001"/>
    <n v="2.9327999999999999"/>
    <n v="24.44"/>
    <s v="Sessão Faturada"/>
    <n v="836922200019000"/>
    <n v="45049"/>
    <s v="Unidade Vieralves (ANEXO)"/>
    <n v="1701958335"/>
    <m/>
  </r>
  <r>
    <x v="15"/>
    <x v="14"/>
    <s v="Sofia Araujo Pereira Ferreira"/>
    <s v="Feminino"/>
    <x v="2"/>
    <x v="20"/>
    <s v="20103115 - Atividade Reflexa Cinesioterápica (R$ 20,81)"/>
    <s v="Fisioterapia"/>
    <n v="1702870293"/>
    <s v="Finalizado (3/4)"/>
    <n v="18.312799999999999"/>
    <n v="2.4971999999999999"/>
    <n v="20.81"/>
    <s v="Sessão Faturada"/>
    <n v="814438300051020"/>
    <n v="59164"/>
    <s v="Unidade Vieralves (ANEXO)"/>
    <n v="1702870293"/>
    <m/>
  </r>
  <r>
    <x v="15"/>
    <x v="14"/>
    <s v="Estela Maria Galvao Vidal de Abreu"/>
    <s v="Feminino"/>
    <x v="2"/>
    <x v="20"/>
    <s v="20103115 - Atividade Reflexa Cinesioterápica (R$ 20,81)"/>
    <s v="Fisioterapia"/>
    <n v="1701959034"/>
    <s v="Finalizado (5/5)"/>
    <n v="18.312799999999999"/>
    <n v="2.4971999999999999"/>
    <n v="20.81"/>
    <s v="Sessão Faturada"/>
    <n v="836922200019000"/>
    <n v="45049"/>
    <s v="Unidade Vieralves (ANEXO)"/>
    <n v="1701959034"/>
    <m/>
  </r>
  <r>
    <x v="15"/>
    <x v="6"/>
    <s v="Lidia Teresa Monteiro Mendes"/>
    <s v="Feminino"/>
    <x v="6"/>
    <x v="20"/>
    <s v="20103492 - Patologia Em Dois Ou Mais Membros (R$ 30,26)"/>
    <s v="Fisioterapia"/>
    <n v="169394"/>
    <s v="Finalizado (5/5)"/>
    <n v="26.628799999999998"/>
    <n v="3.6312000000000002"/>
    <n v="30.26"/>
    <s v="Sessão a Faturar"/>
    <s v="54588888004872480010"/>
    <n v="37147"/>
    <s v="Unidade Vieralves (ANEXO)"/>
    <n v="169394"/>
    <m/>
  </r>
  <r>
    <x v="15"/>
    <x v="6"/>
    <s v="Ana Clara de Morais Virginio"/>
    <s v="Feminino"/>
    <x v="6"/>
    <x v="20"/>
    <s v="31602185 - Estimulação Elétrica Transcutanea (Tens) (R$ 40,00)"/>
    <s v="Fisioterapia"/>
    <n v="169145"/>
    <s v="Finalizado (5/5)"/>
    <n v="35.200000000000003"/>
    <n v="4.8"/>
    <n v="40"/>
    <s v="Sessão a Faturar"/>
    <s v="55788888491532830118"/>
    <n v="59365"/>
    <s v="Unidade Vieralves (ANEXO)"/>
    <n v="169145"/>
    <m/>
  </r>
  <r>
    <x v="15"/>
    <x v="6"/>
    <s v="Vinicius de Souza Teixeira"/>
    <s v="Masculino"/>
    <x v="2"/>
    <x v="20"/>
    <s v="20103115 - Atividade Reflexa Cinesioterápica (R$ 20,81)"/>
    <s v="Fisioterapia"/>
    <n v="1707499060"/>
    <s v="Finalizado (1/1)"/>
    <n v="18.312799999999999"/>
    <n v="2.4971999999999999"/>
    <n v="20.81"/>
    <s v="Sessão Faturada"/>
    <n v="774642030686000"/>
    <n v="59192"/>
    <s v="Unidade Vieralves (ANEXO)"/>
    <n v="1707499060"/>
    <m/>
  </r>
  <r>
    <x v="15"/>
    <x v="7"/>
    <s v="Lidia Teresa Monteiro Mendes"/>
    <s v="Feminino"/>
    <x v="6"/>
    <x v="20"/>
    <s v="31602185 - Estimulação Elétrica Transcutanea (Tens) (R$ 40,00)"/>
    <s v="Fisioterapia"/>
    <n v="169395"/>
    <s v="Finalizado (4/5)"/>
    <n v="35.200000000000003"/>
    <n v="4.8"/>
    <n v="40"/>
    <s v="Sessão a Faturar"/>
    <s v="54588888004872480010"/>
    <n v="37147"/>
    <s v="Unidade Vieralves (ANEXO)"/>
    <n v="169395"/>
    <m/>
  </r>
  <r>
    <x v="15"/>
    <x v="7"/>
    <s v="Vinicius de Souza Teixeira"/>
    <s v="Masculino"/>
    <x v="2"/>
    <x v="20"/>
    <s v="20103484 - Fisioterapia - Patologia Em Um Membro (R$ 12,22), 20103514 - Fisioterapia - Patologia Em Diferentes Segmentos da Coluna (R$ 14,83)"/>
    <s v="Fisioterapia"/>
    <n v="1707498450"/>
    <s v="Finalizado (1/7)"/>
    <n v="23.803999999999998"/>
    <n v="3.246"/>
    <n v="27.05"/>
    <s v="Sessão a Faturar"/>
    <n v="774642030686000"/>
    <n v="59192"/>
    <s v="Unidade Vieralves (ANEXO)"/>
    <n v="1707498450"/>
    <m/>
  </r>
  <r>
    <x v="15"/>
    <x v="7"/>
    <s v="Ana Clara de Morais Virginio"/>
    <s v="Feminino"/>
    <x v="6"/>
    <x v="20"/>
    <s v="20103506 - Patologia Em Um Segmento da Coluna (R$ 14,16)"/>
    <s v="Fisioterapia"/>
    <n v="169144"/>
    <s v="Finalizado (5/5)"/>
    <n v="12.460800000000001"/>
    <n v="1.6992"/>
    <n v="14.16"/>
    <s v="Sessão a Faturar"/>
    <s v="55788888491532830118"/>
    <n v="59365"/>
    <s v="Unidade Vieralves (ANEXO)"/>
    <n v="169144"/>
    <m/>
  </r>
  <r>
    <x v="15"/>
    <x v="17"/>
    <s v="Juliana de Oliveira Ayres Marques"/>
    <s v="Feminino"/>
    <x v="1"/>
    <x v="20"/>
    <s v="50000160 - Fisioterapia Ortopédica (R$ 20,00), 98980327 - Taxa de Eletroterapia (Tens) (R$ 15,00)"/>
    <s v="Fisioterapia"/>
    <n v="9194914"/>
    <s v="Finalizado (1/2)"/>
    <n v="30.8"/>
    <n v="4.2"/>
    <n v="35"/>
    <s v="Sessão Faturada"/>
    <n v="1901013310170200"/>
    <n v="53918"/>
    <s v="Unidade Vieralves (ANEXO)"/>
    <n v="9194914"/>
    <m/>
  </r>
  <r>
    <x v="15"/>
    <x v="17"/>
    <s v="Victoria de Moraes Martins Pereira"/>
    <s v="Masculino"/>
    <x v="6"/>
    <x v="20"/>
    <s v="20103662 - Pos Operatorio Em Um Membro (R$ 22,53)"/>
    <s v="Fisioterapia"/>
    <n v="169746"/>
    <s v="Finalizado (3/5)"/>
    <n v="19.8264"/>
    <n v="2.7035999999999998"/>
    <n v="22.53"/>
    <s v="Sessão a Faturar"/>
    <s v="55788888488381350015"/>
    <n v="48970"/>
    <s v="Unidade Vieralves (ANEXO)"/>
    <n v="169746"/>
    <m/>
  </r>
  <r>
    <x v="15"/>
    <x v="18"/>
    <s v="Victoria de Moraes Martins Pereira"/>
    <s v="Masculino"/>
    <x v="6"/>
    <x v="20"/>
    <s v="31602185 - Estimulação Elétrica Transcutanea (Tens) (R$ 40,00)"/>
    <s v="Fisioterapia"/>
    <n v="169747"/>
    <s v="Finalizado (3/5)"/>
    <n v="35.200000000000003"/>
    <n v="4.8"/>
    <n v="40"/>
    <s v="Sessão a Faturar"/>
    <s v="55788888488381350015"/>
    <n v="48970"/>
    <s v="Unidade Vieralves (ANEXO)"/>
    <n v="169747"/>
    <m/>
  </r>
  <r>
    <x v="15"/>
    <x v="8"/>
    <s v="Gaspar Henrique Alves Mota"/>
    <m/>
    <x v="2"/>
    <x v="20"/>
    <s v="20103514 - Fisioterapia - Patologia Em Diferentes Segmentos da Coluna (R$ 14,83)"/>
    <s v="Fisioterapia"/>
    <n v="1706520582"/>
    <s v="Finalizado (3/5)"/>
    <n v="13.0504"/>
    <n v="1.7796000000000001"/>
    <n v="14.83"/>
    <s v="Sessão Faturada"/>
    <n v="774642013528010"/>
    <n v="54316"/>
    <s v="Unidade Vieralves (ANEXO)"/>
    <n v="1706520582"/>
    <m/>
  </r>
  <r>
    <x v="15"/>
    <x v="9"/>
    <s v="Gaspar Henrique Alves Mota"/>
    <m/>
    <x v="2"/>
    <x v="20"/>
    <s v="20103115 - Atividade Reflexa Cinesioterápica (R$ 20,81)"/>
    <s v="Fisioterapia"/>
    <n v="1706520928"/>
    <s v="Finalizado (3/4)"/>
    <n v="18.312799999999999"/>
    <n v="2.4971999999999999"/>
    <n v="20.81"/>
    <s v="Sessão Faturada"/>
    <n v="774642013528010"/>
    <n v="54316"/>
    <s v="Unidade Vieralves (ANEXO)"/>
    <n v="1706520928"/>
    <m/>
  </r>
  <r>
    <x v="15"/>
    <x v="10"/>
    <s v="Willian Jean Silva Colares"/>
    <s v="Masculino"/>
    <x v="2"/>
    <x v="20"/>
    <s v="20103484 - Fisioterapia - Patologia Em Um Membro (R$ 12,22)"/>
    <s v="Fisioterapia"/>
    <n v="1707540722"/>
    <s v="Finalizado (1/9)"/>
    <n v="10.7536"/>
    <n v="1.4663999999999999"/>
    <n v="12.22"/>
    <s v="Sessão Faturada"/>
    <n v="775219005800000"/>
    <n v="59277"/>
    <s v="Unidade Vieralves (ANEXO)"/>
    <n v="1707540722"/>
    <m/>
  </r>
  <r>
    <x v="15"/>
    <x v="10"/>
    <s v="Willian Jean Silva Colares"/>
    <s v="Masculino"/>
    <x v="2"/>
    <x v="20"/>
    <s v="20103115 - Atividade Reflexa Cinesioterápica (R$ 20,81)"/>
    <s v="Fisioterapia"/>
    <n v="1707541076"/>
    <s v="Finalizado (1/3)"/>
    <n v="18.312799999999999"/>
    <n v="2.4971999999999999"/>
    <n v="20.81"/>
    <s v="Sessão Faturada"/>
    <n v="775219005800000"/>
    <n v="59277"/>
    <s v="Unidade Vieralves (ANEXO)"/>
    <n v="1707541076"/>
    <m/>
  </r>
  <r>
    <x v="15"/>
    <x v="10"/>
    <s v="Alexsandro de Pierri Camara Frangos"/>
    <s v="Masculino"/>
    <x v="6"/>
    <x v="20"/>
    <s v="20103514 - Patologia Em Dois Ou Mais Segmentos da Coluna (R$ 32,82)"/>
    <s v="Fisioterapia"/>
    <n v="170025"/>
    <s v="Finalizado (3/5)"/>
    <n v="28.881599999999999"/>
    <n v="3.9384000000000001"/>
    <n v="32.82"/>
    <s v="Sessão a Faturar"/>
    <s v="44520813095886520010"/>
    <n v="59453"/>
    <s v="Unidade Vieralves (ANEXO)"/>
    <n v="170025"/>
    <m/>
  </r>
  <r>
    <x v="16"/>
    <x v="89"/>
    <s v="Sandra Souza Cavalcante"/>
    <m/>
    <x v="2"/>
    <x v="20"/>
    <s v="20103484 - Fisioterapia - Patologia Em Um Membro (R$ 12,22)"/>
    <s v="Fisioterapia"/>
    <n v="1706742835"/>
    <s v="Finalizado (3/5)"/>
    <n v="10.7536"/>
    <n v="1.4663999999999999"/>
    <n v="12.22"/>
    <s v="Sessão Faturada"/>
    <n v="773299001503000"/>
    <n v="59519"/>
    <s v="Unidade Vieiralves"/>
    <n v="1706742835"/>
    <m/>
  </r>
  <r>
    <x v="16"/>
    <x v="89"/>
    <s v="Rozirlande Oliveira do Valle"/>
    <s v="Feminino"/>
    <x v="6"/>
    <x v="20"/>
    <s v="20103484 - Patologia Em Um Membro (R$ 14,16)"/>
    <s v="Fisioterapia"/>
    <n v="170134"/>
    <s v="Finalizado (4/10)"/>
    <n v="12.460800000000001"/>
    <n v="1.6992"/>
    <n v="14.16"/>
    <s v="Sessão a Faturar"/>
    <s v="58201466755603470024"/>
    <n v="38049"/>
    <s v="Unidade Vieiralves"/>
    <n v="170134"/>
    <m/>
  </r>
  <r>
    <x v="16"/>
    <x v="90"/>
    <s v="Rozirlande Oliveira do Valle"/>
    <s v="Feminino"/>
    <x v="6"/>
    <x v="20"/>
    <s v="31602185 - Estimulação Elétrica Transcutanea (Tens) (R$ 40,00)"/>
    <s v="Fisioterapia"/>
    <n v="170135"/>
    <s v="Finalizado (4/10)"/>
    <n v="35.200000000000003"/>
    <n v="4.8"/>
    <n v="40"/>
    <s v="Sessão a Faturar"/>
    <s v="58201466755603470024"/>
    <n v="38049"/>
    <s v="Unidade Vieiralves"/>
    <n v="170135"/>
    <m/>
  </r>
  <r>
    <x v="16"/>
    <x v="90"/>
    <s v="Sandra Souza Cavalcante"/>
    <m/>
    <x v="2"/>
    <x v="20"/>
    <s v="20103115 - Atividade Reflexa Cinesioterápica (R$ 20,81)"/>
    <s v="Fisioterapia"/>
    <n v="1706743302"/>
    <s v="Finalizado (3/5)"/>
    <n v="18.312799999999999"/>
    <n v="2.4971999999999999"/>
    <n v="20.81"/>
    <s v="Sessão Faturada"/>
    <n v="773299001503000"/>
    <n v="59519"/>
    <s v="Unidade Vieiralves"/>
    <n v="1706743302"/>
    <m/>
  </r>
  <r>
    <x v="16"/>
    <x v="44"/>
    <s v="Ana Claudia Teixeira de Souza Viapiana"/>
    <m/>
    <x v="2"/>
    <x v="20"/>
    <s v="20103484 - Fisioterapia - Patologia Em Um Membro (R$ 12,22)"/>
    <s v="Fisioterapia"/>
    <n v="1707711063"/>
    <s v="Finalizado (1/10)"/>
    <n v="10.7536"/>
    <n v="1.4663999999999999"/>
    <n v="12.22"/>
    <s v="Sessão Faturada"/>
    <n v="896958600019010"/>
    <n v="59405"/>
    <s v="Unidade Vieiralves"/>
    <n v="1707711063"/>
    <m/>
  </r>
  <r>
    <x v="16"/>
    <x v="44"/>
    <s v="Ana Claudia Teixeira de Souza Viapiana"/>
    <m/>
    <x v="2"/>
    <x v="20"/>
    <s v="20103115 - Atividade Reflexa Cinesioterápica (R$ 20,81)"/>
    <s v="Fisioterapia"/>
    <n v="1707711684"/>
    <s v="Finalizado (1/4)"/>
    <n v="18.312799999999999"/>
    <n v="2.4971999999999999"/>
    <n v="20.81"/>
    <s v="Sessão Faturada"/>
    <n v="896958600019010"/>
    <n v="59405"/>
    <s v="Unidade Vieiralves"/>
    <n v="1707711684"/>
    <m/>
  </r>
  <r>
    <x v="16"/>
    <x v="44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9/10)"/>
    <n v="35.200000000000003"/>
    <n v="4.8"/>
    <n v="40"/>
    <s v="Sessão Faturada"/>
    <n v="901013279890040"/>
    <n v="59419"/>
    <s v="Unidade Vieiralves"/>
    <n v="8991656"/>
    <m/>
  </r>
  <r>
    <x v="16"/>
    <x v="44"/>
    <s v="Zemilto Martins Ceara"/>
    <s v="Masculino"/>
    <x v="2"/>
    <x v="20"/>
    <s v="20103492 - Fisioterapia - Patologia Em Dois Ou Mais Membros (R$ 14,83)"/>
    <s v="Fisioterapia"/>
    <n v="1705564788"/>
    <s v="Finalizado (3/8)"/>
    <n v="13.0504"/>
    <n v="1.7796000000000001"/>
    <n v="14.83"/>
    <s v="Sessão Faturada"/>
    <n v="841006100370010"/>
    <n v="9050"/>
    <s v="Unidade Vieiralves"/>
    <n v="1705564788"/>
    <m/>
  </r>
  <r>
    <x v="16"/>
    <x v="60"/>
    <s v="Zemilto Martins Ceara"/>
    <s v="Masculino"/>
    <x v="2"/>
    <x v="20"/>
    <s v="20103115 - Atividade Reflexa Cinesioterápica (R$ 20,81)"/>
    <s v="Fisioterapia"/>
    <n v="1705565257"/>
    <s v="Finalizado (3/5)"/>
    <n v="18.312799999999999"/>
    <n v="2.4971999999999999"/>
    <n v="20.81"/>
    <s v="Sessão Faturada"/>
    <n v="841006100370010"/>
    <n v="9050"/>
    <s v="Unidade Vieiralves"/>
    <n v="1705565257"/>
    <m/>
  </r>
  <r>
    <x v="16"/>
    <x v="41"/>
    <s v="Oto Trindade Backsmann"/>
    <s v="Masculino"/>
    <x v="6"/>
    <x v="20"/>
    <s v="20103514 - Patologia Em Dois Ou Mais Segmentos da Coluna (R$ 32,82)"/>
    <s v="Fisioterapia"/>
    <n v="170242"/>
    <s v="Finalizado (3/5)"/>
    <n v="28.881599999999999"/>
    <n v="3.9384000000000001"/>
    <n v="32.82"/>
    <s v="Sessão a Faturar"/>
    <s v="54588888485990460010"/>
    <n v="18508"/>
    <s v="Unidade Vieiralves"/>
    <n v="170242"/>
    <m/>
  </r>
  <r>
    <x v="16"/>
    <x v="41"/>
    <s v="Edna Lucia Moraes Derzi"/>
    <s v="Feminino"/>
    <x v="6"/>
    <x v="20"/>
    <s v="20103492 - Patologia Em Dois Ou Mais Membros (R$ 30,26)"/>
    <s v="Fisioterapia"/>
    <n v="170406"/>
    <s v="Finalizado (2/10)"/>
    <n v="26.628799999999998"/>
    <n v="3.6312000000000002"/>
    <n v="30.26"/>
    <s v="Sessão a Faturar"/>
    <s v="54588888469679780015"/>
    <n v="13101"/>
    <s v="Unidade Vieiralves"/>
    <n v="170406"/>
    <m/>
  </r>
  <r>
    <x v="16"/>
    <x v="65"/>
    <s v="Edna Lucia Moraes Derzi"/>
    <s v="Feminino"/>
    <x v="6"/>
    <x v="20"/>
    <s v="31602185 - Estimulação Elétrica Transcutanea (Tens) (R$ 40,00)"/>
    <s v="Fisioterapia"/>
    <n v="170747"/>
    <s v="Finalizado (1/10)"/>
    <n v="35.200000000000003"/>
    <n v="4.8"/>
    <n v="40"/>
    <s v="Sessão a Faturar"/>
    <s v="54588888469679780015"/>
    <n v="13101"/>
    <s v="Unidade Vieiralves"/>
    <n v="170747"/>
    <m/>
  </r>
  <r>
    <x v="16"/>
    <x v="36"/>
    <s v="Tatianna Silva Portes"/>
    <s v="Feminino"/>
    <x v="5"/>
    <x v="20"/>
    <s v="98860020 - Fisioterapia Complexidade 2 - 04/03/2026 (R$ 70,79)"/>
    <s v="Fisioterapia"/>
    <n v="77595650"/>
    <s v="Finalizado (2/10)"/>
    <n v="62.295200000000001"/>
    <n v="8.4947999999999997"/>
    <n v="70.790000000000006"/>
    <s v="Sessão Faturada"/>
    <s v="0100621050010300"/>
    <n v="55555"/>
    <s v="Unidade Vieiralves"/>
    <n v="77595650"/>
    <m/>
  </r>
  <r>
    <x v="16"/>
    <x v="36"/>
    <s v="Aline Ferreira Pereira"/>
    <s v="Feminino"/>
    <x v="3"/>
    <x v="20"/>
    <s v="0006 - Fisioterapia Ortopédica - Pacote Com 10 Sessões (R$ 40,00)"/>
    <s v="Fisioterapia"/>
    <n v="169451"/>
    <s v="Finalizado (5/10)"/>
    <n v="31.2"/>
    <n v="8.8000000000000007"/>
    <n v="40"/>
    <s v="Sessão a Faturar"/>
    <n v="6741"/>
    <n v="59441"/>
    <s v="Unidade Vieiralves"/>
    <n v="169451"/>
    <m/>
  </r>
  <r>
    <x v="16"/>
    <x v="36"/>
    <s v="Remulo Jose Nascimento Filho"/>
    <s v="Masculino"/>
    <x v="2"/>
    <x v="20"/>
    <s v="20103662 - Fisioterapia - Pos Operatorio Em Um Membro (R$ 14,99)"/>
    <s v="Fisioterapia"/>
    <n v="1706714003"/>
    <s v="Finalizado (3/5)"/>
    <n v="13.1912"/>
    <n v="1.7988"/>
    <n v="14.99"/>
    <s v="Sessão Faturada"/>
    <s v="56788888022609450103"/>
    <n v="45990"/>
    <s v="Unidade Vieiralves"/>
    <n v="1706714003"/>
    <m/>
  </r>
  <r>
    <x v="16"/>
    <x v="36"/>
    <s v="Helen dos Santos Viana"/>
    <m/>
    <x v="2"/>
    <x v="20"/>
    <s v="20103492 - Fisioterapia - Patologia Em Dois Ou Mais Membros (R$ 14,83)"/>
    <s v="Fisioterapia"/>
    <n v="1705574850"/>
    <s v="Finalizado (2/6)"/>
    <n v="13.0504"/>
    <n v="1.7796000000000001"/>
    <n v="14.83"/>
    <s v="Sessão Faturada"/>
    <n v="774642026174020"/>
    <n v="59475"/>
    <s v="Unidade Vieiralves"/>
    <n v="1705574850"/>
    <m/>
  </r>
  <r>
    <x v="16"/>
    <x v="61"/>
    <s v="Helen dos Santos Viana"/>
    <m/>
    <x v="2"/>
    <x v="20"/>
    <s v="20103115 - Atividade Reflexa Cinesioterápica (R$ 20,81)"/>
    <s v="Fisioterapia"/>
    <n v="1705575657"/>
    <s v="Finalizado (2/2)"/>
    <n v="18.312799999999999"/>
    <n v="2.4971999999999999"/>
    <n v="20.81"/>
    <s v="Sessão Faturada"/>
    <n v="774642026174020"/>
    <n v="59475"/>
    <s v="Unidade Vieiralves"/>
    <n v="1705575657"/>
    <m/>
  </r>
  <r>
    <x v="16"/>
    <x v="61"/>
    <s v="Remulo Jose Nascimento Filho"/>
    <s v="Masculino"/>
    <x v="2"/>
    <x v="20"/>
    <s v="20103115 - Atividade Reflexa Cinesioterápica (R$ 20,81)"/>
    <s v="Fisioterapia"/>
    <n v="1706715476"/>
    <s v="Finalizado (3/4)"/>
    <n v="18.312799999999999"/>
    <n v="2.4971999999999999"/>
    <n v="20.81"/>
    <s v="Sessão Faturada"/>
    <s v="56788888022609450103"/>
    <n v="45990"/>
    <s v="Unidade Vieiralves"/>
    <n v="1706715476"/>
    <m/>
  </r>
  <r>
    <x v="16"/>
    <x v="40"/>
    <s v="Ana Paula Braga de Freitas"/>
    <s v="Feminino"/>
    <x v="1"/>
    <x v="20"/>
    <s v="50000160 - Fisioterapia Ortopédica (R$ 20,00), 98980327 - Taxa de Eletroterapia (Tens) (R$ 15,00)"/>
    <s v="Fisioterapia"/>
    <n v="9176962"/>
    <s v="Finalizado (2/4)"/>
    <n v="30.8"/>
    <n v="4.2"/>
    <n v="35"/>
    <s v="Sessão Faturada"/>
    <s v="0901013100580025"/>
    <n v="59522"/>
    <s v="Unidade Vieiralves"/>
    <n v="9176962"/>
    <m/>
  </r>
  <r>
    <x v="16"/>
    <x v="40"/>
    <s v="Fabíola Graziele Martins de Lima"/>
    <s v="Feminino"/>
    <x v="8"/>
    <x v="20"/>
    <s v="20103484 - Patologia Em Um Membro (R$ 12,22)"/>
    <s v="Fisioterapia"/>
    <n v="1706399609"/>
    <s v="Finalizado (3/5)"/>
    <n v="10.7536"/>
    <n v="1.4663999999999999"/>
    <n v="12.22"/>
    <s v="Sessão a Faturar"/>
    <n v="954590029556010"/>
    <n v="59043"/>
    <s v="Unidade Vieiralves"/>
    <n v="1706399609"/>
    <m/>
  </r>
  <r>
    <x v="16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1/10)"/>
    <n v="41.342399999999998"/>
    <n v="5.6375999999999999"/>
    <n v="46.98"/>
    <s v="Sessão a Faturar"/>
    <s v="55788888491272530020"/>
    <n v="51936"/>
    <s v="Unidade Vieiralves"/>
    <n v="170745"/>
    <m/>
  </r>
  <r>
    <x v="16"/>
    <x v="49"/>
    <s v="Fabíola Graziele Martins de Lima"/>
    <s v="Feminino"/>
    <x v="8"/>
    <x v="20"/>
    <s v="20103115 - Atividade Reflexa Cinesioterápica (R$ 20,81)"/>
    <s v="Fisioterapia"/>
    <n v="1706400132"/>
    <s v="Finalizado (3/4)"/>
    <n v="18.312799999999999"/>
    <n v="2.4971999999999999"/>
    <n v="20.81"/>
    <s v="Sessão Faturada"/>
    <n v="954590029556010"/>
    <n v="59043"/>
    <s v="Unidade Vieiralves"/>
    <n v="1706400132"/>
    <m/>
  </r>
  <r>
    <x v="16"/>
    <x v="45"/>
    <s v="Auxiliadora Brito de Lima"/>
    <m/>
    <x v="6"/>
    <x v="20"/>
    <s v="31602185 - Estimulação Elétrica Transcutanea (Tens) (R$ 40,00)"/>
    <s v="Fisioterapia"/>
    <n v="170746"/>
    <s v="Finalizado (1/9)"/>
    <n v="35.200000000000003"/>
    <n v="4.8"/>
    <n v="40"/>
    <s v="Sessão a Faturar"/>
    <s v="55788888491272530020"/>
    <n v="51936"/>
    <s v="Unidade Vieiralves"/>
    <n v="170746"/>
    <m/>
  </r>
  <r>
    <x v="16"/>
    <x v="55"/>
    <s v="Fabíola Graziele Martins de Lima"/>
    <s v="Feminino"/>
    <x v="9"/>
    <x v="20"/>
    <s v="31602185 - Estimulação Elétrica Transcutânea (Tens) - Removido 13/04/2026 (R$ 40,00)"/>
    <s v="Fisioterapia"/>
    <n v="1707338393"/>
    <s v="Finalizado (2/5)"/>
    <n v="35.200000000000003"/>
    <n v="4.8"/>
    <n v="40"/>
    <s v="Sessão Faturada"/>
    <n v="954590029556010"/>
    <n v="59043"/>
    <s v="Unidade Vieiralves"/>
    <n v="1707338393"/>
    <m/>
  </r>
  <r>
    <x v="16"/>
    <x v="35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3/10)"/>
    <n v="30.8"/>
    <n v="4.2"/>
    <n v="35"/>
    <s v="Sessão Faturada"/>
    <s v="0201013982810029"/>
    <n v="19454"/>
    <s v="Unidade Vieiralves"/>
    <n v="9052356"/>
    <m/>
  </r>
  <r>
    <x v="16"/>
    <x v="38"/>
    <s v="Arisson Carlos Pardo de Queiroz"/>
    <m/>
    <x v="2"/>
    <x v="20"/>
    <s v="20103484 - Fisioterapia - Patologia Em Um Membro (R$ 12,22)"/>
    <s v="Fisioterapia"/>
    <n v="1707823063"/>
    <s v="Finalizado (1/5)"/>
    <n v="10.7536"/>
    <n v="1.4663999999999999"/>
    <n v="12.22"/>
    <s v="Sessão Faturada"/>
    <n v="771015042510010"/>
    <n v="58957"/>
    <s v="Unidade Vieiralves"/>
    <n v="1707823063"/>
    <m/>
  </r>
  <r>
    <x v="16"/>
    <x v="38"/>
    <s v="Valmir Cesar Pozzetti"/>
    <s v="Masculino"/>
    <x v="1"/>
    <x v="20"/>
    <s v="50000160 - Fisioterapia Ortopédica (R$ 20,00), 98980327 - Taxa de Eletroterapia (Tens) (R$ 15,00)"/>
    <s v="Fisioterapia"/>
    <n v="8913272"/>
    <s v="Finalizado (6/10)"/>
    <n v="30.8"/>
    <n v="4.2"/>
    <n v="35"/>
    <s v="Sessão Faturada"/>
    <s v="0901013948180030"/>
    <n v="43203"/>
    <s v="Unidade Vieiralves"/>
    <n v="8913272"/>
    <m/>
  </r>
  <r>
    <x v="16"/>
    <x v="38"/>
    <s v="Juliana Schettini Sobrinho Dourado"/>
    <m/>
    <x v="6"/>
    <x v="20"/>
    <s v="20103484 - Patologia Em Um Membro (R$ 14,16)"/>
    <s v="Fisioterapia"/>
    <n v="169920"/>
    <s v="Finalizado (4/5)"/>
    <n v="12.460800000000001"/>
    <n v="1.6992"/>
    <n v="14.16"/>
    <s v="Sessão a Faturar"/>
    <s v="51588888483923230010"/>
    <n v="58626"/>
    <s v="Unidade Vieiralves"/>
    <n v="169920"/>
    <m/>
  </r>
  <r>
    <x v="16"/>
    <x v="62"/>
    <s v="Arisson Carlos Pardo de Queiroz"/>
    <m/>
    <x v="2"/>
    <x v="20"/>
    <s v="20103115 - Atividade Reflexa Cinesioterápica (R$ 20,81)"/>
    <s v="Fisioterapia"/>
    <n v="1707824844"/>
    <s v="Finalizado (1/1)"/>
    <n v="18.312799999999999"/>
    <n v="2.4971999999999999"/>
    <n v="20.81"/>
    <s v="Sessão Faturada"/>
    <n v="771015042510010"/>
    <n v="58957"/>
    <s v="Unidade Vieiralves"/>
    <n v="1707824844"/>
    <m/>
  </r>
  <r>
    <x v="16"/>
    <x v="62"/>
    <s v="Juliana Schettini Sobrinho Dourado"/>
    <m/>
    <x v="6"/>
    <x v="20"/>
    <s v="31602185 - Estimulação Elétrica Transcutanea (Tens) (R$ 40,00)"/>
    <s v="Fisioterapia"/>
    <n v="169922"/>
    <s v="Finalizado (3/5)"/>
    <n v="35.200000000000003"/>
    <n v="4.8"/>
    <n v="40"/>
    <s v="Sessão a Faturar"/>
    <s v="51588888483923230010"/>
    <n v="58626"/>
    <s v="Unidade Vieiralves"/>
    <n v="169922"/>
    <m/>
  </r>
  <r>
    <x v="16"/>
    <x v="37"/>
    <s v="Maria Mineia Mendes Miki"/>
    <s v="Feminino"/>
    <x v="6"/>
    <x v="20"/>
    <s v="20103492 - Patologia Em Dois Ou Mais Membros (R$ 30,26)"/>
    <s v="Fisioterapia"/>
    <n v="170100"/>
    <s v="Finalizado (1/10)"/>
    <n v="26.628799999999998"/>
    <n v="3.6312000000000002"/>
    <n v="30.26"/>
    <s v="Sessão a Faturar"/>
    <s v="54588888007376590036"/>
    <n v="17465"/>
    <s v="Unidade Vieiralves"/>
    <n v="170100"/>
    <m/>
  </r>
  <r>
    <x v="16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4/10)"/>
    <n v="26.1008"/>
    <n v="3.5592000000000001"/>
    <n v="29.66"/>
    <s v="Sessão Faturada"/>
    <n v="960016167330010"/>
    <n v="46729"/>
    <s v="Unidade Vieiralves"/>
    <n v="1705661090"/>
    <m/>
  </r>
  <r>
    <x v="16"/>
    <x v="37"/>
    <s v="Laindks Lopes"/>
    <s v="Feminino"/>
    <x v="2"/>
    <x v="20"/>
    <s v="20103506 - Fisioterapia - Patologia Em Um Segmento da Coluna (R$ 12,22)"/>
    <s v="Fisioterapia"/>
    <n v="1705697611"/>
    <s v="Finalizado (3/5)"/>
    <n v="10.7536"/>
    <n v="1.4663999999999999"/>
    <n v="12.22"/>
    <s v="Sessão Faturada"/>
    <n v="611453030001010"/>
    <n v="29"/>
    <s v="Unidade Vieiralves"/>
    <n v="1705697611"/>
    <m/>
  </r>
  <r>
    <x v="16"/>
    <x v="58"/>
    <s v="Rita de Lima  Viana Ramos"/>
    <s v="Feminino"/>
    <x v="2"/>
    <x v="20"/>
    <s v="20103115 - Atividade Reflexa Cinesioterápica (R$ 20,81)"/>
    <s v="Fisioterapia"/>
    <n v="1705662421"/>
    <s v="Finalizado (4/4)"/>
    <n v="18.312799999999999"/>
    <n v="2.4971999999999999"/>
    <n v="20.81"/>
    <s v="Sessão Faturada"/>
    <n v="960016167330010"/>
    <n v="46729"/>
    <s v="Unidade Vieiralves"/>
    <n v="1705662421"/>
    <m/>
  </r>
  <r>
    <x v="16"/>
    <x v="63"/>
    <s v="Maria Mineia Mendes Miki"/>
    <s v="Feminino"/>
    <x v="6"/>
    <x v="20"/>
    <s v="31602185 - Estimulação Elétrica Transcutanea (Tens) (R$ 40,00)"/>
    <s v="Fisioterapia"/>
    <n v="170764"/>
    <s v="Finalizado (1/10)"/>
    <n v="35.200000000000003"/>
    <n v="4.8"/>
    <n v="40"/>
    <s v="Sessão a Faturar"/>
    <s v="54588888007376590036"/>
    <n v="17465"/>
    <s v="Unidade Vieiralves"/>
    <n v="170764"/>
    <m/>
  </r>
  <r>
    <x v="16"/>
    <x v="39"/>
    <s v="Marcos Roberto Moura de Oliveira"/>
    <s v="Masculino"/>
    <x v="1"/>
    <x v="20"/>
    <s v="50000160 - Fisioterapia Ortopédica (R$ 20,00), 98980327 - Taxa de Eletroterapia (Tens) (R$ 15,00)"/>
    <s v="Fisioterapia"/>
    <n v="9054318"/>
    <s v="Finalizado (3/3)"/>
    <n v="30.8"/>
    <n v="4.2"/>
    <n v="35"/>
    <s v="Sessão Faturada"/>
    <n v="1201013224590100"/>
    <n v="10333"/>
    <s v="Unidade Vieiralves"/>
    <n v="9054318"/>
    <m/>
  </r>
  <r>
    <x v="16"/>
    <x v="39"/>
    <s v="Beatriz Coelho da Silva"/>
    <s v="Feminino"/>
    <x v="2"/>
    <x v="20"/>
    <s v="20103506 - Fisioterapia - Patologia Em Um Segmento da Coluna (R$ 12,22)"/>
    <s v="Fisioterapia"/>
    <n v="1706225002"/>
    <s v="Finalizado (3/4)"/>
    <n v="10.7536"/>
    <n v="1.4663999999999999"/>
    <n v="12.22"/>
    <s v="Sessão Faturada"/>
    <n v="774063006521000"/>
    <n v="48489"/>
    <s v="Unidade Vieiralves"/>
    <n v="1706225002"/>
    <m/>
  </r>
  <r>
    <x v="16"/>
    <x v="39"/>
    <s v="Ana Cristina Belarmino de Oliveira"/>
    <s v="Feminino"/>
    <x v="15"/>
    <x v="20"/>
    <s v="20103514 - Patologia Em Diferentes Segmentos da Coluna (R$ 60,72)"/>
    <s v="Fisioterapia"/>
    <n v="238463711"/>
    <s v="Finalizado (2/10)"/>
    <n v="53.433599999999998"/>
    <n v="7.2864000000000004"/>
    <n v="60.72"/>
    <s v="Sessão a Faturar"/>
    <s v="012616100102004"/>
    <n v="59505"/>
    <s v="Unidade Vieiralves"/>
    <n v="238463711"/>
    <m/>
  </r>
  <r>
    <x v="16"/>
    <x v="64"/>
    <s v="Beatriz Coelho da Silva"/>
    <s v="Feminino"/>
    <x v="2"/>
    <x v="20"/>
    <s v="20103115 - Atividade Reflexa Cinesioterápica (R$ 20,81)"/>
    <s v="Fisioterapia"/>
    <n v="1706226214"/>
    <s v="Finalizado (3/4)"/>
    <n v="18.312799999999999"/>
    <n v="2.4971999999999999"/>
    <n v="20.81"/>
    <s v="Sessão Faturada"/>
    <n v="774063006521000"/>
    <n v="48489"/>
    <s v="Unidade Vieiralves"/>
    <n v="1706226214"/>
    <m/>
  </r>
  <r>
    <x v="16"/>
    <x v="0"/>
    <s v="Walter Jose Firmo Gonçalves Filho"/>
    <s v="Masculino"/>
    <x v="0"/>
    <x v="20"/>
    <s v="50000144 - Avaliação de Fisioterapia (R$ 39,72)"/>
    <s v="Fisioterapia"/>
    <n v="170500"/>
    <s v="Finalizado (1/1)"/>
    <n v="35.747999999999998"/>
    <n v="3.972"/>
    <n v="39.72"/>
    <s v="Sessão Faturada"/>
    <s v="010033652700"/>
    <n v="41064"/>
    <s v="Unidade Vieralves (ANEXO)"/>
    <n v="170500"/>
    <m/>
  </r>
  <r>
    <x v="16"/>
    <x v="0"/>
    <s v="Isabelly Bacelar Gonçalves"/>
    <s v="Feminino"/>
    <x v="0"/>
    <x v="20"/>
    <s v="50000160 - Fisioterapia Ortopedica (R$ 49,72)"/>
    <s v="Fisioterapia"/>
    <s v="42263120260316483774"/>
    <s v="Finalizado (1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16"/>
    <x v="0"/>
    <s v="Ivanildes Barbosa da Silva"/>
    <s v="Feminino"/>
    <x v="6"/>
    <x v="20"/>
    <s v="20103484 - Patologia Em Um Membro (R$ 14,16)"/>
    <s v="Fisioterapia"/>
    <n v="169848"/>
    <s v="Finalizado (3/5)"/>
    <n v="12.460800000000001"/>
    <n v="1.6992"/>
    <n v="14.16"/>
    <s v="Sessão a Faturar"/>
    <s v="54588888019240100022"/>
    <n v="58583"/>
    <s v="Unidade Vieralves (ANEXO)"/>
    <n v="169848"/>
    <m/>
  </r>
  <r>
    <x v="16"/>
    <x v="53"/>
    <s v="Walter Jose Firmo Gonçalves Filho"/>
    <s v="Masculino"/>
    <x v="0"/>
    <x v="20"/>
    <s v="50000160 - Fisioterapia Ortopedica (R$ 49,72)"/>
    <s v="Fisioterapia"/>
    <s v="42263120260310449344"/>
    <s v="Finalizado (1/10)"/>
    <n v="43.753599999999999"/>
    <n v="5.9664000000000001"/>
    <n v="49.72"/>
    <s v="Sessão a Faturar"/>
    <s v="010033652700"/>
    <n v="41064"/>
    <s v="Unidade Vieralves (ANEXO)"/>
    <s v="42263120260310449344"/>
    <s v="Guia assinada! 02/04"/>
  </r>
  <r>
    <x v="16"/>
    <x v="1"/>
    <s v="Ivanildes Barbosa da Silva"/>
    <s v="Feminino"/>
    <x v="6"/>
    <x v="20"/>
    <s v="31602185 - Estimulação Elétrica Transcutanea (Tens) (R$ 40,00)"/>
    <s v="Fisioterapia"/>
    <n v="169849"/>
    <s v="Finalizado (3/5)"/>
    <n v="35.200000000000003"/>
    <n v="4.8"/>
    <n v="40"/>
    <s v="Sessão a Faturar"/>
    <s v="54588888019240100022"/>
    <n v="58583"/>
    <s v="Unidade Vieralves (ANEXO)"/>
    <n v="169849"/>
    <m/>
  </r>
  <r>
    <x v="16"/>
    <x v="1"/>
    <s v="Isabelly Bacelar Gonçalves"/>
    <s v="Feminino"/>
    <x v="0"/>
    <x v="20"/>
    <s v="31602185 - Estimulação Elétrica Transcutânea Fisioterapia (Novo - 01/12) (R$ 54,13)"/>
    <s v="Fisioterapia"/>
    <s v="42263120260316484069"/>
    <s v="Finalizado (1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16"/>
    <x v="91"/>
    <s v="Walter Jose Firmo Gonçalves Filho"/>
    <s v="Masculino"/>
    <x v="0"/>
    <x v="20"/>
    <s v="31602185 - Estimulação Elétrica Transcutânea Fisioterapia (Novo - 01/12) (R$ 54,13)"/>
    <s v="Fisioterapia"/>
    <s v="42263120260311457584"/>
    <s v="Finalizado (1/10)"/>
    <n v="47.634399999999999"/>
    <n v="6.4955999999999996"/>
    <n v="54.13"/>
    <s v="Sessão a Faturar"/>
    <s v="010033652700"/>
    <n v="41064"/>
    <s v="Unidade Vieralves (ANEXO)"/>
    <s v="42263120260311457584"/>
    <s v="Guia assinada! 02/04"/>
  </r>
  <r>
    <x v="16"/>
    <x v="2"/>
    <s v="Cristiane Gomes Barcelar Gonçalves"/>
    <s v="Feminino"/>
    <x v="0"/>
    <x v="20"/>
    <s v="50000160 - Fisioterapia Ortopedica (R$ 49,72)"/>
    <s v="Fisioterapia"/>
    <s v="42263120260305415598"/>
    <s v="Finalizado (2/10)"/>
    <n v="43.753599999999999"/>
    <n v="5.9664000000000001"/>
    <n v="49.72"/>
    <s v="Sessão a Faturar"/>
    <s v="010033652753"/>
    <n v="27217"/>
    <s v="Unidade Vieralves (ANEXO)"/>
    <s v="42263120260305415598"/>
    <m/>
  </r>
  <r>
    <x v="16"/>
    <x v="2"/>
    <s v="Eliana Souza de Lima"/>
    <s v="Feminino"/>
    <x v="15"/>
    <x v="20"/>
    <s v="20103484 - Patologia Em Um Membro (R$ 37,14)"/>
    <s v="Fisioterapia"/>
    <n v="227717729"/>
    <s v="Finalizado (9/10)"/>
    <n v="32.683199999999999"/>
    <n v="4.4568000000000003"/>
    <n v="37.14"/>
    <s v="Sessão Faturada"/>
    <s v="013058180102004"/>
    <n v="58062"/>
    <s v="Unidade Vieralves (ANEXO)"/>
    <n v="227717729"/>
    <s v="Guia assinada! 05/12"/>
  </r>
  <r>
    <x v="16"/>
    <x v="3"/>
    <s v="Cristiane Gomes Barcelar Gonçalves"/>
    <s v="Feminino"/>
    <x v="0"/>
    <x v="20"/>
    <s v="31602185 - Estimulação Elétrica Transcutânea Fisioterapia (Novo - 01/12) (R$ 54,13)"/>
    <s v="Fisioterapia"/>
    <s v="42263120260305415649"/>
    <s v="Finalizado (2/10)"/>
    <n v="47.634399999999999"/>
    <n v="6.4955999999999996"/>
    <n v="54.13"/>
    <s v="Sessão a Faturar"/>
    <s v="010033652753"/>
    <n v="27217"/>
    <s v="Unidade Vieralves (ANEXO)"/>
    <s v="42263120260305415649"/>
    <m/>
  </r>
  <r>
    <x v="16"/>
    <x v="4"/>
    <s v="Victoria de Moraes Martins Pereira"/>
    <s v="Masculino"/>
    <x v="6"/>
    <x v="20"/>
    <s v="20103662 - Pos Operatorio Em Um Membro (R$ 22,53)"/>
    <s v="Fisioterapia"/>
    <n v="169746"/>
    <s v="Finalizado (4/5)"/>
    <n v="19.8264"/>
    <n v="2.7035999999999998"/>
    <n v="22.53"/>
    <s v="Sessão a Faturar"/>
    <s v="55788888488381350015"/>
    <n v="48970"/>
    <s v="Unidade Vieralves (ANEXO)"/>
    <n v="169746"/>
    <m/>
  </r>
  <r>
    <x v="16"/>
    <x v="4"/>
    <s v="Kamila Barbosa da Silva"/>
    <s v="Feminino"/>
    <x v="6"/>
    <x v="20"/>
    <s v="20103662 - Pos Operatorio Em Um Membro (R$ 22,53)"/>
    <s v="Fisioterapia"/>
    <n v="850996"/>
    <s v="Finalizado (1/10)"/>
    <n v="19.8264"/>
    <n v="2.7035999999999998"/>
    <n v="22.53"/>
    <s v="Sessão a Faturar"/>
    <s v="56788888480435940014"/>
    <n v="48822"/>
    <s v="Unidade Vieralves (ANEXO)"/>
    <n v="850996"/>
    <m/>
  </r>
  <r>
    <x v="16"/>
    <x v="5"/>
    <s v="Victoria de Moraes Martins Pereira"/>
    <s v="Masculino"/>
    <x v="6"/>
    <x v="20"/>
    <s v="31602185 - Estimulação Elétrica Transcutanea (Tens) (R$ 40,00)"/>
    <s v="Fisioterapia"/>
    <n v="169747"/>
    <s v="Finalizado (4/5)"/>
    <n v="35.200000000000003"/>
    <n v="4.8"/>
    <n v="40"/>
    <s v="Sessão a Faturar"/>
    <s v="55788888488381350015"/>
    <n v="48970"/>
    <s v="Unidade Vieralves (ANEXO)"/>
    <n v="169747"/>
    <m/>
  </r>
  <r>
    <x v="16"/>
    <x v="5"/>
    <s v="Kamila Barbosa da Silva"/>
    <s v="Feminino"/>
    <x v="6"/>
    <x v="20"/>
    <s v="31602185 - Estimulação Elétrica Transcutanea (Tens) (R$ 40,00)"/>
    <s v="Fisioterapia"/>
    <n v="170833"/>
    <s v="Finalizado (1/5)"/>
    <n v="35.200000000000003"/>
    <n v="4.8"/>
    <n v="40"/>
    <s v="Sessão a Faturar"/>
    <s v="56788888480435940014"/>
    <n v="48822"/>
    <s v="Unidade Vieralves (ANEXO)"/>
    <n v="170833"/>
    <m/>
  </r>
  <r>
    <x v="16"/>
    <x v="13"/>
    <s v="Claudia Maria de Moura Abrahim"/>
    <s v="Feminino"/>
    <x v="1"/>
    <x v="20"/>
    <s v="50000217 - Fisioterapia Pré e Pós Operatória (R$ 25,00), 98980327 - Taxa de Eletroterapia (Tens) (R$ 15,00)"/>
    <s v="Fisioterapia"/>
    <n v="9030934"/>
    <s v="Finalizado (5/10)"/>
    <n v="35.200000000000003"/>
    <n v="4.8"/>
    <n v="40"/>
    <s v="Sessão Faturada"/>
    <s v="0901001967210050"/>
    <n v="21456"/>
    <s v="Unidade Vieralves (ANEXO)"/>
    <n v="9030934"/>
    <m/>
  </r>
  <r>
    <x v="16"/>
    <x v="6"/>
    <s v="Núbia Sena Abrantes"/>
    <s v="Feminino"/>
    <x v="1"/>
    <x v="20"/>
    <s v="50000160 - Fisioterapia Ortopédica (R$ 20,00), 98980327 - Taxa de Eletroterapia (Tens) (R$ 15,00)"/>
    <s v="Fisioterapia"/>
    <n v="8955494"/>
    <s v="Finalizado (5/10)"/>
    <n v="30.8"/>
    <n v="4.2"/>
    <n v="35"/>
    <s v="Sessão Faturada"/>
    <s v="0903002964650113"/>
    <n v="56048"/>
    <s v="Unidade Vieralves (ANEXO)"/>
    <n v="8955494"/>
    <s v="guia assinada "/>
  </r>
  <r>
    <x v="16"/>
    <x v="6"/>
    <s v="Laiane Tammy Abati"/>
    <s v="Feminino"/>
    <x v="1"/>
    <x v="20"/>
    <s v="50000160 - Fisioterapia Ortopédica (R$ 20,00), 98980327 - Taxa de Eletroterapia (Tens) (R$ 15,00)"/>
    <s v="Fisioterapia"/>
    <n v="8920855"/>
    <s v="Finalizado (3/10)"/>
    <n v="30.8"/>
    <n v="4.2"/>
    <n v="35"/>
    <s v="Sessão Faturada"/>
    <s v="0901013277860067"/>
    <n v="59363"/>
    <s v="Unidade Vieralves (ANEXO)"/>
    <n v="8920855"/>
    <s v="GUIA ASSINADA!!!!!"/>
  </r>
  <r>
    <x v="16"/>
    <x v="15"/>
    <s v="Iranildo Macedo Soares"/>
    <s v="Masculino"/>
    <x v="11"/>
    <x v="20"/>
    <s v="20103484 - Fisioterapia - Patologia Em Um Membro (R$ 80,33)"/>
    <s v="Fisioterapia"/>
    <n v="2508"/>
    <s v="Finalizado (6/8)"/>
    <n v="70.690399999999997"/>
    <n v="9.6395999999999997"/>
    <n v="80.33"/>
    <s v="Sessão Faturada"/>
    <n v="2302034"/>
    <n v="59195"/>
    <s v="Unidade Vieralves (ANEXO)"/>
    <n v="2508"/>
    <m/>
  </r>
  <r>
    <x v="16"/>
    <x v="17"/>
    <s v="Gisele dos Santos Costa"/>
    <s v="Feminino"/>
    <x v="1"/>
    <x v="20"/>
    <s v="50000160 - Fisioterapia Ortopédica (R$ 20,00), 98980327 - Taxa de Eletroterapia (Tens) (R$ 15,00)"/>
    <s v="Fisioterapia"/>
    <n v="9123592"/>
    <s v="Finalizado (2/8)"/>
    <n v="30.8"/>
    <n v="4.2"/>
    <n v="35"/>
    <s v="Sessão Faturada"/>
    <n v="1901012931170000"/>
    <n v="53642"/>
    <s v="Unidade Vieralves (ANEXO)"/>
    <n v="9123592"/>
    <m/>
  </r>
  <r>
    <x v="16"/>
    <x v="8"/>
    <s v="Armando Altomir Fonseca Bastos"/>
    <s v="Masculino"/>
    <x v="6"/>
    <x v="20"/>
    <s v="20103484 - Patologia Em Um Membro (R$ 14,16)"/>
    <s v="Fisioterapia"/>
    <n v="170551"/>
    <s v="Finalizado (2/3)"/>
    <n v="12.460800000000001"/>
    <n v="1.6992"/>
    <n v="14.16"/>
    <s v="Sessão a Faturar"/>
    <s v="55788888493949060020"/>
    <n v="59494"/>
    <s v="Unidade Vieralves (ANEXO)"/>
    <n v="170551"/>
    <m/>
  </r>
  <r>
    <x v="16"/>
    <x v="8"/>
    <s v="Antonio Helio Borges Eliziario"/>
    <s v="Masculino"/>
    <x v="2"/>
    <x v="20"/>
    <s v="20103484 - Fisioterapia - Patologia Em Um Membro (R$ 12,22)"/>
    <s v="Fisioterapia"/>
    <n v="1703491942"/>
    <s v="Finalizado (4/4)"/>
    <n v="10.7536"/>
    <n v="1.4663999999999999"/>
    <n v="12.22"/>
    <s v="Sessão Faturada"/>
    <n v="960016147160000"/>
    <n v="59407"/>
    <s v="Unidade Vieralves (ANEXO)"/>
    <n v="1703491942"/>
    <m/>
  </r>
  <r>
    <x v="16"/>
    <x v="8"/>
    <s v="Armando Altomir Fonseca Bastos"/>
    <s v="Masculino"/>
    <x v="6"/>
    <x v="20"/>
    <s v="31602185 - Estimulação Elétrica Transcutanea (Tens) (R$ 40,00)"/>
    <s v="Fisioterapia"/>
    <n v="170552"/>
    <s v="Finalizado (2/3)"/>
    <n v="35.200000000000003"/>
    <n v="4.8"/>
    <n v="40"/>
    <s v="Sessão a Faturar"/>
    <s v="55788888493949060020"/>
    <n v="59494"/>
    <s v="Unidade Vieralves (ANEXO)"/>
    <n v="170552"/>
    <m/>
  </r>
  <r>
    <x v="16"/>
    <x v="9"/>
    <s v="Antonio Helio Borges Eliziario"/>
    <s v="Masculino"/>
    <x v="2"/>
    <x v="20"/>
    <s v="20103115 - Atividade Reflexa Cinesioterápica (R$ 20,81)"/>
    <s v="Fisioterapia"/>
    <n v="1703492548"/>
    <s v="Finalizado (4/4)"/>
    <n v="18.312799999999999"/>
    <n v="2.4971999999999999"/>
    <n v="20.81"/>
    <s v="Sessão Faturada"/>
    <n v="960016147160000"/>
    <n v="59407"/>
    <s v="Unidade Vieralves (ANEXO)"/>
    <n v="1703492548"/>
    <m/>
  </r>
  <r>
    <x v="16"/>
    <x v="10"/>
    <s v="Willian Jean Silva Colares"/>
    <s v="Masculino"/>
    <x v="2"/>
    <x v="20"/>
    <s v="20103484 - Fisioterapia - Patologia Em Um Membro (R$ 12,22)"/>
    <s v="Fisioterapia"/>
    <n v="1707540722"/>
    <s v="Finalizado (2/9)"/>
    <n v="10.7536"/>
    <n v="1.4663999999999999"/>
    <n v="12.22"/>
    <s v="Sessão Faturada"/>
    <n v="775219005800000"/>
    <n v="59277"/>
    <s v="Unidade Vieralves (ANEXO)"/>
    <n v="1707540722"/>
    <m/>
  </r>
  <r>
    <x v="16"/>
    <x v="11"/>
    <s v="Willian Jean Silva Colares"/>
    <s v="Masculino"/>
    <x v="2"/>
    <x v="20"/>
    <s v="20103115 - Atividade Reflexa Cinesioterápica (R$ 20,81)"/>
    <s v="Fisioterapia"/>
    <n v="1707541076"/>
    <s v="Finalizado (2/3)"/>
    <n v="18.312799999999999"/>
    <n v="2.4971999999999999"/>
    <n v="20.81"/>
    <s v="Sessão Faturada"/>
    <n v="775219005800000"/>
    <n v="59277"/>
    <s v="Unidade Vieralves (ANEXO)"/>
    <n v="1707541076"/>
    <m/>
  </r>
  <r>
    <x v="21"/>
    <x v="89"/>
    <s v="Sandra Souza Cavalcante"/>
    <m/>
    <x v="2"/>
    <x v="20"/>
    <s v="20103484 - Fisioterapia - Patologia Em Um Membro (R$ 12,22)"/>
    <s v="Fisioterapia"/>
    <n v="1706742835"/>
    <s v="Finalizado (4/5)"/>
    <n v="10.7536"/>
    <n v="1.4663999999999999"/>
    <n v="12.22"/>
    <s v="Sessão Faturada"/>
    <n v="773299001503000"/>
    <n v="59519"/>
    <s v="Unidade Vieiralves"/>
    <n v="1706742835"/>
    <m/>
  </r>
  <r>
    <x v="21"/>
    <x v="90"/>
    <s v="Sandra Souza Cavalcante"/>
    <m/>
    <x v="2"/>
    <x v="20"/>
    <s v="20103115 - Atividade Reflexa Cinesioterápica (R$ 20,81)"/>
    <s v="Fisioterapia"/>
    <n v="1706743302"/>
    <s v="Finalizado (4/5)"/>
    <n v="18.312799999999999"/>
    <n v="2.4971999999999999"/>
    <n v="20.81"/>
    <s v="Sessão Faturada"/>
    <n v="773299001503000"/>
    <n v="59519"/>
    <s v="Unidade Vieiralves"/>
    <n v="1706743302"/>
    <m/>
  </r>
  <r>
    <x v="21"/>
    <x v="41"/>
    <s v="Rafael Daniel Gerzvolf"/>
    <s v="Masculino"/>
    <x v="6"/>
    <x v="20"/>
    <s v="20103484 - Patologia Em Um Membro (R$ 14,16)"/>
    <s v="Fisioterapia"/>
    <n v="170049"/>
    <s v="Finalizado (4/5)"/>
    <n v="12.460800000000001"/>
    <n v="1.6992"/>
    <n v="14.16"/>
    <s v="Sessão a Faturar"/>
    <s v="51588888488560580015"/>
    <n v="57485"/>
    <s v="Unidade Vieiralves"/>
    <n v="170049"/>
    <m/>
  </r>
  <r>
    <x v="21"/>
    <x v="36"/>
    <s v="Ana Claudia Teixeira de Souza Viapiana"/>
    <m/>
    <x v="2"/>
    <x v="20"/>
    <s v="20103484 - Fisioterapia - Patologia Em Um Membro (R$ 12,22)"/>
    <s v="Fisioterapia"/>
    <n v="1707711063"/>
    <s v="Finalizado (2/10)"/>
    <n v="10.7536"/>
    <n v="1.4663999999999999"/>
    <n v="12.22"/>
    <s v="Sessão Faturada"/>
    <n v="896958600019010"/>
    <n v="59405"/>
    <s v="Unidade Vieiralves"/>
    <n v="1707711063"/>
    <m/>
  </r>
  <r>
    <x v="21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4/10)"/>
    <n v="30.8"/>
    <n v="4.2"/>
    <n v="35"/>
    <s v="Sessão Faturada"/>
    <s v="0901013959170057"/>
    <n v="15532"/>
    <s v="Unidade Vieiralves"/>
    <n v="9093197"/>
    <m/>
  </r>
  <r>
    <x v="21"/>
    <x v="61"/>
    <s v="Ana Claudia Teixeira de Souza Viapiana"/>
    <m/>
    <x v="2"/>
    <x v="20"/>
    <s v="20103115 - Atividade Reflexa Cinesioterápica (R$ 20,81)"/>
    <s v="Fisioterapia"/>
    <n v="1707711684"/>
    <s v="Finalizado (2/4)"/>
    <n v="18.312799999999999"/>
    <n v="2.4971999999999999"/>
    <n v="20.81"/>
    <s v="Sessão Faturada"/>
    <n v="896958600019010"/>
    <n v="59405"/>
    <s v="Unidade Vieiralves"/>
    <n v="1707711684"/>
    <m/>
  </r>
  <r>
    <x v="21"/>
    <x v="40"/>
    <s v="Waldir dos Santos Fontes Junior"/>
    <s v="Masculino"/>
    <x v="2"/>
    <x v="20"/>
    <s v="20103506 - Fisioterapia - Patologia Em Um Segmento da Coluna (R$ 12,22)"/>
    <s v="Fisioterapia"/>
    <n v="1707542354"/>
    <s v="Finalizado (2/5)"/>
    <n v="10.7536"/>
    <n v="1.4663999999999999"/>
    <n v="12.22"/>
    <s v="Sessão Faturada"/>
    <n v="772133000728000"/>
    <n v="51522"/>
    <s v="Unidade Vieiralves"/>
    <n v="1707542354"/>
    <m/>
  </r>
  <r>
    <x v="21"/>
    <x v="40"/>
    <s v="Priscila de Souza Rosa Barroncas"/>
    <m/>
    <x v="15"/>
    <x v="20"/>
    <s v="20103506 - Patologia Em Um Segmento da Coluna (R$ 34,74)"/>
    <s v="Fisioterapia"/>
    <n v="238990207"/>
    <s v="Finalizado (1/8)"/>
    <n v="30.571200000000001"/>
    <n v="4.1688000000000001"/>
    <n v="34.74"/>
    <s v="Sessão a Faturar"/>
    <s v="012376760102005"/>
    <n v="52839"/>
    <s v="Unidade Vieiralves"/>
    <n v="238990207"/>
    <m/>
  </r>
  <r>
    <x v="21"/>
    <x v="40"/>
    <s v="Waldir dos Santos Fontes Junior"/>
    <s v="Masculino"/>
    <x v="2"/>
    <x v="20"/>
    <s v="20103115 - Atividade Reflexa Cinesioterápica (R$ 20,81)"/>
    <s v="Fisioterapia"/>
    <n v="1707542621"/>
    <s v="Finalizado (2/3)"/>
    <n v="18.312799999999999"/>
    <n v="2.4971999999999999"/>
    <n v="20.81"/>
    <s v="Sessão Faturada"/>
    <n v="772133000728000"/>
    <n v="51522"/>
    <s v="Unidade Vieiralves"/>
    <n v="1707542621"/>
    <m/>
  </r>
  <r>
    <x v="21"/>
    <x v="40"/>
    <s v="Emanuele Gurgel de Freitas Melo da Silva"/>
    <s v="Feminino"/>
    <x v="1"/>
    <x v="20"/>
    <s v="50000160 - Fisioterapia Ortopédica (R$ 20,00), 98980327 - Taxa de Eletroterapia (Tens) (R$ 15,00)"/>
    <s v="Fisioterapia"/>
    <n v="8274475"/>
    <s v="Não compareceu (10/10)"/>
    <n v="35"/>
    <n v="0"/>
    <n v="35"/>
    <s v="Sessão Faturada"/>
    <n v="1901013438340500"/>
    <n v="58987"/>
    <s v="Unidade Vieiralves"/>
    <n v="8274475"/>
    <s v="guia assinada "/>
  </r>
  <r>
    <x v="21"/>
    <x v="40"/>
    <s v="Priscila de Souza Rosa Barroncas"/>
    <m/>
    <x v="15"/>
    <x v="20"/>
    <s v="50000144 - Avaliação de Fisioterapia (R$ 40,00)"/>
    <s v="Fisioterapia"/>
    <n v="238990217"/>
    <s v="Finalizado (1/1)"/>
    <n v="36"/>
    <n v="4"/>
    <n v="40"/>
    <s v="Sessão a Faturar"/>
    <s v="012376760102005"/>
    <n v="52839"/>
    <s v="Unidade Vieiralves"/>
    <n v="238990217"/>
    <m/>
  </r>
  <r>
    <x v="21"/>
    <x v="35"/>
    <s v="Paulo Cesar Colares de Oliveira"/>
    <s v="Masculino"/>
    <x v="10"/>
    <x v="20"/>
    <s v="50000160 - Fisioterapia Ortopédica (R$ 15,00)"/>
    <s v="Fisioterapia"/>
    <n v="15072661"/>
    <s v="Finalizado (10/10)"/>
    <n v="13.2"/>
    <n v="1.8"/>
    <n v="15"/>
    <s v="Sessão Faturada"/>
    <s v="00010064270172001"/>
    <n v="59266"/>
    <s v="Unidade Vieiralves"/>
    <n v="15072661"/>
    <m/>
  </r>
  <r>
    <x v="21"/>
    <x v="35"/>
    <s v="Lara Simone Osorio Chaves"/>
    <s v="Feminino"/>
    <x v="1"/>
    <x v="20"/>
    <s v="50000160 - Fisioterapia Ortopédica (R$ 20,00), 98980327 - Taxa de Eletroterapia (Tens) (R$ 15,00)"/>
    <s v="Fisioterapia"/>
    <n v="9249498"/>
    <s v="Finalizado (1/2)"/>
    <n v="30.8"/>
    <n v="4.2"/>
    <n v="35"/>
    <s v="Sessão Faturada"/>
    <n v="902011549240000"/>
    <n v="45289"/>
    <s v="Unidade Vieiralves"/>
    <n v="9249498"/>
    <m/>
  </r>
  <r>
    <x v="21"/>
    <x v="35"/>
    <s v="Lara Simone Osorio Chaves"/>
    <s v="Feminino"/>
    <x v="1"/>
    <x v="20"/>
    <s v="50000144 - Consulta de Fisioterapia (R$ 16,00)"/>
    <s v="Fisioterapia"/>
    <n v="9668430"/>
    <s v="Finalizado (1/1)"/>
    <n v="14.4"/>
    <n v="1.6"/>
    <n v="16"/>
    <s v="Sessão Faturada"/>
    <n v="902011549240000"/>
    <n v="45289"/>
    <s v="Unidade Vieiralves"/>
    <n v="9668430"/>
    <m/>
  </r>
  <r>
    <x v="21"/>
    <x v="38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4/10)"/>
    <n v="30.8"/>
    <n v="4.2"/>
    <n v="35"/>
    <s v="Sessão Faturada"/>
    <s v="0201013982810029"/>
    <n v="19454"/>
    <s v="Unidade Vieiralves"/>
    <n v="9052356"/>
    <m/>
  </r>
  <r>
    <x v="21"/>
    <x v="38"/>
    <s v="Ricardo Marques de Abreu"/>
    <s v="Masculino"/>
    <x v="1"/>
    <x v="20"/>
    <s v="50000160 - Fisioterapia Ortopédica (R$ 20,00), 98980327 - Taxa de Eletroterapia (Tens) (R$ 15,00)"/>
    <s v="Fisioterapia"/>
    <n v="8922131"/>
    <s v="Finalizado (10/10)"/>
    <n v="30.8"/>
    <n v="4.2"/>
    <n v="35"/>
    <s v="Sessão Faturada"/>
    <n v="2001013216580000"/>
    <n v="43902"/>
    <s v="Unidade Vieiralves"/>
    <n v="8922131"/>
    <m/>
  </r>
  <r>
    <x v="21"/>
    <x v="37"/>
    <s v="Nathana César Bastos"/>
    <s v="Feminino"/>
    <x v="6"/>
    <x v="20"/>
    <s v="20103514 - Patologia Em Dois Ou Mais Segmentos da Coluna (R$ 32,82)"/>
    <s v="Fisioterapia"/>
    <n v="189872"/>
    <s v="Finalizado (4/4)"/>
    <n v="28.881599999999999"/>
    <n v="3.9384000000000001"/>
    <n v="32.82"/>
    <s v="Sessão a Faturar"/>
    <s v="54588888492204600017"/>
    <n v="59015"/>
    <s v="Unidade Vieiralves"/>
    <n v="189872"/>
    <m/>
  </r>
  <r>
    <x v="21"/>
    <x v="37"/>
    <s v="Nathana César Bastos"/>
    <s v="Feminino"/>
    <x v="6"/>
    <x v="20"/>
    <s v="31602185 - Estimulação Elétrica Transcutanea (Tens) (R$ 40,00)"/>
    <s v="Fisioterapia"/>
    <n v="170053"/>
    <s v="Finalizado (4/4)"/>
    <n v="35.200000000000003"/>
    <n v="4.8"/>
    <n v="40"/>
    <s v="Sessão a Faturar"/>
    <s v="54588888492204600017"/>
    <n v="59015"/>
    <s v="Unidade Vieiralves"/>
    <n v="170053"/>
    <m/>
  </r>
  <r>
    <x v="21"/>
    <x v="37"/>
    <s v="Beatriz Coelho da Silva"/>
    <s v="Feminino"/>
    <x v="2"/>
    <x v="20"/>
    <s v="20103115 - Atividade Reflexa Cinesioterápica (R$ 20,81)"/>
    <s v="Fisioterapia"/>
    <n v="1706226214"/>
    <s v="Finalizado (4/4)"/>
    <n v="18.312799999999999"/>
    <n v="2.4971999999999999"/>
    <n v="20.81"/>
    <s v="Sessão Faturada"/>
    <n v="774063006521000"/>
    <n v="48489"/>
    <s v="Unidade Vieiralves"/>
    <n v="1706226214"/>
    <m/>
  </r>
  <r>
    <x v="21"/>
    <x v="37"/>
    <s v="Dina Francoile Viana Ramos"/>
    <s v="Feminino"/>
    <x v="2"/>
    <x v="20"/>
    <s v="20103115 - Atividade Reflexa Cinesioterápica (R$ 20,81)"/>
    <s v="Fisioterapia"/>
    <n v="1706287395"/>
    <s v="Finalizado (3/4)"/>
    <n v="18.312799999999999"/>
    <n v="2.4971999999999999"/>
    <n v="20.81"/>
    <s v="Sessão Faturada"/>
    <n v="960016167330060"/>
    <n v="16965"/>
    <s v="Unidade Vieiralves"/>
    <n v="1706287395"/>
    <m/>
  </r>
  <r>
    <x v="21"/>
    <x v="37"/>
    <s v="Beatriz Coelho da Silva"/>
    <s v="Feminino"/>
    <x v="2"/>
    <x v="20"/>
    <s v="20103506 - Fisioterapia - Patologia Em Um Segmento da Coluna (R$ 12,22)"/>
    <s v="Fisioterapia"/>
    <n v="1706225002"/>
    <s v="Finalizado (4/4)"/>
    <n v="10.7536"/>
    <n v="1.4663999999999999"/>
    <n v="12.22"/>
    <s v="Sessão Faturada"/>
    <n v="774063006521000"/>
    <n v="48489"/>
    <s v="Unidade Vieiralves"/>
    <n v="1706225002"/>
    <m/>
  </r>
  <r>
    <x v="21"/>
    <x v="37"/>
    <s v="Dina Francoile Viana Ramos"/>
    <s v="Feminino"/>
    <x v="2"/>
    <x v="20"/>
    <s v="20103492 - Fisioterapia - Patologia Em Dois Ou Mais Membros (R$ 14,83)"/>
    <s v="Fisioterapia"/>
    <n v="1706286360"/>
    <s v="Finalizado (3/10)"/>
    <n v="13.0504"/>
    <n v="1.7796000000000001"/>
    <n v="14.83"/>
    <s v="Sessão Faturada"/>
    <n v="960016167330060"/>
    <n v="16965"/>
    <s v="Unidade Vieiralves"/>
    <n v="1706286360"/>
    <m/>
  </r>
  <r>
    <x v="21"/>
    <x v="39"/>
    <s v="Luciana Holanda de Souza"/>
    <s v="Feminino"/>
    <x v="7"/>
    <x v="20"/>
    <s v="Vieiralves - 1 - Fisioterapia Ortopedica - Pacote (R$ 40,00)"/>
    <s v="Fisioterapia"/>
    <m/>
    <s v="Finalizado (4/10)"/>
    <n v="31.2"/>
    <n v="8.8000000000000007"/>
    <n v="40"/>
    <s v="Pago"/>
    <s v="00"/>
    <n v="59427"/>
    <s v="Unidade Vieiralves"/>
    <m/>
    <m/>
  </r>
  <r>
    <x v="17"/>
    <x v="44"/>
    <s v="Ana Claudia Teixeira de Souza Viapiana"/>
    <m/>
    <x v="2"/>
    <x v="20"/>
    <s v="20103484 - Fisioterapia - Patologia Em Um Membro (R$ 12,22)"/>
    <s v="Fisioterapia"/>
    <n v="1707711063"/>
    <s v="Finalizado (3/10)"/>
    <n v="10.7536"/>
    <n v="1.4663999999999999"/>
    <n v="12.22"/>
    <s v="Sessão Faturada"/>
    <n v="896958600019010"/>
    <n v="59405"/>
    <s v="Unidade Vieiralves"/>
    <n v="1707711063"/>
    <m/>
  </r>
  <r>
    <x v="17"/>
    <x v="44"/>
    <s v="Ana Claudia Teixeira de Souza Viapiana"/>
    <m/>
    <x v="2"/>
    <x v="20"/>
    <s v="20103115 - Atividade Reflexa Cinesioterápica (R$ 20,81)"/>
    <s v="Fisioterapia"/>
    <n v="1707711684"/>
    <s v="Finalizado (3/4)"/>
    <n v="18.312799999999999"/>
    <n v="2.4971999999999999"/>
    <n v="20.81"/>
    <s v="Sessão Faturada"/>
    <n v="896958600019010"/>
    <n v="59405"/>
    <s v="Unidade Vieiralves"/>
    <n v="1707711684"/>
    <m/>
  </r>
  <r>
    <x v="17"/>
    <x v="44"/>
    <s v="Zemilto Martins Ceara"/>
    <s v="Masculino"/>
    <x v="2"/>
    <x v="20"/>
    <s v="20103115 - Atividade Reflexa Cinesioterápica (R$ 20,81)"/>
    <s v="Fisioterapia"/>
    <n v="1705565257"/>
    <s v="Finalizado (4/5)"/>
    <n v="18.312799999999999"/>
    <n v="2.4971999999999999"/>
    <n v="20.81"/>
    <s v="Sessão Faturada"/>
    <n v="841006100370010"/>
    <n v="9050"/>
    <s v="Unidade Vieiralves"/>
    <n v="1705565257"/>
    <m/>
  </r>
  <r>
    <x v="17"/>
    <x v="44"/>
    <s v="Zemilto Martins Ceara"/>
    <s v="Masculino"/>
    <x v="2"/>
    <x v="20"/>
    <s v="20103492 - Fisioterapia - Patologia Em Dois Ou Mais Membros (R$ 14,83)"/>
    <s v="Fisioterapia"/>
    <n v="1705564788"/>
    <s v="Finalizado (4/8)"/>
    <n v="13.0504"/>
    <n v="1.7796000000000001"/>
    <n v="14.83"/>
    <s v="Sessão Faturada"/>
    <n v="841006100370010"/>
    <n v="9050"/>
    <s v="Unidade Vieiralves"/>
    <n v="1705564788"/>
    <m/>
  </r>
  <r>
    <x v="17"/>
    <x v="41"/>
    <s v="Olga Amelia Souza do Nascimento"/>
    <s v="Feminino"/>
    <x v="16"/>
    <x v="20"/>
    <s v="50000160 - Fisioterapia Ortopedica (R$ 25,00)"/>
    <s v="Fisioterapia"/>
    <n v="170011"/>
    <s v="Finalizado (2/4)"/>
    <n v="22"/>
    <n v="3"/>
    <n v="25"/>
    <s v="Sessão a Faturar"/>
    <s v="000"/>
    <n v="57592"/>
    <s v="Unidade Vieiralves"/>
    <n v="170011"/>
    <m/>
  </r>
  <r>
    <x v="17"/>
    <x v="41"/>
    <s v="Raimundo Mesquita do Nascimento"/>
    <m/>
    <x v="16"/>
    <x v="20"/>
    <s v="50000160 - Fisioterapia Ortopedica (R$ 25,00)"/>
    <s v="Fisioterapia"/>
    <n v="170012"/>
    <s v="Finalizado (2/4)"/>
    <n v="22"/>
    <n v="3"/>
    <n v="25"/>
    <s v="Sessão a Faturar"/>
    <m/>
    <n v="59488"/>
    <s v="Unidade Vieiralves"/>
    <n v="170012"/>
    <m/>
  </r>
  <r>
    <x v="17"/>
    <x v="41"/>
    <s v="Edna Lucia Moraes Derzi"/>
    <s v="Feminino"/>
    <x v="6"/>
    <x v="20"/>
    <s v="20103492 - Patologia Em Dois Ou Mais Membros (R$ 30,26)"/>
    <s v="Fisioterapia"/>
    <n v="170406"/>
    <s v="Finalizado (3/10)"/>
    <n v="26.628799999999998"/>
    <n v="3.6312000000000002"/>
    <n v="30.26"/>
    <s v="Sessão a Faturar"/>
    <s v="54588888469679780015"/>
    <n v="13101"/>
    <s v="Unidade Vieiralves"/>
    <n v="170406"/>
    <m/>
  </r>
  <r>
    <x v="17"/>
    <x v="65"/>
    <s v="Edna Lucia Moraes Derzi"/>
    <s v="Feminino"/>
    <x v="6"/>
    <x v="20"/>
    <s v="31602185 - Estimulação Elétrica Transcutanea (Tens) (R$ 40,00)"/>
    <s v="Fisioterapia"/>
    <n v="170747"/>
    <s v="Finalizado (2/10)"/>
    <n v="35.200000000000003"/>
    <n v="4.8"/>
    <n v="40"/>
    <s v="Sessão a Faturar"/>
    <s v="54588888469679780015"/>
    <n v="13101"/>
    <s v="Unidade Vieiralves"/>
    <n v="170747"/>
    <m/>
  </r>
  <r>
    <x v="17"/>
    <x v="36"/>
    <s v="Emanuele Menezes da Silva"/>
    <s v="Feminino"/>
    <x v="2"/>
    <x v="20"/>
    <s v="20103514 - Fisioterapia - Patologia Em Diferentes Segmentos da Coluna (R$ 14,83)"/>
    <s v="Fisioterapia"/>
    <n v="1708854949"/>
    <s v="Finalizado (1/5)"/>
    <n v="13.0504"/>
    <n v="1.7796000000000001"/>
    <n v="14.83"/>
    <s v="Sessão Faturada"/>
    <n v="774642014893010"/>
    <n v="44534"/>
    <s v="Unidade Vieiralves"/>
    <n v="1708854949"/>
    <m/>
  </r>
  <r>
    <x v="17"/>
    <x v="36"/>
    <s v="Remulo Jose Nascimento Filho"/>
    <s v="Masculino"/>
    <x v="2"/>
    <x v="20"/>
    <s v="20103662 - Fisioterapia - Pos Operatorio Em Um Membro (R$ 14,99)"/>
    <s v="Fisioterapia"/>
    <n v="1706714003"/>
    <s v="Finalizado (4/5)"/>
    <n v="13.1912"/>
    <n v="1.7988"/>
    <n v="14.99"/>
    <s v="Sessão Faturada"/>
    <s v="56788888022609450103"/>
    <n v="45990"/>
    <s v="Unidade Vieiralves"/>
    <n v="1706714003"/>
    <m/>
  </r>
  <r>
    <x v="17"/>
    <x v="61"/>
    <s v="Remulo Jose Nascimento Filho"/>
    <s v="Masculino"/>
    <x v="2"/>
    <x v="20"/>
    <s v="20103115 - Atividade Reflexa Cinesioterápica (R$ 20,81)"/>
    <s v="Fisioterapia"/>
    <n v="1706715476"/>
    <s v="Finalizado (4/4)"/>
    <n v="18.312799999999999"/>
    <n v="2.4971999999999999"/>
    <n v="20.81"/>
    <s v="Sessão Faturada"/>
    <s v="56788888022609450103"/>
    <n v="45990"/>
    <s v="Unidade Vieiralves"/>
    <n v="1706715476"/>
    <m/>
  </r>
  <r>
    <x v="17"/>
    <x v="61"/>
    <s v="Emanuele Menezes da Silva"/>
    <s v="Feminino"/>
    <x v="2"/>
    <x v="20"/>
    <s v="20103115 - Atividade Reflexa Cinesioterápica (R$ 20,81)"/>
    <s v="Fisioterapia"/>
    <n v="1708855900"/>
    <s v="Finalizado (1/3)"/>
    <n v="18.312799999999999"/>
    <n v="2.4971999999999999"/>
    <n v="20.81"/>
    <s v="Sessão Faturada"/>
    <n v="774642014893010"/>
    <n v="44534"/>
    <s v="Unidade Vieiralves"/>
    <n v="1708855900"/>
    <m/>
  </r>
  <r>
    <x v="17"/>
    <x v="40"/>
    <s v="Grace Mary Araujo de Souza"/>
    <s v="Feminino"/>
    <x v="1"/>
    <x v="20"/>
    <s v="50000160 - Fisioterapia Ortopédica (R$ 20,00), 98980327 - Taxa de Eletroterapia (Tens) (R$ 15,00)"/>
    <s v="Fisioterapia"/>
    <n v="8530573"/>
    <s v="Finalizado (9/10)"/>
    <n v="30.8"/>
    <n v="4.2"/>
    <n v="35"/>
    <s v="Sessão Faturada"/>
    <s v="0201013190830080"/>
    <n v="44903"/>
    <s v="Unidade Vieiralves"/>
    <n v="8530573"/>
    <s v="Guia assinada!"/>
  </r>
  <r>
    <x v="17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2/10)"/>
    <n v="41.342399999999998"/>
    <n v="5.6375999999999999"/>
    <n v="46.98"/>
    <s v="Sessão a Faturar"/>
    <s v="55788888491272530020"/>
    <n v="51936"/>
    <s v="Unidade Vieiralves"/>
    <n v="170745"/>
    <m/>
  </r>
  <r>
    <x v="17"/>
    <x v="40"/>
    <s v="Darlan da Silva Picanço"/>
    <s v="Feminino"/>
    <x v="1"/>
    <x v="20"/>
    <s v="50000160 - Fisioterapia Ortopédica (R$ 20,00), 98980327 - Taxa de Eletroterapia (Tens) (R$ 15,00)"/>
    <s v="Fisioterapia"/>
    <n v="9093197"/>
    <s v="Finalizado (5/10)"/>
    <n v="30.8"/>
    <n v="4.2"/>
    <n v="35"/>
    <s v="Sessão Faturada"/>
    <s v="0901013959170057"/>
    <n v="15532"/>
    <s v="Unidade Vieiralves"/>
    <n v="9093197"/>
    <m/>
  </r>
  <r>
    <x v="17"/>
    <x v="45"/>
    <s v="Auxiliadora Brito de Lima"/>
    <m/>
    <x v="6"/>
    <x v="20"/>
    <s v="31602185 - Estimulação Elétrica Transcutanea (Tens) (R$ 40,00)"/>
    <s v="Fisioterapia"/>
    <n v="170746"/>
    <s v="Finalizado (2/9)"/>
    <n v="35.200000000000003"/>
    <n v="4.8"/>
    <n v="40"/>
    <s v="Sessão a Faturar"/>
    <s v="55788888491272530020"/>
    <n v="51936"/>
    <s v="Unidade Vieiralves"/>
    <n v="170746"/>
    <m/>
  </r>
  <r>
    <x v="17"/>
    <x v="35"/>
    <s v="Tatianna Silva Portes"/>
    <s v="Feminino"/>
    <x v="5"/>
    <x v="20"/>
    <s v="98860020 - Fisioterapia Complexidade 2 - 04/03/2026 (R$ 70,79)"/>
    <s v="Fisioterapia"/>
    <n v="77595650"/>
    <s v="Finalizado (3/10)"/>
    <n v="62.295200000000001"/>
    <n v="8.4947999999999997"/>
    <n v="70.790000000000006"/>
    <s v="Sessão Faturada"/>
    <s v="0100621050010300"/>
    <n v="55555"/>
    <s v="Unidade Vieiralves"/>
    <n v="77595650"/>
    <m/>
  </r>
  <r>
    <x v="17"/>
    <x v="42"/>
    <s v="Tatianna Silva Portes"/>
    <s v="Feminino"/>
    <x v="5"/>
    <x v="20"/>
    <s v="31602185 - Estimulação Elétrica Transcutânea (Tens) - 04/03/2026 (R$ 120,28)"/>
    <s v="Fisioterapia"/>
    <n v="77595860"/>
    <s v="Finalizado (1/8)"/>
    <n v="105.8464"/>
    <n v="14.4336"/>
    <n v="120.28"/>
    <s v="Sessão Faturada"/>
    <s v="0100621050010300"/>
    <n v="55555"/>
    <s v="Unidade Vieiralves"/>
    <n v="77595860"/>
    <m/>
  </r>
  <r>
    <x v="17"/>
    <x v="38"/>
    <s v="Ricardo Marques de Abreu"/>
    <s v="Masculino"/>
    <x v="1"/>
    <x v="20"/>
    <s v="50000160 - Fisioterapia Ortopédica (R$ 20,00), 98980327 - Taxa de Eletroterapia (Tens) (R$ 15,00)"/>
    <s v="Fisioterapia"/>
    <n v="9239312"/>
    <s v="Finalizado (1/9)"/>
    <n v="30.8"/>
    <n v="4.2"/>
    <n v="35"/>
    <s v="Sessão Faturada"/>
    <n v="2001013216580000"/>
    <n v="43902"/>
    <s v="Unidade Vieiralves"/>
    <n v="9239312"/>
    <m/>
  </r>
  <r>
    <x v="17"/>
    <x v="38"/>
    <s v="Juliana Schettini Sobrinho Dourado"/>
    <m/>
    <x v="6"/>
    <x v="20"/>
    <s v="20103484 - Patologia Em Um Membro (R$ 14,16)"/>
    <s v="Fisioterapia"/>
    <n v="169920"/>
    <s v="Finalizado (5/5)"/>
    <n v="12.460800000000001"/>
    <n v="1.6992"/>
    <n v="14.16"/>
    <s v="Sessão a Faturar"/>
    <s v="51588888483923230010"/>
    <n v="58626"/>
    <s v="Unidade Vieiralves"/>
    <n v="169920"/>
    <m/>
  </r>
  <r>
    <x v="17"/>
    <x v="38"/>
    <s v="Ana Cristina Belarmino de Oliveira"/>
    <s v="Feminino"/>
    <x v="15"/>
    <x v="20"/>
    <s v="20103514 - Patologia Em Diferentes Segmentos da Coluna (R$ 60,72)"/>
    <s v="Fisioterapia"/>
    <n v="238463711"/>
    <s v="Finalizado (3/10)"/>
    <n v="53.433599999999998"/>
    <n v="7.2864000000000004"/>
    <n v="60.72"/>
    <s v="Sessão a Faturar"/>
    <s v="012616100102004"/>
    <n v="59505"/>
    <s v="Unidade Vieiralves"/>
    <n v="238463711"/>
    <m/>
  </r>
  <r>
    <x v="17"/>
    <x v="37"/>
    <s v="Laindks Lopes"/>
    <s v="Feminino"/>
    <x v="2"/>
    <x v="20"/>
    <s v="20103506 - Fisioterapia - Patologia Em Um Segmento da Coluna (R$ 12,22)"/>
    <s v="Fisioterapia"/>
    <n v="1705697611"/>
    <s v="Finalizado (4/5)"/>
    <n v="10.7536"/>
    <n v="1.4663999999999999"/>
    <n v="12.22"/>
    <s v="Sessão Faturada"/>
    <n v="611453030001010"/>
    <n v="29"/>
    <s v="Unidade Vieiralves"/>
    <n v="1705697611"/>
    <m/>
  </r>
  <r>
    <x v="17"/>
    <x v="37"/>
    <s v="Valdemira Almeida Rolim"/>
    <s v="Feminino"/>
    <x v="2"/>
    <x v="20"/>
    <s v="20103492 - Fisioterapia - Patologia Em Dois Ou Mais Membros (R$ 14,83)"/>
    <s v="Fisioterapia"/>
    <n v="1704748616"/>
    <s v="Finalizado (4/4)"/>
    <n v="13.0504"/>
    <n v="1.7796000000000001"/>
    <n v="14.83"/>
    <s v="Sessão Faturada"/>
    <n v="771015041971010"/>
    <n v="58522"/>
    <s v="Unidade Vieiralves"/>
    <n v="1704748616"/>
    <m/>
  </r>
  <r>
    <x v="17"/>
    <x v="63"/>
    <s v="Valdemira Almeida Rolim"/>
    <s v="Feminino"/>
    <x v="2"/>
    <x v="20"/>
    <s v="20103115 - Atividade Reflexa Cinesioterápica (R$ 20,81)"/>
    <s v="Fisioterapia"/>
    <n v="1704749518"/>
    <s v="Finalizado (4/4)"/>
    <n v="18.312799999999999"/>
    <n v="2.4971999999999999"/>
    <n v="20.81"/>
    <s v="Sessão Faturada"/>
    <n v="771015041971010"/>
    <n v="58522"/>
    <s v="Unidade Vieiralves"/>
    <n v="1704749518"/>
    <m/>
  </r>
  <r>
    <x v="17"/>
    <x v="39"/>
    <s v="Priscila de Souza Rosa Barroncas"/>
    <m/>
    <x v="15"/>
    <x v="20"/>
    <s v="20103506 - Patologia Em Um Segmento da Coluna (R$ 34,74)"/>
    <s v="Fisioterapia"/>
    <n v="238990207"/>
    <s v="Finalizado (2/8)"/>
    <n v="30.571200000000001"/>
    <n v="4.1688000000000001"/>
    <n v="34.74"/>
    <s v="Sessão a Faturar"/>
    <s v="012376760102005"/>
    <n v="52839"/>
    <s v="Unidade Vieiralves"/>
    <n v="238990207"/>
    <m/>
  </r>
  <r>
    <x v="17"/>
    <x v="39"/>
    <s v="Aline Ferreira Pereira"/>
    <s v="Feminino"/>
    <x v="3"/>
    <x v="20"/>
    <s v="0006 - Fisioterapia Ortopédica - Pacote Com 10 Sessões (R$ 40,00)"/>
    <s v="Fisioterapia"/>
    <n v="169451"/>
    <s v="Finalizado (6/10)"/>
    <n v="31.2"/>
    <n v="8.8000000000000007"/>
    <n v="40"/>
    <s v="Sessão a Faturar"/>
    <n v="6741"/>
    <n v="59441"/>
    <s v="Unidade Vieiralves"/>
    <n v="169451"/>
    <m/>
  </r>
  <r>
    <x v="17"/>
    <x v="0"/>
    <s v="Julyene Vitória Santos Martendal"/>
    <s v="Feminino"/>
    <x v="6"/>
    <x v="20"/>
    <s v="20103484 - Patologia Em Um Membro (R$ 14,16)"/>
    <s v="Fisioterapia"/>
    <n v="168937"/>
    <s v="Finalizado (5/5)"/>
    <n v="12.460800000000001"/>
    <n v="1.6992"/>
    <n v="14.16"/>
    <s v="Sessão a Faturar"/>
    <s v="56788888488539110013"/>
    <n v="57410"/>
    <s v="Unidade Vieralves (ANEXO)"/>
    <n v="168937"/>
    <m/>
  </r>
  <r>
    <x v="17"/>
    <x v="0"/>
    <s v="Caroline Duarte Brighente"/>
    <s v="Feminino"/>
    <x v="1"/>
    <x v="20"/>
    <s v="50000160 - Fisioterapia Ortopédica (R$ 20,00), 98980327 - Taxa de Eletroterapia (Tens) (R$ 15,00)"/>
    <s v="Fisioterapia"/>
    <n v="9161743"/>
    <s v="Finalizado (2/10)"/>
    <n v="30.8"/>
    <n v="4.2"/>
    <n v="35"/>
    <s v="Sessão Faturada"/>
    <s v="0501011606920055"/>
    <n v="59374"/>
    <s v="Unidade Vieralves (ANEXO)"/>
    <n v="9161743"/>
    <m/>
  </r>
  <r>
    <x v="17"/>
    <x v="0"/>
    <s v="Maria de Fatima Chaves Coimbra"/>
    <s v="Feminino"/>
    <x v="6"/>
    <x v="20"/>
    <s v="50000144 - Avaliação de Fisioterapia (R$ 56,52)"/>
    <s v="Fisioterapia"/>
    <n v="7700047143"/>
    <s v="Finalizado (1/1)"/>
    <n v="50.868000000000002"/>
    <n v="5.6520000000000001"/>
    <n v="56.52"/>
    <s v="Sessão Faturada"/>
    <s v="55788888000967700014"/>
    <n v="19051"/>
    <s v="Unidade Vieralves (ANEXO)"/>
    <n v="7700047143"/>
    <m/>
  </r>
  <r>
    <x v="17"/>
    <x v="0"/>
    <s v="Vera Lucia Lima da Costa"/>
    <s v="Feminino"/>
    <x v="5"/>
    <x v="20"/>
    <s v="98860011 - Fisioterapia Complexidade 1 (R$ 55,26)"/>
    <s v="Fisioterapia"/>
    <n v="170532"/>
    <s v="Finalizado (1/1)"/>
    <n v="48.628799999999998"/>
    <n v="6.6311999999999998"/>
    <n v="55.26"/>
    <s v="Sessão a Faturar"/>
    <s v="0100149305061503"/>
    <n v="45883"/>
    <s v="Unidade Vieralves (ANEXO)"/>
    <n v="170532"/>
    <m/>
  </r>
  <r>
    <x v="17"/>
    <x v="1"/>
    <s v="Julyene Vitória Santos Martendal"/>
    <s v="Feminino"/>
    <x v="6"/>
    <x v="20"/>
    <s v="31602185 - Estimulação Elétrica Transcutanea (Tens) (R$ 40,00)"/>
    <s v="Fisioterapia"/>
    <n v="168938"/>
    <s v="Finalizado (5/5)"/>
    <n v="35.200000000000003"/>
    <n v="4.8"/>
    <n v="40"/>
    <s v="Sessão a Faturar"/>
    <s v="56788888488539110013"/>
    <n v="57410"/>
    <s v="Unidade Vieralves (ANEXO)"/>
    <n v="168938"/>
    <m/>
  </r>
  <r>
    <x v="17"/>
    <x v="2"/>
    <s v="Fabíola Graziele Martins de Lima"/>
    <s v="Feminino"/>
    <x v="8"/>
    <x v="20"/>
    <s v="20103484 - Patologia Em Um Membro (R$ 12,22)"/>
    <s v="Fisioterapia"/>
    <n v="1706399609"/>
    <s v="Finalizado (4/5)"/>
    <n v="10.7536"/>
    <n v="1.4663999999999999"/>
    <n v="12.22"/>
    <s v="Sessão a Faturar"/>
    <n v="954590029556010"/>
    <n v="59043"/>
    <s v="Unidade Vieralves (ANEXO)"/>
    <n v="1706399609"/>
    <m/>
  </r>
  <r>
    <x v="17"/>
    <x v="2"/>
    <s v="Ivanildes Barbosa da Silva"/>
    <s v="Feminino"/>
    <x v="6"/>
    <x v="20"/>
    <s v="20103484 - Patologia Em Um Membro (R$ 14,16)"/>
    <s v="Fisioterapia"/>
    <n v="169848"/>
    <s v="Finalizado (4/5)"/>
    <n v="12.460800000000001"/>
    <n v="1.6992"/>
    <n v="14.16"/>
    <s v="Sessão a Faturar"/>
    <s v="54588888019240100022"/>
    <n v="58583"/>
    <s v="Unidade Vieralves (ANEXO)"/>
    <n v="169848"/>
    <m/>
  </r>
  <r>
    <x v="17"/>
    <x v="2"/>
    <s v="Eliana Souza de Lima"/>
    <s v="Feminino"/>
    <x v="15"/>
    <x v="20"/>
    <s v="20103484 - Patologia Em Um Membro (R$ 37,14)"/>
    <s v="Fisioterapia"/>
    <n v="227717729"/>
    <s v="Não compareceu (10/10)"/>
    <n v="37.14"/>
    <n v="0"/>
    <n v="37.14"/>
    <s v="Sessão Faturada"/>
    <s v="013058180102004"/>
    <n v="58062"/>
    <s v="Unidade Vieralves (ANEXO)"/>
    <n v="227717729"/>
    <s v="Guia assinada! 05/12"/>
  </r>
  <r>
    <x v="17"/>
    <x v="56"/>
    <s v="Fabíola Graziele Martins de Lima"/>
    <s v="Feminino"/>
    <x v="8"/>
    <x v="20"/>
    <s v="20103115 - Atividade Reflexa Cinesioterápica (R$ 20,81)"/>
    <s v="Fisioterapia"/>
    <n v="1706400132"/>
    <s v="Finalizado (4/4)"/>
    <n v="18.312799999999999"/>
    <n v="2.4971999999999999"/>
    <n v="20.81"/>
    <s v="Sessão Faturada"/>
    <n v="954590029556010"/>
    <n v="59043"/>
    <s v="Unidade Vieralves (ANEXO)"/>
    <n v="1706400132"/>
    <m/>
  </r>
  <r>
    <x v="17"/>
    <x v="3"/>
    <s v="Ivanildes Barbosa da Silva"/>
    <s v="Feminino"/>
    <x v="6"/>
    <x v="20"/>
    <s v="31602185 - Estimulação Elétrica Transcutanea (Tens) (R$ 40,00)"/>
    <s v="Fisioterapia"/>
    <n v="169849"/>
    <s v="Finalizado (4/5)"/>
    <n v="35.200000000000003"/>
    <n v="4.8"/>
    <n v="40"/>
    <s v="Sessão a Faturar"/>
    <s v="54588888019240100022"/>
    <n v="58583"/>
    <s v="Unidade Vieralves (ANEXO)"/>
    <n v="169849"/>
    <m/>
  </r>
  <r>
    <x v="17"/>
    <x v="81"/>
    <s v="Fabíola Graziele Martins de Lima"/>
    <s v="Feminino"/>
    <x v="9"/>
    <x v="20"/>
    <s v="31602185 - Estimulação Elétrica Transcutânea (Tens) - Removido 13/04/2026 (R$ 40,00)"/>
    <s v="Fisioterapia"/>
    <n v="1707338393"/>
    <s v="Finalizado (3/5)"/>
    <n v="35.200000000000003"/>
    <n v="4.8"/>
    <n v="40"/>
    <s v="Sessão Faturada"/>
    <n v="954590029556010"/>
    <n v="59043"/>
    <s v="Unidade Vieralves (ANEXO)"/>
    <n v="1707338393"/>
    <m/>
  </r>
  <r>
    <x v="17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6/10)"/>
    <n v="30.8"/>
    <n v="4.2"/>
    <n v="35"/>
    <s v="Sessão Faturada"/>
    <n v="2001012922200100"/>
    <n v="59047"/>
    <s v="Unidade Vieralves (ANEXO)"/>
    <n v="9016939"/>
    <m/>
  </r>
  <r>
    <x v="17"/>
    <x v="13"/>
    <s v="Sofia Araujo Pereira Ferreira"/>
    <s v="Feminino"/>
    <x v="2"/>
    <x v="20"/>
    <s v="20103514 - Fisioterapia - Patologia Em Diferentes Segmentos da Coluna (R$ 14,83)"/>
    <s v="Fisioterapia"/>
    <n v="1702869461"/>
    <s v="Finalizado (4/5)"/>
    <n v="13.0504"/>
    <n v="1.7796000000000001"/>
    <n v="14.83"/>
    <s v="Sessão Faturada"/>
    <n v="814438300051020"/>
    <n v="59164"/>
    <s v="Unidade Vieralves (ANEXO)"/>
    <n v="1702869461"/>
    <m/>
  </r>
  <r>
    <x v="17"/>
    <x v="14"/>
    <s v="Sofia Araujo Pereira Ferreira"/>
    <s v="Feminino"/>
    <x v="2"/>
    <x v="20"/>
    <s v="20103115 - Atividade Reflexa Cinesioterápica (R$ 20,81)"/>
    <s v="Fisioterapia"/>
    <n v="1702870293"/>
    <s v="Finalizado (4/4)"/>
    <n v="18.312799999999999"/>
    <n v="2.4971999999999999"/>
    <n v="20.81"/>
    <s v="Sessão Faturada"/>
    <n v="814438300051020"/>
    <n v="59164"/>
    <s v="Unidade Vieralves (ANEXO)"/>
    <n v="1702870293"/>
    <m/>
  </r>
  <r>
    <x v="17"/>
    <x v="6"/>
    <s v="Victoria de Moraes Martins Pereira"/>
    <s v="Masculino"/>
    <x v="6"/>
    <x v="20"/>
    <s v="20103662 - Pos Operatorio Em Um Membro (R$ 22,53)"/>
    <s v="Fisioterapia"/>
    <n v="169746"/>
    <s v="Finalizado (5/5)"/>
    <n v="19.8264"/>
    <n v="2.7035999999999998"/>
    <n v="22.53"/>
    <s v="Sessão a Faturar"/>
    <s v="55788888488381350015"/>
    <n v="48970"/>
    <s v="Unidade Vieralves (ANEXO)"/>
    <n v="169746"/>
    <m/>
  </r>
  <r>
    <x v="17"/>
    <x v="6"/>
    <s v="Isabelle Aucar Gioia"/>
    <s v="Feminino"/>
    <x v="6"/>
    <x v="20"/>
    <s v="20103484 - Patologia Em Um Membro (R$ 14,16)"/>
    <s v="Fisioterapia"/>
    <n v="170013"/>
    <s v="Finalizado (2/10)"/>
    <n v="12.460800000000001"/>
    <n v="1.6992"/>
    <n v="14.16"/>
    <s v="Sessão a Faturar"/>
    <s v="58200789998000620016"/>
    <n v="53296"/>
    <s v="Unidade Vieralves (ANEXO)"/>
    <n v="170013"/>
    <s v="guia assinada. 14/03"/>
  </r>
  <r>
    <x v="17"/>
    <x v="6"/>
    <s v="Iranildo Macedo Soares"/>
    <s v="Masculino"/>
    <x v="11"/>
    <x v="20"/>
    <s v="20103484 - Fisioterapia - Patologia Em Um Membro (R$ 80,33)"/>
    <s v="Fisioterapia"/>
    <n v="2508"/>
    <s v="Finalizado (7/8)"/>
    <n v="70.690399999999997"/>
    <n v="9.6395999999999997"/>
    <n v="80.33"/>
    <s v="Sessão Faturada"/>
    <n v="2302034"/>
    <n v="59195"/>
    <s v="Unidade Vieralves (ANEXO)"/>
    <n v="2508"/>
    <m/>
  </r>
  <r>
    <x v="17"/>
    <x v="6"/>
    <s v="Laura Irene Villacrez Flores"/>
    <s v="Feminino"/>
    <x v="5"/>
    <x v="20"/>
    <s v="98860011 - Fisioterapia Complexidade 1 (R$ 55,26)"/>
    <s v="Fisioterapia"/>
    <n v="77963780"/>
    <s v="Finalizado (2/10)"/>
    <n v="48.628799999999998"/>
    <n v="6.6311999999999998"/>
    <n v="55.26"/>
    <s v="Sessão Faturada"/>
    <s v="010080860100"/>
    <n v="59130"/>
    <s v="Unidade Vieralves (ANEXO)"/>
    <n v="77963780"/>
    <m/>
  </r>
  <r>
    <x v="17"/>
    <x v="7"/>
    <s v="Victoria de Moraes Martins Pereira"/>
    <s v="Masculino"/>
    <x v="6"/>
    <x v="20"/>
    <s v="31602185 - Estimulação Elétrica Transcutanea (Tens) (R$ 40,00)"/>
    <s v="Fisioterapia"/>
    <n v="169747"/>
    <s v="Finalizado (5/5)"/>
    <n v="35.200000000000003"/>
    <n v="4.8"/>
    <n v="40"/>
    <s v="Sessão a Faturar"/>
    <s v="55788888488381350015"/>
    <n v="48970"/>
    <s v="Unidade Vieralves (ANEXO)"/>
    <n v="169747"/>
    <m/>
  </r>
  <r>
    <x v="17"/>
    <x v="7"/>
    <s v="Isabelle Aucar Gioia"/>
    <s v="Feminino"/>
    <x v="6"/>
    <x v="20"/>
    <s v="31602185 - Estimulação Elétrica Transcutanea (Tens) (R$ 40,00)"/>
    <s v="Fisioterapia"/>
    <n v="170015"/>
    <s v="Finalizado (2/10)"/>
    <n v="35.200000000000003"/>
    <n v="4.8"/>
    <n v="40"/>
    <s v="Sessão a Faturar"/>
    <s v="58200789998000620016"/>
    <n v="53296"/>
    <s v="Unidade Vieralves (ANEXO)"/>
    <n v="170015"/>
    <s v="guia assinada. 14/03"/>
  </r>
  <r>
    <x v="17"/>
    <x v="15"/>
    <s v="Rosana Silva dos Santos"/>
    <s v="Feminino"/>
    <x v="1"/>
    <x v="20"/>
    <s v="50000160 - Fisioterapia Ortopédica (R$ 20,00), 98980327 - Taxa de Eletroterapia (Tens) (R$ 15,00)"/>
    <s v="Fisioterapia"/>
    <n v="9592647"/>
    <s v="Finalizado (1/10)"/>
    <n v="30.8"/>
    <n v="4.2"/>
    <n v="35"/>
    <s v="Sessão a Faturar"/>
    <n v="1101006073830400"/>
    <n v="58800"/>
    <s v="Unidade Vieralves (ANEXO)"/>
    <n v="9592647"/>
    <m/>
  </r>
  <r>
    <x v="17"/>
    <x v="15"/>
    <s v="Núbia Sena Abrantes"/>
    <s v="Feminino"/>
    <x v="1"/>
    <x v="20"/>
    <s v="50000160 - Fisioterapia Ortopédica (R$ 20,00), 98980327 - Taxa de Eletroterapia (Tens) (R$ 15,00)"/>
    <s v="Fisioterapia"/>
    <n v="8955494"/>
    <s v="Finalizado (6/10)"/>
    <n v="30.8"/>
    <n v="4.2"/>
    <n v="35"/>
    <s v="Sessão Faturada"/>
    <s v="0903002964650113"/>
    <n v="56048"/>
    <s v="Unidade Vieralves (ANEXO)"/>
    <n v="8955494"/>
    <s v="guia assinada "/>
  </r>
  <r>
    <x v="17"/>
    <x v="15"/>
    <s v="Sabrina Frota Miranda"/>
    <s v="Feminino"/>
    <x v="2"/>
    <x v="20"/>
    <s v="20103484 - Fisioterapia - Patologia Em Um Membro (R$ 12,22)"/>
    <s v="Fisioterapia"/>
    <n v="1704013274"/>
    <s v="Finalizado (3/5)"/>
    <n v="10.7536"/>
    <n v="1.4663999999999999"/>
    <n v="12.22"/>
    <s v="Sessão Faturada"/>
    <n v="774170004260000"/>
    <n v="58714"/>
    <s v="Unidade Vieralves (ANEXO)"/>
    <n v="1704013274"/>
    <m/>
  </r>
  <r>
    <x v="17"/>
    <x v="16"/>
    <s v="Sabrina Frota Miranda"/>
    <s v="Feminino"/>
    <x v="2"/>
    <x v="20"/>
    <s v="20103115 - Atividade Reflexa Cinesioterápica (R$ 20,81)"/>
    <s v="Fisioterapia"/>
    <n v="1704013931"/>
    <s v="Finalizado (3/3)"/>
    <n v="18.312799999999999"/>
    <n v="2.4971999999999999"/>
    <n v="20.81"/>
    <s v="Sessão Faturada"/>
    <n v="774170004260000"/>
    <n v="58714"/>
    <s v="Unidade Vieralves (ANEXO)"/>
    <n v="1704013931"/>
    <m/>
  </r>
  <r>
    <x v="17"/>
    <x v="17"/>
    <s v="Armando Altomir Fonseca Bastos"/>
    <s v="Masculino"/>
    <x v="6"/>
    <x v="20"/>
    <s v="20103484 - Patologia Em Um Membro (R$ 14,16)"/>
    <s v="Fisioterapia"/>
    <n v="170551"/>
    <s v="Finalizado (3/3)"/>
    <n v="12.460800000000001"/>
    <n v="1.6992"/>
    <n v="14.16"/>
    <s v="Sessão a Faturar"/>
    <s v="55788888493949060020"/>
    <n v="59494"/>
    <s v="Unidade Vieralves (ANEXO)"/>
    <n v="170551"/>
    <m/>
  </r>
  <r>
    <x v="17"/>
    <x v="17"/>
    <s v="Nathalia Cristina Gabriel"/>
    <s v="Feminino"/>
    <x v="6"/>
    <x v="20"/>
    <s v="20103492 - Patologia Em Dois Ou Mais Membros (R$ 30,26)"/>
    <s v="Fisioterapia"/>
    <n v="171070"/>
    <s v="Finalizado (1/5)"/>
    <n v="26.628799999999998"/>
    <n v="3.6312000000000002"/>
    <n v="30.26"/>
    <s v="Sessão a Faturar"/>
    <s v="54563002000013620010"/>
    <n v="48743"/>
    <s v="Unidade Vieralves (ANEXO)"/>
    <n v="171070"/>
    <m/>
  </r>
  <r>
    <x v="17"/>
    <x v="24"/>
    <s v="Nathalia Cristina Gabriel"/>
    <s v="Feminino"/>
    <x v="6"/>
    <x v="20"/>
    <s v="31602185 - Estimulação Elétrica Transcutanea (Tens) (R$ 40,00)"/>
    <s v="Fisioterapia"/>
    <n v="171071"/>
    <s v="Finalizado (1/5)"/>
    <n v="35.200000000000003"/>
    <n v="4.8"/>
    <n v="40"/>
    <s v="Sessão a Faturar"/>
    <s v="54563002000013620010"/>
    <n v="48743"/>
    <s v="Unidade Vieralves (ANEXO)"/>
    <n v="171071"/>
    <m/>
  </r>
  <r>
    <x v="17"/>
    <x v="18"/>
    <s v="Armando Altomir Fonseca Bastos"/>
    <s v="Masculino"/>
    <x v="6"/>
    <x v="20"/>
    <s v="31602185 - Estimulação Elétrica Transcutanea (Tens) (R$ 40,00)"/>
    <s v="Fisioterapia"/>
    <n v="170552"/>
    <s v="Finalizado (3/3)"/>
    <n v="35.200000000000003"/>
    <n v="4.8"/>
    <n v="40"/>
    <s v="Sessão a Faturar"/>
    <s v="55788888493949060020"/>
    <n v="59494"/>
    <s v="Unidade Vieralves (ANEXO)"/>
    <n v="170552"/>
    <m/>
  </r>
  <r>
    <x v="17"/>
    <x v="25"/>
    <s v="Nathalia Cristina Gabriel"/>
    <s v="Feminino"/>
    <x v="6"/>
    <x v="20"/>
    <s v="50000144 - Avaliação de Fisioterapia (R$ 56,52)"/>
    <s v="Fisioterapia"/>
    <n v="7700047144"/>
    <s v="Finalizado (1/1)"/>
    <n v="50.868000000000002"/>
    <n v="5.6520000000000001"/>
    <n v="56.52"/>
    <s v="Sessão Faturada"/>
    <s v="54563002000013620010"/>
    <n v="48743"/>
    <s v="Unidade Vieralves (ANEXO)"/>
    <n v="7700047144"/>
    <m/>
  </r>
  <r>
    <x v="17"/>
    <x v="8"/>
    <s v="Renata de Aguiar Torres"/>
    <s v="Feminino"/>
    <x v="2"/>
    <x v="20"/>
    <s v="20103492 - Fisioterapia - Patologia Em Dois Ou Mais Membros (R$ 14,83)"/>
    <s v="Fisioterapia"/>
    <n v="1702975911"/>
    <s v="Finalizado (3/4)"/>
    <n v="13.0504"/>
    <n v="1.7796000000000001"/>
    <n v="14.83"/>
    <s v="Sessão Faturada"/>
    <n v="960019412893000"/>
    <n v="49038"/>
    <s v="Unidade Vieralves (ANEXO)"/>
    <n v="1702975911"/>
    <m/>
  </r>
  <r>
    <x v="17"/>
    <x v="9"/>
    <s v="Renata de Aguiar Torres"/>
    <s v="Feminino"/>
    <x v="2"/>
    <x v="20"/>
    <s v="20103115 - Atividade Reflexa Cinesioterápica (R$ 20,81)"/>
    <s v="Fisioterapia"/>
    <n v="1702976547"/>
    <s v="Finalizado (3/3)"/>
    <n v="18.312799999999999"/>
    <n v="2.4971999999999999"/>
    <n v="20.81"/>
    <s v="Sessão Faturada"/>
    <n v="960019412893000"/>
    <n v="49038"/>
    <s v="Unidade Vieralves (ANEXO)"/>
    <n v="1702976547"/>
    <m/>
  </r>
  <r>
    <x v="17"/>
    <x v="10"/>
    <s v="Victor Thury Vieira Hauache"/>
    <s v="Masculino"/>
    <x v="6"/>
    <x v="20"/>
    <s v="20103484 - Patologia Em Um Membro (R$ 14,16)"/>
    <s v="Fisioterapia"/>
    <n v="170378"/>
    <s v="Finalizado (3/5)"/>
    <n v="12.460800000000001"/>
    <n v="1.6992"/>
    <n v="14.16"/>
    <s v="Sessão a Faturar"/>
    <s v="55788888476678190110"/>
    <n v="59493"/>
    <s v="Unidade Vieralves (ANEXO)"/>
    <n v="170378"/>
    <m/>
  </r>
  <r>
    <x v="17"/>
    <x v="10"/>
    <s v="Willian Jean Silva Colares"/>
    <s v="Masculino"/>
    <x v="2"/>
    <x v="20"/>
    <s v="20103484 - Fisioterapia - Patologia Em Um Membro (R$ 12,22)"/>
    <s v="Fisioterapia"/>
    <n v="1707540722"/>
    <s v="Finalizado (3/9)"/>
    <n v="10.7536"/>
    <n v="1.4663999999999999"/>
    <n v="12.22"/>
    <s v="Sessão Faturada"/>
    <n v="775219005800000"/>
    <n v="59277"/>
    <s v="Unidade Vieralves (ANEXO)"/>
    <n v="1707540722"/>
    <m/>
  </r>
  <r>
    <x v="17"/>
    <x v="11"/>
    <s v="Willian Jean Silva Colares"/>
    <s v="Masculino"/>
    <x v="2"/>
    <x v="20"/>
    <s v="20103115 - Atividade Reflexa Cinesioterápica (R$ 20,81)"/>
    <s v="Fisioterapia"/>
    <n v="1707541076"/>
    <s v="Finalizado (3/3)"/>
    <n v="18.312799999999999"/>
    <n v="2.4971999999999999"/>
    <n v="20.81"/>
    <s v="Sessão Faturada"/>
    <n v="775219005800000"/>
    <n v="59277"/>
    <s v="Unidade Vieralves (ANEXO)"/>
    <n v="1707541076"/>
    <m/>
  </r>
  <r>
    <x v="17"/>
    <x v="11"/>
    <s v="Victor Thury Vieira Hauache"/>
    <s v="Masculino"/>
    <x v="6"/>
    <x v="20"/>
    <s v="31602185 - Estimulação Elétrica Transcutanea (Tens) (R$ 40,00)"/>
    <s v="Fisioterapia"/>
    <n v="170379"/>
    <s v="Finalizado (3/5)"/>
    <n v="35.200000000000003"/>
    <n v="4.8"/>
    <n v="40"/>
    <s v="Sessão a Faturar"/>
    <s v="55788888476678190110"/>
    <n v="59493"/>
    <s v="Unidade Vieralves (ANEXO)"/>
    <n v="170379"/>
    <m/>
  </r>
  <r>
    <x v="17"/>
    <x v="12"/>
    <s v="Daniel Silva de Moraes"/>
    <s v="Masculino"/>
    <x v="2"/>
    <x v="20"/>
    <s v="20103492 - Fisioterapia - Patologia Em Dois Ou Mais Membros (R$ 14,83)"/>
    <s v="Fisioterapia"/>
    <n v="1705969156"/>
    <s v="Finalizado (2/3)"/>
    <n v="13.0504"/>
    <n v="1.7796000000000001"/>
    <n v="14.83"/>
    <s v="Sessão Faturada"/>
    <n v="771015049905000"/>
    <n v="43875"/>
    <s v="Unidade Vieralves (ANEXO)"/>
    <n v="1705969156"/>
    <m/>
  </r>
  <r>
    <x v="17"/>
    <x v="12"/>
    <s v="Érica Vicente de Oliveira"/>
    <s v="Feminino"/>
    <x v="6"/>
    <x v="20"/>
    <s v="50000144 - Avaliação de Fisioterapia (R$ 56,52)"/>
    <s v="Fisioterapia"/>
    <m/>
    <s v="Não compareceu (1/1)"/>
    <n v="56.52"/>
    <n v="0"/>
    <n v="56.52"/>
    <s v="Sessão a Faturar"/>
    <s v="56788888491711830015"/>
    <n v="58067"/>
    <s v="Unidade Vieralves (ANEXO)"/>
    <m/>
    <m/>
  </r>
  <r>
    <x v="17"/>
    <x v="19"/>
    <s v="Daniel Silva de Moraes"/>
    <s v="Masculino"/>
    <x v="2"/>
    <x v="20"/>
    <s v="20103115 - Atividade Reflexa Cinesioterápica (R$ 20,81)"/>
    <s v="Fisioterapia"/>
    <n v="1705969754"/>
    <s v="Finalizado (2/2)"/>
    <n v="18.312799999999999"/>
    <n v="2.4971999999999999"/>
    <n v="20.81"/>
    <s v="Sessão Faturada"/>
    <n v="771015049905000"/>
    <n v="43875"/>
    <s v="Unidade Vieralves (ANEXO)"/>
    <n v="1705969754"/>
    <m/>
  </r>
  <r>
    <x v="18"/>
    <x v="89"/>
    <s v="Ismael Monteiro Dantas"/>
    <s v="Masculino"/>
    <x v="1"/>
    <x v="20"/>
    <s v="50000217 - Fisioterapia Pré e Pós Operatória (R$ 25,00), 98980327 - Taxa de Eletroterapia (Tens) (R$ 15,00)"/>
    <s v="Fisioterapia"/>
    <n v="8991656"/>
    <s v="Finalizado (10/10)"/>
    <n v="35.200000000000003"/>
    <n v="4.8"/>
    <n v="40"/>
    <s v="Sessão Faturada"/>
    <n v="901013279890040"/>
    <n v="59419"/>
    <s v="Unidade Vieiralves"/>
    <n v="8991656"/>
    <m/>
  </r>
  <r>
    <x v="18"/>
    <x v="89"/>
    <s v="Sandra Souza Cavalcante"/>
    <m/>
    <x v="2"/>
    <x v="20"/>
    <s v="20103484 - Fisioterapia - Patologia Em Um Membro (R$ 12,22)"/>
    <s v="Fisioterapia"/>
    <n v="1706742835"/>
    <s v="Finalizado (5/5)"/>
    <n v="10.7536"/>
    <n v="1.4663999999999999"/>
    <n v="12.22"/>
    <s v="Sessão Faturada"/>
    <n v="773299001503000"/>
    <n v="59519"/>
    <s v="Unidade Vieiralves"/>
    <n v="1706742835"/>
    <m/>
  </r>
  <r>
    <x v="18"/>
    <x v="89"/>
    <s v="Maria Raimunda da Silva Guedes Lima"/>
    <s v="Feminino"/>
    <x v="2"/>
    <x v="20"/>
    <s v="20103115 - Atividade Reflexa Cinesioterápica (R$ 20,81)"/>
    <s v="Fisioterapia"/>
    <n v="1709425650"/>
    <s v="Finalizado (1/1)"/>
    <n v="18.312799999999999"/>
    <n v="2.4971999999999999"/>
    <n v="20.81"/>
    <s v="Sessão Faturada"/>
    <n v="960016575471000"/>
    <n v="21019"/>
    <s v="Unidade Vieiralves"/>
    <n v="1709425650"/>
    <m/>
  </r>
  <r>
    <x v="18"/>
    <x v="89"/>
    <s v="Maria Raimunda da Silva Guedes Lima"/>
    <s v="Feminino"/>
    <x v="2"/>
    <x v="20"/>
    <s v="20103492 - Fisioterapia - Patologia Em Dois Ou Mais Membros (R$ 14,83)"/>
    <s v="Fisioterapia"/>
    <n v="1709424701"/>
    <s v="Finalizado (1/5)"/>
    <n v="13.0504"/>
    <n v="1.7796000000000001"/>
    <n v="14.83"/>
    <s v="Sessão Faturada"/>
    <n v="960016575471000"/>
    <n v="21019"/>
    <s v="Unidade Vieiralves"/>
    <n v="1709424701"/>
    <m/>
  </r>
  <r>
    <x v="18"/>
    <x v="92"/>
    <s v="Sandra Souza Cavalcante"/>
    <m/>
    <x v="2"/>
    <x v="20"/>
    <s v="20103115 - Atividade Reflexa Cinesioterápica (R$ 20,81)"/>
    <s v="Fisioterapia"/>
    <n v="1706743302"/>
    <s v="Finalizado (5/5)"/>
    <n v="18.312799999999999"/>
    <n v="2.4971999999999999"/>
    <n v="20.81"/>
    <s v="Sessão Faturada"/>
    <n v="773299001503000"/>
    <n v="59519"/>
    <s v="Unidade Vieiralves"/>
    <n v="1706743302"/>
    <m/>
  </r>
  <r>
    <x v="18"/>
    <x v="93"/>
    <s v="Sandra Souza Cavalcante"/>
    <m/>
    <x v="4"/>
    <x v="20"/>
    <s v="31602185 - Estimulação Elétrica Transcutânea - Removido 13/04/2026 (R$ 40,00)"/>
    <s v="Fisioterapia"/>
    <n v="1709420314"/>
    <s v="Finalizado (1/5)"/>
    <n v="35.200000000000003"/>
    <n v="4.8"/>
    <n v="40"/>
    <s v="Sessão Faturada"/>
    <n v="773299001503000"/>
    <n v="59519"/>
    <s v="Unidade Vieiralves"/>
    <n v="1709420314"/>
    <m/>
  </r>
  <r>
    <x v="18"/>
    <x v="44"/>
    <s v="Ana Claudia Teixeira de Souza Viapiana"/>
    <m/>
    <x v="2"/>
    <x v="20"/>
    <s v="20103484 - Fisioterapia - Patologia Em Um Membro (R$ 12,22)"/>
    <s v="Fisioterapia"/>
    <n v="1707711063"/>
    <s v="Finalizado (4/10)"/>
    <n v="10.7536"/>
    <n v="1.4663999999999999"/>
    <n v="12.22"/>
    <s v="Sessão Faturada"/>
    <n v="896958600019010"/>
    <n v="59405"/>
    <s v="Unidade Vieiralves"/>
    <n v="1707711063"/>
    <m/>
  </r>
  <r>
    <x v="18"/>
    <x v="44"/>
    <s v="Olga Amelia Souza do Nascimento"/>
    <s v="Feminino"/>
    <x v="16"/>
    <x v="20"/>
    <s v="50000160 - Fisioterapia Ortopedica (R$ 25,00)"/>
    <s v="Fisioterapia"/>
    <n v="170011"/>
    <s v="Finalizado (3/4)"/>
    <n v="22"/>
    <n v="3"/>
    <n v="25"/>
    <s v="Sessão a Faturar"/>
    <s v="000"/>
    <n v="57592"/>
    <s v="Unidade Vieiralves"/>
    <n v="170011"/>
    <m/>
  </r>
  <r>
    <x v="18"/>
    <x v="44"/>
    <s v="Raimundo Mesquita do Nascimento"/>
    <m/>
    <x v="16"/>
    <x v="20"/>
    <s v="50000160 - Fisioterapia Ortopedica (R$ 25,00)"/>
    <s v="Fisioterapia"/>
    <n v="170012"/>
    <s v="Finalizado (3/4)"/>
    <n v="22"/>
    <n v="3"/>
    <n v="25"/>
    <s v="Sessão a Faturar"/>
    <m/>
    <n v="59488"/>
    <s v="Unidade Vieiralves"/>
    <n v="170012"/>
    <m/>
  </r>
  <r>
    <x v="18"/>
    <x v="60"/>
    <s v="Ana Claudia Teixeira de Souza Viapiana"/>
    <m/>
    <x v="2"/>
    <x v="20"/>
    <s v="20103115 - Atividade Reflexa Cinesioterápica (R$ 20,81)"/>
    <s v="Fisioterapia"/>
    <n v="1707711684"/>
    <s v="Finalizado (4/4)"/>
    <n v="18.312799999999999"/>
    <n v="2.4971999999999999"/>
    <n v="20.81"/>
    <s v="Sessão Faturada"/>
    <n v="896958600019010"/>
    <n v="59405"/>
    <s v="Unidade Vieiralves"/>
    <n v="1707711684"/>
    <m/>
  </r>
  <r>
    <x v="18"/>
    <x v="41"/>
    <s v="Emanuele Menezes da Silva"/>
    <s v="Feminino"/>
    <x v="2"/>
    <x v="20"/>
    <s v="20103514 - Fisioterapia - Patologia Em Diferentes Segmentos da Coluna (R$ 14,83)"/>
    <s v="Fisioterapia"/>
    <n v="1708854949"/>
    <s v="Finalizado (2/5)"/>
    <n v="13.0504"/>
    <n v="1.7796000000000001"/>
    <n v="14.83"/>
    <s v="Sessão Faturada"/>
    <n v="774642014893010"/>
    <n v="44534"/>
    <s v="Unidade Vieiralves"/>
    <n v="1708854949"/>
    <m/>
  </r>
  <r>
    <x v="18"/>
    <x v="41"/>
    <s v="Zemilto Martins Ceara"/>
    <s v="Masculino"/>
    <x v="2"/>
    <x v="20"/>
    <s v="20103492 - Fisioterapia - Patologia Em Dois Ou Mais Membros (R$ 14,83)"/>
    <s v="Fisioterapia"/>
    <n v="1705564788"/>
    <s v="Finalizado (5/8)"/>
    <n v="13.0504"/>
    <n v="1.7796000000000001"/>
    <n v="14.83"/>
    <s v="Sessão Faturada"/>
    <n v="841006100370010"/>
    <n v="9050"/>
    <s v="Unidade Vieiralves"/>
    <n v="1705564788"/>
    <m/>
  </r>
  <r>
    <x v="18"/>
    <x v="41"/>
    <s v="Rafael Daniel Gerzvolf"/>
    <s v="Masculino"/>
    <x v="6"/>
    <x v="20"/>
    <s v="20103484 - Patologia Em Um Membro (R$ 14,16)"/>
    <s v="Fisioterapia"/>
    <n v="170049"/>
    <s v="Finalizado (5/5)"/>
    <n v="12.460800000000001"/>
    <n v="1.6992"/>
    <n v="14.16"/>
    <s v="Sessão a Faturar"/>
    <s v="51588888488560580015"/>
    <n v="57485"/>
    <s v="Unidade Vieiralves"/>
    <n v="170049"/>
    <m/>
  </r>
  <r>
    <x v="18"/>
    <x v="65"/>
    <s v="Emanuele Menezes da Silva"/>
    <s v="Feminino"/>
    <x v="2"/>
    <x v="20"/>
    <s v="20103115 - Atividade Reflexa Cinesioterápica (R$ 20,81)"/>
    <s v="Fisioterapia"/>
    <n v="1708855900"/>
    <s v="Finalizado (2/3)"/>
    <n v="18.312799999999999"/>
    <n v="2.4971999999999999"/>
    <n v="20.81"/>
    <s v="Sessão Faturada"/>
    <n v="774642014893010"/>
    <n v="44534"/>
    <s v="Unidade Vieiralves"/>
    <n v="1708855900"/>
    <m/>
  </r>
  <r>
    <x v="18"/>
    <x v="65"/>
    <s v="Zemilto Martins Ceara"/>
    <s v="Masculino"/>
    <x v="2"/>
    <x v="20"/>
    <s v="20103115 - Atividade Reflexa Cinesioterápica (R$ 20,81)"/>
    <s v="Fisioterapia"/>
    <n v="1705565257"/>
    <s v="Finalizado (5/5)"/>
    <n v="18.312799999999999"/>
    <n v="2.4971999999999999"/>
    <n v="20.81"/>
    <s v="Sessão Faturada"/>
    <n v="841006100370010"/>
    <n v="9050"/>
    <s v="Unidade Vieiralves"/>
    <n v="1705565257"/>
    <m/>
  </r>
  <r>
    <x v="18"/>
    <x v="36"/>
    <s v="Tatianna Silva Portes"/>
    <s v="Feminino"/>
    <x v="5"/>
    <x v="20"/>
    <s v="31602185 - Estimulação Elétrica Transcutânea (Tens) - 04/03/2026 (R$ 120,28)"/>
    <s v="Fisioterapia"/>
    <n v="77595860"/>
    <s v="Finalizado (2/8)"/>
    <n v="105.8464"/>
    <n v="14.4336"/>
    <n v="120.28"/>
    <s v="Sessão Faturada"/>
    <s v="0100621050010300"/>
    <n v="55555"/>
    <s v="Unidade Vieiralves"/>
    <n v="77595860"/>
    <m/>
  </r>
  <r>
    <x v="18"/>
    <x v="36"/>
    <s v="Raimunda Carneiro de Carvalho"/>
    <s v="Feminino"/>
    <x v="10"/>
    <x v="20"/>
    <s v="50000160 - Fisioterapia Ortopédica (R$ 15,00)"/>
    <s v="Fisioterapia"/>
    <n v="15120294"/>
    <s v="Finalizado (1/10)"/>
    <n v="13.2"/>
    <n v="1.8"/>
    <n v="15"/>
    <s v="Sessão Faturada"/>
    <s v="00010064268499005"/>
    <n v="52966"/>
    <s v="Unidade Vieiralves"/>
    <n v="15120294"/>
    <s v="guia assinada "/>
  </r>
  <r>
    <x v="18"/>
    <x v="36"/>
    <s v="Claudia Miyuki Muramoto Sako"/>
    <s v="Feminino"/>
    <x v="2"/>
    <x v="20"/>
    <s v="20103492 - Fisioterapia - Patologia Em Dois Ou Mais Membros (R$ 14,83)"/>
    <s v="Fisioterapia"/>
    <n v="1709446072"/>
    <s v="Finalizado (1/5)"/>
    <n v="13.0504"/>
    <n v="1.7796000000000001"/>
    <n v="14.83"/>
    <s v="Sessão Faturada"/>
    <n v="885854000132010"/>
    <n v="49229"/>
    <s v="Unidade Vieiralves"/>
    <n v="1709446072"/>
    <m/>
  </r>
  <r>
    <x v="18"/>
    <x v="36"/>
    <s v="Tatianna Silva Portes"/>
    <s v="Feminino"/>
    <x v="5"/>
    <x v="20"/>
    <s v="98860020 - Fisioterapia Complexidade 2 - 04/03/2026 (R$ 70,79)"/>
    <s v="Fisioterapia"/>
    <n v="77595650"/>
    <s v="Finalizado (4/10)"/>
    <n v="62.295200000000001"/>
    <n v="8.4947999999999997"/>
    <n v="70.790000000000006"/>
    <s v="Sessão Faturada"/>
    <s v="0100621050010300"/>
    <n v="55555"/>
    <s v="Unidade Vieiralves"/>
    <n v="77595650"/>
    <m/>
  </r>
  <r>
    <x v="18"/>
    <x v="61"/>
    <s v="Claudia Miyuki Muramoto Sako"/>
    <s v="Feminino"/>
    <x v="2"/>
    <x v="20"/>
    <s v="20103115 - Atividade Reflexa Cinesioterápica (R$ 20,81)"/>
    <s v="Fisioterapia"/>
    <n v="1709448524"/>
    <s v="Finalizado (1/1)"/>
    <n v="18.312799999999999"/>
    <n v="2.4971999999999999"/>
    <n v="20.81"/>
    <s v="Sessão Faturada"/>
    <n v="885854000132010"/>
    <n v="49229"/>
    <s v="Unidade Vieiralves"/>
    <n v="1709448524"/>
    <m/>
  </r>
  <r>
    <x v="18"/>
    <x v="40"/>
    <s v="Dilcilene Angelim da Silva Santos"/>
    <m/>
    <x v="7"/>
    <x v="20"/>
    <s v="Vieiralves - 1 - Fisioterapia Ortopedica - Pacote (R$ 40,00)"/>
    <s v="Fisioterapia"/>
    <n v="171003"/>
    <s v="Finalizado (1/10)"/>
    <n v="31.2"/>
    <n v="8.8000000000000007"/>
    <n v="40"/>
    <s v="Pago"/>
    <n v="59115"/>
    <n v="59115"/>
    <s v="Unidade Vieiralves"/>
    <n v="171003"/>
    <m/>
  </r>
  <r>
    <x v="18"/>
    <x v="40"/>
    <s v="Rozirlande Oliveira do Valle"/>
    <s v="Feminino"/>
    <x v="6"/>
    <x v="20"/>
    <s v="20103484 - Patologia Em Um Membro (R$ 14,16)"/>
    <s v="Fisioterapia"/>
    <n v="170134"/>
    <s v="Finalizado (5/10)"/>
    <n v="12.460800000000001"/>
    <n v="1.6992"/>
    <n v="14.16"/>
    <s v="Sessão a Faturar"/>
    <s v="58201466755603470024"/>
    <n v="38049"/>
    <s v="Unidade Vieiralves"/>
    <n v="170134"/>
    <m/>
  </r>
  <r>
    <x v="18"/>
    <x v="45"/>
    <s v="Rozirlande Oliveira do Valle"/>
    <s v="Feminino"/>
    <x v="6"/>
    <x v="20"/>
    <s v="31602185 - Estimulação Elétrica Transcutanea (Tens) (R$ 40,00)"/>
    <s v="Fisioterapia"/>
    <n v="170135"/>
    <s v="Finalizado (5/10)"/>
    <n v="35.200000000000003"/>
    <n v="4.8"/>
    <n v="40"/>
    <s v="Sessão a Faturar"/>
    <s v="58201466755603470024"/>
    <n v="38049"/>
    <s v="Unidade Vieiralves"/>
    <n v="170135"/>
    <m/>
  </r>
  <r>
    <x v="18"/>
    <x v="35"/>
    <s v="Luciana Ferreira Viana"/>
    <m/>
    <x v="7"/>
    <x v="20"/>
    <s v="Vieiralves - 1 - Fisioterapia Ortopedica - Pacote (R$ 40,00)"/>
    <s v="Fisioterapia"/>
    <m/>
    <s v="Finalizado (2/10)"/>
    <n v="31.2"/>
    <n v="8.8000000000000007"/>
    <n v="40"/>
    <s v="Pago"/>
    <s v="00"/>
    <n v="59537"/>
    <s v="Unidade Vieiralves"/>
    <m/>
    <m/>
  </r>
  <r>
    <x v="18"/>
    <x v="35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5/10)"/>
    <n v="30.8"/>
    <n v="4.2"/>
    <n v="35"/>
    <s v="Sessão Faturada"/>
    <s v="0201013982810029"/>
    <n v="19454"/>
    <s v="Unidade Vieiralves"/>
    <n v="9052356"/>
    <m/>
  </r>
  <r>
    <x v="18"/>
    <x v="38"/>
    <s v="Maria Mineia Mendes Miki"/>
    <s v="Feminino"/>
    <x v="6"/>
    <x v="20"/>
    <s v="20103492 - Patologia Em Dois Ou Mais Membros (R$ 30,26)"/>
    <s v="Fisioterapia"/>
    <n v="170100"/>
    <s v="Finalizado (2/10)"/>
    <n v="26.628799999999998"/>
    <n v="3.6312000000000002"/>
    <n v="30.26"/>
    <s v="Sessão a Faturar"/>
    <s v="54588888007376590036"/>
    <n v="17465"/>
    <s v="Unidade Vieiralves"/>
    <n v="170100"/>
    <m/>
  </r>
  <r>
    <x v="18"/>
    <x v="38"/>
    <s v="Arisson Carlos Pardo de Queiroz"/>
    <m/>
    <x v="4"/>
    <x v="20"/>
    <s v="31602185 - Estimulação Elétrica Transcutânea - Removido 13/04/2026 (R$ 40,00)"/>
    <s v="Fisioterapia"/>
    <n v="1709572946"/>
    <s v="Finalizado (1/4)"/>
    <n v="35.200000000000003"/>
    <n v="4.8"/>
    <n v="40"/>
    <s v="Sessão Faturada"/>
    <n v="771015042510010"/>
    <n v="58957"/>
    <s v="Unidade Vieiralves"/>
    <n v="1709572946"/>
    <m/>
  </r>
  <r>
    <x v="18"/>
    <x v="62"/>
    <s v="Arisson Carlos Pardo de Queiroz"/>
    <m/>
    <x v="2"/>
    <x v="20"/>
    <s v="20103484 - Fisioterapia - Patologia Em Um Membro (R$ 12,22)"/>
    <s v="Fisioterapia"/>
    <n v="1707823063"/>
    <s v="Finalizado (2/5)"/>
    <n v="10.7536"/>
    <n v="1.4663999999999999"/>
    <n v="12.22"/>
    <s v="Sessão Faturada"/>
    <n v="771015042510010"/>
    <n v="58957"/>
    <s v="Unidade Vieiralves"/>
    <n v="1707823063"/>
    <m/>
  </r>
  <r>
    <x v="18"/>
    <x v="62"/>
    <s v="Maria Mineia Mendes Miki"/>
    <s v="Feminino"/>
    <x v="6"/>
    <x v="20"/>
    <s v="31602185 - Estimulação Elétrica Transcutanea (Tens) (R$ 40,00)"/>
    <s v="Fisioterapia"/>
    <n v="170764"/>
    <s v="Finalizado (2/10)"/>
    <n v="35.200000000000003"/>
    <n v="4.8"/>
    <n v="40"/>
    <s v="Sessão a Faturar"/>
    <s v="54588888007376590036"/>
    <n v="17465"/>
    <s v="Unidade Vieiralves"/>
    <n v="170764"/>
    <m/>
  </r>
  <r>
    <x v="18"/>
    <x v="37"/>
    <s v="Minervina Lucia Marques Fonseca"/>
    <s v="Feminino"/>
    <x v="0"/>
    <x v="20"/>
    <s v="50000160 - Fisioterapia Ortopedica (R$ 49,72)"/>
    <s v="Fisioterapia"/>
    <s v="42263120260227375135"/>
    <s v="Finalizado (6/10)"/>
    <n v="43.753599999999999"/>
    <n v="5.9664000000000001"/>
    <n v="49.72"/>
    <s v="Sessão Faturada"/>
    <s v="010650809004"/>
    <n v="40041"/>
    <s v="Unidade Vieiralves"/>
    <s v="42263120260227375135"/>
    <m/>
  </r>
  <r>
    <x v="18"/>
    <x v="37"/>
    <s v="Dina Francoile Viana Ramos"/>
    <s v="Feminino"/>
    <x v="2"/>
    <x v="20"/>
    <s v="20103492 - Fisioterapia - Patologia Em Dois Ou Mais Membros (R$ 14,83)"/>
    <s v="Fisioterapia"/>
    <n v="1706286360"/>
    <s v="Finalizado (4/10)"/>
    <n v="13.0504"/>
    <n v="1.7796000000000001"/>
    <n v="14.83"/>
    <s v="Sessão Faturada"/>
    <n v="960016167330060"/>
    <n v="16965"/>
    <s v="Unidade Vieiralves"/>
    <n v="1706286360"/>
    <m/>
  </r>
  <r>
    <x v="18"/>
    <x v="37"/>
    <s v="Ivete Akimi Massuda"/>
    <s v="Feminino"/>
    <x v="6"/>
    <x v="20"/>
    <s v="20103506 - Patologia Em Um Segmento da Coluna (R$ 14,16)"/>
    <s v="Fisioterapia"/>
    <n v="171164"/>
    <s v="Finalizado (1/10)"/>
    <n v="12.460800000000001"/>
    <n v="1.6992"/>
    <n v="14.16"/>
    <s v="Sessão a Faturar"/>
    <s v="54588888473661890020"/>
    <n v="43609"/>
    <s v="Unidade Vieiralves"/>
    <n v="171164"/>
    <m/>
  </r>
  <r>
    <x v="18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5/10)"/>
    <n v="26.1008"/>
    <n v="3.5592000000000001"/>
    <n v="29.66"/>
    <s v="Sessão Faturada"/>
    <n v="960016167330010"/>
    <n v="46729"/>
    <s v="Unidade Vieiralves"/>
    <n v="1705661090"/>
    <m/>
  </r>
  <r>
    <x v="18"/>
    <x v="63"/>
    <s v="Rita de Lima  Viana Ramos"/>
    <s v="Feminino"/>
    <x v="4"/>
    <x v="20"/>
    <s v="31602185 - Estimulação Elétrica Transcutânea - Removido 13/04/2026 (R$ 40,00)"/>
    <s v="Fisioterapia"/>
    <n v="1709602968"/>
    <s v="Finalizado (1/5)"/>
    <n v="35.200000000000003"/>
    <n v="4.8"/>
    <n v="40"/>
    <s v="Sessão Faturada"/>
    <n v="960016167330010"/>
    <n v="46729"/>
    <s v="Unidade Vieiralves"/>
    <n v="1709602968"/>
    <m/>
  </r>
  <r>
    <x v="18"/>
    <x v="63"/>
    <s v="Dina Francoile Viana Ramos"/>
    <s v="Feminino"/>
    <x v="2"/>
    <x v="20"/>
    <s v="20103115 - Atividade Reflexa Cinesioterápica (R$ 20,81)"/>
    <s v="Fisioterapia"/>
    <n v="1706287395"/>
    <s v="Finalizado (4/4)"/>
    <n v="18.312799999999999"/>
    <n v="2.4971999999999999"/>
    <n v="20.81"/>
    <s v="Sessão Faturada"/>
    <n v="960016167330060"/>
    <n v="16965"/>
    <s v="Unidade Vieiralves"/>
    <n v="1706287395"/>
    <m/>
  </r>
  <r>
    <x v="18"/>
    <x v="63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6/10)"/>
    <n v="47.634399999999999"/>
    <n v="6.4955999999999996"/>
    <n v="54.13"/>
    <s v="Sessão Faturada"/>
    <s v="010650809004"/>
    <n v="40041"/>
    <s v="Unidade Vieiralves"/>
    <n v="4.2263120227375E+16"/>
    <m/>
  </r>
  <r>
    <x v="18"/>
    <x v="63"/>
    <s v="Ivete Akimi Massuda"/>
    <s v="Feminino"/>
    <x v="6"/>
    <x v="20"/>
    <s v="31602185 - Estimulação Elétrica Transcutanea (Tens) (R$ 40,00)"/>
    <s v="Fisioterapia"/>
    <n v="171163"/>
    <s v="Finalizado (1/10)"/>
    <n v="35.200000000000003"/>
    <n v="4.8"/>
    <n v="40"/>
    <s v="Sessão a Faturar"/>
    <s v="54588888473661890020"/>
    <n v="43609"/>
    <s v="Unidade Vieiralves"/>
    <n v="171163"/>
    <m/>
  </r>
  <r>
    <x v="18"/>
    <x v="39"/>
    <s v="Ivy Peixoto de Sá"/>
    <s v="Feminino"/>
    <x v="1"/>
    <x v="20"/>
    <s v="50000144 - Consulta de Fisioterapia (R$ 16,00)"/>
    <s v="Fisioterapia"/>
    <n v="9261214"/>
    <s v="Finalizado (1/1)"/>
    <n v="14.4"/>
    <n v="1.6"/>
    <n v="16"/>
    <s v="Sessão Faturada"/>
    <s v="0901013218640137"/>
    <n v="59535"/>
    <s v="Unidade Vieiralves"/>
    <n v="9261214"/>
    <m/>
  </r>
  <r>
    <x v="18"/>
    <x v="39"/>
    <s v="Luciana Holanda de Souza"/>
    <s v="Feminino"/>
    <x v="7"/>
    <x v="20"/>
    <s v="Vieiralves - 1 - Fisioterapia Ortopedica - Pacote (R$ 40,00)"/>
    <s v="Fisioterapia"/>
    <m/>
    <s v="Finalizado (5/10)"/>
    <n v="31.2"/>
    <n v="8.8000000000000007"/>
    <n v="40"/>
    <s v="Pago"/>
    <s v="00"/>
    <n v="59427"/>
    <s v="Unidade Vieiralves"/>
    <m/>
    <m/>
  </r>
  <r>
    <x v="18"/>
    <x v="64"/>
    <s v="Ivy Peixoto de Sá"/>
    <s v="Feminino"/>
    <x v="1"/>
    <x v="20"/>
    <s v="50000160 - Fisioterapia Ortopédica (R$ 20,00), 98980327 - Taxa de Eletroterapia (Tens) (R$ 15,00)"/>
    <s v="Fisioterapia"/>
    <n v="9261531"/>
    <s v="Finalizado (1/9)"/>
    <n v="30.8"/>
    <n v="4.2"/>
    <n v="35"/>
    <s v="Sessão Faturada"/>
    <s v="0901013218640137"/>
    <n v="59535"/>
    <s v="Unidade Vieiralves"/>
    <n v="9261531"/>
    <m/>
  </r>
  <r>
    <x v="18"/>
    <x v="0"/>
    <s v="Rosiane Mendes Valente"/>
    <s v="Feminino"/>
    <x v="1"/>
    <x v="20"/>
    <s v="50000160 - Fisioterapia Ortopédica (R$ 20,00), 98980327 - Taxa de Eletroterapia (Tens) (R$ 15,00)"/>
    <s v="Fisioterapia"/>
    <n v="8804244"/>
    <s v="Finalizado (10/10)"/>
    <n v="30.8"/>
    <n v="4.2"/>
    <n v="35"/>
    <s v="Sessão Faturada"/>
    <n v="1301013577000200"/>
    <n v="55856"/>
    <s v="Unidade Vieralves (ANEXO)"/>
    <n v="8804244"/>
    <m/>
  </r>
  <r>
    <x v="18"/>
    <x v="2"/>
    <s v="Nick Davidson Cunha Furtado"/>
    <s v="Masculino"/>
    <x v="7"/>
    <x v="20"/>
    <s v="Vieiralves - 1 - Fisioterapia Ortopedica - Pacote (R$ 40,00)"/>
    <s v="Fisioterapia"/>
    <m/>
    <s v="Finalizado (1/10)"/>
    <n v="31.2"/>
    <n v="8.8000000000000007"/>
    <n v="40"/>
    <s v="No Prazo"/>
    <n v="0"/>
    <n v="59584"/>
    <s v="Unidade Vieralves (ANEXO)"/>
    <m/>
    <m/>
  </r>
  <r>
    <x v="18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7/10)"/>
    <n v="30.8"/>
    <n v="4.2"/>
    <n v="35"/>
    <s v="Sessão Faturada"/>
    <n v="2001012922200100"/>
    <n v="59047"/>
    <s v="Unidade Vieralves (ANEXO)"/>
    <n v="9016939"/>
    <m/>
  </r>
  <r>
    <x v="18"/>
    <x v="4"/>
    <s v="Estela Maria Galvao Vidal de Abreu"/>
    <s v="Feminino"/>
    <x v="2"/>
    <x v="20"/>
    <s v="20103484 - Fisioterapia - Patologia Em Um Membro (R$ 12,22), 20103506 - Fisioterapia - Patologia Em Um Segmento da Coluna (R$ 12,22)"/>
    <s v="Fisioterapia"/>
    <n v="1709766067"/>
    <s v="Finalizado (1/10)"/>
    <n v="21.507200000000001"/>
    <n v="2.9327999999999999"/>
    <n v="24.44"/>
    <s v="Sessão Faturada"/>
    <n v="836922200019000"/>
    <n v="45049"/>
    <s v="Unidade Vieralves (ANEXO)"/>
    <n v="1709766067"/>
    <m/>
  </r>
  <r>
    <x v="18"/>
    <x v="4"/>
    <s v="Rosineide Rodrigues Arcanjo"/>
    <s v="Feminino"/>
    <x v="2"/>
    <x v="20"/>
    <s v="50000144 - Avaliação de Fisioterapia (R$ 51,42)"/>
    <s v="Fisioterapia"/>
    <n v="1709775724"/>
    <s v="Finalizado (1/1)"/>
    <n v="46.277999999999999"/>
    <n v="5.1420000000000003"/>
    <n v="51.42"/>
    <s v="Sessão Faturada"/>
    <n v="774063004219030"/>
    <n v="50224"/>
    <s v="Unidade Vieralves (ANEXO)"/>
    <n v="1709775724"/>
    <m/>
  </r>
  <r>
    <x v="18"/>
    <x v="5"/>
    <s v="Rosineide Rodrigues Arcanjo"/>
    <s v="Feminino"/>
    <x v="2"/>
    <x v="20"/>
    <s v="20103514 - Fisioterapia - Patologia Em Diferentes Segmentos da Coluna (R$ 14,83)"/>
    <s v="Fisioterapia"/>
    <n v="1709777911"/>
    <s v="Finalizado (1/9)"/>
    <n v="13.0504"/>
    <n v="1.7796000000000001"/>
    <n v="14.83"/>
    <s v="Sessão Faturada"/>
    <n v="774063004219030"/>
    <n v="50224"/>
    <s v="Unidade Vieralves (ANEXO)"/>
    <n v="1709777911"/>
    <m/>
  </r>
  <r>
    <x v="18"/>
    <x v="13"/>
    <s v="Richarles de Araújo Sousa"/>
    <s v="Masculino"/>
    <x v="1"/>
    <x v="20"/>
    <s v="50000160 - Fisioterapia Ortopédica (R$ 20,00), 98980327 - Taxa de Eletroterapia (Tens) (R$ 15,00)"/>
    <s v="Fisioterapia"/>
    <n v="8830350"/>
    <s v="Finalizado (9/10)"/>
    <n v="30.8"/>
    <n v="4.2"/>
    <n v="35"/>
    <s v="Sessão Faturada"/>
    <n v="1301013026380000"/>
    <n v="58337"/>
    <s v="Unidade Vieralves (ANEXO)"/>
    <n v="8830350"/>
    <m/>
  </r>
  <r>
    <x v="18"/>
    <x v="13"/>
    <s v="Natálya da Silva Sampaio"/>
    <s v="Feminino"/>
    <x v="1"/>
    <x v="20"/>
    <s v="50000160 - Fisioterapia Ortopédica (R$ 20,00), 98980327 - Taxa de Eletroterapia (Tens) (R$ 15,00)"/>
    <s v="Fisioterapia"/>
    <n v="8830882"/>
    <s v="Finalizado (9/10)"/>
    <n v="30.8"/>
    <n v="4.2"/>
    <n v="35"/>
    <s v="Sessão Faturada"/>
    <n v="1301013026380200"/>
    <n v="59331"/>
    <s v="Unidade Vieralves (ANEXO)"/>
    <n v="8830882"/>
    <m/>
  </r>
  <r>
    <x v="18"/>
    <x v="13"/>
    <s v="Ana Lucia Medeiros Figliuolo"/>
    <s v="Feminino"/>
    <x v="1"/>
    <x v="20"/>
    <s v="50000160 - Fisioterapia Ortopédica (R$ 20,00), 98980327 - Taxa de Eletroterapia (Tens) (R$ 15,00)"/>
    <s v="Fisioterapia"/>
    <n v="9274224"/>
    <s v="Finalizado (1/10)"/>
    <n v="30.8"/>
    <n v="4.2"/>
    <n v="35"/>
    <s v="Sessão Faturada"/>
    <s v="0901013317940180"/>
    <n v="32208"/>
    <s v="Unidade Vieralves (ANEXO)"/>
    <n v="9274224"/>
    <s v="Guia assinada!"/>
  </r>
  <r>
    <x v="18"/>
    <x v="13"/>
    <s v="Claudia Maria de Moura Abrahim"/>
    <s v="Feminino"/>
    <x v="1"/>
    <x v="20"/>
    <s v="50000217 - Fisioterapia Pré e Pós Operatória (R$ 25,00), 98980327 - Taxa de Eletroterapia (Tens) (R$ 15,00)"/>
    <s v="Fisioterapia"/>
    <n v="9030934"/>
    <s v="Finalizado (6/10)"/>
    <n v="35.200000000000003"/>
    <n v="4.8"/>
    <n v="40"/>
    <s v="Sessão Faturada"/>
    <s v="0901001967210050"/>
    <n v="21456"/>
    <s v="Unidade Vieralves (ANEXO)"/>
    <n v="9030934"/>
    <m/>
  </r>
  <r>
    <x v="18"/>
    <x v="6"/>
    <s v="Lidia Teresa Monteiro Mendes"/>
    <s v="Feminino"/>
    <x v="6"/>
    <x v="20"/>
    <s v="20103492 - Patologia Em Dois Ou Mais Membros (R$ 30,26)"/>
    <s v="Fisioterapia"/>
    <n v="171232"/>
    <s v="Finalizado (1/10)"/>
    <n v="26.628799999999998"/>
    <n v="3.6312000000000002"/>
    <n v="30.26"/>
    <s v="Sessão a Faturar"/>
    <s v="54588888004872480010"/>
    <n v="37147"/>
    <s v="Unidade Vieralves (ANEXO)"/>
    <n v="171232"/>
    <m/>
  </r>
  <r>
    <x v="18"/>
    <x v="6"/>
    <s v="Vinicius de Souza Teixeira"/>
    <s v="Masculino"/>
    <x v="2"/>
    <x v="20"/>
    <s v="20103484 - Fisioterapia - Patologia Em Um Membro (R$ 12,22), 20103514 - Fisioterapia - Patologia Em Diferentes Segmentos da Coluna (R$ 14,83)"/>
    <s v="Fisioterapia"/>
    <n v="1707498450"/>
    <s v="Finalizado (2/7)"/>
    <n v="23.803999999999998"/>
    <n v="3.246"/>
    <n v="27.05"/>
    <s v="Sessão a Faturar"/>
    <n v="774642030686000"/>
    <n v="59192"/>
    <s v="Unidade Vieralves (ANEXO)"/>
    <n v="1707498450"/>
    <m/>
  </r>
  <r>
    <x v="18"/>
    <x v="6"/>
    <s v="Maria Salete Braga da Costa Amoedo"/>
    <s v="Feminino"/>
    <x v="2"/>
    <x v="20"/>
    <s v="20103484 - Fisioterapia - Patologia Em Um Membro (R$ 12,22)"/>
    <s v="Fisioterapia"/>
    <n v="1704776860"/>
    <s v="Finalizado (5/5)"/>
    <n v="10.7536"/>
    <n v="1.4663999999999999"/>
    <n v="12.22"/>
    <s v="Sessão Faturada"/>
    <n v="952480018525020"/>
    <n v="44062"/>
    <s v="Unidade Vieralves (ANEXO)"/>
    <n v="1704776860"/>
    <m/>
  </r>
  <r>
    <x v="18"/>
    <x v="6"/>
    <s v="Ana Clara de Morais Virginio"/>
    <s v="Feminino"/>
    <x v="6"/>
    <x v="20"/>
    <s v="20103506 - Patologia Em Um Segmento da Coluna (R$ 14,16)"/>
    <s v="Fisioterapia"/>
    <n v="171233"/>
    <s v="Finalizado (1/5)"/>
    <n v="12.460800000000001"/>
    <n v="1.6992"/>
    <n v="14.16"/>
    <s v="Sessão a Faturar"/>
    <s v="55788888491532830118"/>
    <n v="59365"/>
    <s v="Unidade Vieralves (ANEXO)"/>
    <n v="171233"/>
    <m/>
  </r>
  <r>
    <x v="18"/>
    <x v="7"/>
    <s v="Ana Clara de Morais Virginio"/>
    <s v="Feminino"/>
    <x v="6"/>
    <x v="20"/>
    <s v="31602185 - Estimulação Elétrica Transcutanea (Tens) (R$ 40,00)"/>
    <s v="Fisioterapia"/>
    <n v="171234"/>
    <s v="Finalizado (1/5)"/>
    <n v="35.200000000000003"/>
    <n v="4.8"/>
    <n v="40"/>
    <s v="Sessão a Faturar"/>
    <s v="55788888491532830118"/>
    <n v="59365"/>
    <s v="Unidade Vieralves (ANEXO)"/>
    <n v="171234"/>
    <m/>
  </r>
  <r>
    <x v="18"/>
    <x v="7"/>
    <s v="Lidia Teresa Monteiro Mendes"/>
    <s v="Feminino"/>
    <x v="6"/>
    <x v="20"/>
    <s v="31602185 - Estimulação Elétrica Transcutanea (Tens) (R$ 40,00)"/>
    <s v="Fisioterapia"/>
    <n v="169395"/>
    <s v="Finalizado (5/5)"/>
    <n v="35.200000000000003"/>
    <n v="4.8"/>
    <n v="40"/>
    <s v="Sessão a Faturar"/>
    <s v="54588888004872480010"/>
    <n v="37147"/>
    <s v="Unidade Vieralves (ANEXO)"/>
    <n v="169395"/>
    <m/>
  </r>
  <r>
    <x v="18"/>
    <x v="15"/>
    <s v="Laura Irene Villacrez Flores"/>
    <s v="Feminino"/>
    <x v="5"/>
    <x v="20"/>
    <s v="98860011 - Fisioterapia Complexidade 1 (R$ 55,26)"/>
    <s v="Fisioterapia"/>
    <n v="77963780"/>
    <s v="Finalizado (3/10)"/>
    <n v="48.628799999999998"/>
    <n v="6.6311999999999998"/>
    <n v="55.26"/>
    <s v="Sessão Faturada"/>
    <s v="010080860100"/>
    <n v="59130"/>
    <s v="Unidade Vieralves (ANEXO)"/>
    <n v="77963780"/>
    <m/>
  </r>
  <r>
    <x v="18"/>
    <x v="17"/>
    <s v="Victoria de Moraes Martins Pereira"/>
    <s v="Masculino"/>
    <x v="6"/>
    <x v="20"/>
    <s v="20103662 - Pos Operatorio Em Um Membro (R$ 22,53)"/>
    <s v="Fisioterapia"/>
    <n v="171245"/>
    <s v="Finalizado (1/10)"/>
    <n v="19.8264"/>
    <n v="2.7035999999999998"/>
    <n v="22.53"/>
    <s v="Sessão a Faturar"/>
    <s v="55788888488381350015"/>
    <n v="48970"/>
    <s v="Unidade Vieralves (ANEXO)"/>
    <n v="171245"/>
    <m/>
  </r>
  <r>
    <x v="18"/>
    <x v="17"/>
    <s v="Maria Auxiliadora da Silva Castelano"/>
    <s v="Feminino"/>
    <x v="2"/>
    <x v="20"/>
    <s v="20103492 - Fisioterapia - Patologia Em Dois Ou Mais Membros (R$ 14,83)"/>
    <s v="Fisioterapia"/>
    <n v="1709843838"/>
    <s v="Finalizado (1/7)"/>
    <n v="13.0504"/>
    <n v="1.7796000000000001"/>
    <n v="14.83"/>
    <s v="Sessão a Faturar"/>
    <n v="773458002496010"/>
    <n v="13771"/>
    <s v="Unidade Vieralves (ANEXO)"/>
    <n v="1709843838"/>
    <m/>
  </r>
  <r>
    <x v="18"/>
    <x v="17"/>
    <s v="Gisele dos Santos Costa"/>
    <s v="Feminino"/>
    <x v="1"/>
    <x v="20"/>
    <s v="50000160 - Fisioterapia Ortopédica (R$ 20,00), 98980327 - Taxa de Eletroterapia (Tens) (R$ 15,00)"/>
    <s v="Fisioterapia"/>
    <n v="9123592"/>
    <s v="Finalizado (3/8)"/>
    <n v="30.8"/>
    <n v="4.2"/>
    <n v="35"/>
    <s v="Sessão Faturada"/>
    <n v="1901012931170000"/>
    <n v="53642"/>
    <s v="Unidade Vieralves (ANEXO)"/>
    <n v="9123592"/>
    <m/>
  </r>
  <r>
    <x v="18"/>
    <x v="18"/>
    <s v="Victoria de Moraes Martins Pereira"/>
    <s v="Masculino"/>
    <x v="6"/>
    <x v="20"/>
    <s v="31602185 - Estimulação Elétrica Transcutanea (Tens) (R$ 40,00)"/>
    <s v="Fisioterapia"/>
    <n v="171247"/>
    <s v="Finalizado (1/10)"/>
    <n v="35.200000000000003"/>
    <n v="4.8"/>
    <n v="40"/>
    <s v="Sessão a Faturar"/>
    <s v="55788888488381350015"/>
    <n v="48970"/>
    <s v="Unidade Vieralves (ANEXO)"/>
    <n v="171247"/>
    <m/>
  </r>
  <r>
    <x v="18"/>
    <x v="8"/>
    <s v="Victor Thury Vieira Hauache"/>
    <s v="Masculino"/>
    <x v="6"/>
    <x v="20"/>
    <s v="20103484 - Patologia Em Um Membro (R$ 14,16)"/>
    <s v="Fisioterapia"/>
    <n v="170378"/>
    <s v="Finalizado (4/5)"/>
    <n v="12.460800000000001"/>
    <n v="1.6992"/>
    <n v="14.16"/>
    <s v="Sessão a Faturar"/>
    <s v="55788888476678190110"/>
    <n v="59493"/>
    <s v="Unidade Vieralves (ANEXO)"/>
    <n v="170378"/>
    <m/>
  </r>
  <r>
    <x v="18"/>
    <x v="9"/>
    <s v="Victor Thury Vieira Hauache"/>
    <s v="Masculino"/>
    <x v="6"/>
    <x v="20"/>
    <s v="31602185 - Estimulação Elétrica Transcutanea (Tens) (R$ 40,00)"/>
    <s v="Fisioterapia"/>
    <n v="170379"/>
    <s v="Finalizado (4/5)"/>
    <n v="35.200000000000003"/>
    <n v="4.8"/>
    <n v="40"/>
    <s v="Sessão a Faturar"/>
    <s v="55788888476678190110"/>
    <n v="59493"/>
    <s v="Unidade Vieralves (ANEXO)"/>
    <n v="170379"/>
    <m/>
  </r>
  <r>
    <x v="18"/>
    <x v="10"/>
    <s v="Ney Henrique Lopes Cordeiro"/>
    <s v="Masculino"/>
    <x v="2"/>
    <x v="20"/>
    <s v="20103662 - Fisioterapia - Pos Operatorio Em Um Membro (R$ 14,99)"/>
    <s v="Fisioterapia"/>
    <n v="1703505993"/>
    <s v="Finalizado (4/5)"/>
    <n v="13.1912"/>
    <n v="1.7988"/>
    <n v="14.99"/>
    <s v="Sessão Faturada"/>
    <n v="610171790036010"/>
    <n v="58355"/>
    <s v="Unidade Vieralves (ANEXO)"/>
    <n v="1703505993"/>
    <m/>
  </r>
  <r>
    <x v="18"/>
    <x v="10"/>
    <s v="Willian Jean Silva Colares"/>
    <s v="Masculino"/>
    <x v="2"/>
    <x v="20"/>
    <s v="20103484 - Fisioterapia - Patologia Em Um Membro (R$ 12,22)"/>
    <s v="Fisioterapia"/>
    <n v="1707540722"/>
    <s v="Finalizado (4/9)"/>
    <n v="10.7536"/>
    <n v="1.4663999999999999"/>
    <n v="12.22"/>
    <s v="Sessão Faturada"/>
    <n v="775219005800000"/>
    <n v="59277"/>
    <s v="Unidade Vieralves (ANEXO)"/>
    <n v="1707540722"/>
    <m/>
  </r>
  <r>
    <x v="18"/>
    <x v="20"/>
    <s v="Paulo Cesar Silva Santiago"/>
    <s v="Masculino"/>
    <x v="2"/>
    <x v="20"/>
    <s v="50000144 - Avaliação de Fisioterapia (R$ 51,42)"/>
    <s v="Fisioterapia"/>
    <n v="1709881739"/>
    <s v="Finalizado (1/1)"/>
    <n v="46.277999999999999"/>
    <n v="5.1420000000000003"/>
    <n v="51.42"/>
    <s v="Sessão Faturada"/>
    <n v="611168920097000"/>
    <n v="19776"/>
    <s v="Unidade Vieralves (ANEXO)"/>
    <n v="1709881739"/>
    <m/>
  </r>
  <r>
    <x v="18"/>
    <x v="20"/>
    <s v="Alexsandro de Pierri Camara Frangos"/>
    <s v="Masculino"/>
    <x v="6"/>
    <x v="20"/>
    <s v="20103514 - Patologia Em Dois Ou Mais Segmentos da Coluna (R$ 32,82)"/>
    <s v="Fisioterapia"/>
    <n v="170025"/>
    <s v="Finalizado (4/5)"/>
    <n v="28.881599999999999"/>
    <n v="3.9384000000000001"/>
    <n v="32.82"/>
    <s v="Sessão a Faturar"/>
    <s v="44520813095886520010"/>
    <n v="59453"/>
    <s v="Unidade Vieralves (ANEXO)"/>
    <n v="170025"/>
    <m/>
  </r>
  <r>
    <x v="18"/>
    <x v="21"/>
    <s v="Paulo Cesar Silva Santiago"/>
    <s v="Masculino"/>
    <x v="2"/>
    <x v="20"/>
    <s v="20103514 - Fisioterapia - Patologia Em Diferentes Segmentos da Coluna (R$ 14,83)"/>
    <s v="Fisioterapia"/>
    <n v="1709882272"/>
    <s v="Finalizado (1/7)"/>
    <n v="13.0504"/>
    <n v="1.7796000000000001"/>
    <n v="14.83"/>
    <s v="Sessão a Faturar"/>
    <n v="611168920097000"/>
    <n v="19776"/>
    <s v="Unidade Vieralves (ANEXO)"/>
    <n v="1709882272"/>
    <m/>
  </r>
  <r>
    <x v="18"/>
    <x v="21"/>
    <s v="Alexsandro de Pierri Camara Frangos"/>
    <s v="Masculino"/>
    <x v="6"/>
    <x v="20"/>
    <s v="31602185 - Estimulação Elétrica Transcutanea (Tens) (R$ 40,00)"/>
    <s v="Fisioterapia"/>
    <n v="170027"/>
    <s v="Finalizado (3/5)"/>
    <n v="35.200000000000003"/>
    <n v="4.8"/>
    <n v="40"/>
    <s v="Sessão a Faturar"/>
    <s v="44520813095886520010"/>
    <n v="59453"/>
    <s v="Unidade Vieralves (ANEXO)"/>
    <n v="170027"/>
    <s v="guia assinada"/>
  </r>
  <r>
    <x v="22"/>
    <x v="89"/>
    <s v="Oto Trindade Backsmann"/>
    <s v="Masculino"/>
    <x v="6"/>
    <x v="20"/>
    <s v="20103514 - Patologia Em Dois Ou Mais Segmentos da Coluna (R$ 32,82)"/>
    <s v="Fisioterapia"/>
    <n v="170242"/>
    <s v="Finalizado (4/5)"/>
    <n v="28.881599999999999"/>
    <n v="3.9384000000000001"/>
    <n v="32.82"/>
    <s v="Sessão a Faturar"/>
    <s v="54588888485990460010"/>
    <n v="18508"/>
    <s v="Unidade Vieiralves"/>
    <n v="170242"/>
    <m/>
  </r>
  <r>
    <x v="22"/>
    <x v="89"/>
    <s v="Maria Raimunda da Silva Guedes Lima"/>
    <s v="Feminino"/>
    <x v="2"/>
    <x v="20"/>
    <s v="20103492 - Fisioterapia - Patologia Em Dois Ou Mais Membros (R$ 14,83)"/>
    <s v="Fisioterapia"/>
    <n v="1709424701"/>
    <s v="Finalizado (2/5)"/>
    <n v="13.0504"/>
    <n v="1.7796000000000001"/>
    <n v="14.83"/>
    <s v="Sessão Faturada"/>
    <n v="960016575471000"/>
    <n v="21019"/>
    <s v="Unidade Vieiralves"/>
    <n v="1709424701"/>
    <m/>
  </r>
  <r>
    <x v="22"/>
    <x v="44"/>
    <s v="Valmir Cesar Pozzetti"/>
    <s v="Masculino"/>
    <x v="1"/>
    <x v="20"/>
    <s v="50000160 - Fisioterapia Ortopédica (R$ 20,00), 98980327 - Taxa de Eletroterapia (Tens) (R$ 15,00)"/>
    <s v="Fisioterapia"/>
    <n v="8913272"/>
    <s v="Finalizado (7/10)"/>
    <n v="30.8"/>
    <n v="4.2"/>
    <n v="35"/>
    <s v="Sessão Faturada"/>
    <s v="0901013948180030"/>
    <n v="43203"/>
    <s v="Unidade Vieiralves"/>
    <n v="8913272"/>
    <m/>
  </r>
  <r>
    <x v="22"/>
    <x v="44"/>
    <s v="Ana Claudia Teixeira de Souza Viapiana"/>
    <m/>
    <x v="2"/>
    <x v="20"/>
    <s v="20103484 - Fisioterapia - Patologia Em Um Membro (R$ 12,22)"/>
    <s v="Fisioterapia"/>
    <n v="1707711063"/>
    <s v="Finalizado (5/10)"/>
    <n v="10.7536"/>
    <n v="1.4663999999999999"/>
    <n v="12.22"/>
    <s v="Sessão Faturada"/>
    <n v="896958600019010"/>
    <n v="59405"/>
    <s v="Unidade Vieiralves"/>
    <n v="1707711063"/>
    <m/>
  </r>
  <r>
    <x v="22"/>
    <x v="41"/>
    <s v="Edna Lucia Moraes Derzi"/>
    <s v="Feminino"/>
    <x v="6"/>
    <x v="20"/>
    <s v="20103492 - Patologia Em Dois Ou Mais Membros (R$ 30,26)"/>
    <s v="Fisioterapia"/>
    <n v="170406"/>
    <s v="Finalizado (4/10)"/>
    <n v="26.628799999999998"/>
    <n v="3.6312000000000002"/>
    <n v="30.26"/>
    <s v="Sessão a Faturar"/>
    <s v="54588888469679780015"/>
    <n v="13101"/>
    <s v="Unidade Vieiralves"/>
    <n v="170406"/>
    <m/>
  </r>
  <r>
    <x v="22"/>
    <x v="41"/>
    <s v="Sandra Souza Cavalcante"/>
    <m/>
    <x v="2"/>
    <x v="20"/>
    <s v="20103484 - Fisioterapia - Patologia Em Um Membro (R$ 12,22)"/>
    <s v="Fisioterapia"/>
    <n v="1710035241"/>
    <s v="Finalizado (1/8)"/>
    <n v="10.7536"/>
    <n v="1.4663999999999999"/>
    <n v="12.22"/>
    <s v="Sessão a Faturar"/>
    <n v="773299001503000"/>
    <n v="59519"/>
    <s v="Unidade Vieiralves"/>
    <n v="1710035241"/>
    <m/>
  </r>
  <r>
    <x v="22"/>
    <x v="41"/>
    <s v="Juliana Schettini Sobrinho Dourado"/>
    <m/>
    <x v="6"/>
    <x v="20"/>
    <s v="20103484 - Patologia Em Um Membro (R$ 14,16)"/>
    <s v="Fisioterapia"/>
    <n v="171274"/>
    <s v="Finalizado (1/10)"/>
    <n v="12.460800000000001"/>
    <n v="1.6992"/>
    <n v="14.16"/>
    <s v="Sessão a Faturar"/>
    <s v="51588888483923230010"/>
    <n v="58626"/>
    <s v="Unidade Vieiralves"/>
    <n v="171274"/>
    <m/>
  </r>
  <r>
    <x v="22"/>
    <x v="41"/>
    <s v="Edna Lucia Moraes Derzi"/>
    <s v="Feminino"/>
    <x v="6"/>
    <x v="20"/>
    <s v="31602185 - Estimulação Elétrica Transcutanea (Tens) (R$ 40,00)"/>
    <s v="Fisioterapia"/>
    <n v="170747"/>
    <s v="Finalizado (3/10)"/>
    <n v="35.200000000000003"/>
    <n v="4.8"/>
    <n v="40"/>
    <s v="Sessão a Faturar"/>
    <s v="54588888469679780015"/>
    <n v="13101"/>
    <s v="Unidade Vieiralves"/>
    <n v="170747"/>
    <m/>
  </r>
  <r>
    <x v="22"/>
    <x v="65"/>
    <s v="Sandra Souza Cavalcante"/>
    <m/>
    <x v="4"/>
    <x v="20"/>
    <s v="31602185 - Estimulação Elétrica Transcutânea - Removido 13/04/2026 (R$ 40,00)"/>
    <s v="Fisioterapia"/>
    <n v="1709420314"/>
    <s v="Finalizado (2/5)"/>
    <n v="35.200000000000003"/>
    <n v="4.8"/>
    <n v="40"/>
    <s v="Sessão Faturada"/>
    <n v="773299001503000"/>
    <n v="59519"/>
    <s v="Unidade Vieiralves"/>
    <n v="1709420314"/>
    <m/>
  </r>
  <r>
    <x v="22"/>
    <x v="65"/>
    <s v="Juliana Schettini Sobrinho Dourado"/>
    <m/>
    <x v="6"/>
    <x v="20"/>
    <s v="31602185 - Estimulação Elétrica Transcutanea (Tens) (R$ 40,00)"/>
    <s v="Fisioterapia"/>
    <n v="169922"/>
    <s v="Finalizado (4/5)"/>
    <n v="35.200000000000003"/>
    <n v="4.8"/>
    <n v="40"/>
    <s v="Sessão a Faturar"/>
    <s v="51588888483923230010"/>
    <n v="58626"/>
    <s v="Unidade Vieiralves"/>
    <n v="169922"/>
    <m/>
  </r>
  <r>
    <x v="22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6/10)"/>
    <n v="30.8"/>
    <n v="4.2"/>
    <n v="35"/>
    <s v="Sessão Faturada"/>
    <s v="0901013959170057"/>
    <n v="15532"/>
    <s v="Unidade Vieiralves"/>
    <n v="9093197"/>
    <m/>
  </r>
  <r>
    <x v="22"/>
    <x v="36"/>
    <s v="Helen dos Santos Viana"/>
    <m/>
    <x v="2"/>
    <x v="20"/>
    <s v="20103492 - Fisioterapia - Patologia Em Dois Ou Mais Membros (R$ 14,83)"/>
    <s v="Fisioterapia"/>
    <n v="1705574850"/>
    <s v="Finalizado (3/6)"/>
    <n v="13.0504"/>
    <n v="1.7796000000000001"/>
    <n v="14.83"/>
    <s v="Sessão Faturada"/>
    <n v="774642026174020"/>
    <n v="59475"/>
    <s v="Unidade Vieiralves"/>
    <n v="1705574850"/>
    <m/>
  </r>
  <r>
    <x v="22"/>
    <x v="36"/>
    <s v="Ana Paula Braga de Freitas"/>
    <s v="Feminino"/>
    <x v="1"/>
    <x v="20"/>
    <s v="50000160 - Fisioterapia Ortopédica (R$ 20,00), 98980327 - Taxa de Eletroterapia (Tens) (R$ 15,00)"/>
    <s v="Fisioterapia"/>
    <n v="9176962"/>
    <s v="Finalizado (3/4)"/>
    <n v="30.8"/>
    <n v="4.2"/>
    <n v="35"/>
    <s v="Sessão Faturada"/>
    <s v="0901013100580025"/>
    <n v="59522"/>
    <s v="Unidade Vieiralves"/>
    <n v="9176962"/>
    <m/>
  </r>
  <r>
    <x v="22"/>
    <x v="40"/>
    <s v="Rozirlande Oliveira do Valle"/>
    <s v="Feminino"/>
    <x v="6"/>
    <x v="20"/>
    <s v="20103484 - Patologia Em Um Membro (R$ 14,16)"/>
    <s v="Fisioterapia"/>
    <n v="170134"/>
    <s v="Finalizado (6/10)"/>
    <n v="12.460800000000001"/>
    <n v="1.6992"/>
    <n v="14.16"/>
    <s v="Sessão a Faturar"/>
    <s v="58201466755603470024"/>
    <n v="38049"/>
    <s v="Unidade Vieiralves"/>
    <n v="170134"/>
    <m/>
  </r>
  <r>
    <x v="22"/>
    <x v="40"/>
    <s v="Grace Mary Araujo de Souza"/>
    <s v="Feminino"/>
    <x v="1"/>
    <x v="20"/>
    <s v="50000160 - Fisioterapia Ortopédica (R$ 20,00), 98980327 - Taxa de Eletroterapia (Tens) (R$ 15,00)"/>
    <s v="Fisioterapia"/>
    <n v="8530573"/>
    <s v="Finalizado (10/10)"/>
    <n v="30.8"/>
    <n v="4.2"/>
    <n v="35"/>
    <s v="Sessão Faturada"/>
    <s v="0201013190830080"/>
    <n v="44903"/>
    <s v="Unidade Vieiralves"/>
    <n v="8530573"/>
    <s v="Guia assinada!"/>
  </r>
  <r>
    <x v="22"/>
    <x v="40"/>
    <s v="Wendel de Mendonça de Souza"/>
    <s v="Masculino"/>
    <x v="2"/>
    <x v="20"/>
    <s v="50000144 - Avaliação de Fisioterapia (R$ 51,42)"/>
    <s v="Fisioterapia"/>
    <n v="1710119553"/>
    <s v="Finalizado (1/1)"/>
    <n v="46.277999999999999"/>
    <n v="5.1420000000000003"/>
    <n v="51.42"/>
    <s v="Sessão Faturada"/>
    <n v="854778700183020"/>
    <n v="59572"/>
    <s v="Unidade Vieiralves"/>
    <n v="1710119553"/>
    <m/>
  </r>
  <r>
    <x v="22"/>
    <x v="45"/>
    <s v="Wendel de Mendonça de Souza"/>
    <s v="Masculino"/>
    <x v="2"/>
    <x v="20"/>
    <s v="20103514 - Fisioterapia - Patologia Em Diferentes Segmentos da Coluna (R$ 14,83)"/>
    <s v="Fisioterapia"/>
    <n v="1710121318"/>
    <s v="Finalizado (1/10)"/>
    <n v="13.0504"/>
    <n v="1.7796000000000001"/>
    <n v="14.83"/>
    <s v="Sessão a Faturar"/>
    <n v="854778700183020"/>
    <n v="59572"/>
    <s v="Unidade Vieiralves"/>
    <n v="1710121318"/>
    <m/>
  </r>
  <r>
    <x v="22"/>
    <x v="45"/>
    <s v="Rozirlande Oliveira do Valle"/>
    <s v="Feminino"/>
    <x v="6"/>
    <x v="20"/>
    <s v="31602185 - Estimulação Elétrica Transcutanea (Tens) (R$ 40,00)"/>
    <s v="Fisioterapia"/>
    <n v="170135"/>
    <s v="Finalizado (6/10)"/>
    <n v="35.200000000000003"/>
    <n v="4.8"/>
    <n v="40"/>
    <s v="Sessão a Faturar"/>
    <s v="58201466755603470024"/>
    <n v="38049"/>
    <s v="Unidade Vieiralves"/>
    <n v="170135"/>
    <m/>
  </r>
  <r>
    <x v="22"/>
    <x v="35"/>
    <s v="Laindks Lopes"/>
    <s v="Feminino"/>
    <x v="2"/>
    <x v="20"/>
    <s v="20103506 - Fisioterapia - Patologia Em Um Segmento da Coluna (R$ 12,22)"/>
    <s v="Fisioterapia"/>
    <n v="1705697611"/>
    <s v="Finalizado (5/5)"/>
    <n v="10.7536"/>
    <n v="1.4663999999999999"/>
    <n v="12.22"/>
    <s v="Sessão Faturada"/>
    <n v="611453030001010"/>
    <n v="29"/>
    <s v="Unidade Vieiralves"/>
    <n v="1705697611"/>
    <m/>
  </r>
  <r>
    <x v="22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01771403"/>
    <s v="Finalizado (5/5)"/>
    <n v="23.803999999999998"/>
    <n v="3.246"/>
    <n v="27.05"/>
    <s v="Sessão Faturada"/>
    <n v="812980300400020"/>
    <n v="59087"/>
    <s v="Unidade Vieiralves"/>
    <n v="1701771403"/>
    <m/>
  </r>
  <r>
    <x v="22"/>
    <x v="37"/>
    <s v="Ricardo Marques de Abreu"/>
    <s v="Masculino"/>
    <x v="1"/>
    <x v="20"/>
    <s v="50000160 - Fisioterapia Ortopédica (R$ 20,00), 98980327 - Taxa de Eletroterapia (Tens) (R$ 15,00)"/>
    <s v="Fisioterapia"/>
    <n v="9239312"/>
    <s v="Finalizado (2/9)"/>
    <n v="30.8"/>
    <n v="4.2"/>
    <n v="35"/>
    <s v="Sessão Faturada"/>
    <n v="2001013216580000"/>
    <n v="43902"/>
    <s v="Unidade Vieiralves"/>
    <n v="9239312"/>
    <m/>
  </r>
  <r>
    <x v="22"/>
    <x v="37"/>
    <s v="Adriana Santos Gonçalves da Silva"/>
    <s v="Feminino"/>
    <x v="2"/>
    <x v="20"/>
    <s v="50000144 - Avaliação de Fisioterapia (R$ 51,42)"/>
    <s v="Fisioterapia"/>
    <n v="1710232669"/>
    <s v="Finalizado (1/1)"/>
    <n v="46.277999999999999"/>
    <n v="5.1420000000000003"/>
    <n v="51.42"/>
    <s v="Sessão Faturada"/>
    <n v="611019330003020"/>
    <n v="45664"/>
    <s v="Unidade Vieiralves"/>
    <n v="1710232669"/>
    <m/>
  </r>
  <r>
    <x v="22"/>
    <x v="37"/>
    <s v="Ivete Akimi Massuda"/>
    <s v="Feminino"/>
    <x v="6"/>
    <x v="20"/>
    <s v="20103506 - Patologia Em Um Segmento da Coluna (R$ 14,16)"/>
    <s v="Fisioterapia"/>
    <n v="171164"/>
    <s v="Finalizado (2/10)"/>
    <n v="12.460800000000001"/>
    <n v="1.6992"/>
    <n v="14.16"/>
    <s v="Sessão a Faturar"/>
    <s v="54588888473661890020"/>
    <n v="43609"/>
    <s v="Unidade Vieiralves"/>
    <n v="171164"/>
    <m/>
  </r>
  <r>
    <x v="22"/>
    <x v="63"/>
    <s v="Adriana Santos Gonçalves da Silva"/>
    <s v="Feminino"/>
    <x v="2"/>
    <x v="20"/>
    <s v="20103514 - Fisioterapia - Patologia Em Diferentes Segmentos da Coluna (R$ 14,83)"/>
    <s v="Fisioterapia"/>
    <n v="1710233815"/>
    <s v="Finalizado (1/3)"/>
    <n v="13.0504"/>
    <n v="1.7796000000000001"/>
    <n v="14.83"/>
    <s v="Sessão Faturada"/>
    <n v="611019330003020"/>
    <n v="45664"/>
    <s v="Unidade Vieiralves"/>
    <n v="1710233815"/>
    <m/>
  </r>
  <r>
    <x v="22"/>
    <x v="63"/>
    <s v="Ivete Akimi Massuda"/>
    <s v="Feminino"/>
    <x v="6"/>
    <x v="20"/>
    <s v="31602185 - Estimulação Elétrica Transcutanea (Tens) (R$ 40,00)"/>
    <s v="Fisioterapia"/>
    <n v="171163"/>
    <s v="Finalizado (2/10)"/>
    <n v="35.200000000000003"/>
    <n v="4.8"/>
    <n v="40"/>
    <s v="Sessão a Faturar"/>
    <s v="54588888473661890020"/>
    <n v="43609"/>
    <s v="Unidade Vieiralves"/>
    <n v="171163"/>
    <m/>
  </r>
  <r>
    <x v="22"/>
    <x v="39"/>
    <s v="Aline Ferreira Pereira"/>
    <s v="Feminino"/>
    <x v="3"/>
    <x v="20"/>
    <s v="0006 - Fisioterapia Ortopédica - Pacote Com 10 Sessões (R$ 40,00)"/>
    <s v="Fisioterapia"/>
    <n v="169451"/>
    <s v="Finalizado (7/10)"/>
    <n v="31.2"/>
    <n v="8.8000000000000007"/>
    <n v="40"/>
    <s v="Sessão a Faturar"/>
    <n v="6741"/>
    <n v="59441"/>
    <s v="Unidade Vieiralves"/>
    <n v="169451"/>
    <m/>
  </r>
  <r>
    <x v="22"/>
    <x v="2"/>
    <s v="Ivanildes Barbosa da Silva"/>
    <s v="Feminino"/>
    <x v="6"/>
    <x v="20"/>
    <s v="20103484 - Patologia Em Um Membro (R$ 14,16)"/>
    <s v="Fisioterapia"/>
    <n v="169848"/>
    <s v="Finalizado (5/5)"/>
    <n v="12.460800000000001"/>
    <n v="1.6992"/>
    <n v="14.16"/>
    <s v="Sessão a Faturar"/>
    <s v="54588888019240100022"/>
    <n v="58583"/>
    <s v="Unidade Vieralves (ANEXO)"/>
    <n v="169848"/>
    <m/>
  </r>
  <r>
    <x v="22"/>
    <x v="2"/>
    <s v="Isabelly Bacelar Gonçalves"/>
    <s v="Feminino"/>
    <x v="0"/>
    <x v="20"/>
    <s v="31602185 - Estimulação Elétrica Transcutânea Fisioterapia (Novo - 01/12) (R$ 54,13)"/>
    <s v="Fisioterapia"/>
    <s v="42263120260316484069"/>
    <s v="Finalizado (2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22"/>
    <x v="2"/>
    <s v="Walter Jose Firmo Gonçalves Filho"/>
    <s v="Masculino"/>
    <x v="0"/>
    <x v="20"/>
    <s v="50000160 - Fisioterapia Ortopedica (R$ 49,72)"/>
    <s v="Fisioterapia"/>
    <s v="42263120260310449344"/>
    <s v="Finalizado (3/10)"/>
    <n v="43.753599999999999"/>
    <n v="5.9664000000000001"/>
    <n v="49.72"/>
    <s v="Sessão a Faturar"/>
    <s v="010033652700"/>
    <n v="41064"/>
    <s v="Unidade Vieralves (ANEXO)"/>
    <s v="42263120260310449344"/>
    <s v="Guia assinada! 02/04"/>
  </r>
  <r>
    <x v="22"/>
    <x v="2"/>
    <s v="Cristiane Gomes Barcelar Gonçalves"/>
    <s v="Feminino"/>
    <x v="0"/>
    <x v="20"/>
    <s v="50000160 - Fisioterapia Ortopedica (R$ 49,72)"/>
    <s v="Fisioterapia"/>
    <s v="42263120260305415598"/>
    <s v="Finalizado (4/10)"/>
    <n v="43.753599999999999"/>
    <n v="5.9664000000000001"/>
    <n v="49.72"/>
    <s v="Sessão a Faturar"/>
    <s v="010033652753"/>
    <n v="27217"/>
    <s v="Unidade Vieralves (ANEXO)"/>
    <s v="42263120260305415598"/>
    <m/>
  </r>
  <r>
    <x v="22"/>
    <x v="3"/>
    <s v="Walter Jose Firmo Gonçalves Filho"/>
    <s v="Masculino"/>
    <x v="0"/>
    <x v="20"/>
    <s v="31602185 - Estimulação Elétrica Transcutânea Fisioterapia (Novo - 01/12) (R$ 54,13)"/>
    <s v="Fisioterapia"/>
    <s v="42263120260311457584"/>
    <s v="Finalizado (3/10)"/>
    <n v="47.634399999999999"/>
    <n v="6.4955999999999996"/>
    <n v="54.13"/>
    <s v="Sessão a Faturar"/>
    <s v="010033652700"/>
    <n v="41064"/>
    <s v="Unidade Vieralves (ANEXO)"/>
    <s v="42263120260311457584"/>
    <s v="Guia assinada! 02/04"/>
  </r>
  <r>
    <x v="22"/>
    <x v="3"/>
    <s v="Isabelly Bacelar Gonçalves"/>
    <s v="Feminino"/>
    <x v="0"/>
    <x v="20"/>
    <s v="50000160 - Fisioterapia Ortopedica (R$ 49,72)"/>
    <s v="Fisioterapia"/>
    <s v="42263120260316483774"/>
    <s v="Finalizado (2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22"/>
    <x v="3"/>
    <s v="Cristiane Gomes Barcelar Gonçalves"/>
    <s v="Feminino"/>
    <x v="0"/>
    <x v="20"/>
    <s v="31602185 - Estimulação Elétrica Transcutânea Fisioterapia (Novo - 01/12) (R$ 54,13)"/>
    <s v="Fisioterapia"/>
    <s v="42263120260305415649"/>
    <s v="Finalizado (4/10)"/>
    <n v="47.634399999999999"/>
    <n v="6.4955999999999996"/>
    <n v="54.13"/>
    <s v="Sessão a Faturar"/>
    <s v="010033652753"/>
    <n v="27217"/>
    <s v="Unidade Vieralves (ANEXO)"/>
    <s v="42263120260305415649"/>
    <m/>
  </r>
  <r>
    <x v="22"/>
    <x v="4"/>
    <s v="Carlos Alberto de Assis"/>
    <s v="Masculino"/>
    <x v="17"/>
    <x v="20"/>
    <s v="50000160 - Fisioterapia Ortopedica (R$ 45,00)"/>
    <s v="Fisioterapia"/>
    <n v="3959721"/>
    <s v="Finalizado (4/10)"/>
    <n v="39.6"/>
    <n v="5.4"/>
    <n v="45"/>
    <s v="Sessão a Faturar"/>
    <s v="000915778421200"/>
    <n v="59370"/>
    <s v="Unidade Vieralves (ANEXO)"/>
    <n v="3959721"/>
    <s v="Guia assinada!"/>
  </r>
  <r>
    <x v="22"/>
    <x v="4"/>
    <s v="Silvana Aparecida de Souza Assis"/>
    <s v="Feminino"/>
    <x v="17"/>
    <x v="20"/>
    <s v="50000160 - Fisioterapia Ortopedica (R$ 45,00)"/>
    <s v="Fisioterapia"/>
    <n v="3959691"/>
    <s v="Finalizado (4/10)"/>
    <n v="39.6"/>
    <n v="5.4"/>
    <n v="45"/>
    <s v="Sessão a Faturar"/>
    <s v="000915778421201"/>
    <n v="59371"/>
    <s v="Unidade Vieralves (ANEXO)"/>
    <n v="3959691"/>
    <s v="Guia assinada!"/>
  </r>
  <r>
    <x v="22"/>
    <x v="4"/>
    <s v="Kryslaine de Oliveira Silva"/>
    <s v="Feminino"/>
    <x v="3"/>
    <x v="20"/>
    <s v="0006 - Fisioterapia Ortopédica - Pacote Com 10 Sessões (R$ 40,00)"/>
    <s v="Fisioterapia"/>
    <n v="158033"/>
    <s v="Finalizado (8/10)"/>
    <n v="31.2"/>
    <n v="8.8000000000000007"/>
    <n v="40"/>
    <s v="Sessão a Faturar"/>
    <n v="13544812"/>
    <n v="58204"/>
    <s v="Unidade Vieralves (ANEXO)"/>
    <n v="158033"/>
    <m/>
  </r>
  <r>
    <x v="22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8/10)"/>
    <n v="30.8"/>
    <n v="4.2"/>
    <n v="35"/>
    <s v="Sessão Faturada"/>
    <n v="2001012922200100"/>
    <n v="59047"/>
    <s v="Unidade Vieralves (ANEXO)"/>
    <n v="9016939"/>
    <m/>
  </r>
  <r>
    <x v="22"/>
    <x v="13"/>
    <s v="Laiane Tammy Abati"/>
    <s v="Feminino"/>
    <x v="1"/>
    <x v="20"/>
    <s v="50000160 - Fisioterapia Ortopédica (R$ 20,00), 98980327 - Taxa de Eletroterapia (Tens) (R$ 15,00)"/>
    <s v="Fisioterapia"/>
    <n v="8920855"/>
    <s v="Finalizado (4/10)"/>
    <n v="30.8"/>
    <n v="4.2"/>
    <n v="35"/>
    <s v="Sessão Faturada"/>
    <s v="0901013277860067"/>
    <n v="59363"/>
    <s v="Unidade Vieralves (ANEXO)"/>
    <n v="8920855"/>
    <s v="GUIA ASSINADA!!!!!"/>
  </r>
  <r>
    <x v="22"/>
    <x v="13"/>
    <s v="Victoria de Moraes Martins Pereira"/>
    <s v="Masculino"/>
    <x v="6"/>
    <x v="20"/>
    <s v="31602185 - Estimulação Elétrica Transcutanea (Tens) (R$ 40,00)"/>
    <s v="Fisioterapia"/>
    <n v="171247"/>
    <s v="Finalizado (2/10)"/>
    <n v="35.200000000000003"/>
    <n v="4.8"/>
    <n v="40"/>
    <s v="Sessão a Faturar"/>
    <s v="55788888488381350015"/>
    <n v="48970"/>
    <s v="Unidade Vieralves (ANEXO)"/>
    <n v="171247"/>
    <m/>
  </r>
  <r>
    <x v="22"/>
    <x v="13"/>
    <s v="Maria de Fatima da Silva Souza"/>
    <s v="Feminino"/>
    <x v="2"/>
    <x v="20"/>
    <s v="20103492 - Fisioterapia - Patologia Em Dois Ou Mais Membros (R$ 14,83)"/>
    <s v="Fisioterapia"/>
    <n v="1710422709"/>
    <s v="Finalizado (1/4)"/>
    <n v="13.0504"/>
    <n v="1.7796000000000001"/>
    <n v="14.83"/>
    <s v="Sessão a Faturar"/>
    <n v="952140115211010"/>
    <n v="23931"/>
    <s v="Unidade Vieralves (ANEXO)"/>
    <n v="1710422709"/>
    <m/>
  </r>
  <r>
    <x v="22"/>
    <x v="14"/>
    <s v="Victoria de Moraes Martins Pereira"/>
    <s v="Masculino"/>
    <x v="6"/>
    <x v="20"/>
    <s v="20103662 - Pos Operatorio Em Um Membro (R$ 22,53)"/>
    <s v="Fisioterapia"/>
    <n v="171245"/>
    <s v="Finalizado (2/10)"/>
    <n v="19.8264"/>
    <n v="2.7035999999999998"/>
    <n v="22.53"/>
    <s v="Sessão a Faturar"/>
    <s v="55788888488381350015"/>
    <n v="48970"/>
    <s v="Unidade Vieralves (ANEXO)"/>
    <n v="171245"/>
    <m/>
  </r>
  <r>
    <x v="22"/>
    <x v="6"/>
    <s v="Leticia Magalhães Mendes"/>
    <s v="Feminino"/>
    <x v="2"/>
    <x v="20"/>
    <s v="50000144 - Avaliação de Fisioterapia (R$ 51,42)"/>
    <s v="Fisioterapia"/>
    <n v="1710447912"/>
    <s v="Finalizado (1/1)"/>
    <n v="46.277999999999999"/>
    <n v="5.1420000000000003"/>
    <n v="51.42"/>
    <s v="Sessão Faturada"/>
    <n v="775423014966000"/>
    <n v="59594"/>
    <s v="Unidade Vieralves (ANEXO)"/>
    <n v="1710447912"/>
    <m/>
  </r>
  <r>
    <x v="22"/>
    <x v="6"/>
    <s v="Iranildo Macedo Soares"/>
    <s v="Masculino"/>
    <x v="11"/>
    <x v="20"/>
    <s v="20103484 - Fisioterapia - Patologia Em Um Membro (R$ 80,33)"/>
    <s v="Fisioterapia"/>
    <n v="2508"/>
    <s v="Finalizado (8/8)"/>
    <n v="70.690399999999997"/>
    <n v="9.6395999999999997"/>
    <n v="80.33"/>
    <s v="Sessão Faturada"/>
    <n v="2302034"/>
    <n v="59195"/>
    <s v="Unidade Vieralves (ANEXO)"/>
    <n v="2508"/>
    <m/>
  </r>
  <r>
    <x v="22"/>
    <x v="6"/>
    <s v="Lidia Teresa Monteiro Mendes"/>
    <s v="Feminino"/>
    <x v="6"/>
    <x v="20"/>
    <s v="20103492 - Patologia Em Dois Ou Mais Membros (R$ 30,26)"/>
    <s v="Fisioterapia"/>
    <n v="171232"/>
    <s v="Finalizado (2/10)"/>
    <n v="26.628799999999998"/>
    <n v="3.6312000000000002"/>
    <n v="30.26"/>
    <s v="Sessão a Faturar"/>
    <s v="54588888004872480010"/>
    <n v="37147"/>
    <s v="Unidade Vieralves (ANEXO)"/>
    <n v="171232"/>
    <m/>
  </r>
  <r>
    <x v="22"/>
    <x v="6"/>
    <s v="Vinicius de Souza Teixeira"/>
    <s v="Masculino"/>
    <x v="2"/>
    <x v="20"/>
    <s v="20103484 - Fisioterapia - Patologia Em Um Membro (R$ 12,22), 20103514 - Fisioterapia - Patologia Em Diferentes Segmentos da Coluna (R$ 14,83)"/>
    <s v="Fisioterapia"/>
    <n v="1707498450"/>
    <s v="Finalizado (3/7)"/>
    <n v="23.803999999999998"/>
    <n v="3.246"/>
    <n v="27.05"/>
    <s v="Sessão a Faturar"/>
    <n v="774642030686000"/>
    <n v="59192"/>
    <s v="Unidade Vieralves (ANEXO)"/>
    <n v="1707498450"/>
    <m/>
  </r>
  <r>
    <x v="22"/>
    <x v="7"/>
    <s v="Lidia Teresa Monteiro Mendes"/>
    <s v="Feminino"/>
    <x v="6"/>
    <x v="20"/>
    <s v="31602185 - Estimulação Elétrica Transcutanea (Tens) (R$ 40,00)"/>
    <s v="Fisioterapia"/>
    <n v="171378"/>
    <s v="Finalizado (1/10)"/>
    <n v="35.200000000000003"/>
    <n v="4.8"/>
    <n v="40"/>
    <s v="Sessão a Faturar"/>
    <s v="54588888004872480010"/>
    <n v="37147"/>
    <s v="Unidade Vieralves (ANEXO)"/>
    <n v="171378"/>
    <m/>
  </r>
  <r>
    <x v="22"/>
    <x v="7"/>
    <s v="Leticia Magalhães Mendes"/>
    <s v="Feminino"/>
    <x v="2"/>
    <x v="20"/>
    <s v="20103484 - Fisioterapia - Patologia Em Um Membro (R$ 12,22)"/>
    <s v="Fisioterapia"/>
    <n v="1710448748"/>
    <s v="Finalizado (1/10)"/>
    <n v="10.7536"/>
    <n v="1.4663999999999999"/>
    <n v="12.22"/>
    <s v="Sessão Faturada"/>
    <n v="775423014966000"/>
    <n v="59594"/>
    <s v="Unidade Vieralves (ANEXO)"/>
    <n v="1710448748"/>
    <m/>
  </r>
  <r>
    <x v="22"/>
    <x v="15"/>
    <s v="Nick Davidson Cunha Furtado"/>
    <s v="Masculino"/>
    <x v="7"/>
    <x v="20"/>
    <s v="Vieiralves - 1 - Fisioterapia Ortopedica - Pacote (R$ 40,00)"/>
    <s v="Fisioterapia"/>
    <m/>
    <s v="Finalizado (2/10)"/>
    <n v="31.2"/>
    <n v="8.8000000000000007"/>
    <n v="40"/>
    <s v="No Prazo"/>
    <n v="0"/>
    <n v="59584"/>
    <s v="Unidade Vieralves (ANEXO)"/>
    <m/>
    <m/>
  </r>
  <r>
    <x v="22"/>
    <x v="15"/>
    <s v="Rosineide Rodrigues Arcanjo"/>
    <s v="Feminino"/>
    <x v="2"/>
    <x v="20"/>
    <s v="20103514 - Fisioterapia - Patologia Em Diferentes Segmentos da Coluna (R$ 14,83)"/>
    <s v="Fisioterapia"/>
    <n v="1709777911"/>
    <s v="Finalizado (2/9)"/>
    <n v="13.0504"/>
    <n v="1.7796000000000001"/>
    <n v="14.83"/>
    <s v="Sessão Faturada"/>
    <n v="774063004219030"/>
    <n v="50224"/>
    <s v="Unidade Vieralves (ANEXO)"/>
    <n v="1709777911"/>
    <m/>
  </r>
  <r>
    <x v="22"/>
    <x v="15"/>
    <s v="Laura Irene Villacrez Flores"/>
    <s v="Feminino"/>
    <x v="5"/>
    <x v="20"/>
    <s v="31602185 - Estimulação Elétrica Transcutânea (Tens) (R$ 125,40)"/>
    <s v="Fisioterapia"/>
    <n v="78268770"/>
    <s v="Finalizado (2/10)"/>
    <n v="110.352"/>
    <n v="15.048"/>
    <n v="125.4"/>
    <s v="Sessão Faturada"/>
    <s v="010080860100"/>
    <n v="59130"/>
    <s v="Unidade Vieralves (ANEXO)"/>
    <n v="78268770"/>
    <m/>
  </r>
  <r>
    <x v="22"/>
    <x v="16"/>
    <s v="Laura Irene Villacrez Flores"/>
    <s v="Feminino"/>
    <x v="5"/>
    <x v="20"/>
    <s v="98860011 - Fisioterapia Complexidade 1 (R$ 55,26)"/>
    <s v="Fisioterapia"/>
    <n v="77963780"/>
    <s v="Finalizado (4/10)"/>
    <n v="48.628799999999998"/>
    <n v="6.6311999999999998"/>
    <n v="55.26"/>
    <s v="Sessão Faturada"/>
    <s v="010080860100"/>
    <n v="59130"/>
    <s v="Unidade Vieralves (ANEXO)"/>
    <n v="77963780"/>
    <m/>
  </r>
  <r>
    <x v="22"/>
    <x v="17"/>
    <s v="Maria Auxiliadora da Silva Castelano"/>
    <s v="Feminino"/>
    <x v="2"/>
    <x v="20"/>
    <s v="20103492 - Fisioterapia - Patologia Em Dois Ou Mais Membros (R$ 14,83)"/>
    <s v="Fisioterapia"/>
    <n v="1709843838"/>
    <s v="Finalizado (2/7)"/>
    <n v="13.0504"/>
    <n v="1.7796000000000001"/>
    <n v="14.83"/>
    <s v="Sessão a Faturar"/>
    <n v="773458002496010"/>
    <n v="13771"/>
    <s v="Unidade Vieralves (ANEXO)"/>
    <n v="1709843838"/>
    <m/>
  </r>
  <r>
    <x v="22"/>
    <x v="17"/>
    <s v="Núbia Sena Abrantes"/>
    <s v="Feminino"/>
    <x v="1"/>
    <x v="20"/>
    <s v="50000160 - Fisioterapia Ortopédica (R$ 20,00), 98980327 - Taxa de Eletroterapia (Tens) (R$ 15,00)"/>
    <s v="Fisioterapia"/>
    <n v="8955494"/>
    <s v="Finalizado (7/10)"/>
    <n v="30.8"/>
    <n v="4.2"/>
    <n v="35"/>
    <s v="Sessão Faturada"/>
    <s v="0903002964650113"/>
    <n v="56048"/>
    <s v="Unidade Vieralves (ANEXO)"/>
    <n v="8955494"/>
    <s v="guia assinada "/>
  </r>
  <r>
    <x v="22"/>
    <x v="8"/>
    <s v="Gaspar Henrique Alves Mota"/>
    <m/>
    <x v="2"/>
    <x v="20"/>
    <s v="20103514 - Fisioterapia - Patologia Em Diferentes Segmentos da Coluna (R$ 14,83)"/>
    <s v="Fisioterapia"/>
    <n v="1706520582"/>
    <s v="Finalizado (4/5)"/>
    <n v="13.0504"/>
    <n v="1.7796000000000001"/>
    <n v="14.83"/>
    <s v="Sessão Faturada"/>
    <n v="774642013528010"/>
    <n v="54316"/>
    <s v="Unidade Vieralves (ANEXO)"/>
    <n v="1706520582"/>
    <m/>
  </r>
  <r>
    <x v="22"/>
    <x v="8"/>
    <s v="Bruno Santos da Silva"/>
    <s v="Masculino"/>
    <x v="6"/>
    <x v="20"/>
    <s v="20103514 - Patologia Em Dois Ou Mais Segmentos da Coluna (R$ 32,82)"/>
    <s v="Fisioterapia"/>
    <n v="171400"/>
    <s v="Finalizado (1/3)"/>
    <n v="28.881599999999999"/>
    <n v="3.9384000000000001"/>
    <n v="32.82"/>
    <s v="Sessão a Faturar"/>
    <s v="54588888481819360012"/>
    <n v="51544"/>
    <s v="Unidade Vieralves (ANEXO)"/>
    <n v="171400"/>
    <m/>
  </r>
  <r>
    <x v="22"/>
    <x v="8"/>
    <s v="Napoleão Cesar Pinheiro Ladim"/>
    <s v="Masculino"/>
    <x v="2"/>
    <x v="20"/>
    <s v="20103506 - Fisioterapia - Patologia Em Um Segmento da Coluna (R$ 12,22)"/>
    <s v="Fisioterapia"/>
    <n v="1710485213"/>
    <s v="Finalizado (1/5)"/>
    <n v="10.7536"/>
    <n v="1.4663999999999999"/>
    <n v="12.22"/>
    <s v="Sessão a Faturar"/>
    <n v="837500800019000"/>
    <n v="58942"/>
    <s v="Unidade Vieralves (ANEXO)"/>
    <n v="1710485213"/>
    <m/>
  </r>
  <r>
    <x v="22"/>
    <x v="9"/>
    <s v="Bruno Santos da Silva"/>
    <s v="Masculino"/>
    <x v="6"/>
    <x v="20"/>
    <s v="31602185 - Estimulação Elétrica Transcutanea (Tens) (R$ 40,00)"/>
    <s v="Fisioterapia"/>
    <n v="171402"/>
    <s v="Finalizado (1/3)"/>
    <n v="35.200000000000003"/>
    <n v="4.8"/>
    <n v="40"/>
    <s v="Sessão a Faturar"/>
    <s v="54588888481819360012"/>
    <n v="51544"/>
    <s v="Unidade Vieralves (ANEXO)"/>
    <n v="171402"/>
    <m/>
  </r>
  <r>
    <x v="22"/>
    <x v="10"/>
    <s v="Willian Jean Silva Colares"/>
    <s v="Masculino"/>
    <x v="2"/>
    <x v="20"/>
    <s v="20103484 - Fisioterapia - Patologia Em Um Membro (R$ 12,22)"/>
    <s v="Fisioterapia"/>
    <n v="1707540722"/>
    <s v="Finalizado (5/9)"/>
    <n v="10.7536"/>
    <n v="1.4663999999999999"/>
    <n v="12.22"/>
    <s v="Sessão Faturada"/>
    <n v="775219005800000"/>
    <n v="59277"/>
    <s v="Unidade Vieralves (ANEXO)"/>
    <n v="1707540722"/>
    <m/>
  </r>
  <r>
    <x v="22"/>
    <x v="10"/>
    <s v="Nathalia Cristina Gabriel"/>
    <s v="Feminino"/>
    <x v="6"/>
    <x v="20"/>
    <s v="20103492 - Patologia Em Dois Ou Mais Membros (R$ 30,26)"/>
    <s v="Fisioterapia"/>
    <n v="171070"/>
    <s v="Finalizado (2/5)"/>
    <n v="26.628799999999998"/>
    <n v="3.6312000000000002"/>
    <n v="30.26"/>
    <s v="Sessão a Faturar"/>
    <s v="54563002000013620010"/>
    <n v="48743"/>
    <s v="Unidade Vieralves (ANEXO)"/>
    <n v="171070"/>
    <m/>
  </r>
  <r>
    <x v="22"/>
    <x v="11"/>
    <s v="Nathalia Cristina Gabriel"/>
    <s v="Feminino"/>
    <x v="6"/>
    <x v="20"/>
    <s v="31602185 - Estimulação Elétrica Transcutanea (Tens) (R$ 40,00)"/>
    <s v="Fisioterapia"/>
    <n v="171071"/>
    <s v="Finalizado (2/5)"/>
    <n v="35.200000000000003"/>
    <n v="4.8"/>
    <n v="40"/>
    <s v="Sessão a Faturar"/>
    <s v="54563002000013620010"/>
    <n v="48743"/>
    <s v="Unidade Vieralves (ANEXO)"/>
    <n v="171071"/>
    <m/>
  </r>
  <r>
    <x v="22"/>
    <x v="12"/>
    <s v="Victor Thury Vieira Hauache"/>
    <s v="Masculino"/>
    <x v="6"/>
    <x v="20"/>
    <s v="20103484 - Patologia Em Um Membro (R$ 14,16)"/>
    <s v="Fisioterapia"/>
    <n v="170378"/>
    <s v="Finalizado (5/5)"/>
    <n v="12.460800000000001"/>
    <n v="1.6992"/>
    <n v="14.16"/>
    <s v="Sessão a Faturar"/>
    <s v="55788888476678190110"/>
    <n v="59493"/>
    <s v="Unidade Vieralves (ANEXO)"/>
    <n v="170378"/>
    <m/>
  </r>
  <r>
    <x v="22"/>
    <x v="12"/>
    <s v="Paulo Cesar Silva Santiago"/>
    <s v="Masculino"/>
    <x v="2"/>
    <x v="20"/>
    <s v="20103514 - Fisioterapia - Patologia Em Diferentes Segmentos da Coluna (R$ 14,83)"/>
    <s v="Fisioterapia"/>
    <n v="1709882272"/>
    <s v="Finalizado (2/7)"/>
    <n v="13.0504"/>
    <n v="1.7796000000000001"/>
    <n v="14.83"/>
    <s v="Sessão a Faturar"/>
    <n v="611168920097000"/>
    <n v="19776"/>
    <s v="Unidade Vieralves (ANEXO)"/>
    <n v="1709882272"/>
    <m/>
  </r>
  <r>
    <x v="22"/>
    <x v="19"/>
    <s v="Victor Thury Vieira Hauache"/>
    <s v="Masculino"/>
    <x v="6"/>
    <x v="20"/>
    <s v="31602185 - Estimulação Elétrica Transcutanea (Tens) (R$ 40,00)"/>
    <s v="Fisioterapia"/>
    <n v="170379"/>
    <s v="Finalizado (5/5)"/>
    <n v="35.200000000000003"/>
    <n v="4.8"/>
    <n v="40"/>
    <s v="Sessão a Faturar"/>
    <s v="55788888476678190110"/>
    <n v="59493"/>
    <s v="Unidade Vieralves (ANEXO)"/>
    <n v="170379"/>
    <m/>
  </r>
  <r>
    <x v="22"/>
    <x v="19"/>
    <s v="Paulo Cesar Silva Santiago"/>
    <s v="Masculino"/>
    <x v="4"/>
    <x v="20"/>
    <s v="31602185 - Estimulação Elétrica Transcutânea - Removido 13/04/2026 (R$ 40,00)"/>
    <s v="Fisioterapia"/>
    <n v="1710507488"/>
    <s v="Finalizado (1/6)"/>
    <n v="35.200000000000003"/>
    <n v="4.8"/>
    <n v="40"/>
    <s v="Sessão a Faturar"/>
    <n v="611168920097000"/>
    <n v="19776"/>
    <s v="Unidade Vieralves (ANEXO)"/>
    <n v="1710507488"/>
    <m/>
  </r>
  <r>
    <x v="19"/>
    <x v="89"/>
    <s v="Oto Trindade Backsmann"/>
    <s v="Masculino"/>
    <x v="6"/>
    <x v="20"/>
    <s v="20103514 - Patologia Em Dois Ou Mais Segmentos da Coluna (R$ 32,82)"/>
    <s v="Fisioterapia"/>
    <n v="170242"/>
    <s v="Finalizado (5/5)"/>
    <n v="28.881599999999999"/>
    <n v="3.9384000000000001"/>
    <n v="32.82"/>
    <s v="Sessão a Faturar"/>
    <s v="54588888485990460010"/>
    <n v="18508"/>
    <s v="Unidade Vieiralves"/>
    <n v="170242"/>
    <m/>
  </r>
  <r>
    <x v="19"/>
    <x v="89"/>
    <s v="Rozirlande Oliveira do Valle"/>
    <s v="Feminino"/>
    <x v="6"/>
    <x v="20"/>
    <s v="20103484 - Patologia Em Um Membro (R$ 14,16)"/>
    <s v="Fisioterapia"/>
    <n v="170134"/>
    <s v="Finalizado (7/10)"/>
    <n v="12.460800000000001"/>
    <n v="1.6992"/>
    <n v="14.16"/>
    <s v="Sessão a Faturar"/>
    <s v="58201466755603470024"/>
    <n v="38049"/>
    <s v="Unidade Vieiralves"/>
    <n v="170134"/>
    <m/>
  </r>
  <r>
    <x v="19"/>
    <x v="89"/>
    <s v="Maria Raimunda da Silva Guedes Lima"/>
    <s v="Feminino"/>
    <x v="2"/>
    <x v="20"/>
    <s v="20103492 - Fisioterapia - Patologia Em Dois Ou Mais Membros (R$ 14,83)"/>
    <s v="Fisioterapia"/>
    <n v="1709424701"/>
    <s v="Finalizado (3/5)"/>
    <n v="13.0504"/>
    <n v="1.7796000000000001"/>
    <n v="14.83"/>
    <s v="Sessão Faturada"/>
    <n v="960016575471000"/>
    <n v="21019"/>
    <s v="Unidade Vieiralves"/>
    <n v="1709424701"/>
    <m/>
  </r>
  <r>
    <x v="19"/>
    <x v="90"/>
    <s v="Maria Raimunda da Silva Guedes Lima"/>
    <s v="Feminino"/>
    <x v="4"/>
    <x v="20"/>
    <s v="31602185 - Estimulação Elétrica Transcutânea - Removido 13/04/2026 (R$ 40,00)"/>
    <s v="Fisioterapia"/>
    <n v="1710670774"/>
    <s v="Finalizado (1/5)"/>
    <n v="35.200000000000003"/>
    <n v="4.8"/>
    <n v="40"/>
    <s v="Sessão Faturada"/>
    <n v="960016575471000"/>
    <n v="21019"/>
    <s v="Unidade Vieiralves"/>
    <n v="1710670774"/>
    <m/>
  </r>
  <r>
    <x v="19"/>
    <x v="90"/>
    <s v="Rozirlande Oliveira do Valle"/>
    <s v="Feminino"/>
    <x v="6"/>
    <x v="20"/>
    <s v="31602185 - Estimulação Elétrica Transcutanea (Tens) (R$ 40,00)"/>
    <s v="Fisioterapia"/>
    <n v="170135"/>
    <s v="Finalizado (7/10)"/>
    <n v="35.200000000000003"/>
    <n v="4.8"/>
    <n v="40"/>
    <s v="Sessão a Faturar"/>
    <s v="58201466755603470024"/>
    <n v="38049"/>
    <s v="Unidade Vieiralves"/>
    <n v="170135"/>
    <m/>
  </r>
  <r>
    <x v="19"/>
    <x v="44"/>
    <s v="Ana Claudia Teixeira de Souza Viapiana"/>
    <m/>
    <x v="2"/>
    <x v="20"/>
    <s v="20103484 - Fisioterapia - Patologia Em Um Membro (R$ 12,22)"/>
    <s v="Fisioterapia"/>
    <n v="1707711063"/>
    <s v="Finalizado (6/10)"/>
    <n v="10.7536"/>
    <n v="1.4663999999999999"/>
    <n v="12.22"/>
    <s v="Sessão Faturada"/>
    <n v="896958600019010"/>
    <n v="59405"/>
    <s v="Unidade Vieiralves"/>
    <n v="1707711063"/>
    <m/>
  </r>
  <r>
    <x v="19"/>
    <x v="44"/>
    <s v="Paulo Nonato  Aviz Dias"/>
    <s v="Masculino"/>
    <x v="2"/>
    <x v="20"/>
    <s v="50000144 - Avaliação de Fisioterapia (R$ 51,42)"/>
    <s v="Fisioterapia"/>
    <n v="1710687201"/>
    <s v="Finalizado (1/1)"/>
    <n v="46.277999999999999"/>
    <n v="5.1420000000000003"/>
    <n v="51.42"/>
    <s v="Sessão Faturada"/>
    <n v="960016515126020"/>
    <n v="59476"/>
    <s v="Unidade Vieiralves"/>
    <n v="1710687201"/>
    <m/>
  </r>
  <r>
    <x v="19"/>
    <x v="44"/>
    <s v="Olga Amelia Souza do Nascimento"/>
    <s v="Feminino"/>
    <x v="16"/>
    <x v="20"/>
    <s v="50000160 - Fisioterapia Ortopedica (R$ 25,00)"/>
    <s v="Fisioterapia"/>
    <n v="170011"/>
    <s v="Finalizado (4/4)"/>
    <n v="22"/>
    <n v="3"/>
    <n v="25"/>
    <s v="Sessão a Faturar"/>
    <s v="000"/>
    <n v="57592"/>
    <s v="Unidade Vieiralves"/>
    <n v="170011"/>
    <m/>
  </r>
  <r>
    <x v="19"/>
    <x v="44"/>
    <s v="Raimundo Mesquita do Nascimento"/>
    <m/>
    <x v="16"/>
    <x v="20"/>
    <s v="50000160 - Fisioterapia Ortopedica (R$ 25,00)"/>
    <s v="Fisioterapia"/>
    <n v="170012"/>
    <s v="Finalizado (4/4)"/>
    <n v="22"/>
    <n v="3"/>
    <n v="25"/>
    <s v="Sessão a Faturar"/>
    <m/>
    <n v="59488"/>
    <s v="Unidade Vieiralves"/>
    <n v="170012"/>
    <m/>
  </r>
  <r>
    <x v="19"/>
    <x v="60"/>
    <s v="Ana Claudia Teixeira de Souza Viapiana"/>
    <m/>
    <x v="4"/>
    <x v="20"/>
    <s v="31602185 - Estimulação Elétrica Transcutânea - Removido 13/04/2026 (R$ 40,00)"/>
    <s v="Fisioterapia"/>
    <n v="1710690620"/>
    <s v="Finalizado (1/4)"/>
    <n v="35.200000000000003"/>
    <n v="4.8"/>
    <n v="40"/>
    <s v="Sessão Faturada"/>
    <n v="896958600019010"/>
    <n v="59405"/>
    <s v="Unidade Vieiralves"/>
    <n v="1710690620"/>
    <m/>
  </r>
  <r>
    <x v="19"/>
    <x v="60"/>
    <s v="Paulo Nonato  Aviz Dias"/>
    <s v="Masculino"/>
    <x v="2"/>
    <x v="20"/>
    <s v="20103484 - Fisioterapia - Patologia Em Um Membro (R$ 12,22)"/>
    <s v="Fisioterapia"/>
    <n v="1710689763"/>
    <s v="Finalizado (1/10)"/>
    <n v="10.7536"/>
    <n v="1.4663999999999999"/>
    <n v="12.22"/>
    <s v="Sessão a Faturar"/>
    <n v="960016515126020"/>
    <n v="59476"/>
    <s v="Unidade Vieiralves"/>
    <n v="1710689763"/>
    <m/>
  </r>
  <r>
    <x v="19"/>
    <x v="41"/>
    <s v="Rafael Daniel Gerzvolf"/>
    <s v="Masculino"/>
    <x v="6"/>
    <x v="20"/>
    <s v="20103484 - Patologia Em Um Membro (R$ 14,16)"/>
    <s v="Fisioterapia"/>
    <n v="171440"/>
    <s v="Finalizado (1/10)"/>
    <n v="12.460800000000001"/>
    <n v="1.6992"/>
    <n v="14.16"/>
    <s v="Sessão a Faturar"/>
    <s v="51588888488560580015"/>
    <n v="57485"/>
    <s v="Unidade Vieiralves"/>
    <n v="171440"/>
    <m/>
  </r>
  <r>
    <x v="19"/>
    <x v="65"/>
    <s v="Rafael Daniel Gerzvolf"/>
    <s v="Masculino"/>
    <x v="6"/>
    <x v="20"/>
    <s v="31602185 - Estimulação Elétrica Transcutanea (Tens) (R$ 40,00)"/>
    <s v="Fisioterapia"/>
    <n v="171439"/>
    <s v="Finalizado (1/9)"/>
    <n v="35.200000000000003"/>
    <n v="4.8"/>
    <n v="40"/>
    <s v="Sessão a Faturar"/>
    <s v="51588888488560580015"/>
    <n v="57485"/>
    <s v="Unidade Vieiralves"/>
    <n v="171439"/>
    <m/>
  </r>
  <r>
    <x v="19"/>
    <x v="36"/>
    <s v="Remulo Jose Nascimento Filho"/>
    <s v="Masculino"/>
    <x v="4"/>
    <x v="20"/>
    <s v="31602185 - Estimulação Elétrica Transcutânea - Removido 13/04/2026 (R$ 40,00)"/>
    <s v="Fisioterapia"/>
    <n v="1710734947"/>
    <s v="Finalizado (1/5)"/>
    <n v="35.200000000000003"/>
    <n v="4.8"/>
    <n v="40"/>
    <s v="Sessão Faturada"/>
    <s v="56788888022609450103"/>
    <n v="45990"/>
    <s v="Unidade Vieiralves"/>
    <n v="1710734947"/>
    <m/>
  </r>
  <r>
    <x v="19"/>
    <x v="36"/>
    <s v="Claudia Miyuki Muramoto Sako"/>
    <s v="Feminino"/>
    <x v="2"/>
    <x v="20"/>
    <s v="20103492 - Fisioterapia - Patologia Em Dois Ou Mais Membros (R$ 14,83)"/>
    <s v="Fisioterapia"/>
    <n v="1709446072"/>
    <s v="Finalizado (2/5)"/>
    <n v="13.0504"/>
    <n v="1.7796000000000001"/>
    <n v="14.83"/>
    <s v="Sessão Faturada"/>
    <n v="885854000132010"/>
    <n v="49229"/>
    <s v="Unidade Vieiralves"/>
    <n v="1709446072"/>
    <m/>
  </r>
  <r>
    <x v="19"/>
    <x v="36"/>
    <s v="Remulo Jose Nascimento Filho"/>
    <s v="Masculino"/>
    <x v="2"/>
    <x v="20"/>
    <s v="20103662 - Fisioterapia - Pos Operatorio Em Um Membro (R$ 14,99)"/>
    <s v="Fisioterapia"/>
    <n v="1706714003"/>
    <s v="Finalizado (5/5)"/>
    <n v="13.1912"/>
    <n v="1.7988"/>
    <n v="14.99"/>
    <s v="Sessão Faturada"/>
    <s v="56788888022609450103"/>
    <n v="45990"/>
    <s v="Unidade Vieiralves"/>
    <n v="1706714003"/>
    <m/>
  </r>
  <r>
    <x v="19"/>
    <x v="35"/>
    <s v="Luciana Ferreira Viana"/>
    <m/>
    <x v="7"/>
    <x v="20"/>
    <s v="Vieiralves - 1 - Fisioterapia Ortopedica - Pacote (R$ 40,00)"/>
    <s v="Fisioterapia"/>
    <m/>
    <s v="Finalizado (3/10)"/>
    <n v="31.2"/>
    <n v="8.8000000000000007"/>
    <n v="40"/>
    <s v="Pago"/>
    <s v="00"/>
    <n v="59537"/>
    <s v="Unidade Vieiralves"/>
    <m/>
    <m/>
  </r>
  <r>
    <x v="19"/>
    <x v="38"/>
    <s v="Minervina Lucia Marques Fonseca"/>
    <s v="Feminino"/>
    <x v="0"/>
    <x v="20"/>
    <s v="50000160 - Fisioterapia Ortopedica (R$ 49,72)"/>
    <s v="Fisioterapia"/>
    <s v="42263120260227375135"/>
    <s v="Finalizado (7/10)"/>
    <n v="43.753599999999999"/>
    <n v="5.9664000000000001"/>
    <n v="49.72"/>
    <s v="Sessão Faturada"/>
    <s v="010650809004"/>
    <n v="40041"/>
    <s v="Unidade Vieiralves"/>
    <s v="42263120260227375135"/>
    <m/>
  </r>
  <r>
    <x v="19"/>
    <x v="38"/>
    <s v="Arisson Carlos Pardo de Queiroz"/>
    <m/>
    <x v="2"/>
    <x v="20"/>
    <s v="20103484 - Fisioterapia - Patologia Em Um Membro (R$ 12,22)"/>
    <s v="Fisioterapia"/>
    <n v="1707823063"/>
    <s v="Finalizado (3/5)"/>
    <n v="10.7536"/>
    <n v="1.4663999999999999"/>
    <n v="12.22"/>
    <s v="Sessão Faturada"/>
    <n v="771015042510010"/>
    <n v="58957"/>
    <s v="Unidade Vieiralves"/>
    <n v="1707823063"/>
    <m/>
  </r>
  <r>
    <x v="19"/>
    <x v="38"/>
    <s v="Maria Mineia Mendes Miki"/>
    <s v="Feminino"/>
    <x v="6"/>
    <x v="20"/>
    <s v="20103492 - Patologia Em Dois Ou Mais Membros (R$ 30,26)"/>
    <s v="Fisioterapia"/>
    <n v="170100"/>
    <s v="Finalizado (3/10)"/>
    <n v="26.628799999999998"/>
    <n v="3.6312000000000002"/>
    <n v="30.26"/>
    <s v="Sessão a Faturar"/>
    <s v="54588888007376590036"/>
    <n v="17465"/>
    <s v="Unidade Vieiralves"/>
    <n v="170100"/>
    <m/>
  </r>
  <r>
    <x v="19"/>
    <x v="38"/>
    <s v="Jose Antonio Rodrigues Neto"/>
    <s v="Masculino"/>
    <x v="1"/>
    <x v="20"/>
    <s v="50000144 - Consulta de Fisioterapia (R$ 16,00)"/>
    <s v="Fisioterapia"/>
    <n v="9308479"/>
    <s v="Finalizado (1/1)"/>
    <n v="14.4"/>
    <n v="1.6"/>
    <n v="16"/>
    <s v="Sessão Faturada"/>
    <s v="0901014030320036"/>
    <n v="59617"/>
    <s v="Unidade Vieiralves"/>
    <n v="9308479"/>
    <m/>
  </r>
  <r>
    <x v="19"/>
    <x v="62"/>
    <s v="Minervina Lucia Marques Fonseca"/>
    <s v="Feminino"/>
    <x v="0"/>
    <x v="20"/>
    <s v="31602185 - Estimulação Elétrica Transcutânea Fisioterapia (Novo - 01/12) (R$ 54,13)"/>
    <s v="Fisioterapia"/>
    <n v="4.2263120227375E+16"/>
    <s v="Finalizado (7/10)"/>
    <n v="47.634399999999999"/>
    <n v="6.4955999999999996"/>
    <n v="54.13"/>
    <s v="Sessão Faturada"/>
    <s v="010650809004"/>
    <n v="40041"/>
    <s v="Unidade Vieiralves"/>
    <n v="4.2263120227375E+16"/>
    <m/>
  </r>
  <r>
    <x v="19"/>
    <x v="62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1/10)"/>
    <n v="30.8"/>
    <n v="4.2"/>
    <n v="35"/>
    <s v="Sessão Faturada"/>
    <s v="0901014030320036"/>
    <n v="59617"/>
    <s v="Unidade Vieiralves"/>
    <n v="9308623"/>
    <m/>
  </r>
  <r>
    <x v="19"/>
    <x v="62"/>
    <s v="Arisson Carlos Pardo de Queiroz"/>
    <m/>
    <x v="4"/>
    <x v="20"/>
    <s v="31602185 - Estimulação Elétrica Transcutânea - Removido 13/04/2026 (R$ 40,00)"/>
    <s v="Fisioterapia"/>
    <n v="1709572946"/>
    <s v="Finalizado (2/4)"/>
    <n v="35.200000000000003"/>
    <n v="4.8"/>
    <n v="40"/>
    <s v="Sessão Faturada"/>
    <n v="771015042510010"/>
    <n v="58957"/>
    <s v="Unidade Vieiralves"/>
    <n v="1709572946"/>
    <m/>
  </r>
  <r>
    <x v="19"/>
    <x v="62"/>
    <s v="Maria Mineia Mendes Miki"/>
    <s v="Feminino"/>
    <x v="6"/>
    <x v="20"/>
    <s v="31602185 - Estimulação Elétrica Transcutanea (Tens) (R$ 40,00)"/>
    <s v="Fisioterapia"/>
    <n v="170764"/>
    <s v="Finalizado (3/10)"/>
    <n v="35.200000000000003"/>
    <n v="4.8"/>
    <n v="40"/>
    <s v="Sessão a Faturar"/>
    <s v="54588888007376590036"/>
    <n v="17465"/>
    <s v="Unidade Vieiralves"/>
    <n v="170764"/>
    <m/>
  </r>
  <r>
    <x v="19"/>
    <x v="37"/>
    <s v="Dina Francoile Viana Ramos"/>
    <s v="Feminino"/>
    <x v="2"/>
    <x v="20"/>
    <s v="20103492 - Fisioterapia - Patologia Em Dois Ou Mais Membros (R$ 14,83)"/>
    <s v="Fisioterapia"/>
    <n v="1706286360"/>
    <s v="Finalizado (5/10)"/>
    <n v="13.0504"/>
    <n v="1.7796000000000001"/>
    <n v="14.83"/>
    <s v="Sessão Faturada"/>
    <n v="960016167330060"/>
    <n v="16965"/>
    <s v="Unidade Vieiralves"/>
    <n v="1706286360"/>
    <m/>
  </r>
  <r>
    <x v="19"/>
    <x v="37"/>
    <s v="Ivete Akimi Massuda"/>
    <s v="Feminino"/>
    <x v="6"/>
    <x v="20"/>
    <s v="20103506 - Patologia Em Um Segmento da Coluna (R$ 14,16)"/>
    <s v="Fisioterapia"/>
    <n v="171164"/>
    <s v="Finalizado (3/10)"/>
    <n v="12.460800000000001"/>
    <n v="1.6992"/>
    <n v="14.16"/>
    <s v="Sessão a Faturar"/>
    <s v="54588888473661890020"/>
    <n v="43609"/>
    <s v="Unidade Vieiralves"/>
    <n v="171164"/>
    <m/>
  </r>
  <r>
    <x v="19"/>
    <x v="37"/>
    <s v="Ricardo Marques de Abreu"/>
    <s v="Masculino"/>
    <x v="1"/>
    <x v="20"/>
    <s v="50000160 - Fisioterapia Ortopédica (R$ 20,00), 98980327 - Taxa de Eletroterapia (Tens) (R$ 15,00)"/>
    <s v="Fisioterapia"/>
    <n v="9239312"/>
    <s v="Finalizado (3/9)"/>
    <n v="30.8"/>
    <n v="4.2"/>
    <n v="35"/>
    <s v="Sessão Faturada"/>
    <n v="2001013216580000"/>
    <n v="43902"/>
    <s v="Unidade Vieiralves"/>
    <n v="9239312"/>
    <m/>
  </r>
  <r>
    <x v="19"/>
    <x v="63"/>
    <s v="Ivete Akimi Massuda"/>
    <s v="Feminino"/>
    <x v="6"/>
    <x v="20"/>
    <s v="31602185 - Estimulação Elétrica Transcutanea (Tens) (R$ 40,00)"/>
    <s v="Fisioterapia"/>
    <n v="171163"/>
    <s v="Finalizado (3/10)"/>
    <n v="35.200000000000003"/>
    <n v="4.8"/>
    <n v="40"/>
    <s v="Sessão a Faturar"/>
    <s v="54588888473661890020"/>
    <n v="43609"/>
    <s v="Unidade Vieiralves"/>
    <n v="171163"/>
    <m/>
  </r>
  <r>
    <x v="19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1/10)"/>
    <n v="35.200000000000003"/>
    <n v="4.8"/>
    <n v="40"/>
    <s v="Sessão Faturada"/>
    <n v="960016167330060"/>
    <n v="16965"/>
    <s v="Unidade Vieiralves"/>
    <n v="1710826226"/>
    <m/>
  </r>
  <r>
    <x v="19"/>
    <x v="39"/>
    <s v="Emanuele Menezes da Silva"/>
    <s v="Feminino"/>
    <x v="2"/>
    <x v="20"/>
    <s v="20103514 - Fisioterapia - Patologia Em Diferentes Segmentos da Coluna (R$ 14,83)"/>
    <s v="Fisioterapia"/>
    <n v="1708854949"/>
    <s v="Finalizado (3/5)"/>
    <n v="13.0504"/>
    <n v="1.7796000000000001"/>
    <n v="14.83"/>
    <s v="Sessão Faturada"/>
    <n v="774642014893010"/>
    <n v="44534"/>
    <s v="Unidade Vieiralves"/>
    <n v="1708854949"/>
    <m/>
  </r>
  <r>
    <x v="19"/>
    <x v="39"/>
    <s v="Luciana Holanda de Souza"/>
    <s v="Feminino"/>
    <x v="7"/>
    <x v="20"/>
    <s v="Vieiralves - 1 - Fisioterapia Ortopedica - Pacote (R$ 40,00)"/>
    <s v="Fisioterapia"/>
    <m/>
    <s v="Finalizado (6/10)"/>
    <n v="31.2"/>
    <n v="8.8000000000000007"/>
    <n v="40"/>
    <s v="Pago"/>
    <s v="00"/>
    <n v="59427"/>
    <s v="Unidade Vieiralves"/>
    <m/>
    <m/>
  </r>
  <r>
    <x v="19"/>
    <x v="39"/>
    <s v="Ivy Peixoto de Sá"/>
    <s v="Feminino"/>
    <x v="1"/>
    <x v="20"/>
    <s v="50000160 - Fisioterapia Ortopédica (R$ 20,00), 98980327 - Taxa de Eletroterapia (Tens) (R$ 15,00)"/>
    <s v="Fisioterapia"/>
    <n v="9261531"/>
    <s v="Finalizado (2/9)"/>
    <n v="30.8"/>
    <n v="4.2"/>
    <n v="35"/>
    <s v="Sessão Faturada"/>
    <s v="0901013218640137"/>
    <n v="59535"/>
    <s v="Unidade Vieiralves"/>
    <n v="9261531"/>
    <m/>
  </r>
  <r>
    <x v="19"/>
    <x v="64"/>
    <s v="Emanuele Menezes da Silva"/>
    <s v="Feminino"/>
    <x v="2"/>
    <x v="20"/>
    <s v="20103115 - Atividade Reflexa Cinesioterápica (R$ 20,81)"/>
    <s v="Fisioterapia"/>
    <n v="1708855900"/>
    <s v="Finalizado (3/3)"/>
    <n v="18.312799999999999"/>
    <n v="2.4971999999999999"/>
    <n v="20.81"/>
    <s v="Sessão Faturada"/>
    <n v="774642014893010"/>
    <n v="44534"/>
    <s v="Unidade Vieiralves"/>
    <n v="1708855900"/>
    <m/>
  </r>
  <r>
    <x v="19"/>
    <x v="0"/>
    <s v="Ana Lucia Medeiros Figliuolo"/>
    <s v="Feminino"/>
    <x v="1"/>
    <x v="20"/>
    <s v="50000160 - Fisioterapia Ortopédica (R$ 20,00), 98980327 - Taxa de Eletroterapia (Tens) (R$ 15,00)"/>
    <s v="Fisioterapia"/>
    <n v="9274224"/>
    <s v="Finalizado (2/10)"/>
    <n v="30.8"/>
    <n v="4.2"/>
    <n v="35"/>
    <s v="Sessão Faturada"/>
    <s v="0901013317940180"/>
    <n v="32208"/>
    <s v="Unidade Vieralves (ANEXO)"/>
    <n v="9274224"/>
    <s v="Guia assinada!"/>
  </r>
  <r>
    <x v="19"/>
    <x v="0"/>
    <s v="Caroline Duarte Brighente"/>
    <s v="Feminino"/>
    <x v="1"/>
    <x v="20"/>
    <s v="50000160 - Fisioterapia Ortopédica (R$ 20,00), 98980327 - Taxa de Eletroterapia (Tens) (R$ 15,00)"/>
    <s v="Fisioterapia"/>
    <n v="9161743"/>
    <s v="Finalizado (3/10)"/>
    <n v="30.8"/>
    <n v="4.2"/>
    <n v="35"/>
    <s v="Sessão Faturada"/>
    <s v="0501011606920055"/>
    <n v="59374"/>
    <s v="Unidade Vieralves (ANEXO)"/>
    <n v="9161743"/>
    <m/>
  </r>
  <r>
    <x v="19"/>
    <x v="2"/>
    <s v="Silvana Aparecida de Souza Assis"/>
    <s v="Feminino"/>
    <x v="17"/>
    <x v="20"/>
    <s v="50000160 - Fisioterapia Ortopedica (R$ 45,00)"/>
    <s v="Fisioterapia"/>
    <n v="3959691"/>
    <s v="Finalizado (5/10)"/>
    <n v="39.6"/>
    <n v="5.4"/>
    <n v="45"/>
    <s v="Sessão a Faturar"/>
    <s v="000915778421201"/>
    <n v="59371"/>
    <s v="Unidade Vieralves (ANEXO)"/>
    <n v="3959691"/>
    <s v="Guia assinada!"/>
  </r>
  <r>
    <x v="19"/>
    <x v="2"/>
    <s v="Carlos Alberto de Assis"/>
    <s v="Masculino"/>
    <x v="17"/>
    <x v="20"/>
    <s v="50000160 - Fisioterapia Ortopedica (R$ 45,00)"/>
    <s v="Fisioterapia"/>
    <n v="3959721"/>
    <s v="Finalizado (5/10)"/>
    <n v="39.6"/>
    <n v="5.4"/>
    <n v="45"/>
    <s v="Sessão a Faturar"/>
    <s v="000915778421200"/>
    <n v="59370"/>
    <s v="Unidade Vieralves (ANEXO)"/>
    <n v="3959721"/>
    <s v="Guia assinada!"/>
  </r>
  <r>
    <x v="19"/>
    <x v="4"/>
    <s v="Estela Maria Galvao Vidal de Abreu"/>
    <s v="Feminino"/>
    <x v="2"/>
    <x v="20"/>
    <s v="20103484 - Fisioterapia - Patologia Em Um Membro (R$ 12,22), 20103506 - Fisioterapia - Patologia Em Um Segmento da Coluna (R$ 12,22)"/>
    <s v="Fisioterapia"/>
    <n v="1709766067"/>
    <s v="Finalizado (2/10)"/>
    <n v="21.507200000000001"/>
    <n v="2.9327999999999999"/>
    <n v="24.44"/>
    <s v="Sessão Faturada"/>
    <n v="836922200019000"/>
    <n v="45049"/>
    <s v="Unidade Vieralves (ANEXO)"/>
    <n v="1709766067"/>
    <m/>
  </r>
  <r>
    <x v="19"/>
    <x v="4"/>
    <s v="Genilza Evaristo Machado Moreira"/>
    <s v="Feminino"/>
    <x v="1"/>
    <x v="20"/>
    <s v="50000160 - Fisioterapia Ortopédica (R$ 20,00), 98980327 - Taxa de Eletroterapia (Tens) (R$ 15,00)"/>
    <s v="Fisioterapia"/>
    <n v="9318751"/>
    <s v="Finalizado (1/10)"/>
    <n v="30.8"/>
    <n v="4.2"/>
    <n v="35"/>
    <s v="Sessão Faturada"/>
    <n v="1901012887600100"/>
    <n v="59599"/>
    <s v="Unidade Vieralves (ANEXO)"/>
    <n v="9318751"/>
    <m/>
  </r>
  <r>
    <x v="19"/>
    <x v="4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9/10)"/>
    <n v="30.8"/>
    <n v="4.2"/>
    <n v="35"/>
    <s v="Sessão Faturada"/>
    <n v="2001012922200100"/>
    <n v="59047"/>
    <s v="Unidade Vieralves (ANEXO)"/>
    <n v="9016939"/>
    <m/>
  </r>
  <r>
    <x v="19"/>
    <x v="5"/>
    <s v="Genilza Evaristo Machado Moreira"/>
    <s v="Feminino"/>
    <x v="1"/>
    <x v="20"/>
    <s v="50000144 - Consulta de Fisioterapia (R$ 16,00)"/>
    <s v="Fisioterapia"/>
    <n v="9318550"/>
    <s v="Finalizado (1/1)"/>
    <n v="14.4"/>
    <n v="1.6"/>
    <n v="16"/>
    <s v="Sessão Faturada"/>
    <n v="1901012887600100"/>
    <n v="59599"/>
    <s v="Unidade Vieralves (ANEXO)"/>
    <n v="9318550"/>
    <m/>
  </r>
  <r>
    <x v="19"/>
    <x v="13"/>
    <s v="Richarles de Araújo Sousa"/>
    <s v="Masculino"/>
    <x v="1"/>
    <x v="20"/>
    <s v="50000160 - Fisioterapia Ortopédica (R$ 20,00), 98980327 - Taxa de Eletroterapia (Tens) (R$ 15,00)"/>
    <s v="Fisioterapia"/>
    <n v="8830350"/>
    <s v="Finalizado (10/10)"/>
    <n v="30.8"/>
    <n v="4.2"/>
    <n v="35"/>
    <s v="Sessão Faturada"/>
    <n v="1301013026380000"/>
    <n v="58337"/>
    <s v="Unidade Vieralves (ANEXO)"/>
    <n v="8830350"/>
    <m/>
  </r>
  <r>
    <x v="19"/>
    <x v="13"/>
    <s v="Natálya da Silva Sampaio"/>
    <s v="Feminino"/>
    <x v="1"/>
    <x v="20"/>
    <s v="50000160 - Fisioterapia Ortopédica (R$ 20,00), 98980327 - Taxa de Eletroterapia (Tens) (R$ 15,00)"/>
    <s v="Fisioterapia"/>
    <n v="8830882"/>
    <s v="Finalizado (10/10)"/>
    <n v="30.8"/>
    <n v="4.2"/>
    <n v="35"/>
    <s v="Sessão Faturada"/>
    <n v="1301013026380200"/>
    <n v="59331"/>
    <s v="Unidade Vieralves (ANEXO)"/>
    <n v="8830882"/>
    <m/>
  </r>
  <r>
    <x v="19"/>
    <x v="13"/>
    <s v="Sofia Araujo Pereira Ferreira"/>
    <s v="Feminino"/>
    <x v="2"/>
    <x v="20"/>
    <s v="20103514 - Fisioterapia - Patologia Em Diferentes Segmentos da Coluna (R$ 14,83)"/>
    <s v="Fisioterapia"/>
    <n v="1702869461"/>
    <s v="Finalizado (5/5)"/>
    <n v="13.0504"/>
    <n v="1.7796000000000001"/>
    <n v="14.83"/>
    <s v="Sessão Faturada"/>
    <n v="814438300051020"/>
    <n v="59164"/>
    <s v="Unidade Vieralves (ANEXO)"/>
    <n v="1702869461"/>
    <m/>
  </r>
  <r>
    <x v="19"/>
    <x v="13"/>
    <s v="Laiane Tammy Abati"/>
    <s v="Feminino"/>
    <x v="1"/>
    <x v="20"/>
    <s v="50000160 - Fisioterapia Ortopédica (R$ 20,00), 98980327 - Taxa de Eletroterapia (Tens) (R$ 15,00)"/>
    <s v="Fisioterapia"/>
    <n v="8920855"/>
    <s v="Finalizado (5/10)"/>
    <n v="30.8"/>
    <n v="4.2"/>
    <n v="35"/>
    <s v="Sessão Faturada"/>
    <s v="0901013277860067"/>
    <n v="59363"/>
    <s v="Unidade Vieralves (ANEXO)"/>
    <n v="8920855"/>
    <s v="GUIA ASSINADA!!!!!"/>
  </r>
  <r>
    <x v="19"/>
    <x v="14"/>
    <s v="Sofia Araujo Pereira Ferreira"/>
    <s v="Feminino"/>
    <x v="4"/>
    <x v="20"/>
    <s v="31602185 - Estimulação Elétrica Transcutânea - Removido 13/04/2026 (R$ 40,00)"/>
    <s v="Fisioterapia"/>
    <n v="1710989888"/>
    <s v="Finalizado (1/4)"/>
    <n v="35.200000000000003"/>
    <n v="4.8"/>
    <n v="40"/>
    <s v="Sessão a Faturar"/>
    <n v="814438300051020"/>
    <n v="59164"/>
    <s v="Unidade Vieralves (ANEXO)"/>
    <n v="1710989888"/>
    <m/>
  </r>
  <r>
    <x v="19"/>
    <x v="6"/>
    <s v="Ana Clara de Morais Virginio"/>
    <s v="Feminino"/>
    <x v="6"/>
    <x v="20"/>
    <s v="31602185 - Estimulação Elétrica Transcutanea (Tens) (R$ 40,00)"/>
    <s v="Fisioterapia"/>
    <n v="171234"/>
    <s v="Finalizado (2/5)"/>
    <n v="35.200000000000003"/>
    <n v="4.8"/>
    <n v="40"/>
    <s v="Sessão a Faturar"/>
    <s v="55788888491532830118"/>
    <n v="59365"/>
    <s v="Unidade Vieralves (ANEXO)"/>
    <n v="171234"/>
    <m/>
  </r>
  <r>
    <x v="19"/>
    <x v="6"/>
    <s v="Laura Irene Villacrez Flores"/>
    <s v="Feminino"/>
    <x v="5"/>
    <x v="20"/>
    <s v="98860011 - Fisioterapia Complexidade 1 (R$ 55,26)"/>
    <s v="Fisioterapia"/>
    <n v="77963780"/>
    <s v="Finalizado (5/10)"/>
    <n v="48.628799999999998"/>
    <n v="6.6311999999999998"/>
    <n v="55.26"/>
    <s v="Sessão Faturada"/>
    <s v="010080860100"/>
    <n v="59130"/>
    <s v="Unidade Vieralves (ANEXO)"/>
    <n v="77963780"/>
    <m/>
  </r>
  <r>
    <x v="19"/>
    <x v="6"/>
    <s v="Lidia Teresa Monteiro Mendes"/>
    <s v="Feminino"/>
    <x v="6"/>
    <x v="20"/>
    <s v="20103492 - Patologia Em Dois Ou Mais Membros (R$ 30,26)"/>
    <s v="Fisioterapia"/>
    <n v="171232"/>
    <s v="Finalizado (3/10)"/>
    <n v="26.628799999999998"/>
    <n v="3.6312000000000002"/>
    <n v="30.26"/>
    <s v="Sessão a Faturar"/>
    <s v="54588888004872480010"/>
    <n v="37147"/>
    <s v="Unidade Vieralves (ANEXO)"/>
    <n v="171232"/>
    <m/>
  </r>
  <r>
    <x v="19"/>
    <x v="7"/>
    <s v="Ana Clara de Morais Virginio"/>
    <s v="Feminino"/>
    <x v="6"/>
    <x v="20"/>
    <s v="20103506 - Patologia Em Um Segmento da Coluna (R$ 14,16)"/>
    <s v="Fisioterapia"/>
    <n v="171233"/>
    <s v="Finalizado (2/5)"/>
    <n v="12.460800000000001"/>
    <n v="1.6992"/>
    <n v="14.16"/>
    <s v="Sessão a Faturar"/>
    <s v="55788888491532830118"/>
    <n v="59365"/>
    <s v="Unidade Vieralves (ANEXO)"/>
    <n v="171233"/>
    <m/>
  </r>
  <r>
    <x v="19"/>
    <x v="7"/>
    <s v="Lidia Teresa Monteiro Mendes"/>
    <s v="Feminino"/>
    <x v="6"/>
    <x v="20"/>
    <s v="31602185 - Estimulação Elétrica Transcutanea (Tens) (R$ 40,00)"/>
    <s v="Fisioterapia"/>
    <n v="171378"/>
    <s v="Finalizado (2/10)"/>
    <n v="35.200000000000003"/>
    <n v="4.8"/>
    <n v="40"/>
    <s v="Sessão a Faturar"/>
    <s v="54588888004872480010"/>
    <n v="37147"/>
    <s v="Unidade Vieralves (ANEXO)"/>
    <n v="171378"/>
    <m/>
  </r>
  <r>
    <x v="19"/>
    <x v="7"/>
    <s v="Laura Irene Villacrez Flores"/>
    <s v="Feminino"/>
    <x v="5"/>
    <x v="20"/>
    <s v="31602185 - Estimulação Elétrica Transcutânea (Tens) (R$ 125,40)"/>
    <s v="Fisioterapia"/>
    <n v="78268770"/>
    <s v="Finalizado (3/10)"/>
    <n v="110.352"/>
    <n v="15.048"/>
    <n v="125.4"/>
    <s v="Sessão Faturada"/>
    <s v="010080860100"/>
    <n v="59130"/>
    <s v="Unidade Vieralves (ANEXO)"/>
    <n v="78268770"/>
    <m/>
  </r>
  <r>
    <x v="19"/>
    <x v="17"/>
    <s v="Victoria de Moraes Martins Pereira"/>
    <s v="Masculino"/>
    <x v="6"/>
    <x v="20"/>
    <s v="31602185 - Estimulação Elétrica Transcutanea (Tens) (R$ 40,00)"/>
    <s v="Fisioterapia"/>
    <n v="171247"/>
    <s v="Finalizado (3/10)"/>
    <n v="35.200000000000003"/>
    <n v="4.8"/>
    <n v="40"/>
    <s v="Sessão a Faturar"/>
    <s v="55788888488381350015"/>
    <n v="48970"/>
    <s v="Unidade Vieralves (ANEXO)"/>
    <n v="171247"/>
    <m/>
  </r>
  <r>
    <x v="19"/>
    <x v="17"/>
    <s v="Gisele dos Santos Costa"/>
    <s v="Feminino"/>
    <x v="1"/>
    <x v="20"/>
    <s v="50000160 - Fisioterapia Ortopédica (R$ 20,00), 98980327 - Taxa de Eletroterapia (Tens) (R$ 15,00)"/>
    <s v="Fisioterapia"/>
    <n v="9123592"/>
    <s v="Finalizado (4/8)"/>
    <n v="30.8"/>
    <n v="4.2"/>
    <n v="35"/>
    <s v="Sessão Faturada"/>
    <n v="1901012931170000"/>
    <n v="53642"/>
    <s v="Unidade Vieralves (ANEXO)"/>
    <n v="9123592"/>
    <m/>
  </r>
  <r>
    <x v="19"/>
    <x v="18"/>
    <s v="Victoria de Moraes Martins Pereira"/>
    <s v="Masculino"/>
    <x v="6"/>
    <x v="20"/>
    <s v="20103662 - Pos Operatorio Em Um Membro (R$ 22,53)"/>
    <s v="Fisioterapia"/>
    <n v="171245"/>
    <s v="Finalizado (3/10)"/>
    <n v="19.8264"/>
    <n v="2.7035999999999998"/>
    <n v="22.53"/>
    <s v="Sessão a Faturar"/>
    <s v="55788888488381350015"/>
    <n v="48970"/>
    <s v="Unidade Vieralves (ANEXO)"/>
    <n v="171245"/>
    <m/>
  </r>
  <r>
    <x v="19"/>
    <x v="8"/>
    <s v="Bruno Santos da Silva"/>
    <s v="Masculino"/>
    <x v="6"/>
    <x v="20"/>
    <s v="20103514 - Patologia Em Dois Ou Mais Segmentos da Coluna (R$ 32,82)"/>
    <s v="Fisioterapia"/>
    <n v="171400"/>
    <s v="Finalizado (2/3)"/>
    <n v="28.881599999999999"/>
    <n v="3.9384000000000001"/>
    <n v="32.82"/>
    <s v="Sessão a Faturar"/>
    <s v="54588888481819360012"/>
    <n v="51544"/>
    <s v="Unidade Vieralves (ANEXO)"/>
    <n v="171400"/>
    <m/>
  </r>
  <r>
    <x v="19"/>
    <x v="8"/>
    <s v="Gaspar Henrique Alves Mota"/>
    <m/>
    <x v="2"/>
    <x v="20"/>
    <s v="20103514 - Fisioterapia - Patologia Em Diferentes Segmentos da Coluna (R$ 14,83)"/>
    <s v="Fisioterapia"/>
    <n v="1706520582"/>
    <s v="Finalizado (5/5)"/>
    <n v="13.0504"/>
    <n v="1.7796000000000001"/>
    <n v="14.83"/>
    <s v="Sessão Faturada"/>
    <n v="774642013528010"/>
    <n v="54316"/>
    <s v="Unidade Vieralves (ANEXO)"/>
    <n v="1706520582"/>
    <m/>
  </r>
  <r>
    <x v="19"/>
    <x v="8"/>
    <s v="Nathalia Cristina Gabriel"/>
    <s v="Feminino"/>
    <x v="6"/>
    <x v="20"/>
    <s v="20103492 - Patologia Em Dois Ou Mais Membros (R$ 30,26)"/>
    <s v="Fisioterapia"/>
    <n v="171070"/>
    <s v="Finalizado (3/5)"/>
    <n v="26.628799999999998"/>
    <n v="3.6312000000000002"/>
    <n v="30.26"/>
    <s v="Sessão a Faturar"/>
    <s v="54563002000013620010"/>
    <n v="48743"/>
    <s v="Unidade Vieralves (ANEXO)"/>
    <n v="171070"/>
    <m/>
  </r>
  <r>
    <x v="19"/>
    <x v="9"/>
    <s v="Bruno Santos da Silva"/>
    <s v="Masculino"/>
    <x v="6"/>
    <x v="20"/>
    <s v="31602185 - Estimulação Elétrica Transcutanea (Tens) (R$ 40,00)"/>
    <s v="Fisioterapia"/>
    <n v="171402"/>
    <s v="Finalizado (2/3)"/>
    <n v="35.200000000000003"/>
    <n v="4.8"/>
    <n v="40"/>
    <s v="Sessão a Faturar"/>
    <s v="54588888481819360012"/>
    <n v="51544"/>
    <s v="Unidade Vieralves (ANEXO)"/>
    <n v="171402"/>
    <m/>
  </r>
  <r>
    <x v="19"/>
    <x v="9"/>
    <s v="Nathalia Cristina Gabriel"/>
    <s v="Feminino"/>
    <x v="6"/>
    <x v="20"/>
    <s v="31602185 - Estimulação Elétrica Transcutanea (Tens) (R$ 40,00)"/>
    <s v="Fisioterapia"/>
    <n v="171071"/>
    <s v="Finalizado (3/5)"/>
    <n v="35.200000000000003"/>
    <n v="4.8"/>
    <n v="40"/>
    <s v="Sessão a Faturar"/>
    <s v="54563002000013620010"/>
    <n v="48743"/>
    <s v="Unidade Vieralves (ANEXO)"/>
    <n v="171071"/>
    <m/>
  </r>
  <r>
    <x v="19"/>
    <x v="10"/>
    <s v="Alexsandro de Pierri Camara Frangos"/>
    <s v="Masculino"/>
    <x v="6"/>
    <x v="20"/>
    <s v="20103514 - Patologia Em Dois Ou Mais Segmentos da Coluna (R$ 32,82)"/>
    <s v="Fisioterapia"/>
    <n v="170025"/>
    <s v="Finalizado (5/5)"/>
    <n v="28.881599999999999"/>
    <n v="3.9384000000000001"/>
    <n v="32.82"/>
    <s v="Sessão a Faturar"/>
    <s v="44520813095886520010"/>
    <n v="59453"/>
    <s v="Unidade Vieralves (ANEXO)"/>
    <n v="170025"/>
    <m/>
  </r>
  <r>
    <x v="19"/>
    <x v="10"/>
    <s v="Ney Henrique Lopes Cordeiro"/>
    <s v="Masculino"/>
    <x v="2"/>
    <x v="20"/>
    <s v="20103662 - Fisioterapia - Pos Operatorio Em Um Membro (R$ 14,99)"/>
    <s v="Fisioterapia"/>
    <n v="1703505993"/>
    <s v="Finalizado (5/5)"/>
    <n v="13.1912"/>
    <n v="1.7988"/>
    <n v="14.99"/>
    <s v="Sessão Faturada"/>
    <n v="610171790036010"/>
    <n v="58355"/>
    <s v="Unidade Vieralves (ANEXO)"/>
    <n v="1703505993"/>
    <m/>
  </r>
  <r>
    <x v="19"/>
    <x v="10"/>
    <s v="Willian Jean Silva Colares"/>
    <s v="Masculino"/>
    <x v="2"/>
    <x v="20"/>
    <s v="20103484 - Fisioterapia - Patologia Em Um Membro (R$ 12,22)"/>
    <s v="Fisioterapia"/>
    <n v="1707540722"/>
    <s v="Finalizado (6/9)"/>
    <n v="10.7536"/>
    <n v="1.4663999999999999"/>
    <n v="12.22"/>
    <s v="Sessão Faturada"/>
    <n v="775219005800000"/>
    <n v="59277"/>
    <s v="Unidade Vieralves (ANEXO)"/>
    <n v="1707540722"/>
    <m/>
  </r>
  <r>
    <x v="19"/>
    <x v="11"/>
    <s v="Alexsandro de Pierri Camara Frangos"/>
    <s v="Masculino"/>
    <x v="6"/>
    <x v="20"/>
    <s v="31602185 - Estimulação Elétrica Transcutanea (Tens) (R$ 40,00)"/>
    <s v="Fisioterapia"/>
    <n v="170027"/>
    <s v="Finalizado (4/5)"/>
    <n v="35.200000000000003"/>
    <n v="4.8"/>
    <n v="40"/>
    <s v="Sessão a Faturar"/>
    <s v="44520813095886520010"/>
    <n v="59453"/>
    <s v="Unidade Vieralves (ANEXO)"/>
    <n v="170027"/>
    <s v="guia assinada"/>
  </r>
  <r>
    <x v="19"/>
    <x v="12"/>
    <s v="Victor Thury Vieira Hauache"/>
    <s v="Masculino"/>
    <x v="6"/>
    <x v="20"/>
    <s v="20103484 - Patologia Em Um Membro (R$ 14,16)"/>
    <s v="Fisioterapia"/>
    <n v="171559"/>
    <s v="Finalizado (1/10)"/>
    <n v="12.460800000000001"/>
    <n v="1.6992"/>
    <n v="14.16"/>
    <s v="Sessão a Faturar"/>
    <s v="55788888476678190110"/>
    <n v="59493"/>
    <s v="Unidade Vieralves (ANEXO)"/>
    <n v="171559"/>
    <m/>
  </r>
  <r>
    <x v="19"/>
    <x v="19"/>
    <s v="Victor Thury Vieira Hauache"/>
    <s v="Masculino"/>
    <x v="6"/>
    <x v="20"/>
    <s v="31602185 - Estimulação Elétrica Transcutanea (Tens) (R$ 40,00)"/>
    <s v="Fisioterapia"/>
    <n v="171564"/>
    <s v="Finalizado (1/9)"/>
    <n v="35.200000000000003"/>
    <n v="4.8"/>
    <n v="40"/>
    <s v="Sessão a Faturar"/>
    <s v="55788888476678190110"/>
    <n v="59493"/>
    <s v="Unidade Vieralves (ANEXO)"/>
    <n v="171564"/>
    <m/>
  </r>
  <r>
    <x v="20"/>
    <x v="89"/>
    <s v="Rozirlande Oliveira do Valle"/>
    <s v="Feminino"/>
    <x v="6"/>
    <x v="20"/>
    <s v="20103484 - Patologia Em Um Membro (R$ 14,16)"/>
    <s v="Fisioterapia"/>
    <n v="170134"/>
    <s v="Finalizado (8/10)"/>
    <n v="12.460800000000001"/>
    <n v="1.6992"/>
    <n v="14.16"/>
    <s v="Sessão a Faturar"/>
    <s v="58201466755603470024"/>
    <n v="38049"/>
    <s v="Unidade Vieiralves"/>
    <n v="170134"/>
    <m/>
  </r>
  <r>
    <x v="20"/>
    <x v="89"/>
    <s v="Rozirlande Oliveira do Valle"/>
    <s v="Feminino"/>
    <x v="6"/>
    <x v="20"/>
    <s v="31602185 - Estimulação Elétrica Transcutanea (Tens) (R$ 40,00)"/>
    <s v="Fisioterapia"/>
    <n v="170135"/>
    <s v="Finalizado (8/10)"/>
    <n v="35.200000000000003"/>
    <n v="4.8"/>
    <n v="40"/>
    <s v="Sessão a Faturar"/>
    <s v="58201466755603470024"/>
    <n v="38049"/>
    <s v="Unidade Vieiralves"/>
    <n v="170135"/>
    <m/>
  </r>
  <r>
    <x v="20"/>
    <x v="89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2/10)"/>
    <n v="30.8"/>
    <n v="4.2"/>
    <n v="35"/>
    <s v="Sessão Faturada"/>
    <s v="0901014030320036"/>
    <n v="59617"/>
    <s v="Unidade Vieiralves"/>
    <n v="9308623"/>
    <m/>
  </r>
  <r>
    <x v="20"/>
    <x v="89"/>
    <s v="Oto Trindade Backsmann"/>
    <s v="Masculino"/>
    <x v="6"/>
    <x v="20"/>
    <s v="20103514 - Patologia Em Dois Ou Mais Segmentos da Coluna (R$ 32,82)"/>
    <s v="Fisioterapia"/>
    <n v="171565"/>
    <s v="Finalizado (1/10)"/>
    <n v="28.881599999999999"/>
    <n v="3.9384000000000001"/>
    <n v="32.82"/>
    <s v="Sessão a Faturar"/>
    <s v="54588888485990460010"/>
    <n v="18508"/>
    <s v="Unidade Vieiralves"/>
    <n v="171565"/>
    <s v="GUIA ASSINADA!"/>
  </r>
  <r>
    <x v="20"/>
    <x v="41"/>
    <s v="Emanuele Menezes da Silva"/>
    <s v="Feminino"/>
    <x v="2"/>
    <x v="20"/>
    <s v="20103514 - Fisioterapia - Patologia Em Diferentes Segmentos da Coluna (R$ 14,83)"/>
    <s v="Fisioterapia"/>
    <n v="1708854949"/>
    <s v="Finalizado (4/5)"/>
    <n v="13.0504"/>
    <n v="1.7796000000000001"/>
    <n v="14.83"/>
    <s v="Sessão Faturada"/>
    <n v="774642014893010"/>
    <n v="44534"/>
    <s v="Unidade Vieiralves"/>
    <n v="1708854949"/>
    <m/>
  </r>
  <r>
    <x v="20"/>
    <x v="41"/>
    <s v="Adriana Santos Gonçalves da Silva"/>
    <s v="Feminino"/>
    <x v="2"/>
    <x v="20"/>
    <s v="20103514 - Fisioterapia - Patologia Em Diferentes Segmentos da Coluna (R$ 14,83)"/>
    <s v="Fisioterapia"/>
    <n v="1710233815"/>
    <s v="Finalizado (2/3)"/>
    <n v="13.0504"/>
    <n v="1.7796000000000001"/>
    <n v="14.83"/>
    <s v="Sessão Faturada"/>
    <n v="611019330003020"/>
    <n v="45664"/>
    <s v="Unidade Vieiralves"/>
    <n v="1710233815"/>
    <m/>
  </r>
  <r>
    <x v="20"/>
    <x v="41"/>
    <s v="Edna Lucia Moraes Derzi"/>
    <s v="Feminino"/>
    <x v="6"/>
    <x v="20"/>
    <s v="31602185 - Estimulação Elétrica Transcutanea (Tens) (R$ 40,00)"/>
    <s v="Fisioterapia"/>
    <n v="170747"/>
    <s v="Finalizado (4/10)"/>
    <n v="35.200000000000003"/>
    <n v="4.8"/>
    <n v="40"/>
    <s v="Sessão a Faturar"/>
    <s v="54588888469679780015"/>
    <n v="13101"/>
    <s v="Unidade Vieiralves"/>
    <n v="170747"/>
    <m/>
  </r>
  <r>
    <x v="20"/>
    <x v="65"/>
    <s v="Edna Lucia Moraes Derzi"/>
    <s v="Feminino"/>
    <x v="6"/>
    <x v="20"/>
    <s v="20103492 - Patologia Em Dois Ou Mais Membros (R$ 30,26)"/>
    <s v="Fisioterapia"/>
    <n v="170406"/>
    <s v="Finalizado (5/10)"/>
    <n v="26.628799999999998"/>
    <n v="3.6312000000000002"/>
    <n v="30.26"/>
    <s v="Sessão a Faturar"/>
    <s v="54588888469679780015"/>
    <n v="13101"/>
    <s v="Unidade Vieiralves"/>
    <n v="170406"/>
    <m/>
  </r>
  <r>
    <x v="20"/>
    <x v="36"/>
    <s v="Dilcilene Angelim da Silva Santos"/>
    <m/>
    <x v="7"/>
    <x v="20"/>
    <s v="Vieiralves - 1 - Fisioterapia Ortopedica - Pacote (R$ 40,00)"/>
    <s v="Fisioterapia"/>
    <n v="171003"/>
    <s v="Finalizado (2/10)"/>
    <n v="31.2"/>
    <n v="8.8000000000000007"/>
    <n v="40"/>
    <s v="Pago"/>
    <n v="59115"/>
    <n v="59115"/>
    <s v="Unidade Vieiralves"/>
    <n v="171003"/>
    <m/>
  </r>
  <r>
    <x v="20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7/10)"/>
    <n v="30.8"/>
    <n v="4.2"/>
    <n v="35"/>
    <s v="Sessão Faturada"/>
    <s v="0901013959170057"/>
    <n v="15532"/>
    <s v="Unidade Vieiralves"/>
    <n v="9093197"/>
    <m/>
  </r>
  <r>
    <x v="20"/>
    <x v="36"/>
    <s v="Remulo Jose Nascimento Filho"/>
    <s v="Masculino"/>
    <x v="4"/>
    <x v="20"/>
    <s v="31602185 - Estimulação Elétrica Transcutânea - Removido 13/04/2026 (R$ 40,00)"/>
    <s v="Fisioterapia"/>
    <n v="1710734947"/>
    <s v="Finalizado (2/5)"/>
    <n v="35.200000000000003"/>
    <n v="4.8"/>
    <n v="40"/>
    <s v="Sessão Faturada"/>
    <s v="56788888022609450103"/>
    <n v="45990"/>
    <s v="Unidade Vieiralves"/>
    <n v="1710734947"/>
    <m/>
  </r>
  <r>
    <x v="20"/>
    <x v="36"/>
    <s v="Tatianna Silva Portes"/>
    <s v="Feminino"/>
    <x v="5"/>
    <x v="20"/>
    <s v="98860020 - Fisioterapia Complexidade 2 - 04/03/2026 (R$ 70,79)"/>
    <s v="Fisioterapia"/>
    <n v="77595650"/>
    <s v="Finalizado (5/10)"/>
    <n v="62.295200000000001"/>
    <n v="8.4947999999999997"/>
    <n v="70.790000000000006"/>
    <s v="Sessão Faturada"/>
    <s v="0100621050010300"/>
    <n v="55555"/>
    <s v="Unidade Vieiralves"/>
    <n v="77595650"/>
    <m/>
  </r>
  <r>
    <x v="20"/>
    <x v="61"/>
    <s v="Remulo Jose Nascimento Filho"/>
    <s v="Masculino"/>
    <x v="2"/>
    <x v="20"/>
    <s v="20103662 - Fisioterapia - Pos Operatorio Em Um Membro (R$ 14,99)"/>
    <s v="Fisioterapia"/>
    <n v="1711348180"/>
    <s v="Finalizado (1/5)"/>
    <n v="13.1912"/>
    <n v="1.7988"/>
    <n v="14.99"/>
    <s v="Sessão Faturada"/>
    <s v="56788888022609450103"/>
    <n v="45990"/>
    <s v="Unidade Vieiralves"/>
    <n v="1711348180"/>
    <m/>
  </r>
  <r>
    <x v="20"/>
    <x v="61"/>
    <s v="Tatianna Silva Portes"/>
    <s v="Feminino"/>
    <x v="5"/>
    <x v="20"/>
    <s v="31602185 - Estimulação Elétrica Transcutânea (Tens) - 04/03/2026 (R$ 120,28)"/>
    <s v="Fisioterapia"/>
    <n v="77595860"/>
    <s v="Finalizado (3/8)"/>
    <n v="105.8464"/>
    <n v="14.4336"/>
    <n v="120.28"/>
    <s v="Sessão Faturada"/>
    <s v="0100621050010300"/>
    <n v="55555"/>
    <s v="Unidade Vieiralves"/>
    <n v="77595860"/>
    <m/>
  </r>
  <r>
    <x v="20"/>
    <x v="40"/>
    <s v="Wendel de Mendonça de Souza"/>
    <s v="Masculino"/>
    <x v="2"/>
    <x v="20"/>
    <s v="20103514 - Fisioterapia - Patologia Em Diferentes Segmentos da Coluna (R$ 14,83)"/>
    <s v="Fisioterapia"/>
    <n v="1710121318"/>
    <s v="Finalizado (2/10)"/>
    <n v="13.0504"/>
    <n v="1.7796000000000001"/>
    <n v="14.83"/>
    <s v="Sessão a Faturar"/>
    <n v="854778700183020"/>
    <n v="59572"/>
    <s v="Unidade Vieiralves"/>
    <n v="1710121318"/>
    <m/>
  </r>
  <r>
    <x v="20"/>
    <x v="40"/>
    <s v="Ana Paula Braga de Freitas"/>
    <s v="Feminino"/>
    <x v="1"/>
    <x v="20"/>
    <s v="50000160 - Fisioterapia Ortopédica (R$ 20,00), 98980327 - Taxa de Eletroterapia (Tens) (R$ 15,00)"/>
    <s v="Fisioterapia"/>
    <n v="9176962"/>
    <s v="Finalizado (4/4)"/>
    <n v="30.8"/>
    <n v="4.2"/>
    <n v="35"/>
    <s v="Sessão Faturada"/>
    <s v="0901013100580025"/>
    <n v="59522"/>
    <s v="Unidade Vieiralves"/>
    <n v="9176962"/>
    <m/>
  </r>
  <r>
    <x v="20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3/10)"/>
    <n v="41.342399999999998"/>
    <n v="5.6375999999999999"/>
    <n v="46.98"/>
    <s v="Sessão a Faturar"/>
    <s v="55788888491272530020"/>
    <n v="51936"/>
    <s v="Unidade Vieiralves"/>
    <n v="170745"/>
    <m/>
  </r>
  <r>
    <x v="20"/>
    <x v="45"/>
    <s v="Auxiliadora Brito de Lima"/>
    <m/>
    <x v="6"/>
    <x v="20"/>
    <s v="31602185 - Estimulação Elétrica Transcutanea (Tens) (R$ 40,00)"/>
    <s v="Fisioterapia"/>
    <n v="170746"/>
    <s v="Finalizado (3/9)"/>
    <n v="35.200000000000003"/>
    <n v="4.8"/>
    <n v="40"/>
    <s v="Sessão a Faturar"/>
    <s v="55788888491272530020"/>
    <n v="51936"/>
    <s v="Unidade Vieiralves"/>
    <n v="170746"/>
    <m/>
  </r>
  <r>
    <x v="20"/>
    <x v="35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1/10)"/>
    <n v="21.507200000000001"/>
    <n v="2.9327999999999999"/>
    <n v="24.44"/>
    <s v="Sessão Faturada"/>
    <n v="611453030001010"/>
    <n v="29"/>
    <s v="Unidade Vieiralves"/>
    <n v="1711388887"/>
    <m/>
  </r>
  <r>
    <x v="20"/>
    <x v="35"/>
    <s v="Ludmylla Rosa Silva Laune Fonseca"/>
    <s v="Feminino"/>
    <x v="29"/>
    <x v="20"/>
    <s v="31602185 - Estimulação Elétrica Transcutanea (R$ 87,74)"/>
    <s v="Fisioterapia"/>
    <n v="935125"/>
    <s v="Finalizado (10/10)"/>
    <n v="77.211200000000005"/>
    <n v="10.5288"/>
    <n v="87.74"/>
    <s v="Sessão Faturada"/>
    <n v="130260009348020"/>
    <n v="14852"/>
    <s v="Unidade Vieiralves"/>
    <n v="935125"/>
    <m/>
  </r>
  <r>
    <x v="20"/>
    <x v="38"/>
    <s v="Valmir Cesar Pozzetti"/>
    <s v="Masculino"/>
    <x v="1"/>
    <x v="20"/>
    <s v="50000160 - Fisioterapia Ortopédica (R$ 20,00), 98980327 - Taxa de Eletroterapia (Tens) (R$ 15,00)"/>
    <s v="Fisioterapia"/>
    <n v="8913272"/>
    <s v="Finalizado (8/10)"/>
    <n v="30.8"/>
    <n v="4.2"/>
    <n v="35"/>
    <s v="Sessão Faturada"/>
    <s v="0901013948180030"/>
    <n v="43203"/>
    <s v="Unidade Vieiralves"/>
    <n v="8913272"/>
    <m/>
  </r>
  <r>
    <x v="20"/>
    <x v="38"/>
    <s v="Juliana Schettini Sobrinho Dourado"/>
    <m/>
    <x v="6"/>
    <x v="20"/>
    <s v="20103484 - Patologia Em Um Membro (R$ 14,16)"/>
    <s v="Fisioterapia"/>
    <n v="171274"/>
    <s v="Finalizado (2/10)"/>
    <n v="12.460800000000001"/>
    <n v="1.6992"/>
    <n v="14.16"/>
    <s v="Sessão a Faturar"/>
    <s v="51588888483923230010"/>
    <n v="58626"/>
    <s v="Unidade Vieiralves"/>
    <n v="171274"/>
    <m/>
  </r>
  <r>
    <x v="20"/>
    <x v="37"/>
    <s v="Priscila de Souza Rosa Barroncas"/>
    <m/>
    <x v="15"/>
    <x v="20"/>
    <s v="20103506 - Patologia Em Um Segmento da Coluna (R$ 34,74)"/>
    <s v="Fisioterapia"/>
    <n v="238990207"/>
    <s v="Finalizado (3/8)"/>
    <n v="30.571200000000001"/>
    <n v="4.1688000000000001"/>
    <n v="34.74"/>
    <s v="Sessão a Faturar"/>
    <s v="012376760102005"/>
    <n v="52839"/>
    <s v="Unidade Vieiralves"/>
    <n v="238990207"/>
    <m/>
  </r>
  <r>
    <x v="20"/>
    <x v="37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6/10)"/>
    <n v="30.8"/>
    <n v="4.2"/>
    <n v="35"/>
    <s v="Sessão Faturada"/>
    <s v="0201013982810029"/>
    <n v="19454"/>
    <s v="Unidade Vieiralves"/>
    <n v="9052356"/>
    <m/>
  </r>
  <r>
    <x v="20"/>
    <x v="37"/>
    <s v="Ivete Akimi Massuda"/>
    <s v="Feminino"/>
    <x v="6"/>
    <x v="20"/>
    <s v="31602185 - Estimulação Elétrica Transcutanea (Tens) (R$ 40,00)"/>
    <s v="Fisioterapia"/>
    <n v="171163"/>
    <s v="Finalizado (4/10)"/>
    <n v="35.200000000000003"/>
    <n v="4.8"/>
    <n v="40"/>
    <s v="Sessão a Faturar"/>
    <s v="54588888473661890020"/>
    <n v="43609"/>
    <s v="Unidade Vieiralves"/>
    <n v="171163"/>
    <m/>
  </r>
  <r>
    <x v="20"/>
    <x v="63"/>
    <s v="Ivete Akimi Massuda"/>
    <s v="Feminino"/>
    <x v="6"/>
    <x v="20"/>
    <s v="20103506 - Patologia Em Um Segmento da Coluna (R$ 14,16)"/>
    <s v="Fisioterapia"/>
    <n v="171164"/>
    <s v="Finalizado (4/10)"/>
    <n v="12.460800000000001"/>
    <n v="1.6992"/>
    <n v="14.16"/>
    <s v="Sessão a Faturar"/>
    <s v="54588888473661890020"/>
    <n v="43609"/>
    <s v="Unidade Vieiralves"/>
    <n v="171164"/>
    <m/>
  </r>
  <r>
    <x v="20"/>
    <x v="39"/>
    <s v="Caroline Duarte Brighente"/>
    <s v="Feminino"/>
    <x v="1"/>
    <x v="20"/>
    <s v="50000160 - Fisioterapia Ortopédica (R$ 20,00), 98980327 - Taxa de Eletroterapia (Tens) (R$ 15,00)"/>
    <s v="Fisioterapia"/>
    <n v="9161743"/>
    <s v="Finalizado (4/10)"/>
    <n v="30.8"/>
    <n v="4.2"/>
    <n v="35"/>
    <s v="Sessão Faturada"/>
    <s v="0501011606920055"/>
    <n v="59374"/>
    <s v="Unidade Vieiralves"/>
    <n v="9161743"/>
    <m/>
  </r>
  <r>
    <x v="20"/>
    <x v="39"/>
    <s v="Helen dos Santos Viana"/>
    <m/>
    <x v="2"/>
    <x v="20"/>
    <s v="20103492 - Fisioterapia - Patologia Em Dois Ou Mais Membros (R$ 14,83)"/>
    <s v="Fisioterapia"/>
    <n v="1705574850"/>
    <s v="Finalizado (4/6)"/>
    <n v="13.0504"/>
    <n v="1.7796000000000001"/>
    <n v="14.83"/>
    <s v="Sessão Faturada"/>
    <n v="774642026174020"/>
    <n v="59475"/>
    <s v="Unidade Vieiralves"/>
    <n v="1705574850"/>
    <m/>
  </r>
  <r>
    <x v="20"/>
    <x v="39"/>
    <s v="Ivy Peixoto de Sá"/>
    <s v="Feminino"/>
    <x v="1"/>
    <x v="20"/>
    <s v="50000160 - Fisioterapia Ortopédica (R$ 20,00), 98980327 - Taxa de Eletroterapia (Tens) (R$ 15,00)"/>
    <s v="Fisioterapia"/>
    <n v="9261531"/>
    <s v="Finalizado (3/9)"/>
    <n v="30.8"/>
    <n v="4.2"/>
    <n v="35"/>
    <s v="Sessão Faturada"/>
    <s v="0901013218640137"/>
    <n v="59535"/>
    <s v="Unidade Vieiralves"/>
    <n v="9261531"/>
    <m/>
  </r>
  <r>
    <x v="20"/>
    <x v="0"/>
    <s v="Rosineide Rodrigues Arcanjo"/>
    <s v="Feminino"/>
    <x v="2"/>
    <x v="20"/>
    <s v="20103514 - Fisioterapia - Patologia Em Diferentes Segmentos da Coluna (R$ 14,83)"/>
    <s v="Fisioterapia"/>
    <n v="1709777911"/>
    <s v="Finalizado (3/9)"/>
    <n v="13.0504"/>
    <n v="1.7796000000000001"/>
    <n v="14.83"/>
    <s v="Sessão Faturada"/>
    <n v="774063004219030"/>
    <n v="50224"/>
    <s v="Unidade Vieralves (ANEXO)"/>
    <n v="1709777911"/>
    <m/>
  </r>
  <r>
    <x v="20"/>
    <x v="0"/>
    <s v="Ana Cristina Belarmino de Oliveira"/>
    <s v="Feminino"/>
    <x v="15"/>
    <x v="20"/>
    <s v="20103514 - Patologia Em Diferentes Segmentos da Coluna (R$ 60,72)"/>
    <s v="Fisioterapia"/>
    <n v="238463711"/>
    <s v="Finalizado (4/10)"/>
    <n v="53.433599999999998"/>
    <n v="7.2864000000000004"/>
    <n v="60.72"/>
    <s v="Sessão a Faturar"/>
    <s v="012616100102004"/>
    <n v="59505"/>
    <s v="Unidade Vieralves (ANEXO)"/>
    <n v="238463711"/>
    <m/>
  </r>
  <r>
    <x v="20"/>
    <x v="0"/>
    <s v="Ivanildes Barbosa da Silva"/>
    <s v="Feminino"/>
    <x v="6"/>
    <x v="20"/>
    <s v="20103484 - Patologia Em Um Membro (R$ 14,16)"/>
    <s v="Fisioterapia"/>
    <n v="171669"/>
    <s v="Finalizado (1/5)"/>
    <n v="12.460800000000001"/>
    <n v="1.6992"/>
    <n v="14.16"/>
    <s v="Sessão a Faturar"/>
    <s v="54588888019240100022"/>
    <n v="58583"/>
    <s v="Unidade Vieralves (ANEXO)"/>
    <n v="171669"/>
    <m/>
  </r>
  <r>
    <x v="20"/>
    <x v="1"/>
    <s v="Rosineide Rodrigues Arcanjo"/>
    <s v="Feminino"/>
    <x v="4"/>
    <x v="20"/>
    <s v="31602185 - Estimulação Elétrica Transcutânea - Removido 13/04/2026 (R$ 40,00)"/>
    <s v="Fisioterapia"/>
    <n v="1711548824"/>
    <s v="Finalizado (1/7)"/>
    <n v="35.200000000000003"/>
    <n v="4.8"/>
    <n v="40"/>
    <s v="Sessão Faturada"/>
    <n v="774063004219030"/>
    <n v="50224"/>
    <s v="Unidade Vieralves (ANEXO)"/>
    <n v="1711548824"/>
    <m/>
  </r>
  <r>
    <x v="20"/>
    <x v="1"/>
    <s v="Ivanildes Barbosa da Silva"/>
    <s v="Feminino"/>
    <x v="6"/>
    <x v="20"/>
    <s v="31602185 - Estimulação Elétrica Transcutanea (Tens) (R$ 40,00)"/>
    <s v="Fisioterapia"/>
    <n v="171670"/>
    <s v="Finalizado (1/3)"/>
    <n v="35.200000000000003"/>
    <n v="4.8"/>
    <n v="40"/>
    <s v="Sessão a Faturar"/>
    <s v="54588888019240100022"/>
    <n v="58583"/>
    <s v="Unidade Vieralves (ANEXO)"/>
    <n v="171670"/>
    <m/>
  </r>
  <r>
    <x v="20"/>
    <x v="2"/>
    <s v="Walter Jose Firmo Gonçalves Filho"/>
    <s v="Masculino"/>
    <x v="0"/>
    <x v="20"/>
    <s v="31602185 - Estimulação Elétrica Transcutânea Fisioterapia (Novo - 01/12) (R$ 54,13)"/>
    <s v="Fisioterapia"/>
    <s v="42263120260311457584"/>
    <s v="Finalizado (4/10)"/>
    <n v="47.634399999999999"/>
    <n v="6.4955999999999996"/>
    <n v="54.13"/>
    <s v="Sessão a Faturar"/>
    <s v="010033652700"/>
    <n v="41064"/>
    <s v="Unidade Vieralves (ANEXO)"/>
    <s v="42263120260311457584"/>
    <s v="Guia assinada! 02/04"/>
  </r>
  <r>
    <x v="20"/>
    <x v="2"/>
    <s v="Cristiane Gomes Barcelar Gonçalves"/>
    <s v="Feminino"/>
    <x v="0"/>
    <x v="20"/>
    <s v="50000160 - Fisioterapia Ortopedica (R$ 49,72)"/>
    <s v="Fisioterapia"/>
    <s v="42263120260305415598"/>
    <s v="Finalizado (5/10)"/>
    <n v="43.753599999999999"/>
    <n v="5.9664000000000001"/>
    <n v="49.72"/>
    <s v="Sessão a Faturar"/>
    <s v="010033652753"/>
    <n v="27217"/>
    <s v="Unidade Vieralves (ANEXO)"/>
    <s v="42263120260305415598"/>
    <m/>
  </r>
  <r>
    <x v="20"/>
    <x v="2"/>
    <s v="Isabelly Bacelar Gonçalves"/>
    <s v="Feminino"/>
    <x v="0"/>
    <x v="20"/>
    <s v="50000160 - Fisioterapia Ortopedica (R$ 49,72)"/>
    <s v="Fisioterapia"/>
    <s v="42263120260316483774"/>
    <s v="Finalizado (3/10)"/>
    <n v="43.753599999999999"/>
    <n v="5.9664000000000001"/>
    <n v="49.72"/>
    <s v="Sessão a Faturar"/>
    <s v="010033652754"/>
    <n v="39051"/>
    <s v="Unidade Vieralves (ANEXO)"/>
    <s v="42263120260316483774"/>
    <s v="Guia assinada! 16.03"/>
  </r>
  <r>
    <x v="20"/>
    <x v="3"/>
    <s v="Walter Jose Firmo Gonçalves Filho"/>
    <s v="Masculino"/>
    <x v="0"/>
    <x v="20"/>
    <s v="50000160 - Fisioterapia Ortopedica (R$ 49,72)"/>
    <s v="Fisioterapia"/>
    <s v="42263120260310449344"/>
    <s v="Finalizado (4/10)"/>
    <n v="43.753599999999999"/>
    <n v="5.9664000000000001"/>
    <n v="49.72"/>
    <s v="Sessão a Faturar"/>
    <s v="010033652700"/>
    <n v="41064"/>
    <s v="Unidade Vieralves (ANEXO)"/>
    <s v="42263120260310449344"/>
    <s v="Guia assinada! 02/04"/>
  </r>
  <r>
    <x v="20"/>
    <x v="3"/>
    <s v="Cristiane Gomes Barcelar Gonçalves"/>
    <s v="Feminino"/>
    <x v="0"/>
    <x v="20"/>
    <s v="31602185 - Estimulação Elétrica Transcutânea Fisioterapia (Novo - 01/12) (R$ 54,13)"/>
    <s v="Fisioterapia"/>
    <s v="42263120260305415649"/>
    <s v="Finalizado (5/10)"/>
    <n v="47.634399999999999"/>
    <n v="6.4955999999999996"/>
    <n v="54.13"/>
    <s v="Sessão a Faturar"/>
    <s v="010033652753"/>
    <n v="27217"/>
    <s v="Unidade Vieralves (ANEXO)"/>
    <s v="42263120260305415649"/>
    <m/>
  </r>
  <r>
    <x v="20"/>
    <x v="3"/>
    <s v="Isabelly Bacelar Gonçalves"/>
    <s v="Feminino"/>
    <x v="0"/>
    <x v="20"/>
    <s v="31602185 - Estimulação Elétrica Transcutânea Fisioterapia (Novo - 01/12) (R$ 54,13)"/>
    <s v="Fisioterapia"/>
    <s v="42263120260316484069"/>
    <s v="Finalizado (3/10)"/>
    <n v="47.634399999999999"/>
    <n v="6.4955999999999996"/>
    <n v="54.13"/>
    <s v="Sessão a Faturar"/>
    <s v="010033652754"/>
    <n v="39051"/>
    <s v="Unidade Vieralves (ANEXO)"/>
    <s v="42263120260316484069"/>
    <s v="Guia assinada! 16.03"/>
  </r>
  <r>
    <x v="20"/>
    <x v="4"/>
    <s v="Silvana Aparecida de Souza Assis"/>
    <s v="Feminino"/>
    <x v="17"/>
    <x v="20"/>
    <s v="50000160 - Fisioterapia Ortopedica (R$ 45,00)"/>
    <s v="Fisioterapia"/>
    <n v="3959691"/>
    <s v="Finalizado (6/10)"/>
    <n v="39.6"/>
    <n v="5.4"/>
    <n v="45"/>
    <s v="Sessão a Faturar"/>
    <s v="000915778421201"/>
    <n v="59371"/>
    <s v="Unidade Vieralves (ANEXO)"/>
    <n v="3959691"/>
    <s v="Guia assinada!"/>
  </r>
  <r>
    <x v="20"/>
    <x v="4"/>
    <s v="Carlos Alberto de Assis"/>
    <s v="Masculino"/>
    <x v="17"/>
    <x v="20"/>
    <s v="50000160 - Fisioterapia Ortopedica (R$ 45,00)"/>
    <s v="Fisioterapia"/>
    <n v="3959721"/>
    <s v="Finalizado (6/10)"/>
    <n v="39.6"/>
    <n v="5.4"/>
    <n v="45"/>
    <s v="Sessão a Faturar"/>
    <s v="000915778421200"/>
    <n v="59370"/>
    <s v="Unidade Vieralves (ANEXO)"/>
    <n v="3959721"/>
    <s v="Guia assinada!"/>
  </r>
  <r>
    <x v="20"/>
    <x v="13"/>
    <s v="Estela Maria Galvao Vidal de Abreu"/>
    <s v="Feminino"/>
    <x v="2"/>
    <x v="20"/>
    <s v="20103484 - Fisioterapia - Patologia Em Um Membro (R$ 12,22), 20103506 - Fisioterapia - Patologia Em Um Segmento da Coluna (R$ 12,22)"/>
    <s v="Fisioterapia"/>
    <n v="1709766067"/>
    <s v="Finalizado (3/10)"/>
    <n v="21.507200000000001"/>
    <n v="2.9327999999999999"/>
    <n v="24.44"/>
    <s v="Sessão Faturada"/>
    <n v="836922200019000"/>
    <n v="45049"/>
    <s v="Unidade Vieralves (ANEXO)"/>
    <n v="1709766067"/>
    <m/>
  </r>
  <r>
    <x v="20"/>
    <x v="13"/>
    <s v="Maria de Fatima da Silva Souza"/>
    <s v="Feminino"/>
    <x v="2"/>
    <x v="20"/>
    <s v="20103492 - Fisioterapia - Patologia Em Dois Ou Mais Membros (R$ 14,83)"/>
    <s v="Fisioterapia"/>
    <n v="1710422709"/>
    <s v="Finalizado (2/4)"/>
    <n v="13.0504"/>
    <n v="1.7796000000000001"/>
    <n v="14.83"/>
    <s v="Sessão a Faturar"/>
    <n v="952140115211010"/>
    <n v="23931"/>
    <s v="Unidade Vieralves (ANEXO)"/>
    <n v="1710422709"/>
    <m/>
  </r>
  <r>
    <x v="20"/>
    <x v="13"/>
    <s v="Shirley de Jesus Maranhao de Oliveira"/>
    <s v="Feminino"/>
    <x v="1"/>
    <x v="20"/>
    <s v="50000160 - Fisioterapia Ortopédica (R$ 20,00), 98980327 - Taxa de Eletroterapia (Tens) (R$ 15,00)"/>
    <s v="Fisioterapia"/>
    <n v="9016939"/>
    <s v="Finalizado (10/10)"/>
    <n v="30.8"/>
    <n v="4.2"/>
    <n v="35"/>
    <s v="Sessão Faturada"/>
    <n v="2001012922200100"/>
    <n v="59047"/>
    <s v="Unidade Vieralves (ANEXO)"/>
    <n v="9016939"/>
    <m/>
  </r>
  <r>
    <x v="20"/>
    <x v="14"/>
    <s v="Estela Maria Galvao Vidal de Abreu"/>
    <s v="Feminino"/>
    <x v="4"/>
    <x v="20"/>
    <s v="31602185 - Estimulação Elétrica Transcutânea - Removido 13/04/2026 (R$ 40,00)"/>
    <s v="Fisioterapia"/>
    <n v="1711603141"/>
    <s v="Finalizado (1/5)"/>
    <n v="35.200000000000003"/>
    <n v="4.8"/>
    <n v="40"/>
    <s v="Sessão Faturada"/>
    <n v="836922200019000"/>
    <n v="45049"/>
    <s v="Unidade Vieralves (ANEXO)"/>
    <n v="1711603141"/>
    <m/>
  </r>
  <r>
    <x v="20"/>
    <x v="6"/>
    <s v="Laura Irene Villacrez Flores"/>
    <s v="Feminino"/>
    <x v="5"/>
    <x v="20"/>
    <s v="98860011 - Fisioterapia Complexidade 1 (R$ 55,26)"/>
    <s v="Fisioterapia"/>
    <n v="77963780"/>
    <s v="Finalizado (6/10)"/>
    <n v="48.628799999999998"/>
    <n v="6.6311999999999998"/>
    <n v="55.26"/>
    <s v="Sessão Faturada"/>
    <s v="010080860100"/>
    <n v="59130"/>
    <s v="Unidade Vieralves (ANEXO)"/>
    <n v="77963780"/>
    <m/>
  </r>
  <r>
    <x v="20"/>
    <x v="6"/>
    <s v="Vivian Fonseca de Oliveira"/>
    <s v="Feminino"/>
    <x v="2"/>
    <x v="20"/>
    <s v="20103506 - Fisioterapia - Patologia Em Um Segmento da Coluna (R$ 12,22)"/>
    <s v="Fisioterapia"/>
    <n v="1703929642"/>
    <s v="Finalizado (3/3)"/>
    <n v="10.7536"/>
    <n v="1.4663999999999999"/>
    <n v="12.22"/>
    <s v="Sessão Faturada"/>
    <n v="774642011100020"/>
    <n v="45139"/>
    <s v="Unidade Vieralves (ANEXO)"/>
    <n v="1703929642"/>
    <m/>
  </r>
  <r>
    <x v="20"/>
    <x v="6"/>
    <s v="Lidia Teresa Monteiro Mendes"/>
    <s v="Feminino"/>
    <x v="6"/>
    <x v="20"/>
    <s v="20103492 - Patologia Em Dois Ou Mais Membros (R$ 30,26)"/>
    <s v="Fisioterapia"/>
    <n v="171232"/>
    <s v="Finalizado (4/10)"/>
    <n v="26.628799999999998"/>
    <n v="3.6312000000000002"/>
    <n v="30.26"/>
    <s v="Sessão a Faturar"/>
    <s v="54588888004872480010"/>
    <n v="37147"/>
    <s v="Unidade Vieralves (ANEXO)"/>
    <n v="171232"/>
    <m/>
  </r>
  <r>
    <x v="20"/>
    <x v="7"/>
    <s v="Laura Irene Villacrez Flores"/>
    <s v="Feminino"/>
    <x v="5"/>
    <x v="20"/>
    <s v="31602185 - Estimulação Elétrica Transcutânea (Tens) (R$ 125,40)"/>
    <s v="Fisioterapia"/>
    <n v="78268770"/>
    <s v="Finalizado (4/10)"/>
    <n v="110.352"/>
    <n v="15.048"/>
    <n v="125.4"/>
    <s v="Sessão Faturada"/>
    <s v="010080860100"/>
    <n v="59130"/>
    <s v="Unidade Vieralves (ANEXO)"/>
    <n v="78268770"/>
    <m/>
  </r>
  <r>
    <x v="20"/>
    <x v="17"/>
    <s v="Maria Auxiliadora da Silva Castelano"/>
    <s v="Feminino"/>
    <x v="2"/>
    <x v="20"/>
    <s v="20103492 - Fisioterapia - Patologia Em Dois Ou Mais Membros (R$ 14,83)"/>
    <s v="Fisioterapia"/>
    <n v="1709843838"/>
    <s v="Finalizado (3/7)"/>
    <n v="13.0504"/>
    <n v="1.7796000000000001"/>
    <n v="14.83"/>
    <s v="Sessão a Faturar"/>
    <n v="773458002496010"/>
    <n v="13771"/>
    <s v="Unidade Vieralves (ANEXO)"/>
    <n v="1709843838"/>
    <m/>
  </r>
  <r>
    <x v="20"/>
    <x v="17"/>
    <s v="Leticia Magalhães Mendes"/>
    <s v="Feminino"/>
    <x v="2"/>
    <x v="20"/>
    <s v="20103484 - Fisioterapia - Patologia Em Um Membro (R$ 12,22)"/>
    <s v="Fisioterapia"/>
    <n v="1710448748"/>
    <s v="Finalizado (2/10)"/>
    <n v="10.7536"/>
    <n v="1.4663999999999999"/>
    <n v="12.22"/>
    <s v="Sessão Faturada"/>
    <n v="775423014966000"/>
    <n v="59594"/>
    <s v="Unidade Vieralves (ANEXO)"/>
    <n v="1710448748"/>
    <m/>
  </r>
  <r>
    <x v="20"/>
    <x v="18"/>
    <s v="Maria Auxiliadora da Silva Castelano"/>
    <s v="Feminino"/>
    <x v="4"/>
    <x v="20"/>
    <s v="31602185 - Estimulação Elétrica Transcutânea - Removido 13/04/2026 (R$ 40,00)"/>
    <s v="Fisioterapia"/>
    <n v="1711667361"/>
    <s v="Finalizado (1/5)"/>
    <n v="35.200000000000003"/>
    <n v="4.8"/>
    <n v="40"/>
    <s v="Sessão a Faturar"/>
    <n v="773458002496010"/>
    <n v="13771"/>
    <s v="Unidade Vieralves (ANEXO)"/>
    <n v="1711667361"/>
    <m/>
  </r>
  <r>
    <x v="20"/>
    <x v="8"/>
    <s v="Bruno Santos da Silva"/>
    <s v="Masculino"/>
    <x v="6"/>
    <x v="20"/>
    <s v="31602185 - Estimulação Elétrica Transcutanea (Tens) (R$ 40,00)"/>
    <s v="Fisioterapia"/>
    <n v="171402"/>
    <s v="Finalizado (3/3)"/>
    <n v="35.200000000000003"/>
    <n v="4.8"/>
    <n v="40"/>
    <s v="Sessão a Faturar"/>
    <s v="54588888481819360012"/>
    <n v="51544"/>
    <s v="Unidade Vieralves (ANEXO)"/>
    <n v="171402"/>
    <m/>
  </r>
  <r>
    <x v="20"/>
    <x v="8"/>
    <s v="Gaspar Henrique Alves Mota"/>
    <m/>
    <x v="2"/>
    <x v="20"/>
    <s v="20103514 - Fisioterapia - Patologia Em Diferentes Segmentos da Coluna (R$ 14,83)"/>
    <s v="Fisioterapia"/>
    <n v="1711669686"/>
    <s v="Finalizado (1/4)"/>
    <n v="13.0504"/>
    <n v="1.7796000000000001"/>
    <n v="14.83"/>
    <s v="Sessão a Faturar"/>
    <n v="774642013528010"/>
    <n v="54316"/>
    <s v="Unidade Vieralves (ANEXO)"/>
    <n v="1711669686"/>
    <m/>
  </r>
  <r>
    <x v="20"/>
    <x v="8"/>
    <s v="Gisele dos Santos Costa"/>
    <s v="Feminino"/>
    <x v="1"/>
    <x v="20"/>
    <s v="50000160 - Fisioterapia Ortopédica (R$ 20,00), 98980327 - Taxa de Eletroterapia (Tens) (R$ 15,00)"/>
    <s v="Fisioterapia"/>
    <n v="9123592"/>
    <s v="Finalizado (5/8)"/>
    <n v="30.8"/>
    <n v="4.2"/>
    <n v="35"/>
    <s v="Sessão Faturada"/>
    <n v="1901012931170000"/>
    <n v="53642"/>
    <s v="Unidade Vieralves (ANEXO)"/>
    <n v="9123592"/>
    <m/>
  </r>
  <r>
    <x v="20"/>
    <x v="8"/>
    <s v="Bruno Santos da Silva"/>
    <s v="Masculino"/>
    <x v="6"/>
    <x v="20"/>
    <s v="20103514 - Patologia Em Dois Ou Mais Segmentos da Coluna (R$ 32,82)"/>
    <s v="Fisioterapia"/>
    <n v="171400"/>
    <s v="Finalizado (3/3)"/>
    <n v="28.881599999999999"/>
    <n v="3.9384000000000001"/>
    <n v="32.82"/>
    <s v="Sessão a Faturar"/>
    <s v="54588888481819360012"/>
    <n v="51544"/>
    <s v="Unidade Vieralves (ANEXO)"/>
    <n v="171400"/>
    <m/>
  </r>
  <r>
    <x v="20"/>
    <x v="10"/>
    <s v="Alexsandro de Pierri Camara Frangos"/>
    <s v="Masculino"/>
    <x v="6"/>
    <x v="20"/>
    <s v="31602185 - Estimulação Elétrica Transcutanea (Tens) (R$ 40,00)"/>
    <s v="Fisioterapia"/>
    <n v="171697"/>
    <s v="Finalizado (1/5)"/>
    <n v="35.200000000000003"/>
    <n v="4.8"/>
    <n v="40"/>
    <s v="Sessão a Faturar"/>
    <s v="44520813095886520010"/>
    <n v="59453"/>
    <s v="Unidade Vieralves (ANEXO)"/>
    <n v="171697"/>
    <s v="GUIA ASSINADA"/>
  </r>
  <r>
    <x v="20"/>
    <x v="10"/>
    <s v="Sabrina Frota Miranda"/>
    <s v="Feminino"/>
    <x v="2"/>
    <x v="20"/>
    <s v="20103484 - Fisioterapia - Patologia Em Um Membro (R$ 12,22)"/>
    <s v="Fisioterapia"/>
    <n v="1704013274"/>
    <s v="Finalizado (4/5)"/>
    <n v="10.7536"/>
    <n v="1.4663999999999999"/>
    <n v="12.22"/>
    <s v="Sessão Faturada"/>
    <n v="774170004260000"/>
    <n v="58714"/>
    <s v="Unidade Vieralves (ANEXO)"/>
    <n v="1704013274"/>
    <m/>
  </r>
  <r>
    <x v="20"/>
    <x v="10"/>
    <s v="Lucas Reniele Amorim de Andrade"/>
    <s v="Masculino"/>
    <x v="2"/>
    <x v="20"/>
    <s v="50000144 - Avaliação de Fisioterapia (R$ 51,42)"/>
    <s v="Fisioterapia"/>
    <n v="1711676193"/>
    <s v="Finalizado (1/1)"/>
    <n v="46.277999999999999"/>
    <n v="5.1420000000000003"/>
    <n v="51.42"/>
    <s v="Sessão Faturada"/>
    <n v="774642029297000"/>
    <n v="58737"/>
    <s v="Unidade Vieralves (ANEXO)"/>
    <n v="1711676193"/>
    <m/>
  </r>
  <r>
    <x v="20"/>
    <x v="11"/>
    <s v="Alexsandro de Pierri Camara Frangos"/>
    <s v="Masculino"/>
    <x v="6"/>
    <x v="20"/>
    <s v="20103514 - Patologia Em Dois Ou Mais Segmentos da Coluna (R$ 32,82)"/>
    <s v="Fisioterapia"/>
    <n v="171696"/>
    <s v="Finalizado (1/5)"/>
    <n v="28.881599999999999"/>
    <n v="3.9384000000000001"/>
    <n v="32.82"/>
    <s v="Sessão a Faturar"/>
    <s v="44520813095886520010"/>
    <n v="59453"/>
    <s v="Unidade Vieralves (ANEXO)"/>
    <n v="171696"/>
    <m/>
  </r>
  <r>
    <x v="20"/>
    <x v="11"/>
    <s v="Lucas Reniele Amorim de Andrade"/>
    <s v="Masculino"/>
    <x v="2"/>
    <x v="20"/>
    <s v="20103484 - Fisioterapia - Patologia Em Um Membro (R$ 12,22)"/>
    <s v="Fisioterapia"/>
    <n v="1711676744"/>
    <s v="Finalizado (1/6)"/>
    <n v="10.7536"/>
    <n v="1.4663999999999999"/>
    <n v="12.22"/>
    <s v="Sessão a Faturar"/>
    <n v="774642029297000"/>
    <n v="58737"/>
    <s v="Unidade Vieralves (ANEXO)"/>
    <n v="1711676744"/>
    <m/>
  </r>
  <r>
    <x v="20"/>
    <x v="11"/>
    <s v="Sabrina Frota Miranda"/>
    <s v="Feminino"/>
    <x v="4"/>
    <x v="20"/>
    <s v="31602185 - Estimulação Elétrica Transcutânea - Removido 13/04/2026 (R$ 40,00)"/>
    <s v="Fisioterapia"/>
    <n v="1711678690"/>
    <s v="Finalizado (1/2)"/>
    <n v="35.200000000000003"/>
    <n v="4.8"/>
    <n v="40"/>
    <s v="Sessão Faturada"/>
    <n v="774170004260000"/>
    <n v="58714"/>
    <s v="Unidade Vieralves (ANEXO)"/>
    <n v="1711678690"/>
    <m/>
  </r>
  <r>
    <x v="20"/>
    <x v="12"/>
    <s v="Willian Jean Silva Colares"/>
    <s v="Masculino"/>
    <x v="2"/>
    <x v="20"/>
    <s v="20103484 - Fisioterapia - Patologia Em Um Membro (R$ 12,22)"/>
    <s v="Fisioterapia"/>
    <n v="1707540722"/>
    <s v="Finalizado (7/9)"/>
    <n v="10.7536"/>
    <n v="1.4663999999999999"/>
    <n v="12.22"/>
    <s v="Sessão Faturada"/>
    <n v="775219005800000"/>
    <n v="59277"/>
    <s v="Unidade Vieralves (ANEXO)"/>
    <n v="1707540722"/>
    <m/>
  </r>
  <r>
    <x v="23"/>
    <x v="89"/>
    <s v="Sandra Souza Cavalcante"/>
    <m/>
    <x v="2"/>
    <x v="20"/>
    <s v="20103484 - Fisioterapia - Patologia Em Um Membro (R$ 12,22)"/>
    <s v="Fisioterapia"/>
    <n v="1710035241"/>
    <s v="Finalizado (2/8)"/>
    <n v="10.7536"/>
    <n v="1.4663999999999999"/>
    <n v="12.22"/>
    <s v="Sessão a Faturar"/>
    <n v="773299001503000"/>
    <n v="59519"/>
    <s v="Unidade Vieiralves"/>
    <n v="1710035241"/>
    <m/>
  </r>
  <r>
    <x v="23"/>
    <x v="89"/>
    <s v="Sandra Souza Cavalcante"/>
    <m/>
    <x v="4"/>
    <x v="20"/>
    <s v="31602185 - Estimulação Elétrica Transcutânea - Removido 13/04/2026 (R$ 40,00)"/>
    <s v="Fisioterapia"/>
    <n v="1709420314"/>
    <s v="Finalizado (3/5)"/>
    <n v="35.200000000000003"/>
    <n v="4.8"/>
    <n v="40"/>
    <s v="Sessão Faturada"/>
    <n v="773299001503000"/>
    <n v="59519"/>
    <s v="Unidade Vieiralves"/>
    <n v="1709420314"/>
    <m/>
  </r>
  <r>
    <x v="23"/>
    <x v="44"/>
    <s v="Valterlei Ribeiro Mendonça"/>
    <m/>
    <x v="4"/>
    <x v="20"/>
    <s v="31602185 - Estimulação Elétrica Transcutânea - Removido 13/04/2026 (R$ 40,00)"/>
    <s v="Fisioterapia"/>
    <n v="1711851600"/>
    <s v="Finalizado (1/4)"/>
    <n v="35.200000000000003"/>
    <n v="4.8"/>
    <n v="40"/>
    <s v="Sessão a Faturar"/>
    <n v="775494003360000"/>
    <n v="57982"/>
    <s v="Unidade Vieiralves"/>
    <n v="1711851600"/>
    <m/>
  </r>
  <r>
    <x v="23"/>
    <x v="44"/>
    <s v="Valterlei Ribeiro Mendonça"/>
    <m/>
    <x v="2"/>
    <x v="20"/>
    <s v="20103506 - Fisioterapia - Patologia Em Um Segmento da Coluna (R$ 12,22)"/>
    <s v="Fisioterapia"/>
    <n v="1702115506"/>
    <s v="Finalizado (3/4)"/>
    <n v="10.7536"/>
    <n v="1.4663999999999999"/>
    <n v="12.22"/>
    <s v="Sessão Faturada"/>
    <n v="775494003360000"/>
    <n v="57982"/>
    <s v="Unidade Vieiralves"/>
    <n v="1702115506"/>
    <m/>
  </r>
  <r>
    <x v="23"/>
    <x v="41"/>
    <s v="Rafael Daniel Gerzvolf"/>
    <s v="Masculino"/>
    <x v="6"/>
    <x v="20"/>
    <s v="20103484 - Patologia Em Um Membro (R$ 14,16)"/>
    <s v="Fisioterapia"/>
    <n v="171440"/>
    <s v="Finalizado (2/10)"/>
    <n v="12.460800000000001"/>
    <n v="1.6992"/>
    <n v="14.16"/>
    <s v="Sessão a Faturar"/>
    <s v="51588888488560580015"/>
    <n v="57485"/>
    <s v="Unidade Vieiralves"/>
    <n v="171440"/>
    <m/>
  </r>
  <r>
    <x v="23"/>
    <x v="41"/>
    <s v="Lara Simone Osorio Chaves"/>
    <s v="Feminino"/>
    <x v="1"/>
    <x v="20"/>
    <s v="50000160 - Fisioterapia Ortopédica (R$ 20,00), 98980327 - Taxa de Eletroterapia (Tens) (R$ 15,00)"/>
    <s v="Fisioterapia"/>
    <n v="9249498"/>
    <s v="Finalizado (2/2)"/>
    <n v="30.8"/>
    <n v="4.2"/>
    <n v="35"/>
    <s v="Sessão Faturada"/>
    <n v="902011549240000"/>
    <n v="45289"/>
    <s v="Unidade Vieiralves"/>
    <n v="9249498"/>
    <m/>
  </r>
  <r>
    <x v="23"/>
    <x v="41"/>
    <s v="Rafael Daniel Gerzvolf"/>
    <s v="Masculino"/>
    <x v="6"/>
    <x v="20"/>
    <s v="31602185 - Estimulação Elétrica Transcutanea (Tens) (R$ 40,00)"/>
    <s v="Fisioterapia"/>
    <n v="171439"/>
    <s v="Finalizado (2/9)"/>
    <n v="35.200000000000003"/>
    <n v="4.8"/>
    <n v="40"/>
    <s v="Sessão a Faturar"/>
    <s v="51588888488560580015"/>
    <n v="57485"/>
    <s v="Unidade Vieiralves"/>
    <n v="171439"/>
    <m/>
  </r>
  <r>
    <x v="23"/>
    <x v="36"/>
    <s v="Ana Claudia Teixeira de Souza Viapiana"/>
    <m/>
    <x v="4"/>
    <x v="20"/>
    <s v="31602185 - Estimulação Elétrica Transcutânea - Removido 13/04/2026 (R$ 40,00)"/>
    <s v="Fisioterapia"/>
    <n v="1710690620"/>
    <s v="Finalizado (2/4)"/>
    <n v="35.200000000000003"/>
    <n v="4.8"/>
    <n v="40"/>
    <s v="Sessão Faturada"/>
    <n v="896958600019010"/>
    <n v="59405"/>
    <s v="Unidade Vieiralves"/>
    <n v="1710690620"/>
    <m/>
  </r>
  <r>
    <x v="23"/>
    <x v="36"/>
    <s v="Ana Claudia Teixeira de Souza Viapiana"/>
    <m/>
    <x v="2"/>
    <x v="20"/>
    <s v="20103484 - Fisioterapia - Patologia Em Um Membro (R$ 12,22)"/>
    <s v="Fisioterapia"/>
    <n v="1707711063"/>
    <s v="Finalizado (7/10)"/>
    <n v="10.7536"/>
    <n v="1.4663999999999999"/>
    <n v="12.22"/>
    <s v="Sessão Faturada"/>
    <n v="896958600019010"/>
    <n v="59405"/>
    <s v="Unidade Vieiralves"/>
    <n v="1707711063"/>
    <m/>
  </r>
  <r>
    <x v="23"/>
    <x v="36"/>
    <s v="Luciana Ferreira Viana"/>
    <m/>
    <x v="7"/>
    <x v="20"/>
    <s v="Vieiralves - 1 - Fisioterapia Ortopedica - Pacote (R$ 40,00)"/>
    <s v="Fisioterapia"/>
    <m/>
    <s v="Finalizado (4/10)"/>
    <n v="31.2"/>
    <n v="8.8000000000000007"/>
    <n v="40"/>
    <s v="Pago"/>
    <s v="00"/>
    <n v="59537"/>
    <s v="Unidade Vieiralves"/>
    <m/>
    <m/>
  </r>
  <r>
    <x v="23"/>
    <x v="40"/>
    <s v="Leonidas Oliveira de Lima"/>
    <s v="Masculino"/>
    <x v="7"/>
    <x v="20"/>
    <s v="Vieiralves - 1 - Fisioterapia Ortopedica - Pacote (R$ 80,00)"/>
    <s v="Fisioterapia"/>
    <n v="170586"/>
    <s v="Finalizado (1/10)"/>
    <n v="62.4"/>
    <n v="17.600000000000001"/>
    <n v="80"/>
    <s v="Pago"/>
    <n v="0"/>
    <n v="59536"/>
    <s v="Unidade Vieiralves"/>
    <n v="170586"/>
    <m/>
  </r>
  <r>
    <x v="23"/>
    <x v="40"/>
    <s v="Priscila de Souza Rosa Barroncas"/>
    <m/>
    <x v="15"/>
    <x v="20"/>
    <s v="20103506 - Patologia Em Um Segmento da Coluna (R$ 34,74)"/>
    <s v="Fisioterapia"/>
    <n v="238990207"/>
    <s v="Finalizado (4/8)"/>
    <n v="30.571200000000001"/>
    <n v="4.1688000000000001"/>
    <n v="34.74"/>
    <s v="Sessão a Faturar"/>
    <s v="012376760102005"/>
    <n v="52839"/>
    <s v="Unidade Vieiralves"/>
    <n v="238990207"/>
    <m/>
  </r>
  <r>
    <x v="23"/>
    <x v="35"/>
    <s v="Ricardo Marques de Abreu"/>
    <s v="Masculino"/>
    <x v="1"/>
    <x v="20"/>
    <s v="50000160 - Fisioterapia Ortopédica (R$ 20,00), 98980327 - Taxa de Eletroterapia (Tens) (R$ 15,00)"/>
    <s v="Fisioterapia"/>
    <n v="9239312"/>
    <s v="Finalizado (4/9)"/>
    <n v="30.8"/>
    <n v="4.2"/>
    <n v="35"/>
    <s v="Sessão Faturada"/>
    <n v="2001013216580000"/>
    <n v="43902"/>
    <s v="Unidade Vieiralves"/>
    <n v="9239312"/>
    <m/>
  </r>
  <r>
    <x v="23"/>
    <x v="38"/>
    <s v="Luciana Levinthal da Silva"/>
    <s v="Feminino"/>
    <x v="11"/>
    <x v="20"/>
    <s v="20103484 - Fisioterapia - Patologia Em Um Membro (R$ 80,33)"/>
    <s v="Fisioterapia"/>
    <n v="3513"/>
    <s v="Finalizado (1/10)"/>
    <n v="70.690399999999997"/>
    <n v="9.6395999999999997"/>
    <n v="80.33"/>
    <s v="Sessão a Faturar"/>
    <s v="01685-F-1"/>
    <n v="59646"/>
    <s v="Unidade Vieiralves"/>
    <n v="3513"/>
    <m/>
  </r>
  <r>
    <x v="23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6/10)"/>
    <n v="26.1008"/>
    <n v="3.5592000000000001"/>
    <n v="29.66"/>
    <s v="Sessão Faturada"/>
    <n v="960016167330010"/>
    <n v="46729"/>
    <s v="Unidade Vieiralves"/>
    <n v="1705661090"/>
    <m/>
  </r>
  <r>
    <x v="23"/>
    <x v="37"/>
    <s v="Dina Francoile Viana Ramos"/>
    <s v="Feminino"/>
    <x v="4"/>
    <x v="20"/>
    <s v="31602185 - Estimulação Elétrica Transcutânea - Removido 13/04/2026 (R$ 40,00)"/>
    <s v="Fisioterapia"/>
    <n v="1710826226"/>
    <s v="Finalizado (2/10)"/>
    <n v="35.200000000000003"/>
    <n v="4.8"/>
    <n v="40"/>
    <s v="Sessão Faturada"/>
    <n v="960016167330060"/>
    <n v="16965"/>
    <s v="Unidade Vieiralves"/>
    <n v="1710826226"/>
    <m/>
  </r>
  <r>
    <x v="23"/>
    <x v="37"/>
    <s v="Rita de Lima  Viana Ramos"/>
    <s v="Feminino"/>
    <x v="4"/>
    <x v="20"/>
    <s v="31602185 - Estimulação Elétrica Transcutânea - Removido 13/04/2026 (R$ 40,00)"/>
    <s v="Fisioterapia"/>
    <n v="1709602968"/>
    <s v="Finalizado (2/5)"/>
    <n v="35.200000000000003"/>
    <n v="4.8"/>
    <n v="40"/>
    <s v="Sessão Faturada"/>
    <n v="960016167330010"/>
    <n v="46729"/>
    <s v="Unidade Vieiralves"/>
    <n v="1709602968"/>
    <m/>
  </r>
  <r>
    <x v="23"/>
    <x v="37"/>
    <s v="Dina Francoile Viana Ramos"/>
    <s v="Feminino"/>
    <x v="2"/>
    <x v="20"/>
    <s v="20103492 - Fisioterapia - Patologia Em Dois Ou Mais Membros (R$ 14,83)"/>
    <s v="Fisioterapia"/>
    <n v="1706286360"/>
    <s v="Finalizado (6/10)"/>
    <n v="13.0504"/>
    <n v="1.7796000000000001"/>
    <n v="14.83"/>
    <s v="Sessão Faturada"/>
    <n v="960016167330060"/>
    <n v="16965"/>
    <s v="Unidade Vieiralves"/>
    <n v="1706286360"/>
    <m/>
  </r>
  <r>
    <x v="23"/>
    <x v="39"/>
    <s v="Déborah Lúcia Ohana Rodrigues"/>
    <s v="Feminino"/>
    <x v="7"/>
    <x v="20"/>
    <s v="Vieiralves - 33 - Fisioterapia Ortopedica - Sessão Avulsa (R$ 90,00)"/>
    <s v="Fisioterapia"/>
    <m/>
    <s v="Finalizado (2/2)"/>
    <n v="70.2"/>
    <n v="19.8"/>
    <n v="90"/>
    <s v="Pago"/>
    <s v="00"/>
    <n v="59036"/>
    <s v="Unidade Vieiralves"/>
    <m/>
    <m/>
  </r>
  <r>
    <x v="0"/>
    <x v="89"/>
    <s v="Sandra Souza Cavalcante"/>
    <m/>
    <x v="2"/>
    <x v="20"/>
    <s v="20103484 - Fisioterapia - Patologia Em Um Membro (R$ 12,22)"/>
    <s v="Fisioterapia"/>
    <n v="1710035241"/>
    <s v="Finalizado (3/8)"/>
    <n v="10.7536"/>
    <n v="1.4663999999999999"/>
    <n v="12.22"/>
    <s v="Sessão a Faturar"/>
    <n v="773299001503000"/>
    <n v="59519"/>
    <s v="Unidade Vieiralves"/>
    <n v="1710035241"/>
    <m/>
  </r>
  <r>
    <x v="0"/>
    <x v="44"/>
    <s v="Victor Thury Vieira Hauache"/>
    <s v="Masculino"/>
    <x v="6"/>
    <x v="20"/>
    <s v="20103484 - Patologia Em Um Membro (R$ 14,16)"/>
    <s v="Fisioterapia"/>
    <n v="171559"/>
    <s v="Finalizado (2/10)"/>
    <n v="12.460800000000001"/>
    <n v="1.6992"/>
    <n v="14.16"/>
    <s v="Sessão a Faturar"/>
    <s v="55788888476678190110"/>
    <n v="59493"/>
    <s v="Unidade Vieiralves"/>
    <n v="171559"/>
    <m/>
  </r>
  <r>
    <x v="0"/>
    <x v="44"/>
    <s v="Zemilto Martins Ceara"/>
    <s v="Masculino"/>
    <x v="2"/>
    <x v="20"/>
    <s v="20103492 - Fisioterapia - Patologia Em Dois Ou Mais Membros (R$ 14,83)"/>
    <s v="Fisioterapia"/>
    <n v="1705564788"/>
    <s v="Finalizado (6/8)"/>
    <n v="13.0504"/>
    <n v="1.7796000000000001"/>
    <n v="14.83"/>
    <s v="Sessão Faturada"/>
    <n v="841006100370010"/>
    <n v="9050"/>
    <s v="Unidade Vieiralves"/>
    <n v="1705564788"/>
    <m/>
  </r>
  <r>
    <x v="0"/>
    <x v="60"/>
    <s v="Victor Thury Vieira Hauache"/>
    <s v="Masculino"/>
    <x v="6"/>
    <x v="20"/>
    <s v="31602185 - Estimulação Elétrica Transcutanea (Tens) (R$ 40,00)"/>
    <s v="Fisioterapia"/>
    <n v="171564"/>
    <s v="Finalizado (2/9)"/>
    <n v="35.200000000000003"/>
    <n v="4.8"/>
    <n v="40"/>
    <s v="Sessão a Faturar"/>
    <s v="55788888476678190110"/>
    <n v="59493"/>
    <s v="Unidade Vieiralves"/>
    <n v="171564"/>
    <m/>
  </r>
  <r>
    <x v="0"/>
    <x v="41"/>
    <s v="Edna Lucia Moraes Derzi"/>
    <s v="Feminino"/>
    <x v="6"/>
    <x v="20"/>
    <s v="20103492 - Patologia Em Dois Ou Mais Membros (R$ 30,26)"/>
    <s v="Fisioterapia"/>
    <n v="170406"/>
    <s v="Finalizado (6/10)"/>
    <n v="26.628799999999998"/>
    <n v="3.6312000000000002"/>
    <n v="30.26"/>
    <s v="Sessão a Faturar"/>
    <s v="54588888469679780015"/>
    <n v="13101"/>
    <s v="Unidade Vieiralves"/>
    <n v="170406"/>
    <m/>
  </r>
  <r>
    <x v="0"/>
    <x v="41"/>
    <s v="Emanuele Menezes da Silva"/>
    <s v="Feminino"/>
    <x v="2"/>
    <x v="20"/>
    <s v="20103514 - Fisioterapia - Patologia Em Diferentes Segmentos da Coluna (R$ 14,83)"/>
    <s v="Fisioterapia"/>
    <n v="1708854949"/>
    <s v="Finalizado (5/5)"/>
    <n v="13.0504"/>
    <n v="1.7796000000000001"/>
    <n v="14.83"/>
    <s v="Sessão Faturada"/>
    <n v="774642014893010"/>
    <n v="44534"/>
    <s v="Unidade Vieiralves"/>
    <n v="1708854949"/>
    <m/>
  </r>
  <r>
    <x v="0"/>
    <x v="41"/>
    <s v="Giovanna Araújo Costa"/>
    <s v="Feminino"/>
    <x v="2"/>
    <x v="20"/>
    <s v="50000144 - Avaliação de Fisioterapia (R$ 51,42)"/>
    <s v="Fisioterapia"/>
    <n v="1712582731"/>
    <s v="Finalizado (1/1)"/>
    <n v="46.277999999999999"/>
    <n v="5.1420000000000003"/>
    <n v="51.42"/>
    <s v="Sessão Faturada"/>
    <n v="774981013668000"/>
    <n v="59610"/>
    <s v="Unidade Vieiralves"/>
    <n v="1712582731"/>
    <m/>
  </r>
  <r>
    <x v="0"/>
    <x v="65"/>
    <s v="Giovanna Araújo Costa"/>
    <s v="Feminino"/>
    <x v="2"/>
    <x v="20"/>
    <s v="20103492 - Fisioterapia - Patologia Em Dois Ou Mais Membros (R$ 14,83)"/>
    <s v="Fisioterapia"/>
    <n v="1712584872"/>
    <s v="Finalizado (1/4)"/>
    <n v="13.0504"/>
    <n v="1.7796000000000001"/>
    <n v="14.83"/>
    <s v="Sessão Faturada"/>
    <n v="774981013668000"/>
    <n v="59610"/>
    <s v="Unidade Vieiralves"/>
    <n v="1712584872"/>
    <m/>
  </r>
  <r>
    <x v="0"/>
    <x v="65"/>
    <s v="Edna Lucia Moraes Derzi"/>
    <s v="Feminino"/>
    <x v="6"/>
    <x v="20"/>
    <s v="31602185 - Estimulação Elétrica Transcutanea (Tens) (R$ 40,00)"/>
    <s v="Fisioterapia"/>
    <n v="170747"/>
    <s v="Finalizado (5/10)"/>
    <n v="35.200000000000003"/>
    <n v="4.8"/>
    <n v="40"/>
    <s v="Sessão a Faturar"/>
    <s v="54588888469679780015"/>
    <n v="13101"/>
    <s v="Unidade Vieiralves"/>
    <n v="170747"/>
    <m/>
  </r>
  <r>
    <x v="0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8/10)"/>
    <n v="30.8"/>
    <n v="4.2"/>
    <n v="35"/>
    <s v="Sessão Faturada"/>
    <s v="0901013959170057"/>
    <n v="15532"/>
    <s v="Unidade Vieiralves"/>
    <n v="9093197"/>
    <m/>
  </r>
  <r>
    <x v="0"/>
    <x v="36"/>
    <s v="Helen dos Santos Viana"/>
    <m/>
    <x v="2"/>
    <x v="20"/>
    <s v="20103492 - Fisioterapia - Patologia Em Dois Ou Mais Membros (R$ 14,83)"/>
    <s v="Fisioterapia"/>
    <n v="1705574850"/>
    <s v="Finalizado (5/6)"/>
    <n v="13.0504"/>
    <n v="1.7796000000000001"/>
    <n v="14.83"/>
    <s v="Sessão Faturada"/>
    <n v="774642026174020"/>
    <n v="59475"/>
    <s v="Unidade Vieiralves"/>
    <n v="1705574850"/>
    <m/>
  </r>
  <r>
    <x v="0"/>
    <x v="36"/>
    <s v="Tatianna Silva Portes"/>
    <s v="Feminino"/>
    <x v="5"/>
    <x v="20"/>
    <s v="98860020 - Fisioterapia Complexidade 2 - 04/03/2026 (R$ 70,79)"/>
    <s v="Fisioterapia"/>
    <n v="77595650"/>
    <s v="Finalizado (6/10)"/>
    <n v="62.295200000000001"/>
    <n v="8.4947999999999997"/>
    <n v="70.790000000000006"/>
    <s v="Sessão Faturada"/>
    <s v="0100621050010300"/>
    <n v="55555"/>
    <s v="Unidade Vieiralves"/>
    <n v="77595650"/>
    <m/>
  </r>
  <r>
    <x v="0"/>
    <x v="61"/>
    <s v="Tatianna Silva Portes"/>
    <s v="Feminino"/>
    <x v="5"/>
    <x v="20"/>
    <s v="31602185 - Estimulação Elétrica Transcutânea (Tens) - 04/03/2026 (R$ 120,28)"/>
    <s v="Fisioterapia"/>
    <n v="77595860"/>
    <s v="Finalizado (4/8)"/>
    <n v="105.8464"/>
    <n v="14.4336"/>
    <n v="120.28"/>
    <s v="Sessão Faturada"/>
    <s v="0100621050010300"/>
    <n v="55555"/>
    <s v="Unidade Vieiralves"/>
    <n v="77595860"/>
    <m/>
  </r>
  <r>
    <x v="0"/>
    <x v="40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3/10)"/>
    <n v="30.8"/>
    <n v="4.2"/>
    <n v="35"/>
    <s v="Sessão Faturada"/>
    <s v="0901014030320036"/>
    <n v="59617"/>
    <s v="Unidade Vieiralves"/>
    <n v="9308623"/>
    <m/>
  </r>
  <r>
    <x v="0"/>
    <x v="40"/>
    <s v="Wendel de Mendonça de Souza"/>
    <s v="Masculino"/>
    <x v="2"/>
    <x v="20"/>
    <s v="20103514 - Fisioterapia - Patologia Em Diferentes Segmentos da Coluna (R$ 14,83)"/>
    <s v="Fisioterapia"/>
    <n v="1710121318"/>
    <s v="Finalizado (3/10)"/>
    <n v="13.0504"/>
    <n v="1.7796000000000001"/>
    <n v="14.83"/>
    <s v="Sessão a Faturar"/>
    <n v="854778700183020"/>
    <n v="59572"/>
    <s v="Unidade Vieiralves"/>
    <n v="1710121318"/>
    <m/>
  </r>
  <r>
    <x v="0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4/10)"/>
    <n v="41.342399999999998"/>
    <n v="5.6375999999999999"/>
    <n v="46.98"/>
    <s v="Sessão a Faturar"/>
    <s v="55788888491272530020"/>
    <n v="51936"/>
    <s v="Unidade Vieiralves"/>
    <n v="170745"/>
    <m/>
  </r>
  <r>
    <x v="0"/>
    <x v="45"/>
    <s v="Auxiliadora Brito de Lima"/>
    <m/>
    <x v="6"/>
    <x v="20"/>
    <s v="31602185 - Estimulação Elétrica Transcutanea (Tens) (R$ 40,00)"/>
    <s v="Fisioterapia"/>
    <n v="170746"/>
    <s v="Finalizado (4/9)"/>
    <n v="35.200000000000003"/>
    <n v="4.8"/>
    <n v="40"/>
    <s v="Sessão a Faturar"/>
    <s v="55788888491272530020"/>
    <n v="51936"/>
    <s v="Unidade Vieiralves"/>
    <n v="170746"/>
    <m/>
  </r>
  <r>
    <x v="0"/>
    <x v="35"/>
    <s v="Emanuele Gurgel de Freitas Melo da Silva"/>
    <s v="Feminino"/>
    <x v="1"/>
    <x v="20"/>
    <s v="50000160 - Fisioterapia Ortopédica (R$ 20,00)"/>
    <s v="Fisioterapia"/>
    <m/>
    <s v="Finalizado (1/1)"/>
    <n v="17.600000000000001"/>
    <n v="2.4"/>
    <n v="20"/>
    <s v="Sessão a Faturar"/>
    <n v="1901013438340500"/>
    <n v="58987"/>
    <s v="Unidade Vieiralves"/>
    <m/>
    <m/>
  </r>
  <r>
    <x v="0"/>
    <x v="35"/>
    <s v="Maria da Assunção Dantas da Silva"/>
    <m/>
    <x v="1"/>
    <x v="20"/>
    <s v="50000144 - Consulta de Fisioterapia (R$ 16,00)"/>
    <s v="Fisioterapia"/>
    <n v="9361669"/>
    <s v="Finalizado (1/1)"/>
    <n v="14.4"/>
    <n v="1.6"/>
    <n v="16"/>
    <s v="Sessão Faturada"/>
    <n v="1901005511160100"/>
    <n v="59640"/>
    <s v="Unidade Vieiralves"/>
    <n v="9361669"/>
    <m/>
  </r>
  <r>
    <x v="0"/>
    <x v="35"/>
    <s v="Raimunda Monteiro Saboia"/>
    <s v="Feminino"/>
    <x v="1"/>
    <x v="20"/>
    <s v="50000160 - Fisioterapia Ortopédica (R$ 20,00), 98980327 - Taxa de Eletroterapia (Tens) (R$ 15,00)"/>
    <s v="Fisioterapia"/>
    <n v="8406893"/>
    <s v="Finalizado (10/10)"/>
    <n v="30.8"/>
    <n v="4.2"/>
    <n v="35"/>
    <s v="Sessão Faturada"/>
    <n v="1901007785660100"/>
    <n v="36186"/>
    <s v="Unidade Vieiralves"/>
    <n v="8406893"/>
    <m/>
  </r>
  <r>
    <x v="0"/>
    <x v="42"/>
    <s v="Maria da Assunção Dantas da Silva"/>
    <m/>
    <x v="1"/>
    <x v="20"/>
    <s v="50000160 - Fisioterapia Ortopédica (R$ 20,00), 98980327 - Taxa de Eletroterapia (Tens) (R$ 15,00)"/>
    <s v="Fisioterapia"/>
    <n v="9367730"/>
    <s v="Finalizado (1/10)"/>
    <n v="30.8"/>
    <n v="4.2"/>
    <n v="35"/>
    <s v="Sessão Faturada"/>
    <n v="1901005511160100"/>
    <n v="59640"/>
    <s v="Unidade Vieiralves"/>
    <n v="9367730"/>
    <m/>
  </r>
  <r>
    <x v="0"/>
    <x v="38"/>
    <s v="Ricardo Marques de Abreu"/>
    <s v="Masculino"/>
    <x v="1"/>
    <x v="20"/>
    <s v="50000160 - Fisioterapia Ortopédica (R$ 20,00), 98980327 - Taxa de Eletroterapia (Tens) (R$ 15,00)"/>
    <s v="Fisioterapia"/>
    <n v="9239312"/>
    <s v="Finalizado (5/9)"/>
    <n v="30.8"/>
    <n v="4.2"/>
    <n v="35"/>
    <s v="Sessão Faturada"/>
    <n v="2001013216580000"/>
    <n v="43902"/>
    <s v="Unidade Vieiralves"/>
    <n v="9239312"/>
    <m/>
  </r>
  <r>
    <x v="0"/>
    <x v="38"/>
    <s v="Juliana Schettini Sobrinho Dourado"/>
    <m/>
    <x v="6"/>
    <x v="20"/>
    <s v="20103484 - Patologia Em Um Membro (R$ 14,16)"/>
    <s v="Fisioterapia"/>
    <n v="171274"/>
    <s v="Finalizado (3/10)"/>
    <n v="12.460800000000001"/>
    <n v="1.6992"/>
    <n v="14.16"/>
    <s v="Sessão a Faturar"/>
    <s v="51588888483923230010"/>
    <n v="58626"/>
    <s v="Unidade Vieiralves"/>
    <n v="171274"/>
    <m/>
  </r>
  <r>
    <x v="0"/>
    <x v="38"/>
    <s v="Valmir Cesar Pozzetti"/>
    <s v="Masculino"/>
    <x v="1"/>
    <x v="20"/>
    <s v="50000160 - Fisioterapia Ortopédica (R$ 20,00), 98980327 - Taxa de Eletroterapia (Tens) (R$ 15,00)"/>
    <s v="Fisioterapia"/>
    <n v="8913272"/>
    <s v="Finalizado (9/10)"/>
    <n v="30.8"/>
    <n v="4.2"/>
    <n v="35"/>
    <s v="Sessão Faturada"/>
    <s v="0901013948180030"/>
    <n v="43203"/>
    <s v="Unidade Vieiralves"/>
    <n v="8913272"/>
    <m/>
  </r>
  <r>
    <x v="0"/>
    <x v="38"/>
    <s v="Ana Cristina Belarmino de Oliveira"/>
    <s v="Feminino"/>
    <x v="15"/>
    <x v="20"/>
    <s v="20103514 - Patologia Em Diferentes Segmentos da Coluna (R$ 60,72)"/>
    <s v="Fisioterapia"/>
    <n v="238463711"/>
    <s v="Finalizado (5/10)"/>
    <n v="53.433599999999998"/>
    <n v="7.2864000000000004"/>
    <n v="60.72"/>
    <s v="Sessão a Faturar"/>
    <s v="012616100102004"/>
    <n v="59505"/>
    <s v="Unidade Vieiralves"/>
    <n v="238463711"/>
    <m/>
  </r>
  <r>
    <x v="0"/>
    <x v="62"/>
    <s v="Juliana Schettini Sobrinho Dourado"/>
    <m/>
    <x v="6"/>
    <x v="20"/>
    <s v="31602185 - Estimulação Elétrica Transcutanea (Tens) (R$ 40,00)"/>
    <s v="Fisioterapia"/>
    <n v="169922"/>
    <s v="Finalizado (5/5)"/>
    <n v="35.200000000000003"/>
    <n v="4.8"/>
    <n v="40"/>
    <s v="Sessão a Faturar"/>
    <s v="51588888483923230010"/>
    <n v="58626"/>
    <s v="Unidade Vieiralves"/>
    <n v="169922"/>
    <m/>
  </r>
  <r>
    <x v="0"/>
    <x v="37"/>
    <s v="Luciana Levinthal da Silva"/>
    <s v="Feminino"/>
    <x v="11"/>
    <x v="20"/>
    <s v="20103484 - Fisioterapia - Patologia Em Um Membro (R$ 80,33)"/>
    <s v="Fisioterapia"/>
    <n v="3513"/>
    <s v="Finalizado (2/10)"/>
    <n v="70.690399999999997"/>
    <n v="9.6395999999999997"/>
    <n v="80.33"/>
    <s v="Sessão a Faturar"/>
    <s v="01685-F-1"/>
    <n v="59646"/>
    <s v="Unidade Vieiralves"/>
    <n v="3513"/>
    <m/>
  </r>
  <r>
    <x v="0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2/10)"/>
    <n v="21.507200000000001"/>
    <n v="2.9327999999999999"/>
    <n v="24.44"/>
    <s v="Sessão Faturada"/>
    <n v="611453030001010"/>
    <n v="29"/>
    <s v="Unidade Vieiralves"/>
    <n v="1711388887"/>
    <m/>
  </r>
  <r>
    <x v="0"/>
    <x v="37"/>
    <s v="Ivete Akimi Massuda"/>
    <s v="Feminino"/>
    <x v="6"/>
    <x v="20"/>
    <s v="20103506 - Patologia Em Um Segmento da Coluna (R$ 14,16)"/>
    <s v="Fisioterapia"/>
    <n v="171164"/>
    <s v="Finalizado (5/10)"/>
    <n v="12.460800000000001"/>
    <n v="1.6992"/>
    <n v="14.16"/>
    <s v="Sessão a Faturar"/>
    <s v="54588888473661890020"/>
    <n v="43609"/>
    <s v="Unidade Vieiralves"/>
    <n v="171164"/>
    <m/>
  </r>
  <r>
    <x v="0"/>
    <x v="63"/>
    <s v="Ivete Akimi Massuda"/>
    <s v="Feminino"/>
    <x v="6"/>
    <x v="20"/>
    <s v="31602185 - Estimulação Elétrica Transcutanea (Tens) (R$ 40,00)"/>
    <s v="Fisioterapia"/>
    <n v="171163"/>
    <s v="Finalizado (5/10)"/>
    <n v="35.200000000000003"/>
    <n v="4.8"/>
    <n v="40"/>
    <s v="Sessão a Faturar"/>
    <s v="54588888473661890020"/>
    <n v="43609"/>
    <s v="Unidade Vieiralves"/>
    <n v="171163"/>
    <m/>
  </r>
  <r>
    <x v="0"/>
    <x v="39"/>
    <s v="Hudson Antonio Cristo Braga"/>
    <s v="Masculino"/>
    <x v="8"/>
    <x v="20"/>
    <s v="50000144 - Consulta de Fisioterapia (R$ 51,42)"/>
    <s v="Fisioterapia"/>
    <n v="1712734404"/>
    <s v="Finalizado (1/1)"/>
    <n v="46.277999999999999"/>
    <n v="5.1420000000000003"/>
    <n v="51.42"/>
    <s v="Sessão Faturada"/>
    <n v="954600020168030"/>
    <n v="47654"/>
    <s v="Unidade Vieiralves"/>
    <n v="1712734404"/>
    <m/>
  </r>
  <r>
    <x v="0"/>
    <x v="39"/>
    <s v="Priscila de Souza Rosa Barroncas"/>
    <m/>
    <x v="15"/>
    <x v="20"/>
    <s v="20103506 - Patologia Em Um Segmento da Coluna (R$ 34,74)"/>
    <s v="Fisioterapia"/>
    <n v="238990207"/>
    <s v="Finalizado (5/8)"/>
    <n v="30.571200000000001"/>
    <n v="4.1688000000000001"/>
    <n v="34.74"/>
    <s v="Sessão a Faturar"/>
    <s v="012376760102005"/>
    <n v="52839"/>
    <s v="Unidade Vieiralves"/>
    <n v="238990207"/>
    <m/>
  </r>
  <r>
    <x v="0"/>
    <x v="39"/>
    <s v="Aline Ferreira Pereira"/>
    <s v="Feminino"/>
    <x v="3"/>
    <x v="20"/>
    <s v="0006 - Fisioterapia Ortopédica - Pacote Com 10 Sessões (R$ 40,00)"/>
    <s v="Fisioterapia"/>
    <n v="169451"/>
    <s v="Finalizado (8/10)"/>
    <n v="31.2"/>
    <n v="8.8000000000000007"/>
    <n v="40"/>
    <s v="Sessão a Faturar"/>
    <n v="6741"/>
    <n v="59441"/>
    <s v="Unidade Vieiralves"/>
    <n v="169451"/>
    <m/>
  </r>
  <r>
    <x v="0"/>
    <x v="64"/>
    <s v="Hudson Antonio Cristo Braga"/>
    <s v="Masculino"/>
    <x v="8"/>
    <x v="20"/>
    <s v="20103492 - Patologia Em Dois Ou Mais Membros (R$ 14,83)"/>
    <s v="Fisioterapia"/>
    <n v="1712735717"/>
    <s v="Finalizado (1/10)"/>
    <n v="13.0504"/>
    <n v="1.7796000000000001"/>
    <n v="14.83"/>
    <s v="Sessão a Faturar"/>
    <n v="954600020168030"/>
    <n v="47654"/>
    <s v="Unidade Vieiralves"/>
    <n v="1712735717"/>
    <m/>
  </r>
  <r>
    <x v="1"/>
    <x v="89"/>
    <s v="Victor Thury Vieira Hauache"/>
    <s v="Masculino"/>
    <x v="6"/>
    <x v="20"/>
    <s v="20103484 - Patologia Em Um Membro (R$ 14,16)"/>
    <s v="Fisioterapia"/>
    <n v="171559"/>
    <s v="Finalizado (3/10)"/>
    <n v="12.460800000000001"/>
    <n v="1.6992"/>
    <n v="14.16"/>
    <s v="Sessão a Faturar"/>
    <s v="55788888476678190110"/>
    <n v="59493"/>
    <s v="Unidade Vieiralves"/>
    <n v="171559"/>
    <m/>
  </r>
  <r>
    <x v="1"/>
    <x v="89"/>
    <s v="Sandra Souza Cavalcante"/>
    <m/>
    <x v="2"/>
    <x v="20"/>
    <s v="20103484 - Fisioterapia - Patologia Em Um Membro (R$ 12,22)"/>
    <s v="Fisioterapia"/>
    <n v="1710035241"/>
    <s v="Finalizado (4/8)"/>
    <n v="10.7536"/>
    <n v="1.4663999999999999"/>
    <n v="12.22"/>
    <s v="Sessão a Faturar"/>
    <n v="773299001503000"/>
    <n v="59519"/>
    <s v="Unidade Vieiralves"/>
    <n v="1710035241"/>
    <m/>
  </r>
  <r>
    <x v="1"/>
    <x v="89"/>
    <s v="Maria Raimunda da Silva Guedes Lima"/>
    <s v="Feminino"/>
    <x v="2"/>
    <x v="20"/>
    <s v="20103492 - Fisioterapia - Patologia Em Dois Ou Mais Membros (R$ 14,83)"/>
    <s v="Fisioterapia"/>
    <n v="1709424701"/>
    <s v="Finalizado (4/5)"/>
    <n v="13.0504"/>
    <n v="1.7796000000000001"/>
    <n v="14.83"/>
    <s v="Sessão Faturada"/>
    <n v="960016575471000"/>
    <n v="21019"/>
    <s v="Unidade Vieiralves"/>
    <n v="1709424701"/>
    <m/>
  </r>
  <r>
    <x v="1"/>
    <x v="89"/>
    <s v="Rozirlande Oliveira do Valle"/>
    <s v="Feminino"/>
    <x v="6"/>
    <x v="20"/>
    <s v="20103484 - Patologia Em Um Membro (R$ 14,16)"/>
    <s v="Fisioterapia"/>
    <n v="170134"/>
    <s v="Finalizado (9/10)"/>
    <n v="12.460800000000001"/>
    <n v="1.6992"/>
    <n v="14.16"/>
    <s v="Sessão a Faturar"/>
    <s v="58201466755603470024"/>
    <n v="38049"/>
    <s v="Unidade Vieiralves"/>
    <n v="170134"/>
    <m/>
  </r>
  <r>
    <x v="1"/>
    <x v="89"/>
    <s v="Oto Trindade Backsmann"/>
    <s v="Masculino"/>
    <x v="6"/>
    <x v="20"/>
    <s v="20103514 - Patologia Em Dois Ou Mais Segmentos da Coluna (R$ 32,82)"/>
    <s v="Fisioterapia"/>
    <n v="171565"/>
    <s v="Finalizado (2/10)"/>
    <n v="28.881599999999999"/>
    <n v="3.9384000000000001"/>
    <n v="32.82"/>
    <s v="Sessão a Faturar"/>
    <s v="54588888485990460010"/>
    <n v="18508"/>
    <s v="Unidade Vieiralves"/>
    <n v="171565"/>
    <s v="GUIA ASSINADA!"/>
  </r>
  <r>
    <x v="1"/>
    <x v="90"/>
    <s v="Rozirlande Oliveira do Valle"/>
    <s v="Feminino"/>
    <x v="6"/>
    <x v="20"/>
    <s v="31602185 - Estimulação Elétrica Transcutanea (Tens) (R$ 40,00)"/>
    <s v="Fisioterapia"/>
    <n v="170135"/>
    <s v="Finalizado (9/10)"/>
    <n v="35.200000000000003"/>
    <n v="4.8"/>
    <n v="40"/>
    <s v="Sessão a Faturar"/>
    <s v="58201466755603470024"/>
    <n v="38049"/>
    <s v="Unidade Vieiralves"/>
    <n v="170135"/>
    <m/>
  </r>
  <r>
    <x v="1"/>
    <x v="90"/>
    <s v="Victor Thury Vieira Hauache"/>
    <s v="Masculino"/>
    <x v="6"/>
    <x v="20"/>
    <s v="31602185 - Estimulação Elétrica Transcutanea (Tens) (R$ 40,00)"/>
    <s v="Fisioterapia"/>
    <n v="171564"/>
    <s v="Finalizado (3/9)"/>
    <n v="35.200000000000003"/>
    <n v="4.8"/>
    <n v="40"/>
    <s v="Sessão a Faturar"/>
    <s v="55788888476678190110"/>
    <n v="59493"/>
    <s v="Unidade Vieiralves"/>
    <n v="171564"/>
    <m/>
  </r>
  <r>
    <x v="1"/>
    <x v="90"/>
    <s v="Maria Raimunda da Silva Guedes Lima"/>
    <s v="Feminino"/>
    <x v="4"/>
    <x v="20"/>
    <s v="31602185 - Estimulação Elétrica Transcutânea - Removido 13/04/2026 (R$ 40,00)"/>
    <s v="Fisioterapia"/>
    <n v="1710670774"/>
    <s v="Finalizado (2/5)"/>
    <n v="35.200000000000003"/>
    <n v="4.8"/>
    <n v="40"/>
    <s v="Sessão Faturada"/>
    <n v="960016575471000"/>
    <n v="21019"/>
    <s v="Unidade Vieiralves"/>
    <n v="1710670774"/>
    <m/>
  </r>
  <r>
    <x v="1"/>
    <x v="44"/>
    <s v="Cesar Augusto Dias"/>
    <s v="Masculino"/>
    <x v="1"/>
    <x v="20"/>
    <s v="50000144 - Consulta de Fisioterapia (R$ 16,00)"/>
    <s v="Fisioterapia"/>
    <n v="9381360"/>
    <s v="Finalizado (1/1)"/>
    <n v="14.4"/>
    <n v="1.6"/>
    <n v="16"/>
    <s v="Sessão Faturada"/>
    <s v="0701011252580008"/>
    <n v="59650"/>
    <s v="Unidade Vieiralves"/>
    <n v="9381360"/>
    <m/>
  </r>
  <r>
    <x v="1"/>
    <x v="60"/>
    <s v="Cesar Augusto Dias"/>
    <s v="Masculino"/>
    <x v="1"/>
    <x v="20"/>
    <s v="50000160 - Fisioterapia Ortopédica (R$ 20,00), 98980327 - Taxa de Eletroterapia (Tens) (R$ 15,00)"/>
    <s v="Fisioterapia"/>
    <n v="9383626"/>
    <s v="Finalizado (1/10)"/>
    <n v="30.8"/>
    <n v="4.2"/>
    <n v="35"/>
    <s v="Sessão a Faturar"/>
    <s v="0701011252580008"/>
    <n v="59650"/>
    <s v="Unidade Vieiralves"/>
    <n v="9383626"/>
    <m/>
  </r>
  <r>
    <x v="1"/>
    <x v="41"/>
    <s v="Giovanna Araújo Costa"/>
    <s v="Feminino"/>
    <x v="2"/>
    <x v="20"/>
    <s v="20103492 - Fisioterapia - Patologia Em Dois Ou Mais Membros (R$ 14,83)"/>
    <s v="Fisioterapia"/>
    <n v="1712584872"/>
    <s v="Finalizado (2/4)"/>
    <n v="13.0504"/>
    <n v="1.7796000000000001"/>
    <n v="14.83"/>
    <s v="Sessão Faturada"/>
    <n v="774981013668000"/>
    <n v="59610"/>
    <s v="Unidade Vieiralves"/>
    <n v="1712584872"/>
    <m/>
  </r>
  <r>
    <x v="1"/>
    <x v="41"/>
    <s v="Emanuele Menezes da Silva"/>
    <s v="Feminino"/>
    <x v="2"/>
    <x v="20"/>
    <s v="20103506 - Fisioterapia - Patologia Em Um Segmento da Coluna (R$ 12,22)"/>
    <s v="Fisioterapia"/>
    <n v="1713276569"/>
    <s v="Finalizado (1/10)"/>
    <n v="10.7536"/>
    <n v="1.4663999999999999"/>
    <n v="12.22"/>
    <s v="Sessão a Faturar"/>
    <n v="774642014893010"/>
    <n v="44534"/>
    <s v="Unidade Vieiralves"/>
    <n v="1713276569"/>
    <m/>
  </r>
  <r>
    <x v="1"/>
    <x v="41"/>
    <s v="Rafael Daniel Gerzvolf"/>
    <s v="Masculino"/>
    <x v="6"/>
    <x v="20"/>
    <s v="20103484 - Patologia Em Um Membro (R$ 14,16)"/>
    <s v="Fisioterapia"/>
    <n v="171440"/>
    <s v="Finalizado (3/10)"/>
    <n v="12.460800000000001"/>
    <n v="1.6992"/>
    <n v="14.16"/>
    <s v="Sessão a Faturar"/>
    <s v="51588888488560580015"/>
    <n v="57485"/>
    <s v="Unidade Vieiralves"/>
    <n v="171440"/>
    <m/>
  </r>
  <r>
    <x v="1"/>
    <x v="41"/>
    <s v="Claudia Miyuki Muramoto Sako"/>
    <s v="Feminino"/>
    <x v="2"/>
    <x v="20"/>
    <s v="20103492 - Fisioterapia - Patologia Em Dois Ou Mais Membros (R$ 14,83)"/>
    <s v="Fisioterapia"/>
    <n v="1709446072"/>
    <s v="Finalizado (3/5)"/>
    <n v="13.0504"/>
    <n v="1.7796000000000001"/>
    <n v="14.83"/>
    <s v="Sessão Faturada"/>
    <n v="885854000132010"/>
    <n v="49229"/>
    <s v="Unidade Vieiralves"/>
    <n v="1709446072"/>
    <m/>
  </r>
  <r>
    <x v="1"/>
    <x v="65"/>
    <s v="Rafael Daniel Gerzvolf"/>
    <s v="Masculino"/>
    <x v="6"/>
    <x v="20"/>
    <s v="31602185 - Estimulação Elétrica Transcutanea (Tens) (R$ 40,00)"/>
    <s v="Fisioterapia"/>
    <n v="171439"/>
    <s v="Finalizado (3/9)"/>
    <n v="35.200000000000003"/>
    <n v="4.8"/>
    <n v="40"/>
    <s v="Sessão a Faturar"/>
    <s v="51588888488560580015"/>
    <n v="57485"/>
    <s v="Unidade Vieiralves"/>
    <n v="171439"/>
    <m/>
  </r>
  <r>
    <x v="1"/>
    <x v="36"/>
    <s v="Marcia Lúcia Souza de Magalhães"/>
    <m/>
    <x v="0"/>
    <x v="20"/>
    <s v="50000144 - Avaliação de Fisioterapia (R$ 39,72)"/>
    <s v="Fisioterapia"/>
    <n v="171548"/>
    <s v="Finalizado (1/1)"/>
    <n v="35.747999999999998"/>
    <n v="3.972"/>
    <n v="39.72"/>
    <s v="Sessão a Faturar"/>
    <s v="010650325307"/>
    <n v="59632"/>
    <s v="Unidade Vieiralves"/>
    <n v="171548"/>
    <m/>
  </r>
  <r>
    <x v="1"/>
    <x v="57"/>
    <s v="Marcia Lúcia Souza de Magalhães"/>
    <m/>
    <x v="0"/>
    <x v="20"/>
    <s v="50000160 - Fisioterapia Ortopedica (R$ 49,72)"/>
    <s v="Fisioterapia"/>
    <s v="42263120260318500863"/>
    <s v="Finalizado (1/10)"/>
    <n v="43.753599999999999"/>
    <n v="5.9664000000000001"/>
    <n v="49.72"/>
    <s v="Sessão a Faturar"/>
    <s v="010650325307"/>
    <n v="59632"/>
    <s v="Unidade Vieiralves"/>
    <s v="42263120260318500863"/>
    <s v="GUIA ASSINADA"/>
  </r>
  <r>
    <x v="1"/>
    <x v="67"/>
    <s v="Marcia Lúcia Souza de Magalhães"/>
    <m/>
    <x v="0"/>
    <x v="20"/>
    <s v="31602185 - Estimulação Elétrica Transcutânea Fisioterapia (Novo - 01/12) (R$ 54,13)"/>
    <s v="Fisioterapia"/>
    <s v="42263120260318500939"/>
    <s v="Finalizado (1/10)"/>
    <n v="47.634399999999999"/>
    <n v="6.4955999999999996"/>
    <n v="54.13"/>
    <s v="Sessão a Faturar"/>
    <s v="010650325307"/>
    <n v="59632"/>
    <s v="Unidade Vieiralves"/>
    <s v="42263120260318500939"/>
    <s v="GUIA ASSINADA"/>
  </r>
  <r>
    <x v="1"/>
    <x v="40"/>
    <s v="Luciana Ferreira Viana"/>
    <m/>
    <x v="7"/>
    <x v="20"/>
    <s v="Vieiralves - 1 - Fisioterapia Ortopedica - Pacote (R$ 40,00)"/>
    <s v="Fisioterapia"/>
    <m/>
    <s v="Finalizado (5/10)"/>
    <n v="31.2"/>
    <n v="8.8000000000000007"/>
    <n v="40"/>
    <s v="Pago"/>
    <s v="00"/>
    <n v="59537"/>
    <s v="Unidade Vieiralves"/>
    <m/>
    <m/>
  </r>
  <r>
    <x v="1"/>
    <x v="35"/>
    <s v="Rachel de Souza Oliveira"/>
    <s v="Feminino"/>
    <x v="18"/>
    <x v="20"/>
    <s v="50000160 - Fisioterapia Ortopedica - Sessao (R$ 45,00)"/>
    <s v="Fisioterapia"/>
    <n v="171638"/>
    <s v="Finalizado (1/10)"/>
    <n v="39.6"/>
    <n v="5.4"/>
    <n v="45"/>
    <s v="Sessão a Faturar"/>
    <s v="000008252"/>
    <n v="59639"/>
    <s v="Unidade Vieiralves"/>
    <n v="171638"/>
    <m/>
  </r>
  <r>
    <x v="1"/>
    <x v="35"/>
    <s v="Fabíola Graziele Martins de Lima"/>
    <s v="Feminino"/>
    <x v="9"/>
    <x v="20"/>
    <s v="31602185 - Estimulação Elétrica Transcutânea (Tens) - Removido 13/04/2026 (R$ 40,00)"/>
    <s v="Fisioterapia"/>
    <n v="1707338393"/>
    <s v="Finalizado (5/5)"/>
    <n v="35.200000000000003"/>
    <n v="4.8"/>
    <n v="40"/>
    <s v="Sessão Faturada"/>
    <n v="954590029556010"/>
    <n v="59043"/>
    <s v="Unidade Vieiralves"/>
    <n v="1707338393"/>
    <m/>
  </r>
  <r>
    <x v="1"/>
    <x v="42"/>
    <s v="Fabíola Graziele Martins de Lima"/>
    <s v="Feminino"/>
    <x v="8"/>
    <x v="20"/>
    <s v="20103484 - Patologia Em Um Membro (R$ 12,22)"/>
    <s v="Fisioterapia"/>
    <n v="1713336619"/>
    <s v="Finalizado (1/10)"/>
    <n v="10.7536"/>
    <n v="1.4663999999999999"/>
    <n v="12.22"/>
    <s v="Sessão a Faturar"/>
    <n v="954590029556010"/>
    <n v="59043"/>
    <s v="Unidade Vieiralves"/>
    <n v="1713336619"/>
    <m/>
  </r>
  <r>
    <x v="1"/>
    <x v="38"/>
    <s v="Valmir de Oliveira Rodrigues"/>
    <s v="Masculino"/>
    <x v="6"/>
    <x v="20"/>
    <s v="20103484 - Patologia Em Um Membro (R$ 14,16)"/>
    <s v="Fisioterapia"/>
    <n v="171854"/>
    <s v="Finalizado (1/10)"/>
    <n v="12.460800000000001"/>
    <n v="1.6992"/>
    <n v="14.16"/>
    <s v="Sessão a Faturar"/>
    <s v="55788888483016290015"/>
    <n v="15363"/>
    <s v="Unidade Vieiralves"/>
    <n v="171854"/>
    <m/>
  </r>
  <r>
    <x v="1"/>
    <x v="62"/>
    <s v="Valmir de Oliveira Rodrigues"/>
    <s v="Masculino"/>
    <x v="6"/>
    <x v="20"/>
    <s v="31602185 - Estimulação Elétrica Transcutanea (Tens) (R$ 40,00)"/>
    <s v="Fisioterapia"/>
    <n v="171855"/>
    <s v="Finalizado (1/7)"/>
    <n v="35.200000000000003"/>
    <n v="4.8"/>
    <n v="40"/>
    <s v="Sessão a Faturar"/>
    <s v="55788888483016290015"/>
    <n v="15363"/>
    <s v="Unidade Vieiralves"/>
    <n v="171855"/>
    <m/>
  </r>
  <r>
    <x v="1"/>
    <x v="37"/>
    <s v="Dina Francoile Viana Ramos"/>
    <s v="Feminino"/>
    <x v="2"/>
    <x v="20"/>
    <s v="20103492 - Fisioterapia - Patologia Em Dois Ou Mais Membros (R$ 14,83)"/>
    <s v="Fisioterapia"/>
    <n v="1706286360"/>
    <s v="Finalizado (7/10)"/>
    <n v="13.0504"/>
    <n v="1.7796000000000001"/>
    <n v="14.83"/>
    <s v="Sessão Faturada"/>
    <n v="960016167330060"/>
    <n v="16965"/>
    <s v="Unidade Vieiralves"/>
    <n v="1706286360"/>
    <m/>
  </r>
  <r>
    <x v="1"/>
    <x v="37"/>
    <s v="Sara Gonçalves Vieira"/>
    <s v="Feminino"/>
    <x v="7"/>
    <x v="20"/>
    <s v="Vieiralves - 1 - Fisioterapia Ortopedica - Pacote (R$ 80,00)"/>
    <s v="Fisioterapia"/>
    <n v="171970"/>
    <s v="Finalizado (1/10)"/>
    <n v="62.4"/>
    <n v="17.600000000000001"/>
    <n v="80"/>
    <s v="Pago"/>
    <n v="56256"/>
    <n v="56256"/>
    <s v="Unidade Vieiralves"/>
    <n v="171970"/>
    <m/>
  </r>
  <r>
    <x v="1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7/10)"/>
    <n v="26.1008"/>
    <n v="3.5592000000000001"/>
    <n v="29.66"/>
    <s v="Sessão Faturada"/>
    <n v="960016167330010"/>
    <n v="46729"/>
    <s v="Unidade Vieiralves"/>
    <n v="1705661090"/>
    <m/>
  </r>
  <r>
    <x v="1"/>
    <x v="37"/>
    <s v="Ivete Akimi Massuda"/>
    <s v="Feminino"/>
    <x v="6"/>
    <x v="20"/>
    <s v="20103506 - Patologia Em Um Segmento da Coluna (R$ 14,16)"/>
    <s v="Fisioterapia"/>
    <n v="171164"/>
    <s v="Finalizado (6/10)"/>
    <n v="12.460800000000001"/>
    <n v="1.6992"/>
    <n v="14.16"/>
    <s v="Sessão a Faturar"/>
    <s v="54588888473661890020"/>
    <n v="43609"/>
    <s v="Unidade Vieiralves"/>
    <n v="171164"/>
    <m/>
  </r>
  <r>
    <x v="1"/>
    <x v="63"/>
    <s v="Ivete Akimi Massuda"/>
    <s v="Feminino"/>
    <x v="6"/>
    <x v="20"/>
    <s v="31602185 - Estimulação Elétrica Transcutanea (Tens) (R$ 40,00)"/>
    <s v="Fisioterapia"/>
    <n v="171163"/>
    <s v="Finalizado (6/10)"/>
    <n v="35.200000000000003"/>
    <n v="4.8"/>
    <n v="40"/>
    <s v="Sessão a Faturar"/>
    <s v="54588888473661890020"/>
    <n v="43609"/>
    <s v="Unidade Vieiralves"/>
    <n v="171163"/>
    <m/>
  </r>
  <r>
    <x v="1"/>
    <x v="63"/>
    <s v="Rita de Lima  Viana Ramos"/>
    <s v="Feminino"/>
    <x v="4"/>
    <x v="20"/>
    <s v="31602185 - Estimulação Elétrica Transcutânea - Removido 13/04/2026 (R$ 40,00)"/>
    <s v="Fisioterapia"/>
    <n v="1709602968"/>
    <s v="Finalizado (3/5)"/>
    <n v="35.200000000000003"/>
    <n v="4.8"/>
    <n v="40"/>
    <s v="Sessão Faturada"/>
    <n v="960016167330010"/>
    <n v="46729"/>
    <s v="Unidade Vieiralves"/>
    <n v="1709602968"/>
    <m/>
  </r>
  <r>
    <x v="1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3/10)"/>
    <n v="35.200000000000003"/>
    <n v="4.8"/>
    <n v="40"/>
    <s v="Sessão Faturada"/>
    <n v="960016167330060"/>
    <n v="16965"/>
    <s v="Unidade Vieiralves"/>
    <n v="1710826226"/>
    <m/>
  </r>
  <r>
    <x v="1"/>
    <x v="39"/>
    <s v="Hudson Antonio Cristo Braga"/>
    <s v="Masculino"/>
    <x v="8"/>
    <x v="20"/>
    <s v="20103492 - Patologia Em Dois Ou Mais Membros (R$ 14,83)"/>
    <s v="Fisioterapia"/>
    <n v="1712735717"/>
    <s v="Finalizado (2/10)"/>
    <n v="13.0504"/>
    <n v="1.7796000000000001"/>
    <n v="14.83"/>
    <s v="Sessão a Faturar"/>
    <n v="954600020168030"/>
    <n v="47654"/>
    <s v="Unidade Vieiralves"/>
    <n v="1712735717"/>
    <m/>
  </r>
  <r>
    <x v="1"/>
    <x v="39"/>
    <s v="Luciana Holanda de Souza"/>
    <s v="Feminino"/>
    <x v="7"/>
    <x v="20"/>
    <s v="Vieiralves - 1 - Fisioterapia Ortopedica - Pacote (R$ 40,00)"/>
    <s v="Fisioterapia"/>
    <m/>
    <s v="Finalizado (7/10)"/>
    <n v="31.2"/>
    <n v="8.8000000000000007"/>
    <n v="40"/>
    <s v="Pago"/>
    <s v="00"/>
    <n v="59427"/>
    <s v="Unidade Vieiralves"/>
    <m/>
    <m/>
  </r>
  <r>
    <x v="1"/>
    <x v="39"/>
    <s v="Ivy Peixoto de Sá"/>
    <s v="Feminino"/>
    <x v="1"/>
    <x v="20"/>
    <s v="50000160 - Fisioterapia Ortopédica (R$ 20,00), 98980327 - Taxa de Eletroterapia (Tens) (R$ 15,00)"/>
    <s v="Fisioterapia"/>
    <n v="9261531"/>
    <s v="Finalizado (4/9)"/>
    <n v="30.8"/>
    <n v="4.2"/>
    <n v="35"/>
    <s v="Sessão Faturada"/>
    <s v="0901013218640137"/>
    <n v="59535"/>
    <s v="Unidade Vieiralves"/>
    <n v="9261531"/>
    <m/>
  </r>
  <r>
    <x v="1"/>
    <x v="39"/>
    <s v="Caroline Duarte Brighente"/>
    <s v="Feminino"/>
    <x v="1"/>
    <x v="20"/>
    <s v="50000160 - Fisioterapia Ortopédica (R$ 20,00), 98980327 - Taxa de Eletroterapia (Tens) (R$ 15,00)"/>
    <s v="Fisioterapia"/>
    <n v="9161743"/>
    <s v="Finalizado (5/10)"/>
    <n v="30.8"/>
    <n v="4.2"/>
    <n v="35"/>
    <s v="Sessão Faturada"/>
    <s v="0501011606920055"/>
    <n v="59374"/>
    <s v="Unidade Vieiralves"/>
    <n v="9161743"/>
    <m/>
  </r>
  <r>
    <x v="1"/>
    <x v="64"/>
    <s v="Hudson Antonio Cristo Braga"/>
    <s v="Masculino"/>
    <x v="9"/>
    <x v="20"/>
    <s v="31602185 - Estimulação Elétrica Transcutânea (Tens) - Removido 13/04/2026 (R$ 40,00)"/>
    <s v="Fisioterapia"/>
    <n v="1713389520"/>
    <s v="Finalizado (1/9)"/>
    <n v="35.200000000000003"/>
    <n v="4.8"/>
    <n v="40"/>
    <s v="Sessão a Faturar"/>
    <n v="954600020168030"/>
    <n v="47654"/>
    <s v="Unidade Vieiralves"/>
    <n v="1713389520"/>
    <m/>
  </r>
  <r>
    <x v="2"/>
    <x v="89"/>
    <s v="Rozirlande Oliveira do Valle"/>
    <s v="Feminino"/>
    <x v="6"/>
    <x v="20"/>
    <s v="20103484 - Patologia Em Um Membro (R$ 14,16)"/>
    <s v="Fisioterapia"/>
    <n v="170134"/>
    <s v="Finalizado (10/10)"/>
    <n v="12.460800000000001"/>
    <n v="1.6992"/>
    <n v="14.16"/>
    <s v="Sessão a Faturar"/>
    <s v="58201466755603470024"/>
    <n v="38049"/>
    <s v="Unidade Vieiralves"/>
    <n v="170134"/>
    <m/>
  </r>
  <r>
    <x v="2"/>
    <x v="89"/>
    <s v="Oto Trindade Backsmann"/>
    <s v="Masculino"/>
    <x v="6"/>
    <x v="20"/>
    <s v="20103514 - Patologia Em Dois Ou Mais Segmentos da Coluna (R$ 32,82)"/>
    <s v="Fisioterapia"/>
    <n v="171565"/>
    <s v="Finalizado (3/10)"/>
    <n v="28.881599999999999"/>
    <n v="3.9384000000000001"/>
    <n v="32.82"/>
    <s v="Sessão a Faturar"/>
    <s v="54588888485990460010"/>
    <n v="18508"/>
    <s v="Unidade Vieiralves"/>
    <n v="171565"/>
    <s v="GUIA ASSINADA!"/>
  </r>
  <r>
    <x v="2"/>
    <x v="89"/>
    <s v="Victor Thury Vieira Hauache"/>
    <s v="Masculino"/>
    <x v="6"/>
    <x v="20"/>
    <s v="20103484 - Patologia Em Um Membro (R$ 14,16)"/>
    <s v="Fisioterapia"/>
    <n v="171559"/>
    <s v="Finalizado (4/10)"/>
    <n v="12.460800000000001"/>
    <n v="1.6992"/>
    <n v="14.16"/>
    <s v="Sessão a Faturar"/>
    <s v="55788888476678190110"/>
    <n v="59493"/>
    <s v="Unidade Vieiralves"/>
    <n v="171559"/>
    <m/>
  </r>
  <r>
    <x v="2"/>
    <x v="90"/>
    <s v="Victor Thury Vieira Hauache"/>
    <s v="Masculino"/>
    <x v="6"/>
    <x v="20"/>
    <s v="31602185 - Estimulação Elétrica Transcutanea (Tens) (R$ 40,00)"/>
    <s v="Fisioterapia"/>
    <n v="171564"/>
    <s v="Finalizado (4/9)"/>
    <n v="35.200000000000003"/>
    <n v="4.8"/>
    <n v="40"/>
    <s v="Sessão a Faturar"/>
    <s v="55788888476678190110"/>
    <n v="59493"/>
    <s v="Unidade Vieiralves"/>
    <n v="171564"/>
    <m/>
  </r>
  <r>
    <x v="2"/>
    <x v="90"/>
    <s v="Rozirlande Oliveira do Valle"/>
    <s v="Feminino"/>
    <x v="6"/>
    <x v="20"/>
    <s v="31602185 - Estimulação Elétrica Transcutanea (Tens) (R$ 40,00)"/>
    <s v="Fisioterapia"/>
    <n v="170135"/>
    <s v="Finalizado (10/10)"/>
    <n v="35.200000000000003"/>
    <n v="4.8"/>
    <n v="40"/>
    <s v="Sessão a Faturar"/>
    <s v="58201466755603470024"/>
    <n v="38049"/>
    <s v="Unidade Vieiralves"/>
    <n v="170135"/>
    <m/>
  </r>
  <r>
    <x v="2"/>
    <x v="44"/>
    <s v="Ana Claudia Teixeira de Souza Viapiana"/>
    <m/>
    <x v="2"/>
    <x v="20"/>
    <s v="20103484 - Fisioterapia - Patologia Em Um Membro (R$ 12,22)"/>
    <s v="Fisioterapia"/>
    <n v="1707711063"/>
    <s v="Finalizado (8/10)"/>
    <n v="10.7536"/>
    <n v="1.4663999999999999"/>
    <n v="12.22"/>
    <s v="Sessão Faturada"/>
    <n v="896958600019010"/>
    <n v="59405"/>
    <s v="Unidade Vieiralves"/>
    <n v="1707711063"/>
    <m/>
  </r>
  <r>
    <x v="2"/>
    <x v="44"/>
    <s v="Ana Claudia Teixeira de Souza Viapiana"/>
    <m/>
    <x v="4"/>
    <x v="20"/>
    <s v="31602185 - Estimulação Elétrica Transcutânea - Removido 13/04/2026 (R$ 40,00)"/>
    <s v="Fisioterapia"/>
    <n v="1710690620"/>
    <s v="Finalizado (3/4)"/>
    <n v="35.200000000000003"/>
    <n v="4.8"/>
    <n v="40"/>
    <s v="Sessão Faturada"/>
    <n v="896958600019010"/>
    <n v="59405"/>
    <s v="Unidade Vieiralves"/>
    <n v="1710690620"/>
    <m/>
  </r>
  <r>
    <x v="2"/>
    <x v="44"/>
    <s v="Zemilto Martins Ceara"/>
    <s v="Masculino"/>
    <x v="2"/>
    <x v="20"/>
    <s v="20103492 - Fisioterapia - Patologia Em Dois Ou Mais Membros (R$ 14,83)"/>
    <s v="Fisioterapia"/>
    <n v="1705564788"/>
    <s v="Finalizado (7/8)"/>
    <n v="13.0504"/>
    <n v="1.7796000000000001"/>
    <n v="14.83"/>
    <s v="Sessão Faturada"/>
    <n v="841006100370010"/>
    <n v="9050"/>
    <s v="Unidade Vieiralves"/>
    <n v="1705564788"/>
    <m/>
  </r>
  <r>
    <x v="2"/>
    <x v="44"/>
    <s v="Giovanna Araújo Costa"/>
    <s v="Feminino"/>
    <x v="2"/>
    <x v="20"/>
    <s v="20103492 - Fisioterapia - Patologia Em Dois Ou Mais Membros (R$ 14,83)"/>
    <s v="Fisioterapia"/>
    <n v="1712584872"/>
    <s v="Finalizado (3/4)"/>
    <n v="13.0504"/>
    <n v="1.7796000000000001"/>
    <n v="14.83"/>
    <s v="Sessão Faturada"/>
    <n v="774981013668000"/>
    <n v="59610"/>
    <s v="Unidade Vieiralves"/>
    <n v="1712584872"/>
    <m/>
  </r>
  <r>
    <x v="2"/>
    <x v="44"/>
    <s v="Lucas Reniele Amorim de Andrade"/>
    <s v="Masculino"/>
    <x v="2"/>
    <x v="20"/>
    <s v="20103484 - Fisioterapia - Patologia Em Um Membro (R$ 12,22)"/>
    <s v="Fisioterapia"/>
    <n v="1711676744"/>
    <s v="Finalizado (2/6)"/>
    <n v="10.7536"/>
    <n v="1.4663999999999999"/>
    <n v="12.22"/>
    <s v="Sessão a Faturar"/>
    <n v="774642029297000"/>
    <n v="58737"/>
    <s v="Unidade Vieiralves"/>
    <n v="1711676744"/>
    <m/>
  </r>
  <r>
    <x v="2"/>
    <x v="41"/>
    <s v="Juliana Schettini Sobrinho Dourado"/>
    <m/>
    <x v="6"/>
    <x v="20"/>
    <s v="20103484 - Patologia Em Um Membro (R$ 14,16)"/>
    <s v="Fisioterapia"/>
    <n v="171274"/>
    <s v="Finalizado (4/10)"/>
    <n v="12.460800000000001"/>
    <n v="1.6992"/>
    <n v="14.16"/>
    <s v="Sessão a Faturar"/>
    <s v="51588888483923230010"/>
    <n v="58626"/>
    <s v="Unidade Vieiralves"/>
    <n v="171274"/>
    <m/>
  </r>
  <r>
    <x v="2"/>
    <x v="41"/>
    <s v="Sara Gonçalves Vieira"/>
    <s v="Feminino"/>
    <x v="7"/>
    <x v="20"/>
    <s v="Vieiralves - 1 - Fisioterapia Ortopedica - Pacote (R$ 80,00)"/>
    <s v="Fisioterapia"/>
    <n v="171970"/>
    <s v="Finalizado (2/10)"/>
    <n v="62.4"/>
    <n v="17.600000000000001"/>
    <n v="80"/>
    <s v="Pago"/>
    <n v="56256"/>
    <n v="56256"/>
    <s v="Unidade Vieiralves"/>
    <n v="171970"/>
    <m/>
  </r>
  <r>
    <x v="2"/>
    <x v="36"/>
    <s v="Remulo Jose Nascimento Filho"/>
    <s v="Masculino"/>
    <x v="2"/>
    <x v="20"/>
    <s v="20103662 - Fisioterapia - Pos Operatorio Em Um Membro (R$ 14,99)"/>
    <s v="Fisioterapia"/>
    <n v="1711348180"/>
    <s v="Finalizado (2/5)"/>
    <n v="13.1912"/>
    <n v="1.7988"/>
    <n v="14.99"/>
    <s v="Sessão Faturada"/>
    <s v="56788888022609450103"/>
    <n v="45990"/>
    <s v="Unidade Vieiralves"/>
    <n v="1711348180"/>
    <m/>
  </r>
  <r>
    <x v="2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9/10)"/>
    <n v="30.8"/>
    <n v="4.2"/>
    <n v="35"/>
    <s v="Sessão Faturada"/>
    <s v="0901013959170057"/>
    <n v="15532"/>
    <s v="Unidade Vieiralves"/>
    <n v="9093197"/>
    <m/>
  </r>
  <r>
    <x v="2"/>
    <x v="36"/>
    <s v="Helen dos Santos Viana"/>
    <m/>
    <x v="2"/>
    <x v="20"/>
    <s v="20103492 - Fisioterapia - Patologia Em Dois Ou Mais Membros (R$ 14,83)"/>
    <s v="Fisioterapia"/>
    <n v="1705574850"/>
    <s v="Finalizado (6/6)"/>
    <n v="13.0504"/>
    <n v="1.7796000000000001"/>
    <n v="14.83"/>
    <s v="Sessão Faturada"/>
    <n v="774642026174020"/>
    <n v="59475"/>
    <s v="Unidade Vieiralves"/>
    <n v="1705574850"/>
    <m/>
  </r>
  <r>
    <x v="2"/>
    <x v="36"/>
    <s v="Tatianna Silva Portes"/>
    <s v="Feminino"/>
    <x v="5"/>
    <x v="20"/>
    <s v="98860020 - Fisioterapia Complexidade 2 - 04/03/2026 (R$ 70,79)"/>
    <s v="Fisioterapia"/>
    <n v="77595650"/>
    <s v="Finalizado (7/10)"/>
    <n v="62.295200000000001"/>
    <n v="8.4947999999999997"/>
    <n v="70.790000000000006"/>
    <s v="Sessão Faturada"/>
    <s v="0100621050010300"/>
    <n v="55555"/>
    <s v="Unidade Vieiralves"/>
    <n v="77595650"/>
    <m/>
  </r>
  <r>
    <x v="2"/>
    <x v="61"/>
    <s v="Remulo Jose Nascimento Filho"/>
    <s v="Masculino"/>
    <x v="4"/>
    <x v="20"/>
    <s v="31602185 - Estimulação Elétrica Transcutânea - Removido 13/04/2026 (R$ 40,00)"/>
    <s v="Fisioterapia"/>
    <n v="1710734947"/>
    <s v="Finalizado (3/5)"/>
    <n v="35.200000000000003"/>
    <n v="4.8"/>
    <n v="40"/>
    <s v="Sessão Faturada"/>
    <s v="56788888022609450103"/>
    <n v="45990"/>
    <s v="Unidade Vieiralves"/>
    <n v="1710734947"/>
    <m/>
  </r>
  <r>
    <x v="2"/>
    <x v="61"/>
    <s v="Tatianna Silva Portes"/>
    <s v="Feminino"/>
    <x v="5"/>
    <x v="20"/>
    <s v="31602185 - Estimulação Elétrica Transcutânea (Tens) - 04/03/2026 (R$ 120,28)"/>
    <s v="Fisioterapia"/>
    <n v="77595860"/>
    <s v="Finalizado (5/8)"/>
    <n v="105.8464"/>
    <n v="14.4336"/>
    <n v="120.28"/>
    <s v="Sessão Faturada"/>
    <s v="0100621050010300"/>
    <n v="55555"/>
    <s v="Unidade Vieiralves"/>
    <n v="77595860"/>
    <m/>
  </r>
  <r>
    <x v="2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5/10)"/>
    <n v="41.342399999999998"/>
    <n v="5.6375999999999999"/>
    <n v="46.98"/>
    <s v="Sessão a Faturar"/>
    <s v="55788888491272530020"/>
    <n v="51936"/>
    <s v="Unidade Vieiralves"/>
    <n v="170745"/>
    <m/>
  </r>
  <r>
    <x v="2"/>
    <x v="40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4/10)"/>
    <n v="30.8"/>
    <n v="4.2"/>
    <n v="35"/>
    <s v="Sessão Faturada"/>
    <s v="0901014030320036"/>
    <n v="59617"/>
    <s v="Unidade Vieiralves"/>
    <n v="9308623"/>
    <m/>
  </r>
  <r>
    <x v="2"/>
    <x v="40"/>
    <s v="Raimunda Monteiro Saboia"/>
    <s v="Feminino"/>
    <x v="1"/>
    <x v="20"/>
    <s v="50000160 - Fisioterapia Ortopédica (R$ 20,00), 98980327 - Taxa de Eletroterapia (Tens) (R$ 15,00)"/>
    <s v="Fisioterapia"/>
    <n v="9408630"/>
    <s v="Finalizado (1/10)"/>
    <n v="30.8"/>
    <n v="4.2"/>
    <n v="35"/>
    <s v="Sessão a Faturar"/>
    <n v="1901007785660100"/>
    <n v="36186"/>
    <s v="Unidade Vieiralves"/>
    <n v="9408630"/>
    <m/>
  </r>
  <r>
    <x v="2"/>
    <x v="45"/>
    <s v="Auxiliadora Brito de Lima"/>
    <m/>
    <x v="6"/>
    <x v="20"/>
    <s v="31602185 - Estimulação Elétrica Transcutanea (Tens) (R$ 40,00)"/>
    <s v="Fisioterapia"/>
    <n v="170746"/>
    <s v="Finalizado (5/9)"/>
    <n v="35.200000000000003"/>
    <n v="4.8"/>
    <n v="40"/>
    <s v="Sessão a Faturar"/>
    <s v="55788888491272530020"/>
    <n v="51936"/>
    <s v="Unidade Vieiralves"/>
    <n v="170746"/>
    <m/>
  </r>
  <r>
    <x v="2"/>
    <x v="35"/>
    <s v="Olivaldo Soares da Silva"/>
    <s v="Masculino"/>
    <x v="2"/>
    <x v="20"/>
    <s v="50000144 - Avaliação de Fisioterapia (R$ 51,42)"/>
    <s v="Fisioterapia"/>
    <n v="1713967191"/>
    <s v="Finalizado (1/1)"/>
    <n v="46.277999999999999"/>
    <n v="5.1420000000000003"/>
    <n v="51.42"/>
    <s v="Sessão Faturada"/>
    <n v="771015041238010"/>
    <n v="44585"/>
    <s v="Unidade Vieiralves"/>
    <n v="1713967191"/>
    <m/>
  </r>
  <r>
    <x v="2"/>
    <x v="35"/>
    <s v="Maria da Assunção Dantas da Silva"/>
    <m/>
    <x v="1"/>
    <x v="20"/>
    <s v="50000160 - Fisioterapia Ortopédica (R$ 20,00), 98980327 - Taxa de Eletroterapia (Tens) (R$ 15,00)"/>
    <s v="Fisioterapia"/>
    <n v="9367730"/>
    <s v="Finalizado (2/10)"/>
    <n v="30.8"/>
    <n v="4.2"/>
    <n v="35"/>
    <s v="Sessão Faturada"/>
    <n v="1901005511160100"/>
    <n v="59640"/>
    <s v="Unidade Vieiralves"/>
    <n v="9367730"/>
    <m/>
  </r>
  <r>
    <x v="2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13958112"/>
    <s v="Finalizado (1/10)"/>
    <n v="23.803999999999998"/>
    <n v="3.246"/>
    <n v="27.05"/>
    <s v="Sessão a Faturar"/>
    <n v="812980300400020"/>
    <n v="59087"/>
    <s v="Unidade Vieiralves"/>
    <n v="1713958112"/>
    <m/>
  </r>
  <r>
    <x v="2"/>
    <x v="35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7/10)"/>
    <n v="30.8"/>
    <n v="4.2"/>
    <n v="35"/>
    <s v="Sessão Faturada"/>
    <s v="0201013982810029"/>
    <n v="19454"/>
    <s v="Unidade Vieiralves"/>
    <n v="9052356"/>
    <m/>
  </r>
  <r>
    <x v="2"/>
    <x v="42"/>
    <s v="Olivaldo Soares da Silva"/>
    <s v="Masculino"/>
    <x v="2"/>
    <x v="20"/>
    <s v="20103492 - Fisioterapia - Patologia Em Dois Ou Mais Membros (R$ 14,83)"/>
    <s v="Fisioterapia"/>
    <n v="1713968118"/>
    <s v="Finalizado (1/10)"/>
    <n v="13.0504"/>
    <n v="1.7796000000000001"/>
    <n v="14.83"/>
    <s v="Sessão a Faturar"/>
    <n v="771015041238010"/>
    <n v="44585"/>
    <s v="Unidade Vieiralves"/>
    <n v="1713968118"/>
    <m/>
  </r>
  <r>
    <x v="2"/>
    <x v="38"/>
    <s v="Valmir Cesar Pozzetti"/>
    <s v="Masculino"/>
    <x v="1"/>
    <x v="20"/>
    <s v="50000160 - Fisioterapia Ortopédica (R$ 20,00), 98980327 - Taxa de Eletroterapia (Tens) (R$ 15,00)"/>
    <s v="Fisioterapia"/>
    <n v="8913272"/>
    <s v="Finalizado (10/10)"/>
    <n v="30.8"/>
    <n v="4.2"/>
    <n v="35"/>
    <s v="Sessão Faturada"/>
    <s v="0901013948180030"/>
    <n v="43203"/>
    <s v="Unidade Vieiralves"/>
    <n v="8913272"/>
    <m/>
  </r>
  <r>
    <x v="2"/>
    <x v="38"/>
    <s v="Ana Cristina Belarmino de Oliveira"/>
    <s v="Feminino"/>
    <x v="15"/>
    <x v="20"/>
    <s v="20103514 - Patologia Em Diferentes Segmentos da Coluna (R$ 60,72)"/>
    <s v="Fisioterapia"/>
    <n v="238463711"/>
    <s v="Finalizado (6/10)"/>
    <n v="53.433599999999998"/>
    <n v="7.2864000000000004"/>
    <n v="60.72"/>
    <s v="Sessão a Faturar"/>
    <s v="012616100102004"/>
    <n v="59505"/>
    <s v="Unidade Vieiralves"/>
    <n v="238463711"/>
    <m/>
  </r>
  <r>
    <x v="2"/>
    <x v="38"/>
    <s v="Arisson Carlos Pardo de Queiroz"/>
    <m/>
    <x v="2"/>
    <x v="20"/>
    <s v="20103484 - Fisioterapia - Patologia Em Um Membro (R$ 12,22)"/>
    <s v="Fisioterapia"/>
    <n v="1707823063"/>
    <s v="Finalizado (4/5)"/>
    <n v="10.7536"/>
    <n v="1.4663999999999999"/>
    <n v="12.22"/>
    <s v="Sessão Faturada"/>
    <n v="771015042510010"/>
    <n v="58957"/>
    <s v="Unidade Vieiralves"/>
    <n v="1707823063"/>
    <m/>
  </r>
  <r>
    <x v="2"/>
    <x v="38"/>
    <s v="Ricardo Marques de Abreu"/>
    <s v="Masculino"/>
    <x v="1"/>
    <x v="20"/>
    <s v="50000160 - Fisioterapia Ortopédica (R$ 20,00), 98980327 - Taxa de Eletroterapia (Tens) (R$ 15,00)"/>
    <s v="Fisioterapia"/>
    <n v="9239312"/>
    <s v="Finalizado (6/9)"/>
    <n v="30.8"/>
    <n v="4.2"/>
    <n v="35"/>
    <s v="Sessão Faturada"/>
    <n v="2001013216580000"/>
    <n v="43902"/>
    <s v="Unidade Vieiralves"/>
    <n v="9239312"/>
    <m/>
  </r>
  <r>
    <x v="2"/>
    <x v="62"/>
    <s v="Arisson Carlos Pardo de Queiroz"/>
    <m/>
    <x v="4"/>
    <x v="20"/>
    <s v="31602185 - Estimulação Elétrica Transcutânea - Removido 13/04/2026 (R$ 40,00)"/>
    <s v="Fisioterapia"/>
    <n v="1709572946"/>
    <s v="Finalizado (3/4)"/>
    <n v="35.200000000000003"/>
    <n v="4.8"/>
    <n v="40"/>
    <s v="Sessão Faturada"/>
    <n v="771015042510010"/>
    <n v="58957"/>
    <s v="Unidade Vieiralves"/>
    <n v="1709572946"/>
    <m/>
  </r>
  <r>
    <x v="2"/>
    <x v="37"/>
    <s v="Simone de Oliveira Vasconcelos"/>
    <s v="Feminino"/>
    <x v="2"/>
    <x v="20"/>
    <s v="20103492 - Fisioterapia - Patologia Em Dois Ou Mais Membros (R$ 14,83), 20103514 - Fisioterapia - Patologia Em Diferentes Segmentos da Coluna (R$ 14,83)"/>
    <s v="Fisioterapia"/>
    <n v="1713990465"/>
    <s v="Finalizado (1/4)"/>
    <n v="26.1008"/>
    <n v="3.5592000000000001"/>
    <n v="29.66"/>
    <s v="Sessão a Faturar"/>
    <n v="771015038954010"/>
    <n v="54706"/>
    <s v="Unidade Vieiralves"/>
    <n v="1713990465"/>
    <m/>
  </r>
  <r>
    <x v="2"/>
    <x v="37"/>
    <s v="Cinara Viana de Oliveira"/>
    <s v="Feminino"/>
    <x v="5"/>
    <x v="20"/>
    <s v="50000144 - Avaliação de Fisioterapia (R$ 37,63)"/>
    <s v="Fisioterapia"/>
    <n v="171895"/>
    <s v="Finalizado (1/1)"/>
    <n v="33.866999999999997"/>
    <n v="3.7629999999999999"/>
    <n v="37.630000000000003"/>
    <s v="Sessão Faturada"/>
    <s v="0101015127010323"/>
    <n v="59671"/>
    <s v="Unidade Vieiralves"/>
    <n v="171895"/>
    <m/>
  </r>
  <r>
    <x v="2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3/10)"/>
    <n v="21.507200000000001"/>
    <n v="2.9327999999999999"/>
    <n v="24.44"/>
    <s v="Sessão Faturada"/>
    <n v="611453030001010"/>
    <n v="29"/>
    <s v="Unidade Vieiralves"/>
    <n v="1711388887"/>
    <m/>
  </r>
  <r>
    <x v="2"/>
    <x v="37"/>
    <s v="Cinara Viana de Oliveira"/>
    <s v="Feminino"/>
    <x v="5"/>
    <x v="20"/>
    <s v="31602185 - Estimulação Elétrica Transcutânea (Tens) (R$ 125,40)"/>
    <s v="Fisioterapia"/>
    <n v="79167880"/>
    <s v="Finalizado (1/10)"/>
    <n v="110.352"/>
    <n v="15.048"/>
    <n v="125.4"/>
    <s v="Sessão a Faturar"/>
    <s v="0101015127010323"/>
    <n v="59671"/>
    <s v="Unidade Vieiralves"/>
    <n v="79167880"/>
    <m/>
  </r>
  <r>
    <x v="2"/>
    <x v="37"/>
    <s v="Ivete Akimi Massuda"/>
    <s v="Feminino"/>
    <x v="6"/>
    <x v="20"/>
    <s v="20103506 - Patologia Em Um Segmento da Coluna (R$ 14,16)"/>
    <s v="Fisioterapia"/>
    <n v="171164"/>
    <s v="Finalizado (7/10)"/>
    <n v="12.460800000000001"/>
    <n v="1.6992"/>
    <n v="14.16"/>
    <s v="Sessão a Faturar"/>
    <s v="54588888473661890020"/>
    <n v="43609"/>
    <s v="Unidade Vieiralves"/>
    <n v="171164"/>
    <m/>
  </r>
  <r>
    <x v="2"/>
    <x v="63"/>
    <s v="Ivete Akimi Massuda"/>
    <s v="Feminino"/>
    <x v="6"/>
    <x v="20"/>
    <s v="31602185 - Estimulação Elétrica Transcutanea (Tens) (R$ 40,00)"/>
    <s v="Fisioterapia"/>
    <n v="171163"/>
    <s v="Finalizado (7/10)"/>
    <n v="35.200000000000003"/>
    <n v="4.8"/>
    <n v="40"/>
    <s v="Sessão a Faturar"/>
    <s v="54588888473661890020"/>
    <n v="43609"/>
    <s v="Unidade Vieiralves"/>
    <n v="171163"/>
    <m/>
  </r>
  <r>
    <x v="2"/>
    <x v="63"/>
    <s v="Cinara Viana de Oliveira"/>
    <s v="Feminino"/>
    <x v="5"/>
    <x v="20"/>
    <s v="98860011 - Fisioterapia Complexidade 1 (R$ 55,26)"/>
    <s v="Fisioterapia"/>
    <n v="78993720"/>
    <s v="Finalizado (1/10)"/>
    <n v="48.628799999999998"/>
    <n v="6.6311999999999998"/>
    <n v="55.26"/>
    <s v="Sessão a Faturar"/>
    <s v="0101015127010323"/>
    <n v="59671"/>
    <s v="Unidade Vieiralves"/>
    <n v="78993720"/>
    <m/>
  </r>
  <r>
    <x v="2"/>
    <x v="39"/>
    <s v="Fabíola Graziele Martins de Lima"/>
    <s v="Feminino"/>
    <x v="8"/>
    <x v="20"/>
    <s v="20103484 - Patologia Em Um Membro (R$ 12,22)"/>
    <s v="Fisioterapia"/>
    <n v="1713336619"/>
    <s v="Finalizado (2/10)"/>
    <n v="10.7536"/>
    <n v="1.4663999999999999"/>
    <n v="12.22"/>
    <s v="Sessão a Faturar"/>
    <n v="954590029556010"/>
    <n v="59043"/>
    <s v="Unidade Vieiralves"/>
    <n v="1713336619"/>
    <m/>
  </r>
  <r>
    <x v="2"/>
    <x v="39"/>
    <s v="Caroline Duarte Brighente"/>
    <s v="Feminino"/>
    <x v="1"/>
    <x v="20"/>
    <s v="50000160 - Fisioterapia Ortopédica (R$ 20,00), 98980327 - Taxa de Eletroterapia (Tens) (R$ 15,00)"/>
    <s v="Fisioterapia"/>
    <n v="9161743"/>
    <s v="Finalizado (6/10)"/>
    <n v="30.8"/>
    <n v="4.2"/>
    <n v="35"/>
    <s v="Sessão Faturada"/>
    <s v="0501011606920055"/>
    <n v="59374"/>
    <s v="Unidade Vieiralves"/>
    <n v="9161743"/>
    <m/>
  </r>
  <r>
    <x v="2"/>
    <x v="39"/>
    <s v="Aline Ferreira Pereira"/>
    <s v="Feminino"/>
    <x v="3"/>
    <x v="20"/>
    <s v="0006 - Fisioterapia Ortopédica - Pacote Com 10 Sessões (R$ 40,00)"/>
    <s v="Fisioterapia"/>
    <n v="169451"/>
    <s v="Finalizado (9/10)"/>
    <n v="31.2"/>
    <n v="8.8000000000000007"/>
    <n v="40"/>
    <s v="Sessão a Faturar"/>
    <n v="6741"/>
    <n v="59441"/>
    <s v="Unidade Vieiralves"/>
    <n v="169451"/>
    <m/>
  </r>
  <r>
    <x v="2"/>
    <x v="39"/>
    <s v="Hudson Antonio Cristo Braga"/>
    <s v="Masculino"/>
    <x v="8"/>
    <x v="20"/>
    <s v="20103492 - Patologia Em Dois Ou Mais Membros (R$ 14,83)"/>
    <s v="Fisioterapia"/>
    <n v="1712735717"/>
    <s v="Finalizado (3/10)"/>
    <n v="13.0504"/>
    <n v="1.7796000000000001"/>
    <n v="14.83"/>
    <s v="Sessão a Faturar"/>
    <n v="954600020168030"/>
    <n v="47654"/>
    <s v="Unidade Vieiralves"/>
    <n v="1712735717"/>
    <m/>
  </r>
  <r>
    <x v="2"/>
    <x v="64"/>
    <s v="Hudson Antonio Cristo Braga"/>
    <s v="Masculino"/>
    <x v="9"/>
    <x v="20"/>
    <s v="31602185 - Estimulação Elétrica Transcutânea (Tens) - Removido 13/04/2026 (R$ 40,00)"/>
    <s v="Fisioterapia"/>
    <n v="1713389520"/>
    <s v="Finalizado (2/9)"/>
    <n v="35.200000000000003"/>
    <n v="4.8"/>
    <n v="40"/>
    <s v="Sessão a Faturar"/>
    <n v="954600020168030"/>
    <n v="47654"/>
    <s v="Unidade Vieiralves"/>
    <n v="1713389520"/>
    <m/>
  </r>
  <r>
    <x v="3"/>
    <x v="89"/>
    <s v="Maria Raimunda da Silva Guedes Lima"/>
    <s v="Feminino"/>
    <x v="4"/>
    <x v="20"/>
    <s v="31602185 - Estimulação Elétrica Transcutânea - Removido 13/04/2026 (R$ 40,00)"/>
    <s v="Fisioterapia"/>
    <n v="1710670774"/>
    <s v="Finalizado (3/5)"/>
    <n v="35.200000000000003"/>
    <n v="4.8"/>
    <n v="40"/>
    <s v="Sessão Faturada"/>
    <n v="960016575471000"/>
    <n v="21019"/>
    <s v="Unidade Vieiralves"/>
    <n v="1710670774"/>
    <m/>
  </r>
  <r>
    <x v="3"/>
    <x v="89"/>
    <s v="Rozirlande Oliveira do Valle"/>
    <s v="Feminino"/>
    <x v="6"/>
    <x v="20"/>
    <s v="20103484 - Patologia Em Um Membro (R$ 14,16)"/>
    <s v="Fisioterapia"/>
    <n v="172228"/>
    <s v="Finalizado (1/10)"/>
    <n v="12.460800000000001"/>
    <n v="1.6992"/>
    <n v="14.16"/>
    <s v="Sessão a Faturar"/>
    <s v="58201466755603470024"/>
    <n v="38049"/>
    <s v="Unidade Vieiralves"/>
    <n v="172228"/>
    <m/>
  </r>
  <r>
    <x v="3"/>
    <x v="89"/>
    <s v="Maria Raimunda da Silva Guedes Lima"/>
    <s v="Feminino"/>
    <x v="2"/>
    <x v="20"/>
    <s v="20103492 - Fisioterapia - Patologia Em Dois Ou Mais Membros (R$ 14,83)"/>
    <s v="Fisioterapia"/>
    <n v="1709424701"/>
    <s v="Finalizado (5/5)"/>
    <n v="13.0504"/>
    <n v="1.7796000000000001"/>
    <n v="14.83"/>
    <s v="Sessão Faturada"/>
    <n v="960016575471000"/>
    <n v="21019"/>
    <s v="Unidade Vieiralves"/>
    <n v="1709424701"/>
    <m/>
  </r>
  <r>
    <x v="3"/>
    <x v="90"/>
    <s v="Rozirlande Oliveira do Valle"/>
    <s v="Feminino"/>
    <x v="6"/>
    <x v="20"/>
    <s v="31602185 - Estimulação Elétrica Transcutanea (Tens) (R$ 40,00)"/>
    <s v="Fisioterapia"/>
    <n v="172273"/>
    <s v="Finalizado (1/10)"/>
    <n v="35.200000000000003"/>
    <n v="4.8"/>
    <n v="40"/>
    <s v="Sessão a Faturar"/>
    <s v="58201466755603470024"/>
    <n v="38049"/>
    <s v="Unidade Vieiralves"/>
    <n v="172273"/>
    <m/>
  </r>
  <r>
    <x v="3"/>
    <x v="44"/>
    <s v="Ana Claudia Teixeira de Souza Viapiana"/>
    <m/>
    <x v="2"/>
    <x v="20"/>
    <s v="20103484 - Fisioterapia - Patologia Em Um Membro (R$ 12,22)"/>
    <s v="Fisioterapia"/>
    <n v="1707711063"/>
    <s v="Finalizado (9/10)"/>
    <n v="10.7536"/>
    <n v="1.4663999999999999"/>
    <n v="12.22"/>
    <s v="Sessão Faturada"/>
    <n v="896958600019010"/>
    <n v="59405"/>
    <s v="Unidade Vieiralves"/>
    <n v="1707711063"/>
    <m/>
  </r>
  <r>
    <x v="3"/>
    <x v="44"/>
    <s v="Giovanna Araújo Costa"/>
    <s v="Feminino"/>
    <x v="2"/>
    <x v="20"/>
    <s v="20103492 - Fisioterapia - Patologia Em Dois Ou Mais Membros (R$ 14,83)"/>
    <s v="Fisioterapia"/>
    <n v="1712584872"/>
    <s v="Finalizado (4/4)"/>
    <n v="13.0504"/>
    <n v="1.7796000000000001"/>
    <n v="14.83"/>
    <s v="Sessão Faturada"/>
    <n v="774981013668000"/>
    <n v="59610"/>
    <s v="Unidade Vieiralves"/>
    <n v="1712584872"/>
    <m/>
  </r>
  <r>
    <x v="3"/>
    <x v="44"/>
    <s v="Cesar Augusto Dias"/>
    <s v="Masculino"/>
    <x v="1"/>
    <x v="20"/>
    <s v="50000160 - Fisioterapia Ortopédica (R$ 20,00), 98980327 - Taxa de Eletroterapia (Tens) (R$ 15,00)"/>
    <s v="Fisioterapia"/>
    <n v="9383626"/>
    <s v="Finalizado (2/10)"/>
    <n v="30.8"/>
    <n v="4.2"/>
    <n v="35"/>
    <s v="Sessão a Faturar"/>
    <s v="0701011252580008"/>
    <n v="59650"/>
    <s v="Unidade Vieiralves"/>
    <n v="9383626"/>
    <m/>
  </r>
  <r>
    <x v="3"/>
    <x v="60"/>
    <s v="Ana Claudia Teixeira de Souza Viapiana"/>
    <m/>
    <x v="4"/>
    <x v="20"/>
    <s v="31602185 - Estimulação Elétrica Transcutânea - Removido 13/04/2026 (R$ 40,00)"/>
    <s v="Fisioterapia"/>
    <n v="1710690620"/>
    <s v="Finalizado (4/4)"/>
    <n v="35.200000000000003"/>
    <n v="4.8"/>
    <n v="40"/>
    <s v="Sessão Faturada"/>
    <n v="896958600019010"/>
    <n v="59405"/>
    <s v="Unidade Vieiralves"/>
    <n v="1710690620"/>
    <m/>
  </r>
  <r>
    <x v="3"/>
    <x v="41"/>
    <s v="Cristina dos Santos Braga"/>
    <m/>
    <x v="20"/>
    <x v="20"/>
    <s v="00010929 - Avaliação de Fisioterapia (R$ 36,00)"/>
    <s v="Fisioterapia"/>
    <n v="55729520"/>
    <s v="Finalizado (1/1)"/>
    <n v="32.4"/>
    <n v="3.6"/>
    <n v="36"/>
    <s v="Sessão Faturada"/>
    <n v="10511000263700"/>
    <n v="59694"/>
    <s v="Unidade Vieiralves"/>
    <n v="55729520"/>
    <m/>
  </r>
  <r>
    <x v="3"/>
    <x v="41"/>
    <s v="Rafael Daniel Gerzvolf"/>
    <s v="Masculino"/>
    <x v="6"/>
    <x v="20"/>
    <s v="20103484 - Patologia Em Um Membro (R$ 14,16)"/>
    <s v="Fisioterapia"/>
    <n v="171440"/>
    <s v="Finalizado (4/10)"/>
    <n v="12.460800000000001"/>
    <n v="1.6992"/>
    <n v="14.16"/>
    <s v="Sessão a Faturar"/>
    <s v="51588888488560580015"/>
    <n v="57485"/>
    <s v="Unidade Vieiralves"/>
    <n v="171440"/>
    <m/>
  </r>
  <r>
    <x v="3"/>
    <x v="41"/>
    <s v="Zemilto Martins Ceara"/>
    <s v="Masculino"/>
    <x v="2"/>
    <x v="20"/>
    <s v="20103492 - Fisioterapia - Patologia Em Dois Ou Mais Membros (R$ 14,83)"/>
    <s v="Fisioterapia"/>
    <n v="1705564788"/>
    <s v="Finalizado (8/8)"/>
    <n v="13.0504"/>
    <n v="1.7796000000000001"/>
    <n v="14.83"/>
    <s v="Sessão Faturada"/>
    <n v="841006100370010"/>
    <n v="9050"/>
    <s v="Unidade Vieiralves"/>
    <n v="1705564788"/>
    <m/>
  </r>
  <r>
    <x v="3"/>
    <x v="65"/>
    <s v="Cristina dos Santos Braga"/>
    <m/>
    <x v="20"/>
    <x v="20"/>
    <s v="20103506 - Patologia Em  Um Segmento da Coluna (R$ 27,11)"/>
    <s v="Fisioterapia"/>
    <n v="55729690"/>
    <s v="Finalizado (1/10)"/>
    <n v="23.8568"/>
    <n v="3.2532000000000001"/>
    <n v="27.11"/>
    <s v="Sessão a Faturar"/>
    <n v="10511000263700"/>
    <n v="59694"/>
    <s v="Unidade Vieiralves"/>
    <n v="55729690"/>
    <m/>
  </r>
  <r>
    <x v="3"/>
    <x v="65"/>
    <s v="Rafael Daniel Gerzvolf"/>
    <s v="Masculino"/>
    <x v="6"/>
    <x v="20"/>
    <s v="31602185 - Estimulação Elétrica Transcutanea (Tens) (R$ 40,00)"/>
    <s v="Fisioterapia"/>
    <n v="171439"/>
    <s v="Finalizado (4/9)"/>
    <n v="35.200000000000003"/>
    <n v="4.8"/>
    <n v="40"/>
    <s v="Sessão a Faturar"/>
    <s v="51588888488560580015"/>
    <n v="57485"/>
    <s v="Unidade Vieiralves"/>
    <n v="171439"/>
    <m/>
  </r>
  <r>
    <x v="3"/>
    <x v="40"/>
    <s v="Ivagna Maria Cantanhede Brandão"/>
    <s v="Feminino"/>
    <x v="1"/>
    <x v="20"/>
    <s v="50000160 - Fisioterapia Ortopédica (R$ 20,00), 98980327 - Taxa de Eletroterapia (Tens) (R$ 15,00)"/>
    <s v="Fisioterapia"/>
    <n v="8995441"/>
    <s v="Finalizado (7/10)"/>
    <n v="30.8"/>
    <n v="4.2"/>
    <n v="35"/>
    <s v="Sessão Faturada"/>
    <n v="1901012995210000"/>
    <n v="59129"/>
    <s v="Unidade Vieiralves"/>
    <n v="8995441"/>
    <m/>
  </r>
  <r>
    <x v="3"/>
    <x v="40"/>
    <s v="Dilcilene Angelim da Silva Santos"/>
    <m/>
    <x v="7"/>
    <x v="20"/>
    <s v="Vieiralves - 1 - Fisioterapia Ortopedica - Pacote (R$ 40,00)"/>
    <s v="Fisioterapia"/>
    <n v="171003"/>
    <s v="Finalizado (3/10)"/>
    <n v="31.2"/>
    <n v="8.8000000000000007"/>
    <n v="40"/>
    <s v="Pago"/>
    <n v="59115"/>
    <n v="59115"/>
    <s v="Unidade Vieiralves"/>
    <n v="171003"/>
    <m/>
  </r>
  <r>
    <x v="3"/>
    <x v="40"/>
    <s v="Remulo Jose Nascimento Filho"/>
    <s v="Masculino"/>
    <x v="2"/>
    <x v="20"/>
    <s v="20103662 - Fisioterapia - Pos Operatorio Em Um Membro (R$ 14,99)"/>
    <s v="Fisioterapia"/>
    <n v="1711348180"/>
    <s v="Finalizado (3/5)"/>
    <n v="13.1912"/>
    <n v="1.7988"/>
    <n v="14.99"/>
    <s v="Sessão Faturada"/>
    <s v="56788888022609450103"/>
    <n v="45990"/>
    <s v="Unidade Vieiralves"/>
    <n v="1711348180"/>
    <m/>
  </r>
  <r>
    <x v="3"/>
    <x v="40"/>
    <s v="Eliana Araujo Pereira Miki"/>
    <s v="Feminino"/>
    <x v="2"/>
    <x v="20"/>
    <s v="50000144 - Avaliação de Fisioterapia (R$ 51,42)"/>
    <s v="Fisioterapia"/>
    <n v="1714483390"/>
    <s v="Finalizado (1/1)"/>
    <n v="46.277999999999999"/>
    <n v="5.1420000000000003"/>
    <n v="51.42"/>
    <s v="Sessão Faturada"/>
    <n v="771015025992020"/>
    <n v="7512"/>
    <s v="Unidade Vieiralves"/>
    <n v="1714483390"/>
    <m/>
  </r>
  <r>
    <x v="3"/>
    <x v="45"/>
    <s v="Remulo Jose Nascimento Filho"/>
    <s v="Masculino"/>
    <x v="4"/>
    <x v="20"/>
    <s v="31602185 - Estimulação Elétrica Transcutânea - Removido 13/04/2026 (R$ 40,00)"/>
    <s v="Fisioterapia"/>
    <n v="1710734947"/>
    <s v="Finalizado (4/5)"/>
    <n v="35.200000000000003"/>
    <n v="4.8"/>
    <n v="40"/>
    <s v="Sessão Faturada"/>
    <s v="56788888022609450103"/>
    <n v="45990"/>
    <s v="Unidade Vieiralves"/>
    <n v="1710734947"/>
    <m/>
  </r>
  <r>
    <x v="3"/>
    <x v="45"/>
    <s v="Eliana Araujo Pereira Miki"/>
    <s v="Feminino"/>
    <x v="2"/>
    <x v="20"/>
    <s v="20103492 - Fisioterapia - Patologia Em Dois Ou Mais Membros (R$ 14,83)"/>
    <s v="Fisioterapia"/>
    <n v="1714484602"/>
    <s v="Finalizado (1/1)"/>
    <n v="13.0504"/>
    <n v="1.7796000000000001"/>
    <n v="14.83"/>
    <s v="Sessão a Faturar"/>
    <n v="771015025992020"/>
    <n v="7512"/>
    <s v="Unidade Vieiralves"/>
    <n v="1714484602"/>
    <m/>
  </r>
  <r>
    <x v="3"/>
    <x v="35"/>
    <s v="Caroline Duarte Brighente"/>
    <s v="Feminino"/>
    <x v="1"/>
    <x v="20"/>
    <s v="50000160 - Fisioterapia Ortopédica (R$ 20,00), 98980327 - Taxa de Eletroterapia (Tens) (R$ 15,00)"/>
    <s v="Fisioterapia"/>
    <n v="9161743"/>
    <s v="Finalizado (7/10)"/>
    <n v="30.8"/>
    <n v="4.2"/>
    <n v="35"/>
    <s v="Sessão Faturada"/>
    <s v="0501011606920055"/>
    <n v="59374"/>
    <s v="Unidade Vieiralves"/>
    <n v="9161743"/>
    <m/>
  </r>
  <r>
    <x v="3"/>
    <x v="38"/>
    <s v="Sara Gonçalves Vieira"/>
    <s v="Feminino"/>
    <x v="7"/>
    <x v="20"/>
    <s v="Vieiralves - 1 - Fisioterapia Ortopedica - Pacote (R$ 80,00)"/>
    <s v="Fisioterapia"/>
    <n v="171970"/>
    <s v="Finalizado (3/10)"/>
    <n v="62.4"/>
    <n v="17.600000000000001"/>
    <n v="80"/>
    <s v="Pago"/>
    <n v="56256"/>
    <n v="56256"/>
    <s v="Unidade Vieiralves"/>
    <n v="171970"/>
    <m/>
  </r>
  <r>
    <x v="3"/>
    <x v="37"/>
    <s v="Dina Francoile Viana Ramos"/>
    <s v="Feminino"/>
    <x v="2"/>
    <x v="20"/>
    <s v="20103492 - Fisioterapia - Patologia Em Dois Ou Mais Membros (R$ 14,83)"/>
    <s v="Fisioterapia"/>
    <n v="1706286360"/>
    <s v="Finalizado (8/10)"/>
    <n v="13.0504"/>
    <n v="1.7796000000000001"/>
    <n v="14.83"/>
    <s v="Sessão Faturada"/>
    <n v="960016167330060"/>
    <n v="16965"/>
    <s v="Unidade Vieiralves"/>
    <n v="1706286360"/>
    <m/>
  </r>
  <r>
    <x v="3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8/10)"/>
    <n v="26.1008"/>
    <n v="3.5592000000000001"/>
    <n v="29.66"/>
    <s v="Sessão Faturada"/>
    <n v="960016167330010"/>
    <n v="46729"/>
    <s v="Unidade Vieiralves"/>
    <n v="1705661090"/>
    <m/>
  </r>
  <r>
    <x v="3"/>
    <x v="37"/>
    <s v="Ivete Akimi Massuda"/>
    <s v="Feminino"/>
    <x v="6"/>
    <x v="20"/>
    <s v="20103506 - Patologia Em Um Segmento da Coluna (R$ 14,16)"/>
    <s v="Fisioterapia"/>
    <n v="171164"/>
    <s v="Finalizado (8/10)"/>
    <n v="12.460800000000001"/>
    <n v="1.6992"/>
    <n v="14.16"/>
    <s v="Sessão a Faturar"/>
    <s v="54588888473661890020"/>
    <n v="43609"/>
    <s v="Unidade Vieiralves"/>
    <n v="171164"/>
    <m/>
  </r>
  <r>
    <x v="3"/>
    <x v="63"/>
    <s v="Ivete Akimi Massuda"/>
    <s v="Feminino"/>
    <x v="6"/>
    <x v="20"/>
    <s v="31602185 - Estimulação Elétrica Transcutanea (Tens) (R$ 40,00)"/>
    <s v="Fisioterapia"/>
    <n v="171163"/>
    <s v="Finalizado (8/10)"/>
    <n v="35.200000000000003"/>
    <n v="4.8"/>
    <n v="40"/>
    <s v="Sessão a Faturar"/>
    <s v="54588888473661890020"/>
    <n v="43609"/>
    <s v="Unidade Vieiralves"/>
    <n v="171163"/>
    <m/>
  </r>
  <r>
    <x v="3"/>
    <x v="63"/>
    <s v="Rita de Lima  Viana Ramos"/>
    <s v="Feminino"/>
    <x v="4"/>
    <x v="20"/>
    <s v="31602185 - Estimulação Elétrica Transcutânea - Removido 13/04/2026 (R$ 40,00)"/>
    <s v="Fisioterapia"/>
    <n v="1709602968"/>
    <s v="Finalizado (4/5)"/>
    <n v="35.200000000000003"/>
    <n v="4.8"/>
    <n v="40"/>
    <s v="Sessão Faturada"/>
    <n v="960016167330010"/>
    <n v="46729"/>
    <s v="Unidade Vieiralves"/>
    <n v="1709602968"/>
    <m/>
  </r>
  <r>
    <x v="3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4/10)"/>
    <n v="35.200000000000003"/>
    <n v="4.8"/>
    <n v="40"/>
    <s v="Sessão Faturada"/>
    <n v="960016167330060"/>
    <n v="16965"/>
    <s v="Unidade Vieiralves"/>
    <n v="1710826226"/>
    <m/>
  </r>
  <r>
    <x v="3"/>
    <x v="39"/>
    <s v="Hudson Antonio Cristo Braga"/>
    <s v="Masculino"/>
    <x v="9"/>
    <x v="20"/>
    <s v="31602185 - Estimulação Elétrica Transcutânea (Tens) - Removido 13/04/2026 (R$ 40,00)"/>
    <s v="Fisioterapia"/>
    <n v="1713389520"/>
    <s v="Finalizado (3/9)"/>
    <n v="35.200000000000003"/>
    <n v="4.8"/>
    <n v="40"/>
    <s v="Sessão a Faturar"/>
    <n v="954600020168030"/>
    <n v="47654"/>
    <s v="Unidade Vieiralves"/>
    <n v="1713389520"/>
    <m/>
  </r>
  <r>
    <x v="3"/>
    <x v="39"/>
    <s v="Hudson Antonio Cristo Braga"/>
    <s v="Masculino"/>
    <x v="8"/>
    <x v="20"/>
    <s v="20103492 - Patologia Em Dois Ou Mais Membros (R$ 14,83)"/>
    <s v="Fisioterapia"/>
    <n v="1712735717"/>
    <s v="Finalizado (4/10)"/>
    <n v="13.0504"/>
    <n v="1.7796000000000001"/>
    <n v="14.83"/>
    <s v="Sessão a Faturar"/>
    <n v="954600020168030"/>
    <n v="47654"/>
    <s v="Unidade Vieiralves"/>
    <n v="1712735717"/>
    <m/>
  </r>
  <r>
    <x v="4"/>
    <x v="89"/>
    <s v="Rozirlande Oliveira do Valle"/>
    <s v="Feminino"/>
    <x v="6"/>
    <x v="20"/>
    <s v="20103484 - Patologia Em Um Membro (R$ 14,16)"/>
    <s v="Fisioterapia"/>
    <n v="172228"/>
    <s v="Finalizado (2/10)"/>
    <n v="12.460800000000001"/>
    <n v="1.6992"/>
    <n v="14.16"/>
    <s v="Sessão a Faturar"/>
    <s v="58201466755603470024"/>
    <n v="38049"/>
    <s v="Unidade Vieiralves"/>
    <n v="172228"/>
    <m/>
  </r>
  <r>
    <x v="4"/>
    <x v="89"/>
    <s v="Victor Thury Vieira Hauache"/>
    <s v="Masculino"/>
    <x v="6"/>
    <x v="20"/>
    <s v="20103484 - Patologia Em Um Membro (R$ 14,16)"/>
    <s v="Fisioterapia"/>
    <n v="171559"/>
    <s v="Finalizado (5/10)"/>
    <n v="12.460800000000001"/>
    <n v="1.6992"/>
    <n v="14.16"/>
    <s v="Sessão a Faturar"/>
    <s v="55788888476678190110"/>
    <n v="59493"/>
    <s v="Unidade Vieiralves"/>
    <n v="171559"/>
    <m/>
  </r>
  <r>
    <x v="4"/>
    <x v="44"/>
    <s v="Ana Claudia Teixeira de Souza Viapiana"/>
    <m/>
    <x v="2"/>
    <x v="20"/>
    <s v="20103484 - Fisioterapia - Patologia Em Um Membro (R$ 12,22)"/>
    <s v="Fisioterapia"/>
    <n v="1707711063"/>
    <s v="Finalizado (10/10)"/>
    <n v="10.7536"/>
    <n v="1.4663999999999999"/>
    <n v="12.22"/>
    <s v="Sessão Faturada"/>
    <n v="896958600019010"/>
    <n v="59405"/>
    <s v="Unidade Vieiralves"/>
    <n v="1707711063"/>
    <m/>
  </r>
  <r>
    <x v="4"/>
    <x v="44"/>
    <s v="Lucas Reniele Amorim de Andrade"/>
    <s v="Masculino"/>
    <x v="2"/>
    <x v="20"/>
    <s v="20103484 - Fisioterapia - Patologia Em Um Membro (R$ 12,22)"/>
    <s v="Fisioterapia"/>
    <n v="1711676744"/>
    <s v="Finalizado (3/6)"/>
    <n v="10.7536"/>
    <n v="1.4663999999999999"/>
    <n v="12.22"/>
    <s v="Sessão a Faturar"/>
    <n v="774642029297000"/>
    <n v="58737"/>
    <s v="Unidade Vieiralves"/>
    <n v="1711676744"/>
    <m/>
  </r>
  <r>
    <x v="4"/>
    <x v="60"/>
    <s v="Lucas Reniele Amorim de Andrade"/>
    <s v="Masculino"/>
    <x v="4"/>
    <x v="20"/>
    <s v="31602185 - Estimulação Elétrica Transcutânea - Removido 13/04/2026 (R$ 40,00)"/>
    <s v="Fisioterapia"/>
    <n v="1714930701"/>
    <s v="Finalizado (1/4)"/>
    <n v="35.200000000000003"/>
    <n v="4.8"/>
    <n v="40"/>
    <s v="Sessão a Faturar"/>
    <n v="774642029297000"/>
    <n v="58737"/>
    <s v="Unidade Vieiralves"/>
    <n v="1714930701"/>
    <m/>
  </r>
  <r>
    <x v="4"/>
    <x v="41"/>
    <s v="Wendel de Mendonça de Souza"/>
    <s v="Masculino"/>
    <x v="2"/>
    <x v="20"/>
    <s v="20103514 - Fisioterapia - Patologia Em Diferentes Segmentos da Coluna (R$ 14,83)"/>
    <s v="Fisioterapia"/>
    <n v="1710121318"/>
    <s v="Finalizado (4/10)"/>
    <n v="13.0504"/>
    <n v="1.7796000000000001"/>
    <n v="14.83"/>
    <s v="Sessão a Faturar"/>
    <n v="854778700183020"/>
    <n v="59572"/>
    <s v="Unidade Vieiralves"/>
    <n v="1710121318"/>
    <m/>
  </r>
  <r>
    <x v="4"/>
    <x v="41"/>
    <s v="Claudia Miyuki Muramoto Sako"/>
    <s v="Feminino"/>
    <x v="2"/>
    <x v="20"/>
    <s v="20103492 - Fisioterapia - Patologia Em Dois Ou Mais Membros (R$ 14,83)"/>
    <s v="Fisioterapia"/>
    <n v="1709446072"/>
    <s v="Finalizado (4/5)"/>
    <n v="13.0504"/>
    <n v="1.7796000000000001"/>
    <n v="14.83"/>
    <s v="Sessão Faturada"/>
    <n v="885854000132010"/>
    <n v="49229"/>
    <s v="Unidade Vieiralves"/>
    <n v="1709446072"/>
    <m/>
  </r>
  <r>
    <x v="4"/>
    <x v="41"/>
    <s v="Cristina dos Santos Braga"/>
    <m/>
    <x v="20"/>
    <x v="20"/>
    <s v="20103506 - Patologia Em  Um Segmento da Coluna (R$ 27,11)"/>
    <s v="Fisioterapia"/>
    <n v="55729690"/>
    <s v="Finalizado (2/10)"/>
    <n v="23.8568"/>
    <n v="3.2532000000000001"/>
    <n v="27.11"/>
    <s v="Sessão a Faturar"/>
    <n v="10511000263700"/>
    <n v="59694"/>
    <s v="Unidade Vieiralves"/>
    <n v="55729690"/>
    <m/>
  </r>
  <r>
    <x v="4"/>
    <x v="41"/>
    <s v="Edna Lucia Moraes Derzi"/>
    <s v="Feminino"/>
    <x v="6"/>
    <x v="20"/>
    <s v="20103492 - Patologia Em Dois Ou Mais Membros (R$ 30,26)"/>
    <s v="Fisioterapia"/>
    <n v="170406"/>
    <s v="Finalizado (7/10)"/>
    <n v="26.628799999999998"/>
    <n v="3.6312000000000002"/>
    <n v="30.26"/>
    <s v="Sessão a Faturar"/>
    <s v="54588888469679780015"/>
    <n v="13101"/>
    <s v="Unidade Vieiralves"/>
    <n v="170406"/>
    <m/>
  </r>
  <r>
    <x v="4"/>
    <x v="65"/>
    <s v="Edna Lucia Moraes Derzi"/>
    <s v="Feminino"/>
    <x v="6"/>
    <x v="20"/>
    <s v="31602185 - Estimulação Elétrica Transcutanea (Tens) (R$ 40,00)"/>
    <s v="Fisioterapia"/>
    <n v="170747"/>
    <s v="Não compareceu (6/10)"/>
    <n v="40"/>
    <n v="0"/>
    <n v="40"/>
    <s v="Sessão a Faturar"/>
    <s v="54588888469679780015"/>
    <n v="13101"/>
    <s v="Unidade Vieiralves"/>
    <n v="170747"/>
    <m/>
  </r>
  <r>
    <x v="4"/>
    <x v="65"/>
    <s v="Wendel de Mendonça de Souza"/>
    <s v="Masculino"/>
    <x v="4"/>
    <x v="20"/>
    <s v="31602185 - Estimulação Elétrica Transcutânea - Removido 13/04/2026 (R$ 40,00)"/>
    <s v="Fisioterapia"/>
    <n v="1714944432"/>
    <s v="Finalizado (1/10)"/>
    <n v="35.200000000000003"/>
    <n v="4.8"/>
    <n v="40"/>
    <s v="Sessão a Faturar"/>
    <n v="854778700183020"/>
    <n v="59572"/>
    <s v="Unidade Vieiralves"/>
    <n v="1714944432"/>
    <m/>
  </r>
  <r>
    <x v="4"/>
    <x v="36"/>
    <s v="Remulo Jose Nascimento Filho"/>
    <s v="Masculino"/>
    <x v="2"/>
    <x v="20"/>
    <s v="20103662 - Fisioterapia - Pos Operatorio Em Um Membro (R$ 14,99)"/>
    <s v="Fisioterapia"/>
    <n v="1711348180"/>
    <s v="Finalizado (4/5)"/>
    <n v="13.1912"/>
    <n v="1.7988"/>
    <n v="14.99"/>
    <s v="Sessão Faturada"/>
    <s v="56788888022609450103"/>
    <n v="45990"/>
    <s v="Unidade Vieiralves"/>
    <n v="1711348180"/>
    <m/>
  </r>
  <r>
    <x v="4"/>
    <x v="36"/>
    <s v="Aline Ferreira Pereira"/>
    <s v="Feminino"/>
    <x v="3"/>
    <x v="20"/>
    <s v="0006 - Fisioterapia Ortopédica - Pacote Com 10 Sessões (R$ 40,00)"/>
    <s v="Fisioterapia"/>
    <n v="169451"/>
    <s v="Finalizado (10/10)"/>
    <n v="31.2"/>
    <n v="8.8000000000000007"/>
    <n v="40"/>
    <s v="Sessão a Faturar"/>
    <n v="6741"/>
    <n v="59441"/>
    <s v="Unidade Vieiralves"/>
    <n v="169451"/>
    <m/>
  </r>
  <r>
    <x v="4"/>
    <x v="36"/>
    <s v="Darlan da Silva Picanço"/>
    <s v="Feminino"/>
    <x v="1"/>
    <x v="20"/>
    <s v="50000160 - Fisioterapia Ortopédica (R$ 20,00), 98980327 - Taxa de Eletroterapia (Tens) (R$ 15,00)"/>
    <s v="Fisioterapia"/>
    <n v="9093197"/>
    <s v="Finalizado (10/10)"/>
    <n v="30.8"/>
    <n v="4.2"/>
    <n v="35"/>
    <s v="Sessão Faturada"/>
    <s v="0901013959170057"/>
    <n v="15532"/>
    <s v="Unidade Vieiralves"/>
    <n v="9093197"/>
    <m/>
  </r>
  <r>
    <x v="4"/>
    <x v="61"/>
    <s v="Remulo Jose Nascimento Filho"/>
    <s v="Masculino"/>
    <x v="4"/>
    <x v="20"/>
    <s v="31602185 - Estimulação Elétrica Transcutânea - Removido 13/04/2026 (R$ 40,00)"/>
    <s v="Fisioterapia"/>
    <n v="1710734947"/>
    <s v="Finalizado (5/5)"/>
    <n v="35.200000000000003"/>
    <n v="4.8"/>
    <n v="40"/>
    <s v="Sessão Faturada"/>
    <s v="56788888022609450103"/>
    <n v="45990"/>
    <s v="Unidade Vieiralves"/>
    <n v="1710734947"/>
    <m/>
  </r>
  <r>
    <x v="4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6/10)"/>
    <n v="41.342399999999998"/>
    <n v="5.6375999999999999"/>
    <n v="46.98"/>
    <s v="Sessão a Faturar"/>
    <s v="55788888491272530020"/>
    <n v="51936"/>
    <s v="Unidade Vieiralves"/>
    <n v="170745"/>
    <m/>
  </r>
  <r>
    <x v="4"/>
    <x v="40"/>
    <s v="Tatianna Silva Portes"/>
    <s v="Feminino"/>
    <x v="5"/>
    <x v="20"/>
    <s v="98860020 - Fisioterapia Complexidade 2 - 04/03/2026 (R$ 70,79)"/>
    <s v="Fisioterapia"/>
    <n v="77595650"/>
    <s v="Finalizado (8/10)"/>
    <n v="62.295200000000001"/>
    <n v="8.4947999999999997"/>
    <n v="70.790000000000006"/>
    <s v="Sessão Faturada"/>
    <s v="0100621050010300"/>
    <n v="55555"/>
    <s v="Unidade Vieiralves"/>
    <n v="77595650"/>
    <m/>
  </r>
  <r>
    <x v="4"/>
    <x v="40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5/10)"/>
    <n v="30.8"/>
    <n v="4.2"/>
    <n v="35"/>
    <s v="Sessão Faturada"/>
    <s v="0901014030320036"/>
    <n v="59617"/>
    <s v="Unidade Vieiralves"/>
    <n v="9308623"/>
    <m/>
  </r>
  <r>
    <x v="4"/>
    <x v="45"/>
    <s v="Tatianna Silva Portes"/>
    <s v="Feminino"/>
    <x v="5"/>
    <x v="20"/>
    <s v="31602185 - Estimulação Elétrica Transcutânea (Tens) - 04/03/2026 (R$ 120,28)"/>
    <s v="Fisioterapia"/>
    <n v="77595860"/>
    <s v="Finalizado (6/8)"/>
    <n v="105.8464"/>
    <n v="14.4336"/>
    <n v="120.28"/>
    <s v="Sessão Faturada"/>
    <s v="0100621050010300"/>
    <n v="55555"/>
    <s v="Unidade Vieiralves"/>
    <n v="77595860"/>
    <m/>
  </r>
  <r>
    <x v="4"/>
    <x v="45"/>
    <s v="Auxiliadora Brito de Lima"/>
    <m/>
    <x v="6"/>
    <x v="20"/>
    <s v="31602185 - Estimulação Elétrica Transcutanea (Tens) (R$ 40,00)"/>
    <s v="Fisioterapia"/>
    <n v="170746"/>
    <s v="Finalizado (6/9)"/>
    <n v="35.200000000000003"/>
    <n v="4.8"/>
    <n v="40"/>
    <s v="Sessão a Faturar"/>
    <s v="55788888491272530020"/>
    <n v="51936"/>
    <s v="Unidade Vieiralves"/>
    <n v="170746"/>
    <m/>
  </r>
  <r>
    <x v="4"/>
    <x v="35"/>
    <s v="Raimunda Monteiro Saboia"/>
    <s v="Feminino"/>
    <x v="1"/>
    <x v="20"/>
    <s v="50000160 - Fisioterapia Ortopédica (R$ 20,00), 98980327 - Taxa de Eletroterapia (Tens) (R$ 15,00)"/>
    <s v="Fisioterapia"/>
    <n v="9408630"/>
    <s v="Finalizado (2/10)"/>
    <n v="30.8"/>
    <n v="4.2"/>
    <n v="35"/>
    <s v="Sessão a Faturar"/>
    <n v="1901007785660100"/>
    <n v="36186"/>
    <s v="Unidade Vieiralves"/>
    <n v="9408630"/>
    <m/>
  </r>
  <r>
    <x v="4"/>
    <x v="35"/>
    <s v="Maria da Assunção Dantas da Silva"/>
    <m/>
    <x v="1"/>
    <x v="20"/>
    <s v="50000160 - Fisioterapia Ortopédica (R$ 20,00), 98980327 - Taxa de Eletroterapia (Tens) (R$ 15,00)"/>
    <s v="Fisioterapia"/>
    <n v="9367730"/>
    <s v="Finalizado (3/10)"/>
    <n v="30.8"/>
    <n v="4.2"/>
    <n v="35"/>
    <s v="Sessão Faturada"/>
    <n v="1901005511160100"/>
    <n v="59640"/>
    <s v="Unidade Vieiralves"/>
    <n v="9367730"/>
    <m/>
  </r>
  <r>
    <x v="4"/>
    <x v="38"/>
    <s v="Juliana Schettini Sobrinho Dourado"/>
    <m/>
    <x v="6"/>
    <x v="20"/>
    <s v="20103484 - Patologia Em Um Membro (R$ 14,16)"/>
    <s v="Fisioterapia"/>
    <n v="171274"/>
    <s v="Finalizado (5/10)"/>
    <n v="12.460800000000001"/>
    <n v="1.6992"/>
    <n v="14.16"/>
    <s v="Sessão a Faturar"/>
    <s v="51588888483923230010"/>
    <n v="58626"/>
    <s v="Unidade Vieiralves"/>
    <n v="171274"/>
    <m/>
  </r>
  <r>
    <x v="4"/>
    <x v="38"/>
    <s v="Ana Cristina Belarmino de Oliveira"/>
    <s v="Feminino"/>
    <x v="15"/>
    <x v="20"/>
    <s v="20103514 - Patologia Em Diferentes Segmentos da Coluna (R$ 60,72)"/>
    <s v="Fisioterapia"/>
    <n v="238463711"/>
    <s v="Finalizado (7/10)"/>
    <n v="53.433599999999998"/>
    <n v="7.2864000000000004"/>
    <n v="60.72"/>
    <s v="Sessão a Faturar"/>
    <s v="012616100102004"/>
    <n v="59505"/>
    <s v="Unidade Vieiralves"/>
    <n v="238463711"/>
    <m/>
  </r>
  <r>
    <x v="4"/>
    <x v="62"/>
    <s v="Juliana Schettini Sobrinho Dourado"/>
    <m/>
    <x v="6"/>
    <x v="20"/>
    <s v="31602185 - Estimulação Elétrica Transcutanea (Tens) (R$ 40,00)"/>
    <s v="Fisioterapia"/>
    <n v="172381"/>
    <s v="Finalizado (1/6)"/>
    <n v="35.200000000000003"/>
    <n v="4.8"/>
    <n v="40"/>
    <s v="Sessão a Faturar"/>
    <s v="51588888483923230010"/>
    <n v="58626"/>
    <s v="Unidade Vieiralves"/>
    <n v="172381"/>
    <m/>
  </r>
  <r>
    <x v="4"/>
    <x v="37"/>
    <s v="Elma Morais Barbosa de Souza França"/>
    <s v="Feminino"/>
    <x v="3"/>
    <x v="20"/>
    <s v="0006 - Fisioterapia Ortopédica - Pacote Com 10 Sessões (R$ 40,00)"/>
    <s v="Fisioterapia"/>
    <n v="163200"/>
    <s v="Finalizado (3/10)"/>
    <n v="31.2"/>
    <n v="8.8000000000000007"/>
    <n v="40"/>
    <s v="Sessão a Faturar"/>
    <n v="610555130001010"/>
    <n v="42208"/>
    <s v="Unidade Vieiralves"/>
    <n v="163200"/>
    <m/>
  </r>
  <r>
    <x v="4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4/10)"/>
    <n v="21.507200000000001"/>
    <n v="2.9327999999999999"/>
    <n v="24.44"/>
    <s v="Sessão Faturada"/>
    <n v="611453030001010"/>
    <n v="29"/>
    <s v="Unidade Vieiralves"/>
    <n v="1711388887"/>
    <m/>
  </r>
  <r>
    <x v="4"/>
    <x v="37"/>
    <s v="Fabíola Graziele Martins de Lima"/>
    <s v="Feminino"/>
    <x v="8"/>
    <x v="20"/>
    <s v="20103484 - Patologia Em Um Membro (R$ 12,22)"/>
    <s v="Fisioterapia"/>
    <n v="1713336619"/>
    <s v="Finalizado (3/10)"/>
    <n v="10.7536"/>
    <n v="1.4663999999999999"/>
    <n v="12.22"/>
    <s v="Sessão a Faturar"/>
    <n v="954590029556010"/>
    <n v="59043"/>
    <s v="Unidade Vieiralves"/>
    <n v="1713336619"/>
    <m/>
  </r>
  <r>
    <x v="4"/>
    <x v="63"/>
    <s v="Fabíola Graziele Martins de Lima"/>
    <s v="Feminino"/>
    <x v="9"/>
    <x v="20"/>
    <s v="31602185 - Estimulação Elétrica Transcutânea (Tens) - Removido 13/04/2026 (R$ 40,00)"/>
    <s v="Fisioterapia"/>
    <n v="1715019315"/>
    <s v="Finalizado (1/8)"/>
    <n v="35.200000000000003"/>
    <n v="4.8"/>
    <n v="40"/>
    <s v="Sessão a Faturar"/>
    <n v="954590029556010"/>
    <n v="59043"/>
    <s v="Unidade Vieiralves"/>
    <n v="1715019315"/>
    <m/>
  </r>
  <r>
    <x v="4"/>
    <x v="63"/>
    <s v="Laindks Lopes"/>
    <s v="Feminino"/>
    <x v="4"/>
    <x v="20"/>
    <s v="31602185 - Estimulação Elétrica Transcutânea - Removido 13/04/2026 (R$ 40,00)"/>
    <s v="Fisioterapia"/>
    <n v="1715059057"/>
    <s v="Finalizado (1/7)"/>
    <n v="35.200000000000003"/>
    <n v="4.8"/>
    <n v="40"/>
    <s v="Sessão Faturada"/>
    <n v="611453030001010"/>
    <n v="29"/>
    <s v="Unidade Vieiralves"/>
    <n v="1715059057"/>
    <m/>
  </r>
  <r>
    <x v="4"/>
    <x v="39"/>
    <s v="Priscila de Souza Rosa Barroncas"/>
    <m/>
    <x v="15"/>
    <x v="20"/>
    <s v="20103506 - Patologia Em Um Segmento da Coluna (R$ 34,74)"/>
    <s v="Fisioterapia"/>
    <n v="238990207"/>
    <s v="Finalizado (6/8)"/>
    <n v="30.571200000000001"/>
    <n v="4.1688000000000001"/>
    <n v="34.74"/>
    <s v="Sessão a Faturar"/>
    <s v="012376760102005"/>
    <n v="52839"/>
    <s v="Unidade Vieiralves"/>
    <n v="238990207"/>
    <m/>
  </r>
  <r>
    <x v="24"/>
    <x v="44"/>
    <s v="Valterlei Ribeiro Mendonça"/>
    <m/>
    <x v="2"/>
    <x v="20"/>
    <s v="20103506 - Fisioterapia - Patologia Em Um Segmento da Coluna (R$ 12,22)"/>
    <s v="Fisioterapia"/>
    <n v="1702115506"/>
    <s v="Finalizado (4/4)"/>
    <n v="10.7536"/>
    <n v="1.4663999999999999"/>
    <n v="12.22"/>
    <s v="Sessão Faturada"/>
    <n v="775494003360000"/>
    <n v="57982"/>
    <s v="Unidade Vieiralves"/>
    <n v="1702115506"/>
    <m/>
  </r>
  <r>
    <x v="24"/>
    <x v="60"/>
    <s v="Valterlei Ribeiro Mendonça"/>
    <m/>
    <x v="4"/>
    <x v="20"/>
    <s v="31602185 - Estimulação Elétrica Transcutânea - Removido 13/04/2026 (R$ 40,00)"/>
    <s v="Fisioterapia"/>
    <n v="1711851600"/>
    <s v="Finalizado (2/4)"/>
    <n v="35.200000000000003"/>
    <n v="4.8"/>
    <n v="40"/>
    <s v="Sessão a Faturar"/>
    <n v="775494003360000"/>
    <n v="57982"/>
    <s v="Unidade Vieiralves"/>
    <n v="1711851600"/>
    <m/>
  </r>
  <r>
    <x v="24"/>
    <x v="41"/>
    <s v="Rafael Daniel Gerzvolf"/>
    <s v="Masculino"/>
    <x v="6"/>
    <x v="20"/>
    <s v="20103484 - Patologia Em Um Membro (R$ 14,16)"/>
    <s v="Fisioterapia"/>
    <n v="171440"/>
    <s v="Finalizado (5/10)"/>
    <n v="12.460800000000001"/>
    <n v="1.6992"/>
    <n v="14.16"/>
    <s v="Sessão a Faturar"/>
    <s v="51588888488560580015"/>
    <n v="57485"/>
    <s v="Unidade Vieiralves"/>
    <n v="171440"/>
    <m/>
  </r>
  <r>
    <x v="24"/>
    <x v="65"/>
    <s v="Rafael Daniel Gerzvolf"/>
    <s v="Masculino"/>
    <x v="6"/>
    <x v="20"/>
    <s v="31602185 - Estimulação Elétrica Transcutanea (Tens) (R$ 40,00)"/>
    <s v="Fisioterapia"/>
    <n v="171439"/>
    <s v="Finalizado (5/9)"/>
    <n v="35.200000000000003"/>
    <n v="4.8"/>
    <n v="40"/>
    <s v="Sessão a Faturar"/>
    <s v="51588888488560580015"/>
    <n v="57485"/>
    <s v="Unidade Vieiralves"/>
    <n v="171439"/>
    <m/>
  </r>
  <r>
    <x v="24"/>
    <x v="36"/>
    <s v="Ana Claudia Teixeira de Souza Viapiana"/>
    <m/>
    <x v="2"/>
    <x v="20"/>
    <s v="20103484 - Fisioterapia - Patologia Em Um Membro (R$ 12,22)"/>
    <s v="Fisioterapia"/>
    <n v="1715426602"/>
    <s v="Finalizado (1/10)"/>
    <n v="10.7536"/>
    <n v="1.4663999999999999"/>
    <n v="12.22"/>
    <s v="Sessão a Faturar"/>
    <n v="896958600019010"/>
    <n v="59405"/>
    <s v="Unidade Vieiralves"/>
    <n v="1715426602"/>
    <m/>
  </r>
  <r>
    <x v="24"/>
    <x v="40"/>
    <s v="Luciana Ferreira Viana"/>
    <m/>
    <x v="7"/>
    <x v="20"/>
    <s v="Vieiralves - 1 - Fisioterapia Ortopedica - Pacote (R$ 40,00)"/>
    <s v="Fisioterapia"/>
    <m/>
    <s v="Finalizado (6/10)"/>
    <n v="31.2"/>
    <n v="8.8000000000000007"/>
    <n v="40"/>
    <s v="Pago"/>
    <s v="00"/>
    <n v="59537"/>
    <s v="Unidade Vieiralves"/>
    <m/>
    <m/>
  </r>
  <r>
    <x v="24"/>
    <x v="40"/>
    <s v="Leonidas Oliveira de Lima"/>
    <s v="Masculino"/>
    <x v="7"/>
    <x v="20"/>
    <s v="Vieiralves - 1 - Fisioterapia Ortopedica - Pacote (R$ 80,00)"/>
    <s v="Fisioterapia"/>
    <n v="170586"/>
    <s v="Finalizado (2/10)"/>
    <n v="62.4"/>
    <n v="17.600000000000001"/>
    <n v="80"/>
    <s v="Pago"/>
    <n v="0"/>
    <n v="59536"/>
    <s v="Unidade Vieiralves"/>
    <n v="170586"/>
    <m/>
  </r>
  <r>
    <x v="24"/>
    <x v="35"/>
    <s v="Sara Gonçalves Vieira"/>
    <s v="Feminino"/>
    <x v="7"/>
    <x v="20"/>
    <s v="Vieiralves - 1 - Fisioterapia Ortopedica - Pacote (R$ 80,00)"/>
    <s v="Fisioterapia"/>
    <n v="171970"/>
    <s v="Finalizado (4/10)"/>
    <n v="62.4"/>
    <n v="17.600000000000001"/>
    <n v="80"/>
    <s v="Pago"/>
    <n v="56256"/>
    <n v="56256"/>
    <s v="Unidade Vieiralves"/>
    <n v="171970"/>
    <m/>
  </r>
  <r>
    <x v="24"/>
    <x v="38"/>
    <s v="Waldir dos Santos Fontes Junior"/>
    <s v="Masculino"/>
    <x v="2"/>
    <x v="20"/>
    <s v="20103506 - Fisioterapia - Patologia Em Um Segmento da Coluna (R$ 12,22)"/>
    <s v="Fisioterapia"/>
    <n v="1714249141"/>
    <s v="Finalizado (2/5)"/>
    <n v="10.7536"/>
    <n v="1.4663999999999999"/>
    <n v="12.22"/>
    <s v="Sessão Faturada"/>
    <n v="772133000728000"/>
    <n v="51522"/>
    <s v="Unidade Vieiralves"/>
    <n v="1714249141"/>
    <m/>
  </r>
  <r>
    <x v="24"/>
    <x v="38"/>
    <s v="Valmir de Oliveira Rodrigues"/>
    <s v="Masculino"/>
    <x v="6"/>
    <x v="20"/>
    <s v="20103484 - Patologia Em Um Membro (R$ 14,16)"/>
    <s v="Fisioterapia"/>
    <n v="171854"/>
    <s v="Finalizado (4/10)"/>
    <n v="12.460800000000001"/>
    <n v="1.6992"/>
    <n v="14.16"/>
    <s v="Sessão a Faturar"/>
    <s v="55788888483016290015"/>
    <n v="15363"/>
    <s v="Unidade Vieiralves"/>
    <n v="171854"/>
    <m/>
  </r>
  <r>
    <x v="24"/>
    <x v="38"/>
    <s v="Simone de Oliveira Vasconcelos"/>
    <s v="Feminino"/>
    <x v="2"/>
    <x v="20"/>
    <s v="20103492 - Fisioterapia - Patologia Em Dois Ou Mais Membros (R$ 14,83), 20103514 - Fisioterapia - Patologia Em Diferentes Segmentos da Coluna (R$ 14,83)"/>
    <s v="Fisioterapia"/>
    <n v="1713990465"/>
    <s v="Finalizado (2/4)"/>
    <n v="26.1008"/>
    <n v="3.5592000000000001"/>
    <n v="29.66"/>
    <s v="Sessão a Faturar"/>
    <n v="771015038954010"/>
    <n v="54706"/>
    <s v="Unidade Vieiralves"/>
    <n v="1713990465"/>
    <m/>
  </r>
  <r>
    <x v="24"/>
    <x v="38"/>
    <s v="Kesia Rachel Martins Jathay"/>
    <s v="Feminino"/>
    <x v="2"/>
    <x v="20"/>
    <s v="20103492 - Fisioterapia - Patologia Em Dois Ou Mais Membros (R$ 14,83)"/>
    <s v="Fisioterapia"/>
    <n v="1713654473"/>
    <s v="Finalizado (2/10)"/>
    <n v="13.0504"/>
    <n v="1.7796000000000001"/>
    <n v="14.83"/>
    <s v="Sessão a Faturar"/>
    <n v="894937200736000"/>
    <n v="53553"/>
    <s v="Unidade Vieiralves"/>
    <n v="1713654473"/>
    <m/>
  </r>
  <r>
    <x v="24"/>
    <x v="38"/>
    <s v="Valmir de Oliveira Rodrigues"/>
    <s v="Masculino"/>
    <x v="6"/>
    <x v="20"/>
    <s v="31602185 - Estimulação Elétrica Transcutanea (Tens) (R$ 40,00)"/>
    <s v="Fisioterapia"/>
    <n v="171855"/>
    <s v="Finalizado (4/7)"/>
    <n v="35.200000000000003"/>
    <n v="4.8"/>
    <n v="40"/>
    <s v="Sessão a Faturar"/>
    <s v="55788888483016290015"/>
    <n v="15363"/>
    <s v="Unidade Vieiralves"/>
    <n v="171855"/>
    <m/>
  </r>
  <r>
    <x v="24"/>
    <x v="37"/>
    <s v="Dina Francoile Viana Ramos"/>
    <s v="Feminino"/>
    <x v="4"/>
    <x v="20"/>
    <s v="31602185 - Estimulação Elétrica Transcutânea - Removido 13/04/2026 (R$ 40,00)"/>
    <s v="Fisioterapia"/>
    <n v="1710826226"/>
    <s v="Finalizado (5/10)"/>
    <n v="35.200000000000003"/>
    <n v="4.8"/>
    <n v="40"/>
    <s v="Sessão Faturada"/>
    <n v="960016167330060"/>
    <n v="16965"/>
    <s v="Unidade Vieiralves"/>
    <n v="1710826226"/>
    <m/>
  </r>
  <r>
    <x v="24"/>
    <x v="37"/>
    <s v="Dina Francoile Viana Ramos"/>
    <s v="Feminino"/>
    <x v="2"/>
    <x v="20"/>
    <s v="20103492 - Fisioterapia - Patologia Em Dois Ou Mais Membros (R$ 14,83)"/>
    <s v="Fisioterapia"/>
    <n v="1706286360"/>
    <s v="Finalizado (9/10)"/>
    <n v="13.0504"/>
    <n v="1.7796000000000001"/>
    <n v="14.83"/>
    <s v="Sessão Faturada"/>
    <n v="960016167330060"/>
    <n v="16965"/>
    <s v="Unidade Vieiralves"/>
    <n v="1706286360"/>
    <m/>
  </r>
  <r>
    <x v="24"/>
    <x v="37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8/10)"/>
    <n v="30.8"/>
    <n v="4.2"/>
    <n v="35"/>
    <s v="Sessão Faturada"/>
    <s v="0201013982810029"/>
    <n v="19454"/>
    <s v="Unidade Vieiralves"/>
    <n v="9052356"/>
    <m/>
  </r>
  <r>
    <x v="24"/>
    <x v="39"/>
    <s v="Priscila de Souza Rosa Barroncas"/>
    <m/>
    <x v="15"/>
    <x v="20"/>
    <s v="20103506 - Patologia Em Um Segmento da Coluna (R$ 34,74)"/>
    <s v="Fisioterapia"/>
    <n v="238990207"/>
    <s v="Finalizado (7/8)"/>
    <n v="30.571200000000001"/>
    <n v="4.1688000000000001"/>
    <n v="34.74"/>
    <s v="Sessão a Faturar"/>
    <s v="012376760102005"/>
    <n v="52839"/>
    <s v="Unidade Vieiralves"/>
    <n v="238990207"/>
    <m/>
  </r>
  <r>
    <x v="24"/>
    <x v="39"/>
    <s v="Luciana Holanda de Souza"/>
    <s v="Feminino"/>
    <x v="7"/>
    <x v="20"/>
    <s v="Vieiralves - 1 - Fisioterapia Ortopedica - Pacote (R$ 40,00)"/>
    <s v="Fisioterapia"/>
    <m/>
    <s v="Finalizado (8/10)"/>
    <n v="31.2"/>
    <n v="8.8000000000000007"/>
    <n v="40"/>
    <s v="Pago"/>
    <s v="00"/>
    <n v="59427"/>
    <s v="Unidade Vieiralves"/>
    <m/>
    <m/>
  </r>
  <r>
    <x v="5"/>
    <x v="89"/>
    <s v="Victor Thury Vieira Hauache"/>
    <s v="Masculino"/>
    <x v="6"/>
    <x v="20"/>
    <s v="20103484 - Patologia Em Um Membro (R$ 14,16)"/>
    <s v="Fisioterapia"/>
    <n v="171559"/>
    <s v="Finalizado (6/10)"/>
    <n v="12.460800000000001"/>
    <n v="1.6992"/>
    <n v="14.16"/>
    <s v="Sessão a Faturar"/>
    <s v="55788888476678190110"/>
    <n v="59493"/>
    <s v="Unidade Vieiralves"/>
    <n v="171559"/>
    <m/>
  </r>
  <r>
    <x v="5"/>
    <x v="89"/>
    <s v="Sandra Souza Cavalcante"/>
    <m/>
    <x v="2"/>
    <x v="20"/>
    <s v="20103484 - Fisioterapia - Patologia Em Um Membro (R$ 12,22)"/>
    <s v="Fisioterapia"/>
    <n v="1710035241"/>
    <s v="Finalizado (5/8)"/>
    <n v="10.7536"/>
    <n v="1.4663999999999999"/>
    <n v="12.22"/>
    <s v="Sessão a Faturar"/>
    <n v="773299001503000"/>
    <n v="59519"/>
    <s v="Unidade Vieiralves"/>
    <n v="1710035241"/>
    <m/>
  </r>
  <r>
    <x v="5"/>
    <x v="90"/>
    <s v="Sandra Souza Cavalcante"/>
    <m/>
    <x v="4"/>
    <x v="20"/>
    <s v="31602185 - Estimulação Elétrica Transcutânea - Removido 13/04/2026 (R$ 40,00)"/>
    <s v="Fisioterapia"/>
    <n v="1709420314"/>
    <s v="Finalizado (4/5)"/>
    <n v="35.200000000000003"/>
    <n v="4.8"/>
    <n v="40"/>
    <s v="Sessão Faturada"/>
    <n v="773299001503000"/>
    <n v="59519"/>
    <s v="Unidade Vieiralves"/>
    <n v="1709420314"/>
    <m/>
  </r>
  <r>
    <x v="5"/>
    <x v="90"/>
    <s v="Victor Thury Vieira Hauache"/>
    <s v="Masculino"/>
    <x v="6"/>
    <x v="20"/>
    <s v="31602185 - Estimulação Elétrica Transcutanea (Tens) (R$ 40,00)"/>
    <s v="Fisioterapia"/>
    <n v="171564"/>
    <s v="Finalizado (5/9)"/>
    <n v="35.200000000000003"/>
    <n v="4.8"/>
    <n v="40"/>
    <s v="Sessão a Faturar"/>
    <s v="55788888476678190110"/>
    <n v="59493"/>
    <s v="Unidade Vieiralves"/>
    <n v="171564"/>
    <m/>
  </r>
  <r>
    <x v="5"/>
    <x v="44"/>
    <s v="Ana Claudia Teixeira de Souza Viapiana"/>
    <m/>
    <x v="2"/>
    <x v="20"/>
    <s v="20103484 - Fisioterapia - Patologia Em Um Membro (R$ 12,22)"/>
    <s v="Fisioterapia"/>
    <n v="1715426602"/>
    <s v="Finalizado (2/10)"/>
    <n v="10.7536"/>
    <n v="1.4663999999999999"/>
    <n v="12.22"/>
    <s v="Sessão a Faturar"/>
    <n v="896958600019010"/>
    <n v="59405"/>
    <s v="Unidade Vieiralves"/>
    <n v="1715426602"/>
    <m/>
  </r>
  <r>
    <x v="5"/>
    <x v="41"/>
    <s v="Juliana Schettini Sobrinho Dourado"/>
    <m/>
    <x v="6"/>
    <x v="20"/>
    <s v="20103484 - Patologia Em Um Membro (R$ 14,16)"/>
    <s v="Fisioterapia"/>
    <n v="171274"/>
    <s v="Finalizado (6/10)"/>
    <n v="12.460800000000001"/>
    <n v="1.6992"/>
    <n v="14.16"/>
    <s v="Sessão a Faturar"/>
    <s v="51588888483923230010"/>
    <n v="58626"/>
    <s v="Unidade Vieiralves"/>
    <n v="171274"/>
    <m/>
  </r>
  <r>
    <x v="5"/>
    <x v="41"/>
    <s v="Edna Lucia Moraes Derzi"/>
    <s v="Feminino"/>
    <x v="6"/>
    <x v="20"/>
    <s v="20103492 - Patologia Em Dois Ou Mais Membros (R$ 30,26)"/>
    <s v="Fisioterapia"/>
    <n v="170406"/>
    <s v="Finalizado (8/10)"/>
    <n v="26.628799999999998"/>
    <n v="3.6312000000000002"/>
    <n v="30.26"/>
    <s v="Sessão a Faturar"/>
    <s v="54588888469679780015"/>
    <n v="13101"/>
    <s v="Unidade Vieiralves"/>
    <n v="170406"/>
    <m/>
  </r>
  <r>
    <x v="5"/>
    <x v="41"/>
    <s v="Edna Lucia Moraes Derzi"/>
    <s v="Feminino"/>
    <x v="6"/>
    <x v="20"/>
    <s v="31602185 - Estimulação Elétrica Transcutanea (Tens) (R$ 40,00)"/>
    <s v="Fisioterapia"/>
    <n v="170747"/>
    <s v="Finalizado (7/10)"/>
    <n v="35.200000000000003"/>
    <n v="4.8"/>
    <n v="40"/>
    <s v="Sessão a Faturar"/>
    <s v="54588888469679780015"/>
    <n v="13101"/>
    <s v="Unidade Vieiralves"/>
    <n v="170747"/>
    <m/>
  </r>
  <r>
    <x v="5"/>
    <x v="41"/>
    <s v="Cristina dos Santos Braga"/>
    <m/>
    <x v="20"/>
    <x v="20"/>
    <s v="20103506 - Patologia Em  Um Segmento da Coluna (R$ 27,11)"/>
    <s v="Fisioterapia"/>
    <n v="55729690"/>
    <s v="Finalizado (3/10)"/>
    <n v="23.8568"/>
    <n v="3.2532000000000001"/>
    <n v="27.11"/>
    <s v="Sessão a Faturar"/>
    <n v="10511000263700"/>
    <n v="59694"/>
    <s v="Unidade Vieiralves"/>
    <n v="55729690"/>
    <m/>
  </r>
  <r>
    <x v="5"/>
    <x v="65"/>
    <s v="Juliana Schettini Sobrinho Dourado"/>
    <m/>
    <x v="6"/>
    <x v="20"/>
    <s v="31602185 - Estimulação Elétrica Transcutanea (Tens) (R$ 40,00)"/>
    <s v="Fisioterapia"/>
    <n v="172381"/>
    <s v="Finalizado (2/6)"/>
    <n v="35.200000000000003"/>
    <n v="4.8"/>
    <n v="40"/>
    <s v="Sessão a Faturar"/>
    <s v="51588888483923230010"/>
    <n v="58626"/>
    <s v="Unidade Vieiralves"/>
    <n v="172381"/>
    <m/>
  </r>
  <r>
    <x v="5"/>
    <x v="36"/>
    <s v="Darlan da Silva Picanço"/>
    <s v="Feminino"/>
    <x v="1"/>
    <x v="20"/>
    <s v="50000160 - Fisioterapia Ortopédica (R$ 20,00), 98980327 - Taxa de Eletroterapia (Tens) (R$ 15,00)"/>
    <s v="Fisioterapia"/>
    <n v="9458849"/>
    <s v="Finalizado (1/10)"/>
    <n v="30.8"/>
    <n v="4.2"/>
    <n v="35"/>
    <s v="Sessão Faturada"/>
    <s v="0901013959170057"/>
    <n v="15532"/>
    <s v="Unidade Vieiralves"/>
    <n v="9458849"/>
    <m/>
  </r>
  <r>
    <x v="5"/>
    <x v="36"/>
    <s v="Sydney Campos Litaiff Filho"/>
    <s v="Feminino"/>
    <x v="2"/>
    <x v="20"/>
    <s v="50000144 - Avaliação de Fisioterapia (R$ 51,42)"/>
    <s v="Fisioterapia"/>
    <n v="1715913182"/>
    <s v="Finalizado (1/1)"/>
    <n v="46.277999999999999"/>
    <n v="5.1420000000000003"/>
    <n v="51.42"/>
    <s v="Sessão Faturada"/>
    <n v="774642012432010"/>
    <n v="59691"/>
    <s v="Unidade Vieiralves"/>
    <n v="1715913182"/>
    <m/>
  </r>
  <r>
    <x v="5"/>
    <x v="36"/>
    <s v="Maria da Assunção Dantas da Silva"/>
    <m/>
    <x v="1"/>
    <x v="20"/>
    <s v="50000160 - Fisioterapia Ortopédica (R$ 20,00), 98980327 - Taxa de Eletroterapia (Tens) (R$ 15,00)"/>
    <s v="Fisioterapia"/>
    <n v="9367730"/>
    <s v="Finalizado (4/10)"/>
    <n v="30.8"/>
    <n v="4.2"/>
    <n v="35"/>
    <s v="Sessão Faturada"/>
    <n v="1901005511160100"/>
    <n v="59640"/>
    <s v="Unidade Vieiralves"/>
    <n v="9367730"/>
    <m/>
  </r>
  <r>
    <x v="5"/>
    <x v="36"/>
    <s v="Luciana Ferreira Viana"/>
    <m/>
    <x v="7"/>
    <x v="20"/>
    <s v="Vieiralves - 1 - Fisioterapia Ortopedica - Pacote (R$ 40,00)"/>
    <s v="Fisioterapia"/>
    <m/>
    <s v="Finalizado (7/10)"/>
    <n v="31.2"/>
    <n v="8.8000000000000007"/>
    <n v="40"/>
    <s v="Pago"/>
    <s v="00"/>
    <n v="59537"/>
    <s v="Unidade Vieiralves"/>
    <m/>
    <m/>
  </r>
  <r>
    <x v="5"/>
    <x v="61"/>
    <s v="Sydney Campos Litaiff Filho"/>
    <s v="Feminino"/>
    <x v="2"/>
    <x v="20"/>
    <s v="20103484 - Fisioterapia - Patologia Em Um Membro (R$ 12,22)"/>
    <s v="Fisioterapia"/>
    <n v="1715914483"/>
    <s v="Finalizado (1/10)"/>
    <n v="10.7536"/>
    <n v="1.4663999999999999"/>
    <n v="12.22"/>
    <s v="Sessão a Faturar"/>
    <n v="774642012432010"/>
    <n v="59691"/>
    <s v="Unidade Vieiralves"/>
    <n v="1715914483"/>
    <m/>
  </r>
  <r>
    <x v="5"/>
    <x v="40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6/10)"/>
    <n v="30.8"/>
    <n v="4.2"/>
    <n v="35"/>
    <s v="Sessão Faturada"/>
    <s v="0901014030320036"/>
    <n v="59617"/>
    <s v="Unidade Vieiralves"/>
    <n v="9308623"/>
    <m/>
  </r>
  <r>
    <x v="5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7/10)"/>
    <n v="41.342399999999998"/>
    <n v="5.6375999999999999"/>
    <n v="46.98"/>
    <s v="Sessão a Faturar"/>
    <s v="55788888491272530020"/>
    <n v="51936"/>
    <s v="Unidade Vieiralves"/>
    <n v="170745"/>
    <m/>
  </r>
  <r>
    <x v="5"/>
    <x v="40"/>
    <s v="Tatianna Silva Portes"/>
    <s v="Feminino"/>
    <x v="5"/>
    <x v="20"/>
    <s v="98860020 - Fisioterapia Complexidade 2 - 04/03/2026 (R$ 70,79)"/>
    <s v="Fisioterapia"/>
    <n v="77595650"/>
    <s v="Finalizado (9/10)"/>
    <n v="62.295200000000001"/>
    <n v="8.4947999999999997"/>
    <n v="70.790000000000006"/>
    <s v="Sessão Faturada"/>
    <s v="0100621050010300"/>
    <n v="55555"/>
    <s v="Unidade Vieiralves"/>
    <n v="77595650"/>
    <m/>
  </r>
  <r>
    <x v="5"/>
    <x v="45"/>
    <s v="Tatianna Silva Portes"/>
    <s v="Feminino"/>
    <x v="5"/>
    <x v="20"/>
    <s v="31602185 - Estimulação Elétrica Transcutânea (Tens) - 04/03/2026 (R$ 120,28)"/>
    <s v="Fisioterapia"/>
    <n v="77595860"/>
    <s v="Finalizado (7/8)"/>
    <n v="105.8464"/>
    <n v="14.4336"/>
    <n v="120.28"/>
    <s v="Sessão Faturada"/>
    <s v="0100621050010300"/>
    <n v="55555"/>
    <s v="Unidade Vieiralves"/>
    <n v="77595860"/>
    <m/>
  </r>
  <r>
    <x v="5"/>
    <x v="45"/>
    <s v="Auxiliadora Brito de Lima"/>
    <m/>
    <x v="6"/>
    <x v="20"/>
    <s v="31602185 - Estimulação Elétrica Transcutanea (Tens) (R$ 40,00)"/>
    <s v="Fisioterapia"/>
    <n v="170746"/>
    <s v="Finalizado (7/9)"/>
    <n v="35.200000000000003"/>
    <n v="4.8"/>
    <n v="40"/>
    <s v="Sessão a Faturar"/>
    <s v="55788888491272530020"/>
    <n v="51936"/>
    <s v="Unidade Vieiralves"/>
    <n v="170746"/>
    <m/>
  </r>
  <r>
    <x v="5"/>
    <x v="35"/>
    <s v="Raimunda Monteiro Saboia"/>
    <s v="Feminino"/>
    <x v="1"/>
    <x v="20"/>
    <s v="50000160 - Fisioterapia Ortopédica (R$ 20,00), 98980327 - Taxa de Eletroterapia (Tens) (R$ 15,00)"/>
    <s v="Fisioterapia"/>
    <n v="9408630"/>
    <s v="Finalizado (3/10)"/>
    <n v="30.8"/>
    <n v="4.2"/>
    <n v="35"/>
    <s v="Sessão a Faturar"/>
    <n v="1901007785660100"/>
    <n v="36186"/>
    <s v="Unidade Vieiralves"/>
    <n v="9408630"/>
    <m/>
  </r>
  <r>
    <x v="5"/>
    <x v="35"/>
    <s v="Olivaldo Soares da Silva"/>
    <s v="Masculino"/>
    <x v="2"/>
    <x v="20"/>
    <s v="20103492 - Fisioterapia - Patologia Em Dois Ou Mais Membros (R$ 14,83)"/>
    <s v="Fisioterapia"/>
    <n v="1713968118"/>
    <s v="Finalizado (2/10)"/>
    <n v="13.0504"/>
    <n v="1.7796000000000001"/>
    <n v="14.83"/>
    <s v="Sessão a Faturar"/>
    <n v="771015041238010"/>
    <n v="44585"/>
    <s v="Unidade Vieiralves"/>
    <n v="1713968118"/>
    <m/>
  </r>
  <r>
    <x v="5"/>
    <x v="35"/>
    <s v="Simone de Oliveira Vasconcelos"/>
    <s v="Feminino"/>
    <x v="2"/>
    <x v="20"/>
    <s v="20103492 - Fisioterapia - Patologia Em Dois Ou Mais Membros (R$ 14,83), 20103514 - Fisioterapia - Patologia Em Diferentes Segmentos da Coluna (R$ 14,83)"/>
    <s v="Fisioterapia"/>
    <n v="1713990465"/>
    <s v="Finalizado (3/4)"/>
    <n v="26.1008"/>
    <n v="3.5592000000000001"/>
    <n v="29.66"/>
    <s v="Sessão a Faturar"/>
    <n v="771015038954010"/>
    <n v="54706"/>
    <s v="Unidade Vieiralves"/>
    <n v="1713990465"/>
    <m/>
  </r>
  <r>
    <x v="5"/>
    <x v="38"/>
    <s v="Luciana Levinthal da Silva"/>
    <s v="Feminino"/>
    <x v="11"/>
    <x v="20"/>
    <s v="20103484 - Fisioterapia - Patologia Em Um Membro (R$ 80,33)"/>
    <s v="Fisioterapia"/>
    <n v="3513"/>
    <s v="Finalizado (4/10)"/>
    <n v="70.690399999999997"/>
    <n v="9.6395999999999997"/>
    <n v="80.33"/>
    <s v="Sessão a Faturar"/>
    <s v="01685-F-1"/>
    <n v="59646"/>
    <s v="Unidade Vieiralves"/>
    <n v="3513"/>
    <m/>
  </r>
  <r>
    <x v="5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5/10)"/>
    <n v="21.507200000000001"/>
    <n v="2.9327999999999999"/>
    <n v="24.44"/>
    <s v="Sessão Faturada"/>
    <n v="611453030001010"/>
    <n v="29"/>
    <s v="Unidade Vieiralves"/>
    <n v="1711388887"/>
    <m/>
  </r>
  <r>
    <x v="5"/>
    <x v="37"/>
    <s v="Fabíola Graziele Martins de Lima"/>
    <s v="Feminino"/>
    <x v="8"/>
    <x v="20"/>
    <s v="20103484 - Patologia Em Um Membro (R$ 12,22)"/>
    <s v="Fisioterapia"/>
    <n v="1713336619"/>
    <s v="Finalizado (4/10)"/>
    <n v="10.7536"/>
    <n v="1.4663999999999999"/>
    <n v="12.22"/>
    <s v="Sessão a Faturar"/>
    <n v="954590029556010"/>
    <n v="59043"/>
    <s v="Unidade Vieiralves"/>
    <n v="1713336619"/>
    <m/>
  </r>
  <r>
    <x v="5"/>
    <x v="37"/>
    <s v="Cinara Viana de Oliveira"/>
    <s v="Feminino"/>
    <x v="5"/>
    <x v="20"/>
    <s v="98860011 - Fisioterapia Complexidade 1 (R$ 55,26)"/>
    <s v="Fisioterapia"/>
    <n v="78993720"/>
    <s v="Finalizado (2/10)"/>
    <n v="48.628799999999998"/>
    <n v="6.6311999999999998"/>
    <n v="55.26"/>
    <s v="Sessão a Faturar"/>
    <s v="0101015127010323"/>
    <n v="59671"/>
    <s v="Unidade Vieiralves"/>
    <n v="78993720"/>
    <m/>
  </r>
  <r>
    <x v="5"/>
    <x v="37"/>
    <s v="Ana Cristina Belarmino de Oliveira"/>
    <s v="Feminino"/>
    <x v="15"/>
    <x v="20"/>
    <s v="20103514 - Patologia Em Diferentes Segmentos da Coluna (R$ 60,72)"/>
    <s v="Fisioterapia"/>
    <n v="238463711"/>
    <s v="Finalizado (8/10)"/>
    <n v="53.433599999999998"/>
    <n v="7.2864000000000004"/>
    <n v="60.72"/>
    <s v="Sessão a Faturar"/>
    <s v="012616100102004"/>
    <n v="59505"/>
    <s v="Unidade Vieiralves"/>
    <n v="238463711"/>
    <m/>
  </r>
  <r>
    <x v="5"/>
    <x v="37"/>
    <s v="Cinara Viana de Oliveira"/>
    <s v="Feminino"/>
    <x v="5"/>
    <x v="20"/>
    <s v="31602185 - Estimulação Elétrica Transcutânea (Tens) (R$ 125,40)"/>
    <s v="Fisioterapia"/>
    <n v="79167880"/>
    <s v="Finalizado (2/10)"/>
    <n v="110.352"/>
    <n v="15.048"/>
    <n v="125.4"/>
    <s v="Sessão a Faturar"/>
    <s v="0101015127010323"/>
    <n v="59671"/>
    <s v="Unidade Vieiralves"/>
    <n v="79167880"/>
    <m/>
  </r>
  <r>
    <x v="5"/>
    <x v="63"/>
    <s v="Fabíola Graziele Martins de Lima"/>
    <s v="Feminino"/>
    <x v="9"/>
    <x v="20"/>
    <s v="31602185 - Estimulação Elétrica Transcutânea (Tens) - Removido 13/04/2026 (R$ 40,00)"/>
    <s v="Fisioterapia"/>
    <n v="1715019315"/>
    <s v="Finalizado (2/8)"/>
    <n v="35.200000000000003"/>
    <n v="4.8"/>
    <n v="40"/>
    <s v="Sessão a Faturar"/>
    <n v="954590029556010"/>
    <n v="59043"/>
    <s v="Unidade Vieiralves"/>
    <n v="1715019315"/>
    <m/>
  </r>
  <r>
    <x v="5"/>
    <x v="63"/>
    <s v="Laindks Lopes"/>
    <s v="Feminino"/>
    <x v="4"/>
    <x v="20"/>
    <s v="31602185 - Estimulação Elétrica Transcutânea - Removido 13/04/2026 (R$ 40,00)"/>
    <s v="Fisioterapia"/>
    <n v="1715059057"/>
    <s v="Finalizado (2/7)"/>
    <n v="35.200000000000003"/>
    <n v="4.8"/>
    <n v="40"/>
    <s v="Sessão Faturada"/>
    <n v="611453030001010"/>
    <n v="29"/>
    <s v="Unidade Vieiralves"/>
    <n v="1715059057"/>
    <m/>
  </r>
  <r>
    <x v="6"/>
    <x v="89"/>
    <s v="Victor Thury Vieira Hauache"/>
    <s v="Masculino"/>
    <x v="6"/>
    <x v="20"/>
    <s v="20103484 - Patologia Em Um Membro (R$ 14,16)"/>
    <s v="Fisioterapia"/>
    <n v="171559"/>
    <s v="Finalizado (7/10)"/>
    <n v="12.460800000000001"/>
    <n v="1.6992"/>
    <n v="14.16"/>
    <s v="Sessão a Faturar"/>
    <s v="55788888476678190110"/>
    <n v="59493"/>
    <s v="Unidade Vieiralves"/>
    <n v="171559"/>
    <m/>
  </r>
  <r>
    <x v="6"/>
    <x v="89"/>
    <s v="Maria Raimunda da Silva Guedes Lima"/>
    <s v="Feminino"/>
    <x v="2"/>
    <x v="20"/>
    <s v="20103492 - Fisioterapia - Patologia Em Dois Ou Mais Membros (R$ 14,83)"/>
    <s v="Fisioterapia"/>
    <n v="1716402020"/>
    <s v="Finalizado (1/10)"/>
    <n v="13.0504"/>
    <n v="1.7796000000000001"/>
    <n v="14.83"/>
    <s v="Sessão a Faturar"/>
    <n v="960016575471000"/>
    <n v="21019"/>
    <s v="Unidade Vieiralves"/>
    <n v="1716402020"/>
    <m/>
  </r>
  <r>
    <x v="6"/>
    <x v="89"/>
    <s v="Rozirlande Oliveira do Valle"/>
    <s v="Feminino"/>
    <x v="6"/>
    <x v="20"/>
    <s v="20103484 - Patologia Em Um Membro (R$ 14,16)"/>
    <s v="Fisioterapia"/>
    <n v="172228"/>
    <s v="Finalizado (3/10)"/>
    <n v="12.460800000000001"/>
    <n v="1.6992"/>
    <n v="14.16"/>
    <s v="Sessão a Faturar"/>
    <s v="58201466755603470024"/>
    <n v="38049"/>
    <s v="Unidade Vieiralves"/>
    <n v="172228"/>
    <m/>
  </r>
  <r>
    <x v="6"/>
    <x v="90"/>
    <s v="Maria Raimunda da Silva Guedes Lima"/>
    <s v="Feminino"/>
    <x v="4"/>
    <x v="20"/>
    <s v="31602185 - Estimulação Elétrica Transcutânea - Removido 13/04/2026 (R$ 40,00)"/>
    <s v="Fisioterapia"/>
    <n v="1710670774"/>
    <s v="Finalizado (4/5)"/>
    <n v="35.200000000000003"/>
    <n v="4.8"/>
    <n v="40"/>
    <s v="Sessão Faturada"/>
    <n v="960016575471000"/>
    <n v="21019"/>
    <s v="Unidade Vieiralves"/>
    <n v="1710670774"/>
    <m/>
  </r>
  <r>
    <x v="6"/>
    <x v="90"/>
    <s v="Victor Thury Vieira Hauache"/>
    <s v="Masculino"/>
    <x v="6"/>
    <x v="20"/>
    <s v="31602185 - Estimulação Elétrica Transcutanea (Tens) (R$ 40,00)"/>
    <s v="Fisioterapia"/>
    <n v="171564"/>
    <s v="Finalizado (6/9)"/>
    <n v="35.200000000000003"/>
    <n v="4.8"/>
    <n v="40"/>
    <s v="Sessão a Faturar"/>
    <s v="55788888476678190110"/>
    <n v="59493"/>
    <s v="Unidade Vieiralves"/>
    <n v="171564"/>
    <m/>
  </r>
  <r>
    <x v="6"/>
    <x v="90"/>
    <s v="Rozirlande Oliveira do Valle"/>
    <s v="Feminino"/>
    <x v="6"/>
    <x v="20"/>
    <s v="31602185 - Estimulação Elétrica Transcutanea (Tens) (R$ 40,00)"/>
    <s v="Fisioterapia"/>
    <n v="172273"/>
    <s v="Finalizado (2/10)"/>
    <n v="35.200000000000003"/>
    <n v="4.8"/>
    <n v="40"/>
    <s v="Sessão a Faturar"/>
    <s v="58201466755603470024"/>
    <n v="38049"/>
    <s v="Unidade Vieiralves"/>
    <n v="172273"/>
    <m/>
  </r>
  <r>
    <x v="6"/>
    <x v="44"/>
    <s v="Emanuele Menezes da Silva"/>
    <s v="Feminino"/>
    <x v="2"/>
    <x v="20"/>
    <s v="20103506 - Fisioterapia - Patologia Em Um Segmento da Coluna (R$ 12,22)"/>
    <s v="Fisioterapia"/>
    <n v="1713276569"/>
    <s v="Finalizado (2/10)"/>
    <n v="10.7536"/>
    <n v="1.4663999999999999"/>
    <n v="12.22"/>
    <s v="Sessão a Faturar"/>
    <n v="774642014893010"/>
    <n v="44534"/>
    <s v="Unidade Vieiralves"/>
    <n v="1713276569"/>
    <m/>
  </r>
  <r>
    <x v="6"/>
    <x v="44"/>
    <s v="Ana Claudia Teixeira de Souza Viapiana"/>
    <m/>
    <x v="2"/>
    <x v="20"/>
    <s v="20103484 - Fisioterapia - Patologia Em Um Membro (R$ 12,22)"/>
    <s v="Fisioterapia"/>
    <n v="1715426602"/>
    <s v="Finalizado (3/10)"/>
    <n v="10.7536"/>
    <n v="1.4663999999999999"/>
    <n v="12.22"/>
    <s v="Sessão a Faturar"/>
    <n v="896958600019010"/>
    <n v="59405"/>
    <s v="Unidade Vieiralves"/>
    <n v="1715426602"/>
    <m/>
  </r>
  <r>
    <x v="6"/>
    <x v="41"/>
    <s v="Cristina dos Santos Braga"/>
    <m/>
    <x v="20"/>
    <x v="20"/>
    <s v="20103506 - Patologia Em  Um Segmento da Coluna (R$ 27,11)"/>
    <s v="Fisioterapia"/>
    <n v="55729690"/>
    <s v="Finalizado (4/10)"/>
    <n v="23.8568"/>
    <n v="3.2532000000000001"/>
    <n v="27.11"/>
    <s v="Sessão a Faturar"/>
    <n v="10511000263700"/>
    <n v="59694"/>
    <s v="Unidade Vieiralves"/>
    <n v="55729690"/>
    <m/>
  </r>
  <r>
    <x v="6"/>
    <x v="41"/>
    <s v="Rafael Daniel Gerzvolf"/>
    <s v="Masculino"/>
    <x v="6"/>
    <x v="20"/>
    <s v="20103484 - Patologia Em Um Membro (R$ 14,16)"/>
    <s v="Fisioterapia"/>
    <n v="171440"/>
    <s v="Finalizado (6/10)"/>
    <n v="12.460800000000001"/>
    <n v="1.6992"/>
    <n v="14.16"/>
    <s v="Sessão a Faturar"/>
    <s v="51588888488560580015"/>
    <n v="57485"/>
    <s v="Unidade Vieiralves"/>
    <n v="171440"/>
    <m/>
  </r>
  <r>
    <x v="6"/>
    <x v="41"/>
    <s v="Lucas Reniele Amorim de Andrade"/>
    <s v="Masculino"/>
    <x v="2"/>
    <x v="20"/>
    <s v="20103484 - Fisioterapia - Patologia Em Um Membro (R$ 12,22)"/>
    <s v="Fisioterapia"/>
    <n v="1711676744"/>
    <s v="Finalizado (4/6)"/>
    <n v="10.7536"/>
    <n v="1.4663999999999999"/>
    <n v="12.22"/>
    <s v="Sessão a Faturar"/>
    <n v="774642029297000"/>
    <n v="58737"/>
    <s v="Unidade Vieiralves"/>
    <n v="1711676744"/>
    <m/>
  </r>
  <r>
    <x v="6"/>
    <x v="65"/>
    <s v="Rafael Daniel Gerzvolf"/>
    <s v="Masculino"/>
    <x v="6"/>
    <x v="20"/>
    <s v="31602185 - Estimulação Elétrica Transcutanea (Tens) (R$ 40,00)"/>
    <s v="Fisioterapia"/>
    <n v="171439"/>
    <s v="Finalizado (6/9)"/>
    <n v="35.200000000000003"/>
    <n v="4.8"/>
    <n v="40"/>
    <s v="Sessão a Faturar"/>
    <s v="51588888488560580015"/>
    <n v="57485"/>
    <s v="Unidade Vieiralves"/>
    <n v="171439"/>
    <m/>
  </r>
  <r>
    <x v="6"/>
    <x v="65"/>
    <s v="Lucas Reniele Amorim de Andrade"/>
    <s v="Masculino"/>
    <x v="4"/>
    <x v="20"/>
    <s v="31602185 - Estimulação Elétrica Transcutânea - Removido 13/04/2026 (R$ 40,00)"/>
    <s v="Fisioterapia"/>
    <n v="1714930701"/>
    <s v="Finalizado (2/4)"/>
    <n v="35.200000000000003"/>
    <n v="4.8"/>
    <n v="40"/>
    <s v="Sessão a Faturar"/>
    <n v="774642029297000"/>
    <n v="58737"/>
    <s v="Unidade Vieiralves"/>
    <n v="1714930701"/>
    <m/>
  </r>
  <r>
    <x v="6"/>
    <x v="36"/>
    <s v="Claudia Miyuki Muramoto Sako"/>
    <s v="Feminino"/>
    <x v="2"/>
    <x v="20"/>
    <s v="20103492 - Fisioterapia - Patologia Em Dois Ou Mais Membros (R$ 14,83)"/>
    <s v="Fisioterapia"/>
    <n v="1709446072"/>
    <s v="Finalizado (5/5)"/>
    <n v="13.0504"/>
    <n v="1.7796000000000001"/>
    <n v="14.83"/>
    <s v="Sessão Faturada"/>
    <n v="885854000132010"/>
    <n v="49229"/>
    <s v="Unidade Vieiralves"/>
    <n v="1709446072"/>
    <m/>
  </r>
  <r>
    <x v="6"/>
    <x v="36"/>
    <s v="Remulo Jose Nascimento Filho"/>
    <s v="Masculino"/>
    <x v="2"/>
    <x v="20"/>
    <s v="20103662 - Fisioterapia - Pos Operatorio Em Um Membro (R$ 14,99)"/>
    <s v="Fisioterapia"/>
    <n v="1711348180"/>
    <s v="Finalizado (5/5)"/>
    <n v="13.1912"/>
    <n v="1.7988"/>
    <n v="14.99"/>
    <s v="Sessão Faturada"/>
    <s v="56788888022609450103"/>
    <n v="45990"/>
    <s v="Unidade Vieiralves"/>
    <n v="1711348180"/>
    <m/>
  </r>
  <r>
    <x v="6"/>
    <x v="36"/>
    <s v="Darlan da Silva Picanço"/>
    <s v="Feminino"/>
    <x v="1"/>
    <x v="20"/>
    <s v="50000160 - Fisioterapia Ortopédica (R$ 20,00), 98980327 - Taxa de Eletroterapia (Tens) (R$ 15,00)"/>
    <s v="Fisioterapia"/>
    <n v="9458849"/>
    <s v="Finalizado (2/10)"/>
    <n v="30.8"/>
    <n v="4.2"/>
    <n v="35"/>
    <s v="Sessão Faturada"/>
    <s v="0901013959170057"/>
    <n v="15532"/>
    <s v="Unidade Vieiralves"/>
    <n v="9458849"/>
    <m/>
  </r>
  <r>
    <x v="6"/>
    <x v="61"/>
    <s v="Claudia Miyuki Muramoto Sako"/>
    <s v="Feminino"/>
    <x v="4"/>
    <x v="20"/>
    <s v="31602185 - Estimulação Elétrica Transcutânea - Removido 13/04/2026 (R$ 40,00)"/>
    <s v="Fisioterapia"/>
    <n v="1716432071"/>
    <s v="Finalizado (1/10)"/>
    <n v="35.200000000000003"/>
    <n v="4.8"/>
    <n v="40"/>
    <s v="Sessão a Faturar"/>
    <n v="885854000132010"/>
    <n v="49229"/>
    <s v="Unidade Vieiralves"/>
    <n v="1716432071"/>
    <m/>
  </r>
  <r>
    <x v="6"/>
    <x v="40"/>
    <s v="Dilcilene Angelim da Silva Santos"/>
    <m/>
    <x v="7"/>
    <x v="20"/>
    <s v="Vieiralves - 1 - Fisioterapia Ortopedica - Pacote (R$ 40,00)"/>
    <s v="Fisioterapia"/>
    <n v="171003"/>
    <s v="Finalizado (4/10)"/>
    <n v="31.2"/>
    <n v="8.8000000000000007"/>
    <n v="40"/>
    <s v="Pago"/>
    <n v="59115"/>
    <n v="59115"/>
    <s v="Unidade Vieiralves"/>
    <n v="171003"/>
    <m/>
  </r>
  <r>
    <x v="6"/>
    <x v="40"/>
    <s v="Aline de Paula Lima"/>
    <s v="Feminino"/>
    <x v="8"/>
    <x v="20"/>
    <s v="50000144 - Consulta de Fisioterapia (R$ 51,42)"/>
    <s v="Fisioterapia"/>
    <n v="1716502761"/>
    <s v="Finalizado (1/1)"/>
    <n v="46.277999999999999"/>
    <n v="5.1420000000000003"/>
    <n v="51.42"/>
    <s v="Sessão Faturada"/>
    <n v="954600033081030"/>
    <n v="47919"/>
    <s v="Unidade Vieiralves"/>
    <n v="1716502761"/>
    <m/>
  </r>
  <r>
    <x v="6"/>
    <x v="40"/>
    <s v="Maria da Assunção Dantas da Silva"/>
    <m/>
    <x v="1"/>
    <x v="20"/>
    <s v="50000160 - Fisioterapia Ortopédica (R$ 20,00), 98980327 - Taxa de Eletroterapia (Tens) (R$ 15,00)"/>
    <s v="Fisioterapia"/>
    <n v="9367730"/>
    <s v="Finalizado (5/10)"/>
    <n v="30.8"/>
    <n v="4.2"/>
    <n v="35"/>
    <s v="Sessão Faturada"/>
    <n v="1901005511160100"/>
    <n v="59640"/>
    <s v="Unidade Vieiralves"/>
    <n v="9367730"/>
    <m/>
  </r>
  <r>
    <x v="6"/>
    <x v="45"/>
    <s v="Aline de Paula Lima"/>
    <s v="Feminino"/>
    <x v="8"/>
    <x v="20"/>
    <s v="20103492 - Patologia Em Dois Ou Mais Membros (R$ 14,83), 20103514 - Patologia Em Diferentes Segmentos da Coluna (R$ 14,83)"/>
    <s v="Fisioterapia"/>
    <n v="1716504599"/>
    <s v="Finalizado (1/10)"/>
    <n v="26.1008"/>
    <n v="3.5592000000000001"/>
    <n v="29.66"/>
    <s v="Sessão a Faturar"/>
    <n v="954600033081030"/>
    <n v="47919"/>
    <s v="Unidade Vieiralves"/>
    <n v="1716504599"/>
    <m/>
  </r>
  <r>
    <x v="6"/>
    <x v="35"/>
    <s v="Sara Gonçalves Vieira"/>
    <s v="Feminino"/>
    <x v="7"/>
    <x v="20"/>
    <s v="Vieiralves - 1 - Fisioterapia Ortopedica - Pacote (R$ 80,00)"/>
    <s v="Fisioterapia"/>
    <n v="171970"/>
    <s v="Finalizado (5/10)"/>
    <n v="62.4"/>
    <n v="17.600000000000001"/>
    <n v="80"/>
    <s v="Pago"/>
    <n v="56256"/>
    <n v="56256"/>
    <s v="Unidade Vieiralves"/>
    <n v="171970"/>
    <m/>
  </r>
  <r>
    <x v="6"/>
    <x v="38"/>
    <s v="Ricardo Marques de Abreu"/>
    <s v="Masculino"/>
    <x v="1"/>
    <x v="20"/>
    <s v="50000160 - Fisioterapia Ortopédica (R$ 20,00), 98980327 - Taxa de Eletroterapia (Tens) (R$ 15,00)"/>
    <s v="Fisioterapia"/>
    <n v="9239312"/>
    <s v="Finalizado (8/9)"/>
    <n v="30.8"/>
    <n v="4.2"/>
    <n v="35"/>
    <s v="Sessão Faturada"/>
    <n v="2001013216580000"/>
    <n v="43902"/>
    <s v="Unidade Vieiralves"/>
    <n v="9239312"/>
    <m/>
  </r>
  <r>
    <x v="6"/>
    <x v="38"/>
    <s v="Arisson Carlos Pardo de Queiroz"/>
    <m/>
    <x v="2"/>
    <x v="20"/>
    <s v="20103484 - Fisioterapia - Patologia Em Um Membro (R$ 12,22)"/>
    <s v="Fisioterapia"/>
    <n v="1707823063"/>
    <s v="Finalizado (5/5)"/>
    <n v="10.7536"/>
    <n v="1.4663999999999999"/>
    <n v="12.22"/>
    <s v="Sessão Faturada"/>
    <n v="771015042510010"/>
    <n v="58957"/>
    <s v="Unidade Vieiralves"/>
    <n v="1707823063"/>
    <m/>
  </r>
  <r>
    <x v="6"/>
    <x v="62"/>
    <s v="Arisson Carlos Pardo de Queiroz"/>
    <m/>
    <x v="4"/>
    <x v="20"/>
    <s v="31602185 - Estimulação Elétrica Transcutânea - Removido 13/04/2026 (R$ 40,00)"/>
    <s v="Fisioterapia"/>
    <n v="1709572946"/>
    <s v="Finalizado (4/4)"/>
    <n v="35.200000000000003"/>
    <n v="4.8"/>
    <n v="40"/>
    <s v="Sessão Faturada"/>
    <n v="771015042510010"/>
    <n v="58957"/>
    <s v="Unidade Vieiralves"/>
    <n v="1709572946"/>
    <m/>
  </r>
  <r>
    <x v="6"/>
    <x v="37"/>
    <s v="Ivete Akimi Massuda"/>
    <s v="Feminino"/>
    <x v="6"/>
    <x v="20"/>
    <s v="31602185 - Estimulação Elétrica Transcutanea (Tens) (R$ 40,00)"/>
    <s v="Fisioterapia"/>
    <n v="171163"/>
    <s v="Finalizado (9/10)"/>
    <n v="35.200000000000003"/>
    <n v="4.8"/>
    <n v="40"/>
    <s v="Sessão a Faturar"/>
    <s v="54588888473661890020"/>
    <n v="43609"/>
    <s v="Unidade Vieiralves"/>
    <n v="171163"/>
    <m/>
  </r>
  <r>
    <x v="6"/>
    <x v="37"/>
    <s v="Fabíola Graziele Martins de Lima"/>
    <s v="Feminino"/>
    <x v="8"/>
    <x v="20"/>
    <s v="20103484 - Patologia Em Um Membro (R$ 12,22)"/>
    <s v="Fisioterapia"/>
    <n v="1713336619"/>
    <s v="Finalizado (5/10)"/>
    <n v="10.7536"/>
    <n v="1.4663999999999999"/>
    <n v="12.22"/>
    <s v="Sessão a Faturar"/>
    <n v="954590029556010"/>
    <n v="59043"/>
    <s v="Unidade Vieiralves"/>
    <n v="1713336619"/>
    <m/>
  </r>
  <r>
    <x v="6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9/10)"/>
    <n v="26.1008"/>
    <n v="3.5592000000000001"/>
    <n v="29.66"/>
    <s v="Sessão Faturada"/>
    <n v="960016167330010"/>
    <n v="46729"/>
    <s v="Unidade Vieiralves"/>
    <n v="1705661090"/>
    <m/>
  </r>
  <r>
    <x v="6"/>
    <x v="37"/>
    <s v="Dina Francoile Viana Ramos"/>
    <s v="Feminino"/>
    <x v="2"/>
    <x v="20"/>
    <s v="20103492 - Fisioterapia - Patologia Em Dois Ou Mais Membros (R$ 14,83)"/>
    <s v="Fisioterapia"/>
    <n v="1706286360"/>
    <s v="Finalizado (10/10)"/>
    <n v="13.0504"/>
    <n v="1.7796000000000001"/>
    <n v="14.83"/>
    <s v="Sessão Faturada"/>
    <n v="960016167330060"/>
    <n v="16965"/>
    <s v="Unidade Vieiralves"/>
    <n v="1706286360"/>
    <m/>
  </r>
  <r>
    <x v="6"/>
    <x v="63"/>
    <s v="Rita de Lima  Viana Ramos"/>
    <s v="Feminino"/>
    <x v="4"/>
    <x v="20"/>
    <s v="31602185 - Estimulação Elétrica Transcutânea - Removido 13/04/2026 (R$ 40,00)"/>
    <s v="Fisioterapia"/>
    <n v="1709602968"/>
    <s v="Finalizado (5/5)"/>
    <n v="35.200000000000003"/>
    <n v="4.8"/>
    <n v="40"/>
    <s v="Sessão Faturada"/>
    <n v="960016167330010"/>
    <n v="46729"/>
    <s v="Unidade Vieiralves"/>
    <n v="1709602968"/>
    <m/>
  </r>
  <r>
    <x v="6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6/10)"/>
    <n v="35.200000000000003"/>
    <n v="4.8"/>
    <n v="40"/>
    <s v="Sessão Faturada"/>
    <n v="960016167330060"/>
    <n v="16965"/>
    <s v="Unidade Vieiralves"/>
    <n v="1710826226"/>
    <m/>
  </r>
  <r>
    <x v="6"/>
    <x v="63"/>
    <s v="Ivete Akimi Massuda"/>
    <s v="Feminino"/>
    <x v="6"/>
    <x v="20"/>
    <s v="20103506 - Patologia Em Um Segmento da Coluna (R$ 14,16)"/>
    <s v="Fisioterapia"/>
    <n v="171164"/>
    <s v="Finalizado (9/10)"/>
    <n v="12.460800000000001"/>
    <n v="1.6992"/>
    <n v="14.16"/>
    <s v="Sessão a Faturar"/>
    <s v="54588888473661890020"/>
    <n v="43609"/>
    <s v="Unidade Vieiralves"/>
    <n v="171164"/>
    <m/>
  </r>
  <r>
    <x v="6"/>
    <x v="63"/>
    <s v="Fabíola Graziele Martins de Lima"/>
    <s v="Feminino"/>
    <x v="9"/>
    <x v="20"/>
    <s v="31602185 - Estimulação Elétrica Transcutânea (Tens) - Removido 13/04/2026 (R$ 40,00)"/>
    <s v="Fisioterapia"/>
    <n v="1715019315"/>
    <s v="Finalizado (3/8)"/>
    <n v="35.200000000000003"/>
    <n v="4.8"/>
    <n v="40"/>
    <s v="Sessão a Faturar"/>
    <n v="954590029556010"/>
    <n v="59043"/>
    <s v="Unidade Vieiralves"/>
    <n v="1715019315"/>
    <m/>
  </r>
  <r>
    <x v="6"/>
    <x v="39"/>
    <s v="Elma Morais Barbosa de Souza França"/>
    <s v="Feminino"/>
    <x v="3"/>
    <x v="20"/>
    <s v="0006 - Fisioterapia Ortopédica - Pacote Com 10 Sessões (R$ 40,00)"/>
    <s v="Fisioterapia"/>
    <n v="163200"/>
    <s v="Finalizado (4/10)"/>
    <n v="31.2"/>
    <n v="8.8000000000000007"/>
    <n v="40"/>
    <s v="Sessão a Faturar"/>
    <n v="610555130001010"/>
    <n v="42208"/>
    <s v="Unidade Vieiralves"/>
    <n v="163200"/>
    <m/>
  </r>
  <r>
    <x v="6"/>
    <x v="39"/>
    <s v="Luciana Holanda de Souza"/>
    <s v="Feminino"/>
    <x v="7"/>
    <x v="20"/>
    <s v="Vieiralves - 1 - Fisioterapia Ortopedica - Pacote (R$ 40,00)"/>
    <s v="Fisioterapia"/>
    <m/>
    <s v="Finalizado (9/10)"/>
    <n v="31.2"/>
    <n v="8.8000000000000007"/>
    <n v="40"/>
    <s v="Pago"/>
    <s v="00"/>
    <n v="59427"/>
    <s v="Unidade Vieiralves"/>
    <m/>
    <m/>
  </r>
  <r>
    <x v="6"/>
    <x v="39"/>
    <s v="Hudson Antonio Cristo Braga"/>
    <s v="Masculino"/>
    <x v="8"/>
    <x v="20"/>
    <s v="20103492 - Patologia Em Dois Ou Mais Membros (R$ 14,83)"/>
    <s v="Fisioterapia"/>
    <n v="1712735717"/>
    <s v="Finalizado (5/10)"/>
    <n v="13.0504"/>
    <n v="1.7796000000000001"/>
    <n v="14.83"/>
    <s v="Sessão a Faturar"/>
    <n v="954600020168030"/>
    <n v="47654"/>
    <s v="Unidade Vieiralves"/>
    <n v="1712735717"/>
    <m/>
  </r>
  <r>
    <x v="6"/>
    <x v="64"/>
    <s v="Hudson Antonio Cristo Braga"/>
    <s v="Masculino"/>
    <x v="9"/>
    <x v="20"/>
    <s v="31602185 - Estimulação Elétrica Transcutânea (Tens) - Removido 13/04/2026 (R$ 40,00)"/>
    <s v="Fisioterapia"/>
    <n v="1713389520"/>
    <s v="Finalizado (4/9)"/>
    <n v="35.200000000000003"/>
    <n v="4.8"/>
    <n v="40"/>
    <s v="Sessão a Faturar"/>
    <n v="954600020168030"/>
    <n v="47654"/>
    <s v="Unidade Vieiralves"/>
    <n v="1713389520"/>
    <m/>
  </r>
  <r>
    <x v="7"/>
    <x v="89"/>
    <s v="Victor Thury Vieira Hauache"/>
    <s v="Masculino"/>
    <x v="6"/>
    <x v="20"/>
    <s v="20103484 - Patologia Em Um Membro (R$ 14,16)"/>
    <s v="Fisioterapia"/>
    <n v="171559"/>
    <s v="Finalizado (8/10)"/>
    <n v="12.460800000000001"/>
    <n v="1.6992"/>
    <n v="14.16"/>
    <s v="Sessão a Faturar"/>
    <s v="55788888476678190110"/>
    <n v="59493"/>
    <s v="Unidade Vieiralves"/>
    <n v="171559"/>
    <m/>
  </r>
  <r>
    <x v="7"/>
    <x v="89"/>
    <s v="Sandra Souza Cavalcante"/>
    <m/>
    <x v="2"/>
    <x v="20"/>
    <s v="20103484 - Fisioterapia - Patologia Em Um Membro (R$ 12,22)"/>
    <s v="Fisioterapia"/>
    <n v="1710035241"/>
    <s v="Finalizado (6/8)"/>
    <n v="10.7536"/>
    <n v="1.4663999999999999"/>
    <n v="12.22"/>
    <s v="Sessão a Faturar"/>
    <n v="773299001503000"/>
    <n v="59519"/>
    <s v="Unidade Vieiralves"/>
    <n v="1710035241"/>
    <m/>
  </r>
  <r>
    <x v="7"/>
    <x v="89"/>
    <s v="Merizethe Barroso Gadelha"/>
    <s v="Feminino"/>
    <x v="2"/>
    <x v="20"/>
    <s v="50000144 - Avaliação de Fisioterapia (R$ 51,42)"/>
    <s v="Fisioterapia"/>
    <n v="1716899937"/>
    <s v="Finalizado (1/1)"/>
    <n v="46.277999999999999"/>
    <n v="5.1420000000000003"/>
    <n v="51.42"/>
    <s v="Sessão Faturada"/>
    <n v="774812000566020"/>
    <n v="59738"/>
    <s v="Unidade Vieiralves"/>
    <n v="1716899937"/>
    <m/>
  </r>
  <r>
    <x v="7"/>
    <x v="90"/>
    <s v="Victor Thury Vieira Hauache"/>
    <s v="Masculino"/>
    <x v="6"/>
    <x v="20"/>
    <s v="31602185 - Estimulação Elétrica Transcutanea (Tens) (R$ 40,00)"/>
    <s v="Fisioterapia"/>
    <n v="171564"/>
    <s v="Finalizado (7/9)"/>
    <n v="35.200000000000003"/>
    <n v="4.8"/>
    <n v="40"/>
    <s v="Sessão a Faturar"/>
    <s v="55788888476678190110"/>
    <n v="59493"/>
    <s v="Unidade Vieiralves"/>
    <n v="171564"/>
    <m/>
  </r>
  <r>
    <x v="7"/>
    <x v="90"/>
    <s v="Sandra Souza Cavalcante"/>
    <m/>
    <x v="4"/>
    <x v="20"/>
    <s v="31602185 - Estimulação Elétrica Transcutânea - Removido 13/04/2026 (R$ 40,00)"/>
    <s v="Fisioterapia"/>
    <n v="1709420314"/>
    <s v="Finalizado (5/5)"/>
    <n v="35.200000000000003"/>
    <n v="4.8"/>
    <n v="40"/>
    <s v="Sessão Faturada"/>
    <n v="773299001503000"/>
    <n v="59519"/>
    <s v="Unidade Vieiralves"/>
    <n v="1709420314"/>
    <m/>
  </r>
  <r>
    <x v="7"/>
    <x v="90"/>
    <s v="Merizethe Barroso Gadelha"/>
    <s v="Feminino"/>
    <x v="2"/>
    <x v="20"/>
    <s v="20103514 - Fisioterapia - Patologia Em Diferentes Segmentos da Coluna (R$ 14,83)"/>
    <s v="Fisioterapia"/>
    <n v="1716900791"/>
    <s v="Finalizado (1/10)"/>
    <n v="13.0504"/>
    <n v="1.7796000000000001"/>
    <n v="14.83"/>
    <s v="Sessão a Faturar"/>
    <n v="774812000566020"/>
    <n v="59738"/>
    <s v="Unidade Vieiralves"/>
    <n v="1716900791"/>
    <m/>
  </r>
  <r>
    <x v="7"/>
    <x v="41"/>
    <s v="Cristina dos Santos Braga"/>
    <m/>
    <x v="20"/>
    <x v="20"/>
    <s v="20103506 - Patologia Em  Um Segmento da Coluna (R$ 27,11)"/>
    <s v="Fisioterapia"/>
    <n v="55729690"/>
    <s v="Finalizado (5/10)"/>
    <n v="23.8568"/>
    <n v="3.2532000000000001"/>
    <n v="27.11"/>
    <s v="Sessão a Faturar"/>
    <n v="10511000263700"/>
    <n v="59694"/>
    <s v="Unidade Vieiralves"/>
    <n v="55729690"/>
    <m/>
  </r>
  <r>
    <x v="7"/>
    <x v="41"/>
    <s v="Amilton da Costa Carvalho"/>
    <s v="Masculino"/>
    <x v="20"/>
    <x v="20"/>
    <s v="20103484 - Patologia Em Um Membro (R$ 29,04)"/>
    <s v="Fisioterapia"/>
    <n v="172807"/>
    <s v="Finalizado (2/10)"/>
    <n v="25.555199999999999"/>
    <n v="3.4847999999999999"/>
    <n v="29.04"/>
    <s v="Sessão a Faturar"/>
    <n v="10511003315900"/>
    <n v="51485"/>
    <s v="Unidade Vieiralves"/>
    <n v="172807"/>
    <m/>
  </r>
  <r>
    <x v="7"/>
    <x v="41"/>
    <s v="Juliana Schettini Sobrinho Dourado"/>
    <m/>
    <x v="6"/>
    <x v="20"/>
    <s v="20103484 - Patologia Em Um Membro (R$ 14,16)"/>
    <s v="Fisioterapia"/>
    <n v="171274"/>
    <s v="Finalizado (7/10)"/>
    <n v="12.460800000000001"/>
    <n v="1.6992"/>
    <n v="14.16"/>
    <s v="Sessão a Faturar"/>
    <s v="51588888483923230010"/>
    <n v="58626"/>
    <s v="Unidade Vieiralves"/>
    <n v="171274"/>
    <m/>
  </r>
  <r>
    <x v="7"/>
    <x v="65"/>
    <s v="Juliana Schettini Sobrinho Dourado"/>
    <m/>
    <x v="6"/>
    <x v="20"/>
    <s v="31602185 - Estimulação Elétrica Transcutanea (Tens) (R$ 40,00)"/>
    <s v="Fisioterapia"/>
    <n v="172381"/>
    <s v="Finalizado (3/6)"/>
    <n v="35.200000000000003"/>
    <n v="4.8"/>
    <n v="40"/>
    <s v="Sessão a Faturar"/>
    <s v="51588888483923230010"/>
    <n v="58626"/>
    <s v="Unidade Vieiralves"/>
    <n v="172381"/>
    <m/>
  </r>
  <r>
    <x v="7"/>
    <x v="36"/>
    <s v="Luciana Ferreira Viana"/>
    <m/>
    <x v="7"/>
    <x v="20"/>
    <s v="Vieiralves - 1 - Fisioterapia Ortopedica - Pacote (R$ 40,00)"/>
    <s v="Fisioterapia"/>
    <m/>
    <s v="Finalizado (8/10)"/>
    <n v="31.2"/>
    <n v="8.8000000000000007"/>
    <n v="40"/>
    <s v="Pago"/>
    <s v="00"/>
    <n v="59537"/>
    <s v="Unidade Vieiralves"/>
    <m/>
    <m/>
  </r>
  <r>
    <x v="7"/>
    <x v="36"/>
    <s v="Wendel de Mendonça de Souza"/>
    <s v="Masculino"/>
    <x v="2"/>
    <x v="20"/>
    <s v="20103514 - Fisioterapia - Patologia Em Diferentes Segmentos da Coluna (R$ 14,83)"/>
    <s v="Fisioterapia"/>
    <n v="1710121318"/>
    <s v="Finalizado (5/10)"/>
    <n v="13.0504"/>
    <n v="1.7796000000000001"/>
    <n v="14.83"/>
    <s v="Sessão a Faturar"/>
    <n v="854778700183020"/>
    <n v="59572"/>
    <s v="Unidade Vieiralves"/>
    <n v="1710121318"/>
    <m/>
  </r>
  <r>
    <x v="7"/>
    <x v="36"/>
    <s v="Sydney Campos Litaiff Filho"/>
    <s v="Feminino"/>
    <x v="2"/>
    <x v="20"/>
    <s v="20103484 - Fisioterapia - Patologia Em Um Membro (R$ 12,22)"/>
    <s v="Fisioterapia"/>
    <n v="1715914483"/>
    <s v="Finalizado (2/10)"/>
    <n v="10.7536"/>
    <n v="1.4663999999999999"/>
    <n v="12.22"/>
    <s v="Sessão a Faturar"/>
    <n v="774642012432010"/>
    <n v="59691"/>
    <s v="Unidade Vieiralves"/>
    <n v="1715914483"/>
    <m/>
  </r>
  <r>
    <x v="7"/>
    <x v="61"/>
    <s v="Wendel de Mendonça de Souza"/>
    <s v="Masculino"/>
    <x v="4"/>
    <x v="20"/>
    <s v="31602185 - Estimulação Elétrica Transcutânea - Removido 13/04/2026 (R$ 40,00)"/>
    <s v="Fisioterapia"/>
    <n v="1714944432"/>
    <s v="Finalizado (2/10)"/>
    <n v="35.200000000000003"/>
    <n v="4.8"/>
    <n v="40"/>
    <s v="Sessão a Faturar"/>
    <n v="854778700183020"/>
    <n v="59572"/>
    <s v="Unidade Vieiralves"/>
    <n v="1714944432"/>
    <m/>
  </r>
  <r>
    <x v="7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Finalizado (8/10)"/>
    <n v="41.342399999999998"/>
    <n v="5.6375999999999999"/>
    <n v="46.98"/>
    <s v="Sessão a Faturar"/>
    <s v="55788888491272530020"/>
    <n v="51936"/>
    <s v="Unidade Vieiralves"/>
    <n v="170745"/>
    <m/>
  </r>
  <r>
    <x v="7"/>
    <x v="40"/>
    <s v="Maria da Assunção Dantas da Silva"/>
    <m/>
    <x v="1"/>
    <x v="20"/>
    <s v="50000160 - Fisioterapia Ortopédica (R$ 20,00), 98980327 - Taxa de Eletroterapia (Tens) (R$ 15,00)"/>
    <s v="Fisioterapia"/>
    <n v="9367730"/>
    <s v="Finalizado (6/10)"/>
    <n v="30.8"/>
    <n v="4.2"/>
    <n v="35"/>
    <s v="Sessão Faturada"/>
    <n v="1901005511160100"/>
    <n v="59640"/>
    <s v="Unidade Vieiralves"/>
    <n v="9367730"/>
    <m/>
  </r>
  <r>
    <x v="7"/>
    <x v="45"/>
    <s v="Auxiliadora Brito de Lima"/>
    <m/>
    <x v="6"/>
    <x v="20"/>
    <s v="31602185 - Estimulação Elétrica Transcutanea (Tens) (R$ 40,00)"/>
    <s v="Fisioterapia"/>
    <n v="170746"/>
    <s v="Finalizado (8/9)"/>
    <n v="35.200000000000003"/>
    <n v="4.8"/>
    <n v="40"/>
    <s v="Sessão a Faturar"/>
    <s v="55788888491272530020"/>
    <n v="51936"/>
    <s v="Unidade Vieiralves"/>
    <n v="170746"/>
    <m/>
  </r>
  <r>
    <x v="7"/>
    <x v="35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9/10)"/>
    <n v="30.8"/>
    <n v="4.2"/>
    <n v="35"/>
    <s v="Sessão Faturada"/>
    <s v="0201013982810029"/>
    <n v="19454"/>
    <s v="Unidade Vieiralves"/>
    <n v="9052356"/>
    <m/>
  </r>
  <r>
    <x v="7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13958112"/>
    <s v="Finalizado (2/10)"/>
    <n v="23.803999999999998"/>
    <n v="3.246"/>
    <n v="27.05"/>
    <s v="Sessão a Faturar"/>
    <n v="812980300400020"/>
    <n v="59087"/>
    <s v="Unidade Vieiralves"/>
    <n v="1713958112"/>
    <m/>
  </r>
  <r>
    <x v="7"/>
    <x v="35"/>
    <s v="Olivaldo Soares da Silva"/>
    <s v="Masculino"/>
    <x v="2"/>
    <x v="20"/>
    <s v="20103492 - Fisioterapia - Patologia Em Dois Ou Mais Membros (R$ 14,83)"/>
    <s v="Fisioterapia"/>
    <n v="1713968118"/>
    <s v="Finalizado (3/10)"/>
    <n v="13.0504"/>
    <n v="1.7796000000000001"/>
    <n v="14.83"/>
    <s v="Sessão a Faturar"/>
    <n v="771015041238010"/>
    <n v="44585"/>
    <s v="Unidade Vieiralves"/>
    <n v="1713968118"/>
    <m/>
  </r>
  <r>
    <x v="7"/>
    <x v="42"/>
    <s v="Nadia Livia Dantas Farias"/>
    <m/>
    <x v="4"/>
    <x v="20"/>
    <s v="31602185 - Estimulação Elétrica Transcutânea - Removido 13/04/2026 (R$ 40,00)"/>
    <s v="Fisioterapia"/>
    <n v="1717017168"/>
    <s v="Finalizado (1/9)"/>
    <n v="35.200000000000003"/>
    <n v="4.8"/>
    <n v="40"/>
    <s v="Sessão a Faturar"/>
    <n v="812980300400020"/>
    <n v="59087"/>
    <s v="Unidade Vieiralves"/>
    <n v="1717017168"/>
    <m/>
  </r>
  <r>
    <x v="7"/>
    <x v="38"/>
    <s v="Milton Correa Prudente Costa"/>
    <s v="Masculino"/>
    <x v="2"/>
    <x v="20"/>
    <s v="20103484 - Fisioterapia - Patologia Em Um Membro (R$ 12,22), 20103506 - Fisioterapia - Patologia Em Um Segmento da Coluna (R$ 12,22)"/>
    <s v="Fisioterapia"/>
    <n v="1717047705"/>
    <s v="Finalizado (1/10)"/>
    <n v="21.507200000000001"/>
    <n v="2.9327999999999999"/>
    <n v="24.44"/>
    <s v="Sessão a Faturar"/>
    <n v="960019385179020"/>
    <n v="5417"/>
    <s v="Unidade Vieiralves"/>
    <n v="1717047705"/>
    <m/>
  </r>
  <r>
    <x v="7"/>
    <x v="38"/>
    <s v="Rachel de Souza Oliveira"/>
    <s v="Feminino"/>
    <x v="18"/>
    <x v="20"/>
    <s v="50000160 - Fisioterapia Ortopedica - Sessao (R$ 45,00)"/>
    <s v="Fisioterapia"/>
    <n v="171638"/>
    <s v="Finalizado (3/10)"/>
    <n v="39.6"/>
    <n v="5.4"/>
    <n v="45"/>
    <s v="Sessão a Faturar"/>
    <s v="000008252"/>
    <n v="59639"/>
    <s v="Unidade Vieiralves"/>
    <n v="171638"/>
    <m/>
  </r>
  <r>
    <x v="7"/>
    <x v="38"/>
    <s v="Cinara Viana de Oliveira"/>
    <s v="Feminino"/>
    <x v="5"/>
    <x v="20"/>
    <s v="98860011 - Fisioterapia Complexidade 1 (R$ 55,26)"/>
    <s v="Fisioterapia"/>
    <n v="78993720"/>
    <s v="Finalizado (3/10)"/>
    <n v="48.628799999999998"/>
    <n v="6.6311999999999998"/>
    <n v="55.26"/>
    <s v="Sessão a Faturar"/>
    <s v="0101015127010323"/>
    <n v="59671"/>
    <s v="Unidade Vieiralves"/>
    <n v="78993720"/>
    <m/>
  </r>
  <r>
    <x v="7"/>
    <x v="62"/>
    <s v="Cinara Viana de Oliveira"/>
    <s v="Feminino"/>
    <x v="5"/>
    <x v="20"/>
    <s v="31602185 - Estimulação Elétrica Transcutânea (Tens) (R$ 125,40)"/>
    <s v="Fisioterapia"/>
    <n v="79167880"/>
    <s v="Finalizado (3/10)"/>
    <n v="110.352"/>
    <n v="15.048"/>
    <n v="125.4"/>
    <s v="Sessão a Faturar"/>
    <s v="0101015127010323"/>
    <n v="59671"/>
    <s v="Unidade Vieiralves"/>
    <n v="79167880"/>
    <m/>
  </r>
  <r>
    <x v="7"/>
    <x v="37"/>
    <s v="Sara Gonçalves Vieira"/>
    <s v="Feminino"/>
    <x v="7"/>
    <x v="20"/>
    <s v="Vieiralves - 1 - Fisioterapia Ortopedica - Pacote (R$ 80,00)"/>
    <s v="Fisioterapia"/>
    <n v="171970"/>
    <s v="Finalizado (6/10)"/>
    <n v="62.4"/>
    <n v="17.600000000000001"/>
    <n v="80"/>
    <s v="Pago"/>
    <n v="56256"/>
    <n v="56256"/>
    <s v="Unidade Vieiralves"/>
    <n v="171970"/>
    <m/>
  </r>
  <r>
    <x v="7"/>
    <x v="37"/>
    <s v="Fabíola Graziele Martins de Lima"/>
    <s v="Feminino"/>
    <x v="8"/>
    <x v="20"/>
    <s v="20103484 - Patologia Em Um Membro (R$ 12,22)"/>
    <s v="Fisioterapia"/>
    <n v="1713336619"/>
    <s v="Finalizado (6/10)"/>
    <n v="10.7536"/>
    <n v="1.4663999999999999"/>
    <n v="12.22"/>
    <s v="Sessão a Faturar"/>
    <n v="954590029556010"/>
    <n v="59043"/>
    <s v="Unidade Vieiralves"/>
    <n v="1713336619"/>
    <m/>
  </r>
  <r>
    <x v="7"/>
    <x v="37"/>
    <s v="Ricardo Marques de Abreu"/>
    <s v="Masculino"/>
    <x v="1"/>
    <x v="20"/>
    <s v="50000160 - Fisioterapia Ortopédica (R$ 20,00), 98980327 - Taxa de Eletroterapia (Tens) (R$ 15,00)"/>
    <s v="Fisioterapia"/>
    <n v="9239312"/>
    <s v="Finalizado (9/9)"/>
    <n v="30.8"/>
    <n v="4.2"/>
    <n v="35"/>
    <s v="Sessão Faturada"/>
    <n v="2001013216580000"/>
    <n v="43902"/>
    <s v="Unidade Vieiralves"/>
    <n v="9239312"/>
    <m/>
  </r>
  <r>
    <x v="7"/>
    <x v="37"/>
    <s v="Laindks Lopes"/>
    <s v="Feminino"/>
    <x v="4"/>
    <x v="20"/>
    <s v="31602185 - Estimulação Elétrica Transcutânea - Removido 13/04/2026 (R$ 40,00)"/>
    <s v="Fisioterapia"/>
    <n v="1715059057"/>
    <s v="Finalizado (3/7)"/>
    <n v="35.200000000000003"/>
    <n v="4.8"/>
    <n v="40"/>
    <s v="Sessão Faturada"/>
    <n v="611453030001010"/>
    <n v="29"/>
    <s v="Unidade Vieiralves"/>
    <n v="1715059057"/>
    <m/>
  </r>
  <r>
    <x v="7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6/10)"/>
    <n v="21.507200000000001"/>
    <n v="2.9327999999999999"/>
    <n v="24.44"/>
    <s v="Sessão Faturada"/>
    <n v="611453030001010"/>
    <n v="29"/>
    <s v="Unidade Vieiralves"/>
    <n v="1711388887"/>
    <m/>
  </r>
  <r>
    <x v="7"/>
    <x v="63"/>
    <s v="Fabíola Graziele Martins de Lima"/>
    <s v="Feminino"/>
    <x v="9"/>
    <x v="20"/>
    <s v="31602185 - Estimulação Elétrica Transcutânea (Tens) - Removido 13/04/2026 (R$ 40,00)"/>
    <s v="Fisioterapia"/>
    <n v="1715019315"/>
    <s v="Finalizado (4/8)"/>
    <n v="35.200000000000003"/>
    <n v="4.8"/>
    <n v="40"/>
    <s v="Sessão a Faturar"/>
    <n v="954590029556010"/>
    <n v="59043"/>
    <s v="Unidade Vieiralves"/>
    <n v="1715019315"/>
    <m/>
  </r>
  <r>
    <x v="7"/>
    <x v="39"/>
    <s v="Hudson Antonio Cristo Braga"/>
    <s v="Masculino"/>
    <x v="9"/>
    <x v="20"/>
    <s v="31602185 - Estimulação Elétrica Transcutânea (Tens) - Removido 13/04/2026 (R$ 40,00)"/>
    <s v="Fisioterapia"/>
    <n v="1713389520"/>
    <s v="Finalizado (5/9)"/>
    <n v="35.200000000000003"/>
    <n v="4.8"/>
    <n v="40"/>
    <s v="Sessão a Faturar"/>
    <n v="954600020168030"/>
    <n v="47654"/>
    <s v="Unidade Vieiralves"/>
    <n v="1713389520"/>
    <m/>
  </r>
  <r>
    <x v="7"/>
    <x v="39"/>
    <s v="Hudson Antonio Cristo Braga"/>
    <s v="Masculino"/>
    <x v="8"/>
    <x v="20"/>
    <s v="20103492 - Patologia Em Dois Ou Mais Membros (R$ 14,83)"/>
    <s v="Fisioterapia"/>
    <n v="1712735717"/>
    <s v="Finalizado (6/10)"/>
    <n v="13.0504"/>
    <n v="1.7796000000000001"/>
    <n v="14.83"/>
    <s v="Sessão a Faturar"/>
    <n v="954600020168030"/>
    <n v="47654"/>
    <s v="Unidade Vieiralves"/>
    <n v="1712735717"/>
    <m/>
  </r>
  <r>
    <x v="8"/>
    <x v="89"/>
    <s v="Maria Raimunda da Silva Guedes Lima"/>
    <s v="Feminino"/>
    <x v="2"/>
    <x v="20"/>
    <s v="20103492 - Fisioterapia - Patologia Em Dois Ou Mais Membros (R$ 14,83)"/>
    <s v="Fisioterapia"/>
    <n v="1716402020"/>
    <s v="Finalizado (2/10)"/>
    <n v="13.0504"/>
    <n v="1.7796000000000001"/>
    <n v="14.83"/>
    <s v="Sessão a Faturar"/>
    <n v="960016575471000"/>
    <n v="21019"/>
    <s v="Unidade Vieiralves"/>
    <n v="1716402020"/>
    <m/>
  </r>
  <r>
    <x v="8"/>
    <x v="89"/>
    <s v="Victor Thury Vieira Hauache"/>
    <s v="Masculino"/>
    <x v="6"/>
    <x v="20"/>
    <s v="20103484 - Patologia Em Um Membro (R$ 14,16)"/>
    <s v="Fisioterapia"/>
    <n v="171559"/>
    <s v="Finalizado (9/10)"/>
    <n v="12.460800000000001"/>
    <n v="1.6992"/>
    <n v="14.16"/>
    <s v="Sessão a Faturar"/>
    <s v="55788888476678190110"/>
    <n v="59493"/>
    <s v="Unidade Vieiralves"/>
    <n v="171559"/>
    <m/>
  </r>
  <r>
    <x v="8"/>
    <x v="89"/>
    <s v="Merizethe Barroso Gadelha"/>
    <s v="Feminino"/>
    <x v="2"/>
    <x v="20"/>
    <s v="20103514 - Fisioterapia - Patologia Em Diferentes Segmentos da Coluna (R$ 14,83)"/>
    <s v="Fisioterapia"/>
    <n v="1716900791"/>
    <s v="Finalizado (2/10)"/>
    <n v="13.0504"/>
    <n v="1.7796000000000001"/>
    <n v="14.83"/>
    <s v="Sessão a Faturar"/>
    <n v="774812000566020"/>
    <n v="59738"/>
    <s v="Unidade Vieiralves"/>
    <n v="1716900791"/>
    <m/>
  </r>
  <r>
    <x v="8"/>
    <x v="90"/>
    <s v="Maria Raimunda da Silva Guedes Lima"/>
    <s v="Feminino"/>
    <x v="4"/>
    <x v="20"/>
    <s v="31602185 - Estimulação Elétrica Transcutânea - Removido 13/04/2026 (R$ 40,00)"/>
    <s v="Fisioterapia"/>
    <n v="1710670774"/>
    <s v="Finalizado (5/5)"/>
    <n v="35.200000000000003"/>
    <n v="4.8"/>
    <n v="40"/>
    <s v="Sessão Faturada"/>
    <n v="960016575471000"/>
    <n v="21019"/>
    <s v="Unidade Vieiralves"/>
    <n v="1710670774"/>
    <m/>
  </r>
  <r>
    <x v="8"/>
    <x v="44"/>
    <s v="Ana Claudia Teixeira de Souza Viapiana"/>
    <m/>
    <x v="2"/>
    <x v="20"/>
    <s v="20103484 - Fisioterapia - Patologia Em Um Membro (R$ 12,22)"/>
    <s v="Fisioterapia"/>
    <n v="1715426602"/>
    <s v="Finalizado (4/10)"/>
    <n v="10.7536"/>
    <n v="1.4663999999999999"/>
    <n v="12.22"/>
    <s v="Sessão a Faturar"/>
    <n v="896958600019010"/>
    <n v="59405"/>
    <s v="Unidade Vieiralves"/>
    <n v="1715426602"/>
    <m/>
  </r>
  <r>
    <x v="8"/>
    <x v="44"/>
    <s v="Cesar Augusto Dias"/>
    <s v="Masculino"/>
    <x v="1"/>
    <x v="20"/>
    <s v="50000160 - Fisioterapia Ortopédica (R$ 20,00), 98980327 - Taxa de Eletroterapia (Tens) (R$ 15,00)"/>
    <s v="Fisioterapia"/>
    <n v="9383626"/>
    <s v="Finalizado (3/10)"/>
    <n v="30.8"/>
    <n v="4.2"/>
    <n v="35"/>
    <s v="Sessão a Faturar"/>
    <s v="0701011252580008"/>
    <n v="59650"/>
    <s v="Unidade Vieiralves"/>
    <n v="9383626"/>
    <m/>
  </r>
  <r>
    <x v="8"/>
    <x v="44"/>
    <s v="Emanuele Menezes da Silva"/>
    <s v="Feminino"/>
    <x v="2"/>
    <x v="20"/>
    <s v="20103506 - Fisioterapia - Patologia Em Um Segmento da Coluna (R$ 12,22)"/>
    <s v="Fisioterapia"/>
    <n v="1713276569"/>
    <s v="Finalizado (3/10)"/>
    <n v="10.7536"/>
    <n v="1.4663999999999999"/>
    <n v="12.22"/>
    <s v="Sessão a Faturar"/>
    <n v="774642014893010"/>
    <n v="44534"/>
    <s v="Unidade Vieiralves"/>
    <n v="1713276569"/>
    <m/>
  </r>
  <r>
    <x v="8"/>
    <x v="41"/>
    <s v="Rafael Daniel Gerzvolf"/>
    <s v="Masculino"/>
    <x v="6"/>
    <x v="20"/>
    <s v="20103484 - Patologia Em Um Membro (R$ 14,16)"/>
    <s v="Fisioterapia"/>
    <n v="171440"/>
    <s v="Finalizado (7/10)"/>
    <n v="12.460800000000001"/>
    <n v="1.6992"/>
    <n v="14.16"/>
    <s v="Sessão a Faturar"/>
    <s v="51588888488560580015"/>
    <n v="57485"/>
    <s v="Unidade Vieiralves"/>
    <n v="171440"/>
    <m/>
  </r>
  <r>
    <x v="8"/>
    <x v="41"/>
    <s v="Cristina dos Santos Braga"/>
    <m/>
    <x v="20"/>
    <x v="20"/>
    <s v="20103506 - Patologia Em  Um Segmento da Coluna (R$ 27,11)"/>
    <s v="Fisioterapia"/>
    <n v="55729690"/>
    <s v="Finalizado (6/10)"/>
    <n v="23.8568"/>
    <n v="3.2532000000000001"/>
    <n v="27.11"/>
    <s v="Sessão a Faturar"/>
    <n v="10511000263700"/>
    <n v="59694"/>
    <s v="Unidade Vieiralves"/>
    <n v="55729690"/>
    <m/>
  </r>
  <r>
    <x v="8"/>
    <x v="41"/>
    <s v="Lucas Reniele Amorim de Andrade"/>
    <s v="Masculino"/>
    <x v="2"/>
    <x v="20"/>
    <s v="20103484 - Fisioterapia - Patologia Em Um Membro (R$ 12,22)"/>
    <s v="Fisioterapia"/>
    <n v="1711676744"/>
    <s v="Finalizado (5/6)"/>
    <n v="10.7536"/>
    <n v="1.4663999999999999"/>
    <n v="12.22"/>
    <s v="Sessão a Faturar"/>
    <n v="774642029297000"/>
    <n v="58737"/>
    <s v="Unidade Vieiralves"/>
    <n v="1711676744"/>
    <m/>
  </r>
  <r>
    <x v="8"/>
    <x v="65"/>
    <s v="Lucas Reniele Amorim de Andrade"/>
    <s v="Masculino"/>
    <x v="4"/>
    <x v="20"/>
    <s v="31602185 - Estimulação Elétrica Transcutânea - Removido 13/04/2026 (R$ 40,00)"/>
    <s v="Fisioterapia"/>
    <n v="1714930701"/>
    <s v="Finalizado (3/4)"/>
    <n v="35.200000000000003"/>
    <n v="4.8"/>
    <n v="40"/>
    <s v="Sessão a Faturar"/>
    <n v="774642029297000"/>
    <n v="58737"/>
    <s v="Unidade Vieiralves"/>
    <n v="1714930701"/>
    <m/>
  </r>
  <r>
    <x v="8"/>
    <x v="65"/>
    <s v="Rafael Daniel Gerzvolf"/>
    <s v="Masculino"/>
    <x v="6"/>
    <x v="20"/>
    <s v="31602185 - Estimulação Elétrica Transcutanea (Tens) (R$ 40,00)"/>
    <s v="Fisioterapia"/>
    <n v="171439"/>
    <s v="Finalizado (7/9)"/>
    <n v="35.200000000000003"/>
    <n v="4.8"/>
    <n v="40"/>
    <s v="Sessão a Faturar"/>
    <s v="51588888488560580015"/>
    <n v="57485"/>
    <s v="Unidade Vieiralves"/>
    <n v="171439"/>
    <m/>
  </r>
  <r>
    <x v="8"/>
    <x v="36"/>
    <s v="Claudia Miyuki Muramoto Sako"/>
    <s v="Feminino"/>
    <x v="2"/>
    <x v="20"/>
    <s v="20103492 - Fisioterapia - Patologia Em Dois Ou Mais Membros (R$ 14,83)"/>
    <s v="Fisioterapia"/>
    <n v="1717455925"/>
    <s v="Finalizado (1/10)"/>
    <n v="13.0504"/>
    <n v="1.7796000000000001"/>
    <n v="14.83"/>
    <s v="Sessão a Faturar"/>
    <n v="885854000132010"/>
    <n v="49229"/>
    <s v="Unidade Vieiralves"/>
    <n v="1717455925"/>
    <m/>
  </r>
  <r>
    <x v="8"/>
    <x v="36"/>
    <s v="Darlan da Silva Picanço"/>
    <s v="Feminino"/>
    <x v="1"/>
    <x v="20"/>
    <s v="50000160 - Fisioterapia Ortopédica (R$ 20,00), 98980327 - Taxa de Eletroterapia (Tens) (R$ 15,00)"/>
    <s v="Fisioterapia"/>
    <n v="9458849"/>
    <s v="Finalizado (3/10)"/>
    <n v="30.8"/>
    <n v="4.2"/>
    <n v="35"/>
    <s v="Sessão Faturada"/>
    <s v="0901013959170057"/>
    <n v="15532"/>
    <s v="Unidade Vieiralves"/>
    <n v="9458849"/>
    <m/>
  </r>
  <r>
    <x v="8"/>
    <x v="61"/>
    <s v="Claudia Miyuki Muramoto Sako"/>
    <s v="Feminino"/>
    <x v="4"/>
    <x v="20"/>
    <s v="31602185 - Estimulação Elétrica Transcutânea - Removido 13/04/2026 (R$ 40,00)"/>
    <s v="Fisioterapia"/>
    <n v="1716432071"/>
    <s v="Finalizado (2/10)"/>
    <n v="35.200000000000003"/>
    <n v="4.8"/>
    <n v="40"/>
    <s v="Sessão a Faturar"/>
    <n v="885854000132010"/>
    <n v="49229"/>
    <s v="Unidade Vieiralves"/>
    <n v="1716432071"/>
    <m/>
  </r>
  <r>
    <x v="8"/>
    <x v="40"/>
    <s v="Tatianna Silva Portes"/>
    <s v="Feminino"/>
    <x v="5"/>
    <x v="20"/>
    <s v="98860020 - Fisioterapia Complexidade 2 - 04/03/2026 (R$ 70,79)"/>
    <s v="Fisioterapia"/>
    <n v="77595650"/>
    <s v="Finalizado (10/10)"/>
    <n v="62.295200000000001"/>
    <n v="8.4947999999999997"/>
    <n v="70.790000000000006"/>
    <s v="Sessão Faturada"/>
    <s v="0100621050010300"/>
    <n v="55555"/>
    <s v="Unidade Vieiralves"/>
    <n v="77595650"/>
    <m/>
  </r>
  <r>
    <x v="8"/>
    <x v="40"/>
    <s v="Maria da Assunção Dantas da Silva"/>
    <m/>
    <x v="1"/>
    <x v="20"/>
    <s v="50000160 - Fisioterapia Ortopédica (R$ 20,00), 98980327 - Taxa de Eletroterapia (Tens) (R$ 15,00)"/>
    <s v="Fisioterapia"/>
    <n v="9367730"/>
    <s v="Finalizado (7/10)"/>
    <n v="30.8"/>
    <n v="4.2"/>
    <n v="35"/>
    <s v="Sessão Faturada"/>
    <n v="1901005511160100"/>
    <n v="59640"/>
    <s v="Unidade Vieiralves"/>
    <n v="9367730"/>
    <m/>
  </r>
  <r>
    <x v="8"/>
    <x v="40"/>
    <s v="Tatianna Silva Portes"/>
    <s v="Feminino"/>
    <x v="5"/>
    <x v="20"/>
    <s v="31602185 - Estimulação Elétrica Transcutânea (Tens) - 04/03/2026 (R$ 120,28)"/>
    <s v="Fisioterapia"/>
    <n v="77595860"/>
    <s v="Finalizado (8/8)"/>
    <n v="105.8464"/>
    <n v="14.4336"/>
    <n v="120.28"/>
    <s v="Sessão Faturada"/>
    <s v="0100621050010300"/>
    <n v="55555"/>
    <s v="Unidade Vieiralves"/>
    <n v="77595860"/>
    <m/>
  </r>
  <r>
    <x v="8"/>
    <x v="40"/>
    <s v="Ana Cristina Belarmino de Oliveira"/>
    <s v="Feminino"/>
    <x v="15"/>
    <x v="20"/>
    <s v="20103514 - Patologia Em Diferentes Segmentos da Coluna (R$ 60,72)"/>
    <s v="Fisioterapia"/>
    <n v="238463711"/>
    <s v="Finalizado (10/10)"/>
    <n v="53.433599999999998"/>
    <n v="7.2864000000000004"/>
    <n v="60.72"/>
    <s v="Sessão a Faturar"/>
    <s v="012616100102004"/>
    <n v="59505"/>
    <s v="Unidade Vieiralves"/>
    <n v="238463711"/>
    <m/>
  </r>
  <r>
    <x v="8"/>
    <x v="38"/>
    <s v="Rozirlande Oliveira do Valle"/>
    <s v="Feminino"/>
    <x v="6"/>
    <x v="20"/>
    <s v="20103484 - Patologia Em Um Membro (R$ 14,16)"/>
    <s v="Fisioterapia"/>
    <n v="172228"/>
    <s v="Finalizado (4/10)"/>
    <n v="12.460800000000001"/>
    <n v="1.6992"/>
    <n v="14.16"/>
    <s v="Sessão a Faturar"/>
    <s v="58201466755603470024"/>
    <n v="38049"/>
    <s v="Unidade Vieiralves"/>
    <n v="172228"/>
    <m/>
  </r>
  <r>
    <x v="8"/>
    <x v="62"/>
    <s v="Rozirlande Oliveira do Valle"/>
    <s v="Feminino"/>
    <x v="6"/>
    <x v="20"/>
    <s v="31602185 - Estimulação Elétrica Transcutanea (Tens) (R$ 40,00)"/>
    <s v="Fisioterapia"/>
    <n v="172273"/>
    <s v="Finalizado (3/10)"/>
    <n v="35.200000000000003"/>
    <n v="4.8"/>
    <n v="40"/>
    <s v="Sessão a Faturar"/>
    <s v="58201466755603470024"/>
    <n v="38049"/>
    <s v="Unidade Vieiralves"/>
    <n v="172273"/>
    <m/>
  </r>
  <r>
    <x v="8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05661090"/>
    <s v="Finalizado (10/10)"/>
    <n v="26.1008"/>
    <n v="3.5592000000000001"/>
    <n v="29.66"/>
    <s v="Sessão Faturada"/>
    <n v="960016167330010"/>
    <n v="46729"/>
    <s v="Unidade Vieiralves"/>
    <n v="1705661090"/>
    <m/>
  </r>
  <r>
    <x v="8"/>
    <x v="37"/>
    <s v="Dina Francoile Viana Ramos"/>
    <s v="Feminino"/>
    <x v="2"/>
    <x v="20"/>
    <s v="20103492 - Fisioterapia - Patologia Em Dois Ou Mais Membros (R$ 14,83)"/>
    <s v="Fisioterapia"/>
    <n v="1717609324"/>
    <s v="Finalizado (1/10)"/>
    <n v="13.0504"/>
    <n v="1.7796000000000001"/>
    <n v="14.83"/>
    <s v="Sessão a Faturar"/>
    <n v="960016167330060"/>
    <n v="16965"/>
    <s v="Unidade Vieiralves"/>
    <n v="1717609324"/>
    <m/>
  </r>
  <r>
    <x v="8"/>
    <x v="37"/>
    <s v="Ivete Akimi Massuda"/>
    <s v="Feminino"/>
    <x v="6"/>
    <x v="20"/>
    <s v="31602185 - Estimulação Elétrica Transcutanea (Tens) (R$ 40,00)"/>
    <s v="Fisioterapia"/>
    <n v="171163"/>
    <s v="Finalizado (10/10)"/>
    <n v="35.200000000000003"/>
    <n v="4.8"/>
    <n v="40"/>
    <s v="Sessão a Faturar"/>
    <s v="54588888473661890020"/>
    <n v="43609"/>
    <s v="Unidade Vieiralves"/>
    <n v="171163"/>
    <m/>
  </r>
  <r>
    <x v="8"/>
    <x v="63"/>
    <s v="Ivete Akimi Massuda"/>
    <s v="Feminino"/>
    <x v="6"/>
    <x v="20"/>
    <s v="20103506 - Patologia Em Um Segmento da Coluna (R$ 14,16)"/>
    <s v="Fisioterapia"/>
    <n v="171164"/>
    <s v="Finalizado (10/10)"/>
    <n v="12.460800000000001"/>
    <n v="1.6992"/>
    <n v="14.16"/>
    <s v="Sessão a Faturar"/>
    <s v="54588888473661890020"/>
    <n v="43609"/>
    <s v="Unidade Vieiralves"/>
    <n v="171164"/>
    <m/>
  </r>
  <r>
    <x v="8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7/10)"/>
    <n v="35.200000000000003"/>
    <n v="4.8"/>
    <n v="40"/>
    <s v="Sessão Faturada"/>
    <n v="960016167330060"/>
    <n v="16965"/>
    <s v="Unidade Vieiralves"/>
    <n v="1710826226"/>
    <m/>
  </r>
  <r>
    <x v="8"/>
    <x v="39"/>
    <s v="Luciana Holanda de Souza"/>
    <s v="Feminino"/>
    <x v="7"/>
    <x v="20"/>
    <s v="Vieiralves - 1 - Fisioterapia Ortopedica - Pacote (R$ 40,00)"/>
    <s v="Fisioterapia"/>
    <m/>
    <s v="Finalizado (10/10)"/>
    <n v="31.2"/>
    <n v="8.8000000000000007"/>
    <n v="40"/>
    <s v="Pago"/>
    <s v="00"/>
    <n v="59427"/>
    <s v="Unidade Vieiralves"/>
    <m/>
    <m/>
  </r>
  <r>
    <x v="8"/>
    <x v="39"/>
    <s v="Ivy Peixoto de Sá"/>
    <s v="Feminino"/>
    <x v="1"/>
    <x v="20"/>
    <s v="50000160 - Fisioterapia Ortopédica (R$ 20,00), 98980327 - Taxa de Eletroterapia (Tens) (R$ 15,00)"/>
    <s v="Fisioterapia"/>
    <n v="9261531"/>
    <s v="Finalizado (5/9)"/>
    <n v="30.8"/>
    <n v="4.2"/>
    <n v="35"/>
    <s v="Sessão Faturada"/>
    <s v="0901013218640137"/>
    <n v="59535"/>
    <s v="Unidade Vieiralves"/>
    <n v="9261531"/>
    <m/>
  </r>
  <r>
    <x v="8"/>
    <x v="39"/>
    <s v="Fabíola Graziele Martins de Lima"/>
    <s v="Feminino"/>
    <x v="8"/>
    <x v="20"/>
    <s v="20103484 - Patologia Em Um Membro (R$ 12,22)"/>
    <s v="Fisioterapia"/>
    <n v="1713336619"/>
    <s v="Finalizado (7/10)"/>
    <n v="10.7536"/>
    <n v="1.4663999999999999"/>
    <n v="12.22"/>
    <s v="Sessão a Faturar"/>
    <n v="954590029556010"/>
    <n v="59043"/>
    <s v="Unidade Vieiralves"/>
    <n v="1713336619"/>
    <m/>
  </r>
  <r>
    <x v="8"/>
    <x v="39"/>
    <s v="Elma Morais Barbosa de Souza França"/>
    <s v="Feminino"/>
    <x v="3"/>
    <x v="20"/>
    <s v="0006 - Fisioterapia Ortopédica - Pacote Com 10 Sessões (R$ 40,00)"/>
    <s v="Fisioterapia"/>
    <n v="163200"/>
    <s v="Finalizado (5/10)"/>
    <n v="31.2"/>
    <n v="8.8000000000000007"/>
    <n v="40"/>
    <s v="Sessão a Faturar"/>
    <n v="610555130001010"/>
    <n v="42208"/>
    <s v="Unidade Vieiralves"/>
    <n v="163200"/>
    <m/>
  </r>
  <r>
    <x v="8"/>
    <x v="64"/>
    <s v="Fabíola Graziele Martins de Lima"/>
    <s v="Feminino"/>
    <x v="9"/>
    <x v="20"/>
    <s v="31602185 - Estimulação Elétrica Transcutânea (Tens) - Removido 13/04/2026 (R$ 40,00)"/>
    <s v="Fisioterapia"/>
    <n v="1715019315"/>
    <s v="Finalizado (5/8)"/>
    <n v="35.200000000000003"/>
    <n v="4.8"/>
    <n v="40"/>
    <s v="Sessão a Faturar"/>
    <n v="954590029556010"/>
    <n v="59043"/>
    <s v="Unidade Vieiralves"/>
    <n v="1715019315"/>
    <m/>
  </r>
  <r>
    <x v="9"/>
    <x v="89"/>
    <s v="Sandra Souza Cavalcante"/>
    <m/>
    <x v="2"/>
    <x v="20"/>
    <s v="20103484 - Fisioterapia - Patologia Em Um Membro (R$ 12,22)"/>
    <s v="Fisioterapia"/>
    <n v="1710035241"/>
    <s v="Finalizado (7/8)"/>
    <n v="10.7536"/>
    <n v="1.4663999999999999"/>
    <n v="12.22"/>
    <s v="Sessão a Faturar"/>
    <n v="773299001503000"/>
    <n v="59519"/>
    <s v="Unidade Vieiralves"/>
    <n v="1710035241"/>
    <m/>
  </r>
  <r>
    <x v="9"/>
    <x v="89"/>
    <s v="Merizethe Barroso Gadelha"/>
    <s v="Feminino"/>
    <x v="2"/>
    <x v="20"/>
    <s v="20103514 - Fisioterapia - Patologia Em Diferentes Segmentos da Coluna (R$ 14,83)"/>
    <s v="Fisioterapia"/>
    <n v="1716900791"/>
    <s v="Finalizado (3/10)"/>
    <n v="13.0504"/>
    <n v="1.7796000000000001"/>
    <n v="14.83"/>
    <s v="Sessão a Faturar"/>
    <n v="774812000566020"/>
    <n v="59738"/>
    <s v="Unidade Vieiralves"/>
    <n v="1716900791"/>
    <m/>
  </r>
  <r>
    <x v="9"/>
    <x v="89"/>
    <s v="Victor Thury Vieira Hauache"/>
    <s v="Masculino"/>
    <x v="6"/>
    <x v="20"/>
    <s v="20103484 - Patologia Em Um Membro (R$ 14,16)"/>
    <s v="Fisioterapia"/>
    <n v="171559"/>
    <s v="Finalizado (10/10)"/>
    <n v="12.460800000000001"/>
    <n v="1.6992"/>
    <n v="14.16"/>
    <s v="Sessão a Faturar"/>
    <s v="55788888476678190110"/>
    <n v="59493"/>
    <s v="Unidade Vieiralves"/>
    <n v="171559"/>
    <m/>
  </r>
  <r>
    <x v="9"/>
    <x v="89"/>
    <s v="Rozirlande Oliveira do Valle"/>
    <s v="Feminino"/>
    <x v="6"/>
    <x v="20"/>
    <s v="20103484 - Patologia Em Um Membro (R$ 14,16)"/>
    <s v="Fisioterapia"/>
    <n v="172228"/>
    <s v="Finalizado (5/10)"/>
    <n v="12.460800000000001"/>
    <n v="1.6992"/>
    <n v="14.16"/>
    <s v="Sessão a Faturar"/>
    <s v="58201466755603470024"/>
    <n v="38049"/>
    <s v="Unidade Vieiralves"/>
    <n v="172228"/>
    <m/>
  </r>
  <r>
    <x v="9"/>
    <x v="90"/>
    <s v="Rozirlande Oliveira do Valle"/>
    <s v="Feminino"/>
    <x v="6"/>
    <x v="20"/>
    <s v="31602185 - Estimulação Elétrica Transcutanea (Tens) (R$ 40,00)"/>
    <s v="Fisioterapia"/>
    <n v="172273"/>
    <s v="Finalizado (4/10)"/>
    <n v="35.200000000000003"/>
    <n v="4.8"/>
    <n v="40"/>
    <s v="Sessão a Faturar"/>
    <s v="58201466755603470024"/>
    <n v="38049"/>
    <s v="Unidade Vieiralves"/>
    <n v="172273"/>
    <m/>
  </r>
  <r>
    <x v="9"/>
    <x v="44"/>
    <s v="Braz Rodrigues dos Santos"/>
    <s v="Masculino"/>
    <x v="13"/>
    <x v="20"/>
    <s v="50000144 - Avaliação de Fisioterapia (R$ 25,89)"/>
    <s v="Fisioterapia"/>
    <n v="13810096"/>
    <s v="Finalizado (1/1)"/>
    <n v="23.300999999999998"/>
    <n v="2.589"/>
    <n v="25.89"/>
    <s v="Sessão Faturada"/>
    <s v="00010300000540017"/>
    <n v="48698"/>
    <s v="Unidade Vieiralves"/>
    <n v="13810096"/>
    <m/>
  </r>
  <r>
    <x v="9"/>
    <x v="44"/>
    <s v="Ana Claudia Teixeira de Souza Viapiana"/>
    <m/>
    <x v="2"/>
    <x v="20"/>
    <s v="20103484 - Fisioterapia - Patologia Em Um Membro (R$ 12,22)"/>
    <s v="Fisioterapia"/>
    <n v="1715426602"/>
    <s v="Finalizado (5/10)"/>
    <n v="10.7536"/>
    <n v="1.4663999999999999"/>
    <n v="12.22"/>
    <s v="Sessão a Faturar"/>
    <n v="896958600019010"/>
    <n v="59405"/>
    <s v="Unidade Vieiralves"/>
    <n v="1715426602"/>
    <m/>
  </r>
  <r>
    <x v="9"/>
    <x v="44"/>
    <s v="Braz Rodrigues dos Santos"/>
    <s v="Masculino"/>
    <x v="13"/>
    <x v="20"/>
    <s v="20103492 - Patologia Em Dois Ou Mais Membros (R$ 32,28)"/>
    <s v="Fisioterapia"/>
    <n v="13811417"/>
    <s v="Finalizado (1/10)"/>
    <n v="28.406400000000001"/>
    <n v="3.8736000000000002"/>
    <n v="32.28"/>
    <s v="Sessão a Faturar"/>
    <s v="00010300000540017"/>
    <n v="48698"/>
    <s v="Unidade Vieiralves"/>
    <n v="13811417"/>
    <m/>
  </r>
  <r>
    <x v="9"/>
    <x v="41"/>
    <s v="Juliana Schettini Sobrinho Dourado"/>
    <m/>
    <x v="6"/>
    <x v="20"/>
    <s v="20103484 - Patologia Em Um Membro (R$ 14,16)"/>
    <s v="Fisioterapia"/>
    <n v="171274"/>
    <s v="Finalizado (8/10)"/>
    <n v="12.460800000000001"/>
    <n v="1.6992"/>
    <n v="14.16"/>
    <s v="Sessão a Faturar"/>
    <s v="51588888483923230010"/>
    <n v="58626"/>
    <s v="Unidade Vieiralves"/>
    <n v="171274"/>
    <m/>
  </r>
  <r>
    <x v="9"/>
    <x v="41"/>
    <s v="Cristina dos Santos Braga"/>
    <m/>
    <x v="20"/>
    <x v="20"/>
    <s v="20103506 - Patologia Em  Um Segmento da Coluna (R$ 27,11)"/>
    <s v="Fisioterapia"/>
    <n v="55729690"/>
    <s v="Finalizado (7/10)"/>
    <n v="23.8568"/>
    <n v="3.2532000000000001"/>
    <n v="27.11"/>
    <s v="Sessão a Faturar"/>
    <n v="10511000263700"/>
    <n v="59694"/>
    <s v="Unidade Vieiralves"/>
    <n v="55729690"/>
    <m/>
  </r>
  <r>
    <x v="9"/>
    <x v="41"/>
    <s v="Emanuele Menezes da Silva"/>
    <s v="Feminino"/>
    <x v="2"/>
    <x v="20"/>
    <s v="20103506 - Fisioterapia - Patologia Em Um Segmento da Coluna (R$ 12,22)"/>
    <s v="Fisioterapia"/>
    <n v="1713276569"/>
    <s v="Finalizado (4/10)"/>
    <n v="10.7536"/>
    <n v="1.4663999999999999"/>
    <n v="12.22"/>
    <s v="Sessão a Faturar"/>
    <n v="774642014893010"/>
    <n v="44534"/>
    <s v="Unidade Vieiralves"/>
    <n v="1713276569"/>
    <m/>
  </r>
  <r>
    <x v="9"/>
    <x v="41"/>
    <s v="Edna Lucia Moraes Derzi"/>
    <s v="Feminino"/>
    <x v="6"/>
    <x v="20"/>
    <s v="20103492 - Patologia Em Dois Ou Mais Membros (R$ 30,26)"/>
    <s v="Fisioterapia"/>
    <n v="170406"/>
    <s v="Finalizado (9/10)"/>
    <n v="26.628799999999998"/>
    <n v="3.6312000000000002"/>
    <n v="30.26"/>
    <s v="Sessão a Faturar"/>
    <s v="54588888469679780015"/>
    <n v="13101"/>
    <s v="Unidade Vieiralves"/>
    <n v="170406"/>
    <m/>
  </r>
  <r>
    <x v="9"/>
    <x v="65"/>
    <s v="Edna Lucia Moraes Derzi"/>
    <s v="Feminino"/>
    <x v="6"/>
    <x v="20"/>
    <s v="31602185 - Estimulação Elétrica Transcutanea (Tens) (R$ 40,00)"/>
    <s v="Fisioterapia"/>
    <n v="170747"/>
    <s v="Finalizado (8/10)"/>
    <n v="35.200000000000003"/>
    <n v="4.8"/>
    <n v="40"/>
    <s v="Sessão a Faturar"/>
    <s v="54588888469679780015"/>
    <n v="13101"/>
    <s v="Unidade Vieiralves"/>
    <n v="170747"/>
    <m/>
  </r>
  <r>
    <x v="9"/>
    <x v="65"/>
    <s v="Juliana Schettini Sobrinho Dourado"/>
    <m/>
    <x v="6"/>
    <x v="20"/>
    <s v="31602185 - Estimulação Elétrica Transcutanea (Tens) (R$ 40,00)"/>
    <s v="Fisioterapia"/>
    <n v="172381"/>
    <s v="Finalizado (4/6)"/>
    <n v="35.200000000000003"/>
    <n v="4.8"/>
    <n v="40"/>
    <s v="Sessão a Faturar"/>
    <s v="51588888483923230010"/>
    <n v="58626"/>
    <s v="Unidade Vieiralves"/>
    <n v="172381"/>
    <m/>
  </r>
  <r>
    <x v="9"/>
    <x v="36"/>
    <s v="Darlan da Silva Picanço"/>
    <s v="Feminino"/>
    <x v="1"/>
    <x v="20"/>
    <s v="50000160 - Fisioterapia Ortopédica (R$ 20,00), 98980327 - Taxa de Eletroterapia (Tens) (R$ 15,00)"/>
    <s v="Fisioterapia"/>
    <n v="9458849"/>
    <s v="Finalizado (4/10)"/>
    <n v="30.8"/>
    <n v="4.2"/>
    <n v="35"/>
    <s v="Sessão Faturada"/>
    <s v="0901013959170057"/>
    <n v="15532"/>
    <s v="Unidade Vieiralves"/>
    <n v="9458849"/>
    <m/>
  </r>
  <r>
    <x v="9"/>
    <x v="36"/>
    <s v="Wendel de Mendonça de Souza"/>
    <s v="Masculino"/>
    <x v="2"/>
    <x v="20"/>
    <s v="20103514 - Fisioterapia - Patologia Em Diferentes Segmentos da Coluna (R$ 14,83)"/>
    <s v="Fisioterapia"/>
    <n v="1710121318"/>
    <s v="Finalizado (6/10)"/>
    <n v="13.0504"/>
    <n v="1.7796000000000001"/>
    <n v="14.83"/>
    <s v="Sessão a Faturar"/>
    <n v="854778700183020"/>
    <n v="59572"/>
    <s v="Unidade Vieiralves"/>
    <n v="1710121318"/>
    <m/>
  </r>
  <r>
    <x v="9"/>
    <x v="36"/>
    <s v="Sydney Campos Litaiff Filho"/>
    <s v="Feminino"/>
    <x v="2"/>
    <x v="20"/>
    <s v="20103484 - Fisioterapia - Patologia Em Um Membro (R$ 12,22)"/>
    <s v="Fisioterapia"/>
    <n v="1715914483"/>
    <s v="Finalizado (3/10)"/>
    <n v="10.7536"/>
    <n v="1.4663999999999999"/>
    <n v="12.22"/>
    <s v="Sessão a Faturar"/>
    <n v="774642012432010"/>
    <n v="59691"/>
    <s v="Unidade Vieiralves"/>
    <n v="1715914483"/>
    <m/>
  </r>
  <r>
    <x v="9"/>
    <x v="61"/>
    <s v="Wendel de Mendonça de Souza"/>
    <s v="Masculino"/>
    <x v="4"/>
    <x v="20"/>
    <s v="31602185 - Estimulação Elétrica Transcutânea - Removido 13/04/2026 (R$ 40,00)"/>
    <s v="Fisioterapia"/>
    <n v="1714944432"/>
    <s v="Finalizado (3/10)"/>
    <n v="35.200000000000003"/>
    <n v="4.8"/>
    <n v="40"/>
    <s v="Sessão a Faturar"/>
    <n v="854778700183020"/>
    <n v="59572"/>
    <s v="Unidade Vieiralves"/>
    <n v="1714944432"/>
    <m/>
  </r>
  <r>
    <x v="9"/>
    <x v="40"/>
    <s v="Luciana Ferreira Viana"/>
    <m/>
    <x v="7"/>
    <x v="20"/>
    <s v="Vieiralves - 1 - Fisioterapia Ortopedica - Pacote (R$ 40,00)"/>
    <s v="Fisioterapia"/>
    <m/>
    <s v="Finalizado (9/10)"/>
    <n v="31.2"/>
    <n v="8.8000000000000007"/>
    <n v="40"/>
    <s v="Pago"/>
    <s v="00"/>
    <n v="59537"/>
    <s v="Unidade Vieiralves"/>
    <m/>
    <m/>
  </r>
  <r>
    <x v="9"/>
    <x v="40"/>
    <s v="Auxiliadora Brito de Lima"/>
    <m/>
    <x v="6"/>
    <x v="20"/>
    <s v="20103484 - Patologia Em Um Membro (R$ 14,16), 20103514 - Patologia Em Dois Ou Mais Segmentos da Coluna (R$ 32,82)"/>
    <s v="Fisioterapia"/>
    <n v="170745"/>
    <s v="Não compareceu (9/10)"/>
    <n v="46.98"/>
    <n v="0"/>
    <n v="46.98"/>
    <s v="Sessão a Faturar"/>
    <s v="55788888491272530020"/>
    <n v="51936"/>
    <s v="Unidade Vieiralves"/>
    <n v="170745"/>
    <m/>
  </r>
  <r>
    <x v="9"/>
    <x v="40"/>
    <s v="Maria da Assunção Dantas da Silva"/>
    <m/>
    <x v="1"/>
    <x v="20"/>
    <s v="50000160 - Fisioterapia Ortopédica (R$ 20,00), 98980327 - Taxa de Eletroterapia (Tens) (R$ 15,00)"/>
    <s v="Fisioterapia"/>
    <n v="9367730"/>
    <s v="Finalizado (8/10)"/>
    <n v="30.8"/>
    <n v="4.2"/>
    <n v="35"/>
    <s v="Sessão Faturada"/>
    <n v="1901005511160100"/>
    <n v="59640"/>
    <s v="Unidade Vieiralves"/>
    <n v="9367730"/>
    <m/>
  </r>
  <r>
    <x v="9"/>
    <x v="35"/>
    <s v="Raimunda Monteiro Saboia"/>
    <s v="Feminino"/>
    <x v="1"/>
    <x v="20"/>
    <s v="50000160 - Fisioterapia Ortopédica (R$ 20,00), 98980327 - Taxa de Eletroterapia (Tens) (R$ 15,00)"/>
    <s v="Fisioterapia"/>
    <n v="9408630"/>
    <s v="Finalizado (4/10)"/>
    <n v="30.8"/>
    <n v="4.2"/>
    <n v="35"/>
    <s v="Sessão a Faturar"/>
    <n v="1901007785660100"/>
    <n v="36186"/>
    <s v="Unidade Vieiralves"/>
    <n v="9408630"/>
    <m/>
  </r>
  <r>
    <x v="9"/>
    <x v="35"/>
    <s v="Nadia Livia Dantas Farias"/>
    <m/>
    <x v="2"/>
    <x v="20"/>
    <s v="20103484 - Fisioterapia - Patologia Em Um Membro (R$ 12,22), 20103514 - Fisioterapia - Patologia Em Diferentes Segmentos da Coluna (R$ 14,83)"/>
    <s v="Fisioterapia"/>
    <n v="1713958112"/>
    <s v="Finalizado (3/10)"/>
    <n v="23.803999999999998"/>
    <n v="3.246"/>
    <n v="27.05"/>
    <s v="Sessão a Faturar"/>
    <n v="812980300400020"/>
    <n v="59087"/>
    <s v="Unidade Vieiralves"/>
    <n v="1713958112"/>
    <m/>
  </r>
  <r>
    <x v="9"/>
    <x v="35"/>
    <s v="Olivaldo Soares da Silva"/>
    <s v="Masculino"/>
    <x v="2"/>
    <x v="20"/>
    <s v="20103492 - Fisioterapia - Patologia Em Dois Ou Mais Membros (R$ 14,83)"/>
    <s v="Fisioterapia"/>
    <n v="1713968118"/>
    <s v="Finalizado (4/10)"/>
    <n v="13.0504"/>
    <n v="1.7796000000000001"/>
    <n v="14.83"/>
    <s v="Sessão a Faturar"/>
    <n v="771015041238010"/>
    <n v="44585"/>
    <s v="Unidade Vieiralves"/>
    <n v="1713968118"/>
    <m/>
  </r>
  <r>
    <x v="9"/>
    <x v="35"/>
    <s v="Simone de Oliveira Vasconcelos"/>
    <s v="Feminino"/>
    <x v="2"/>
    <x v="20"/>
    <s v="20103492 - Fisioterapia - Patologia Em Dois Ou Mais Membros (R$ 14,83), 20103514 - Fisioterapia - Patologia Em Diferentes Segmentos da Coluna (R$ 14,83)"/>
    <s v="Fisioterapia"/>
    <n v="1713990465"/>
    <s v="Finalizado (4/4)"/>
    <n v="26.1008"/>
    <n v="3.5592000000000001"/>
    <n v="29.66"/>
    <s v="Sessão a Faturar"/>
    <n v="771015038954010"/>
    <n v="54706"/>
    <s v="Unidade Vieiralves"/>
    <n v="1713990465"/>
    <m/>
  </r>
  <r>
    <x v="9"/>
    <x v="35"/>
    <s v="Nadia Livia Dantas Farias"/>
    <m/>
    <x v="4"/>
    <x v="20"/>
    <s v="31602185 - Estimulação Elétrica Transcutânea - Removido 13/04/2026 (R$ 40,00)"/>
    <s v="Fisioterapia"/>
    <n v="1717017168"/>
    <s v="Finalizado (2/9)"/>
    <n v="35.200000000000003"/>
    <n v="4.8"/>
    <n v="40"/>
    <s v="Sessão a Faturar"/>
    <n v="812980300400020"/>
    <n v="59087"/>
    <s v="Unidade Vieiralves"/>
    <n v="1717017168"/>
    <m/>
  </r>
  <r>
    <x v="9"/>
    <x v="38"/>
    <s v="Valmir Cesar Pozzetti"/>
    <s v="Masculino"/>
    <x v="1"/>
    <x v="20"/>
    <s v="50000160 - Fisioterapia Ortopédica (R$ 20,00), 98980327 - Taxa de Eletroterapia (Tens) (R$ 15,00)"/>
    <s v="Fisioterapia"/>
    <n v="9588135"/>
    <s v="Finalizado (1/10)"/>
    <n v="30.8"/>
    <n v="4.2"/>
    <n v="35"/>
    <s v="Sessão a Faturar"/>
    <s v="0901013948180030"/>
    <n v="43203"/>
    <s v="Unidade Vieiralves"/>
    <n v="9588135"/>
    <m/>
  </r>
  <r>
    <x v="9"/>
    <x v="37"/>
    <s v="Sara Gonçalves Vieira"/>
    <s v="Feminino"/>
    <x v="7"/>
    <x v="20"/>
    <s v="Vieiralves - 1 - Fisioterapia Ortopedica - Pacote (R$ 80,00)"/>
    <s v="Fisioterapia"/>
    <n v="171970"/>
    <s v="Finalizado (7/10)"/>
    <n v="62.4"/>
    <n v="17.600000000000001"/>
    <n v="80"/>
    <s v="Pago"/>
    <n v="56256"/>
    <n v="56256"/>
    <s v="Unidade Vieiralves"/>
    <n v="171970"/>
    <m/>
  </r>
  <r>
    <x v="9"/>
    <x v="37"/>
    <s v="Cinara Viana de Oliveira"/>
    <s v="Feminino"/>
    <x v="5"/>
    <x v="20"/>
    <s v="98860011 - Fisioterapia Complexidade 1 (R$ 55,26)"/>
    <s v="Fisioterapia"/>
    <n v="78993720"/>
    <s v="Não compareceu (4/10)"/>
    <n v="55.26"/>
    <n v="0"/>
    <n v="55.26"/>
    <s v="Sessão a Faturar"/>
    <s v="0101015127010323"/>
    <n v="59671"/>
    <s v="Unidade Vieiralves"/>
    <n v="78993720"/>
    <m/>
  </r>
  <r>
    <x v="9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Não compareceu (7/10)"/>
    <n v="24.44"/>
    <n v="0"/>
    <n v="24.44"/>
    <s v="Sessão Faturada"/>
    <n v="611453030001010"/>
    <n v="29"/>
    <s v="Unidade Vieiralves"/>
    <n v="1711388887"/>
    <m/>
  </r>
  <r>
    <x v="9"/>
    <x v="37"/>
    <s v="Priscila de Souza Rosa Barroncas"/>
    <m/>
    <x v="15"/>
    <x v="20"/>
    <s v="20103506 - Patologia Em Um Segmento da Coluna (R$ 34,74)"/>
    <s v="Fisioterapia"/>
    <n v="238990207"/>
    <s v="Finalizado (8/8)"/>
    <n v="30.571200000000001"/>
    <n v="4.1688000000000001"/>
    <n v="34.74"/>
    <s v="Sessão a Faturar"/>
    <s v="012376760102005"/>
    <n v="52839"/>
    <s v="Unidade Vieiralves"/>
    <n v="238990207"/>
    <m/>
  </r>
  <r>
    <x v="9"/>
    <x v="63"/>
    <s v="Laindks Lopes"/>
    <s v="Feminino"/>
    <x v="4"/>
    <x v="20"/>
    <s v="31602185 - Estimulação Elétrica Transcutânea - Removido 13/04/2026 (R$ 40,00)"/>
    <s v="Fisioterapia"/>
    <n v="1715059057"/>
    <s v="Não compareceu (4/7)"/>
    <n v="40"/>
    <n v="0"/>
    <n v="40"/>
    <s v="Sessão Faturada"/>
    <n v="611453030001010"/>
    <n v="29"/>
    <s v="Unidade Vieiralves"/>
    <n v="1715059057"/>
    <m/>
  </r>
  <r>
    <x v="9"/>
    <x v="63"/>
    <s v="Cinara Viana de Oliveira"/>
    <s v="Feminino"/>
    <x v="5"/>
    <x v="20"/>
    <s v="31602185 - Estimulação Elétrica Transcutânea (Tens) (R$ 125,40)"/>
    <s v="Fisioterapia"/>
    <n v="79167880"/>
    <s v="Não compareceu (4/10)"/>
    <n v="125.4"/>
    <n v="0"/>
    <n v="125.4"/>
    <s v="Sessão a Faturar"/>
    <s v="0101015127010323"/>
    <n v="59671"/>
    <s v="Unidade Vieiralves"/>
    <n v="79167880"/>
    <m/>
  </r>
  <r>
    <x v="9"/>
    <x v="39"/>
    <s v="Luciana Levinthal da Silva"/>
    <s v="Feminino"/>
    <x v="11"/>
    <x v="20"/>
    <s v="20103484 - Fisioterapia - Patologia Em Um Membro (R$ 80,33)"/>
    <s v="Fisioterapia"/>
    <n v="3513"/>
    <s v="Não compareceu (5/10)"/>
    <n v="80.33"/>
    <n v="0"/>
    <n v="80.33"/>
    <s v="Sessão a Faturar"/>
    <s v="01685-F-1"/>
    <n v="59646"/>
    <s v="Unidade Vieiralves"/>
    <n v="3513"/>
    <m/>
  </r>
  <r>
    <x v="9"/>
    <x v="39"/>
    <s v="Nick Davidson Cunha Furtado"/>
    <s v="Masculino"/>
    <x v="7"/>
    <x v="20"/>
    <s v="Vieiralves - 1 - Fisioterapia Ortopedica - Pacote (R$ 40,00)"/>
    <s v="Fisioterapia"/>
    <m/>
    <s v="Não compareceu (3/10)"/>
    <n v="40"/>
    <n v="0"/>
    <n v="40"/>
    <s v="No Prazo"/>
    <n v="0"/>
    <n v="59584"/>
    <s v="Unidade Vieiralves"/>
    <m/>
    <m/>
  </r>
  <r>
    <x v="9"/>
    <x v="39"/>
    <s v="Fabíola Graziele Martins de Lima"/>
    <s v="Feminino"/>
    <x v="8"/>
    <x v="20"/>
    <s v="20103484 - Patologia Em Um Membro (R$ 12,22)"/>
    <s v="Fisioterapia"/>
    <n v="1713336619"/>
    <s v="Não compareceu (8/10)"/>
    <n v="12.22"/>
    <n v="0"/>
    <n v="12.22"/>
    <s v="Sessão a Faturar"/>
    <n v="954590029556010"/>
    <n v="59043"/>
    <s v="Unidade Vieiralves"/>
    <n v="1713336619"/>
    <m/>
  </r>
  <r>
    <x v="9"/>
    <x v="39"/>
    <s v="Marcus Vinícius Ribeiro de Souza"/>
    <s v="Masculino"/>
    <x v="5"/>
    <x v="20"/>
    <s v="50000144 - Avaliação de Fisioterapia (R$ 37,63)"/>
    <s v="Fisioterapia"/>
    <n v="172727"/>
    <s v="Não compareceu (1/1)"/>
    <n v="37.630000000000003"/>
    <n v="0"/>
    <n v="37.630000000000003"/>
    <s v="Sessão Faturada"/>
    <s v="0100478291040577"/>
    <n v="59769"/>
    <s v="Unidade Vieiralves"/>
    <n v="172727"/>
    <m/>
  </r>
  <r>
    <x v="9"/>
    <x v="64"/>
    <s v="Marcus Vinícius Ribeiro de Souza"/>
    <s v="Masculino"/>
    <x v="5"/>
    <x v="20"/>
    <s v="98860011 - Fisioterapia Complexidade 1 (R$ 55,26)"/>
    <s v="Fisioterapia"/>
    <n v="79770010"/>
    <s v="Não compareceu (1/10)"/>
    <n v="55.26"/>
    <n v="0"/>
    <n v="55.26"/>
    <s v="Sessão a Faturar"/>
    <s v="0100478291040577"/>
    <n v="59769"/>
    <s v="Unidade Vieiralves"/>
    <n v="79770010"/>
    <m/>
  </r>
  <r>
    <x v="9"/>
    <x v="64"/>
    <s v="Fabíola Graziele Martins de Lima"/>
    <s v="Feminino"/>
    <x v="9"/>
    <x v="20"/>
    <s v="31602185 - Estimulação Elétrica Transcutânea (Tens) - Removido 13/04/2026 (R$ 40,00)"/>
    <s v="Fisioterapia"/>
    <n v="1715019315"/>
    <s v="Não compareceu (6/8)"/>
    <n v="40"/>
    <n v="0"/>
    <n v="40"/>
    <s v="Sessão a Faturar"/>
    <n v="954590029556010"/>
    <n v="59043"/>
    <s v="Unidade Vieiralves"/>
    <n v="1715019315"/>
    <m/>
  </r>
  <r>
    <x v="25"/>
    <x v="89"/>
    <s v="Merizethe Barroso Gadelha"/>
    <s v="Feminino"/>
    <x v="2"/>
    <x v="20"/>
    <s v="20103514 - Fisioterapia - Patologia Em Diferentes Segmentos da Coluna (R$ 14,83)"/>
    <s v="Fisioterapia"/>
    <n v="1716900791"/>
    <s v="Finalizado (4/10)"/>
    <n v="13.0504"/>
    <n v="1.7796000000000001"/>
    <n v="14.83"/>
    <s v="Sessão a Faturar"/>
    <n v="774812000566020"/>
    <n v="59738"/>
    <s v="Unidade Vieiralves"/>
    <n v="1716900791"/>
    <m/>
  </r>
  <r>
    <x v="25"/>
    <x v="44"/>
    <s v="Valterlei Ribeiro Mendonça"/>
    <m/>
    <x v="2"/>
    <x v="20"/>
    <s v="20103506 - Fisioterapia - Patologia Em Um Segmento da Coluna (R$ 12,22)"/>
    <s v="Fisioterapia"/>
    <n v="1718405647"/>
    <s v="Finalizado (1/10)"/>
    <n v="10.7536"/>
    <n v="1.4663999999999999"/>
    <n v="12.22"/>
    <s v="Sessão a Faturar"/>
    <n v="775494003360000"/>
    <n v="57982"/>
    <s v="Unidade Vieiralves"/>
    <n v="1718405647"/>
    <m/>
  </r>
  <r>
    <x v="25"/>
    <x v="44"/>
    <s v="Kaíny Medeiros Maciel"/>
    <s v="Feminino"/>
    <x v="2"/>
    <x v="20"/>
    <s v="20103514 - Fisioterapia - Patologia Em Diferentes Segmentos da Coluna (R$ 14,83)"/>
    <s v="Fisioterapia"/>
    <n v="1718410247"/>
    <s v="Finalizado (1/10)"/>
    <n v="13.0504"/>
    <n v="1.7796000000000001"/>
    <n v="14.83"/>
    <s v="Sessão a Faturar"/>
    <n v="774642015580010"/>
    <n v="59326"/>
    <s v="Unidade Vieiralves"/>
    <n v="1718410247"/>
    <m/>
  </r>
  <r>
    <x v="25"/>
    <x v="44"/>
    <s v="Kaíny Medeiros Maciel"/>
    <s v="Feminino"/>
    <x v="2"/>
    <x v="20"/>
    <s v="50000144 - Avaliação de Fisioterapia (R$ 51,42)"/>
    <s v="Fisioterapia"/>
    <n v="1718409506"/>
    <s v="Finalizado (1/1)"/>
    <n v="46.277999999999999"/>
    <n v="5.1420000000000003"/>
    <n v="51.42"/>
    <s v="Sessão Faturada"/>
    <n v="774642015580010"/>
    <n v="59326"/>
    <s v="Unidade Vieiralves"/>
    <n v="1718409506"/>
    <m/>
  </r>
  <r>
    <x v="25"/>
    <x v="44"/>
    <s v="Valterlei Ribeiro Mendonça"/>
    <m/>
    <x v="4"/>
    <x v="20"/>
    <s v="31602185 - Estimulação Elétrica Transcutânea - Removido 13/04/2026 (R$ 40,00)"/>
    <s v="Fisioterapia"/>
    <n v="1711851600"/>
    <s v="Finalizado (3/4)"/>
    <n v="35.200000000000003"/>
    <n v="4.8"/>
    <n v="40"/>
    <s v="Sessão a Faturar"/>
    <n v="775494003360000"/>
    <n v="57982"/>
    <s v="Unidade Vieiralves"/>
    <n v="1711851600"/>
    <m/>
  </r>
  <r>
    <x v="25"/>
    <x v="41"/>
    <s v="Rafael Daniel Gerzvolf"/>
    <s v="Masculino"/>
    <x v="6"/>
    <x v="20"/>
    <s v="31602185 - Estimulação Elétrica Transcutanea (Tens) (R$ 40,00)"/>
    <s v="Fisioterapia"/>
    <n v="171439"/>
    <s v="Finalizado (8/9)"/>
    <n v="35.200000000000003"/>
    <n v="4.8"/>
    <n v="40"/>
    <s v="Sessão a Faturar"/>
    <s v="51588888488560580015"/>
    <n v="57485"/>
    <s v="Unidade Vieiralves"/>
    <n v="171439"/>
    <m/>
  </r>
  <r>
    <x v="25"/>
    <x v="41"/>
    <s v="Rafael Daniel Gerzvolf"/>
    <s v="Masculino"/>
    <x v="6"/>
    <x v="20"/>
    <s v="20103484 - Patologia Em Um Membro (R$ 14,16)"/>
    <s v="Fisioterapia"/>
    <n v="171440"/>
    <s v="Finalizado (8/10)"/>
    <n v="12.460800000000001"/>
    <n v="1.6992"/>
    <n v="14.16"/>
    <s v="Sessão a Faturar"/>
    <s v="51588888488560580015"/>
    <n v="57485"/>
    <s v="Unidade Vieiralves"/>
    <n v="171440"/>
    <m/>
  </r>
  <r>
    <x v="25"/>
    <x v="36"/>
    <s v="David de Souza Ferreira"/>
    <s v="Masculino"/>
    <x v="2"/>
    <x v="20"/>
    <s v="20103662 - Fisioterapia - Pos Operatorio Em Um Membro (R$ 14,99)"/>
    <s v="Fisioterapia"/>
    <n v="1718431379"/>
    <s v="Finalizado (1/10)"/>
    <n v="13.1912"/>
    <n v="1.7988"/>
    <n v="14.99"/>
    <s v="Sessão a Faturar"/>
    <n v="611209010001010"/>
    <n v="18809"/>
    <s v="Unidade Vieiralves"/>
    <n v="1718431379"/>
    <m/>
  </r>
  <r>
    <x v="25"/>
    <x v="36"/>
    <s v="David de Souza Ferreira"/>
    <s v="Masculino"/>
    <x v="2"/>
    <x v="20"/>
    <s v="50000144 - Avaliação de Fisioterapia (R$ 51,42)"/>
    <s v="Fisioterapia"/>
    <n v="1718430524"/>
    <s v="Finalizado (1/1)"/>
    <n v="46.277999999999999"/>
    <n v="5.1420000000000003"/>
    <n v="51.42"/>
    <s v="Sessão Faturada"/>
    <n v="611209010001010"/>
    <n v="18809"/>
    <s v="Unidade Vieiralves"/>
    <n v="1718430524"/>
    <m/>
  </r>
  <r>
    <x v="25"/>
    <x v="40"/>
    <s v="Waldir dos Santos Fontes Junior"/>
    <s v="Masculino"/>
    <x v="2"/>
    <x v="20"/>
    <s v="20103506 - Fisioterapia - Patologia Em Um Segmento da Coluna (R$ 12,22)"/>
    <s v="Fisioterapia"/>
    <n v="1714249141"/>
    <s v="Finalizado (3/5)"/>
    <n v="10.7536"/>
    <n v="1.4663999999999999"/>
    <n v="12.22"/>
    <s v="Sessão Faturada"/>
    <n v="772133000728000"/>
    <n v="51522"/>
    <s v="Unidade Vieiralves"/>
    <n v="1714249141"/>
    <m/>
  </r>
  <r>
    <x v="25"/>
    <x v="35"/>
    <s v="Dilcilene Angelim da Silva Santos"/>
    <m/>
    <x v="7"/>
    <x v="20"/>
    <s v="Vieiralves - 1 - Fisioterapia Ortopedica - Pacote (R$ 40,00)"/>
    <s v="Fisioterapia"/>
    <n v="171003"/>
    <s v="Finalizado (5/10)"/>
    <n v="31.2"/>
    <n v="8.8000000000000007"/>
    <n v="40"/>
    <s v="Pago"/>
    <n v="59115"/>
    <n v="59115"/>
    <s v="Unidade Vieiralves"/>
    <n v="171003"/>
    <m/>
  </r>
  <r>
    <x v="25"/>
    <x v="35"/>
    <s v="Sara Gonçalves Vieira"/>
    <s v="Feminino"/>
    <x v="7"/>
    <x v="20"/>
    <s v="Vieiralves - 1 - Fisioterapia Ortopedica - Pacote (R$ 80,00)"/>
    <s v="Fisioterapia"/>
    <n v="171970"/>
    <s v="Finalizado (8/10)"/>
    <n v="62.4"/>
    <n v="17.600000000000001"/>
    <n v="80"/>
    <s v="Pago"/>
    <n v="56256"/>
    <n v="56256"/>
    <s v="Unidade Vieiralves"/>
    <n v="171970"/>
    <m/>
  </r>
  <r>
    <x v="25"/>
    <x v="38"/>
    <s v="Amilton da Costa Carvalho"/>
    <s v="Masculino"/>
    <x v="20"/>
    <x v="20"/>
    <s v="20103484 - Patologia Em Um Membro (R$ 29,04)"/>
    <s v="Fisioterapia"/>
    <n v="172807"/>
    <s v="Finalizado (5/10)"/>
    <n v="25.555199999999999"/>
    <n v="3.4847999999999999"/>
    <n v="29.04"/>
    <s v="Sessão a Faturar"/>
    <n v="10511003315900"/>
    <n v="51485"/>
    <s v="Unidade Vieiralves"/>
    <n v="172807"/>
    <m/>
  </r>
  <r>
    <x v="25"/>
    <x v="38"/>
    <s v="Valmir de Oliveira Rodrigues"/>
    <s v="Masculino"/>
    <x v="6"/>
    <x v="20"/>
    <s v="20103484 - Patologia Em Um Membro (R$ 14,16)"/>
    <s v="Fisioterapia"/>
    <n v="171854"/>
    <s v="Finalizado (5/10)"/>
    <n v="12.460800000000001"/>
    <n v="1.6992"/>
    <n v="14.16"/>
    <s v="Sessão a Faturar"/>
    <s v="55788888483016290015"/>
    <n v="15363"/>
    <s v="Unidade Vieiralves"/>
    <n v="171854"/>
    <m/>
  </r>
  <r>
    <x v="25"/>
    <x v="38"/>
    <s v="Lucas Reniele Amorim de Andrade"/>
    <s v="Masculino"/>
    <x v="4"/>
    <x v="20"/>
    <s v="31602185 - Estimulação Elétrica Transcutânea - Removido 13/04/2026 (R$ 40,00)"/>
    <s v="Fisioterapia"/>
    <n v="1714930701"/>
    <s v="Finalizado (4/4)"/>
    <n v="35.200000000000003"/>
    <n v="4.8"/>
    <n v="40"/>
    <s v="Sessão a Faturar"/>
    <n v="774642029297000"/>
    <n v="58737"/>
    <s v="Unidade Vieiralves"/>
    <n v="1714930701"/>
    <m/>
  </r>
  <r>
    <x v="25"/>
    <x v="62"/>
    <s v="Lucas Reniele Amorim de Andrade"/>
    <s v="Masculino"/>
    <x v="2"/>
    <x v="20"/>
    <s v="20103484 - Fisioterapia - Patologia Em Um Membro (R$ 12,22)"/>
    <s v="Fisioterapia"/>
    <n v="1711676744"/>
    <s v="Finalizado (6/6)"/>
    <n v="10.7536"/>
    <n v="1.4663999999999999"/>
    <n v="12.22"/>
    <s v="Sessão a Faturar"/>
    <n v="774642029297000"/>
    <n v="58737"/>
    <s v="Unidade Vieiralves"/>
    <n v="1711676744"/>
    <m/>
  </r>
  <r>
    <x v="25"/>
    <x v="62"/>
    <s v="Valmir de Oliveira Rodrigues"/>
    <s v="Masculino"/>
    <x v="6"/>
    <x v="20"/>
    <s v="31602185 - Estimulação Elétrica Transcutanea (Tens) (R$ 40,00)"/>
    <s v="Fisioterapia"/>
    <n v="171855"/>
    <s v="Finalizado (5/7)"/>
    <n v="35.200000000000003"/>
    <n v="4.8"/>
    <n v="40"/>
    <s v="Sessão a Faturar"/>
    <s v="55788888483016290015"/>
    <n v="15363"/>
    <s v="Unidade Vieiralves"/>
    <n v="171855"/>
    <m/>
  </r>
  <r>
    <x v="25"/>
    <x v="37"/>
    <s v="Françoise do Nascimento Lima"/>
    <s v="Feminino"/>
    <x v="2"/>
    <x v="20"/>
    <s v="20103484 - Fisioterapia - Patologia Em Um Membro (R$ 12,22)"/>
    <s v="Fisioterapia"/>
    <n v="1711678006"/>
    <s v="Finalizado (8/10)"/>
    <n v="10.7536"/>
    <n v="1.4663999999999999"/>
    <n v="12.22"/>
    <s v="Sessão a Faturar"/>
    <n v="771015045942010"/>
    <n v="99"/>
    <s v="Unidade Vieiralves"/>
    <n v="1711678006"/>
    <m/>
  </r>
  <r>
    <x v="25"/>
    <x v="37"/>
    <s v="Dina Francoile Viana Ramos"/>
    <s v="Feminino"/>
    <x v="4"/>
    <x v="20"/>
    <s v="31602185 - Estimulação Elétrica Transcutânea - Removido 13/04/2026 (R$ 40,00)"/>
    <s v="Fisioterapia"/>
    <n v="1710826226"/>
    <s v="Finalizado (8/10)"/>
    <n v="35.200000000000003"/>
    <n v="4.8"/>
    <n v="40"/>
    <s v="Sessão Faturada"/>
    <n v="960016167330060"/>
    <n v="16965"/>
    <s v="Unidade Vieiralves"/>
    <n v="1710826226"/>
    <m/>
  </r>
  <r>
    <x v="25"/>
    <x v="37"/>
    <s v="Leonidas Oliveira de Lima"/>
    <s v="Masculino"/>
    <x v="7"/>
    <x v="20"/>
    <s v="Vieiralves - 1 - Fisioterapia Ortopedica - Pacote (R$ 80,00)"/>
    <s v="Fisioterapia"/>
    <n v="170586"/>
    <s v="Finalizado (3/10)"/>
    <n v="62.4"/>
    <n v="17.600000000000001"/>
    <n v="80"/>
    <s v="Pago"/>
    <n v="0"/>
    <n v="59536"/>
    <s v="Unidade Vieiralves"/>
    <n v="170586"/>
    <m/>
  </r>
  <r>
    <x v="25"/>
    <x v="37"/>
    <s v="Dina Francoile Viana Ramos"/>
    <s v="Feminino"/>
    <x v="2"/>
    <x v="20"/>
    <s v="20103492 - Fisioterapia - Patologia Em Dois Ou Mais Membros (R$ 14,83)"/>
    <s v="Fisioterapia"/>
    <n v="1717609324"/>
    <s v="Finalizado (2/10)"/>
    <n v="13.0504"/>
    <n v="1.7796000000000001"/>
    <n v="14.83"/>
    <s v="Sessão a Faturar"/>
    <n v="960016167330060"/>
    <n v="16965"/>
    <s v="Unidade Vieiralves"/>
    <n v="1717609324"/>
    <m/>
  </r>
  <r>
    <x v="25"/>
    <x v="39"/>
    <s v="Nick Davidson Cunha Furtado"/>
    <s v="Masculino"/>
    <x v="7"/>
    <x v="20"/>
    <s v="Vieiralves - 1 - Fisioterapia Ortopedica - Pacote (R$ 40,00)"/>
    <s v="Fisioterapia"/>
    <m/>
    <s v="Finalizado (4/10)"/>
    <n v="31.2"/>
    <n v="8.8000000000000007"/>
    <n v="40"/>
    <s v="No Prazo"/>
    <n v="0"/>
    <n v="59584"/>
    <s v="Unidade Vieiralves"/>
    <m/>
    <m/>
  </r>
  <r>
    <x v="25"/>
    <x v="39"/>
    <s v="Leopoldo Victorino de Menezes Neto"/>
    <s v="Masculino"/>
    <x v="1"/>
    <x v="20"/>
    <s v="50000160 - Fisioterapia Ortopédica (R$ 20,00), 98980327 - Taxa de Eletroterapia (Tens) (R$ 15,00)"/>
    <s v="Fisioterapia"/>
    <n v="9052356"/>
    <s v="Finalizado (10/10)"/>
    <n v="30.8"/>
    <n v="4.2"/>
    <n v="35"/>
    <s v="Sessão Faturada"/>
    <s v="0201013982810029"/>
    <n v="19454"/>
    <s v="Unidade Vieiralves"/>
    <n v="9052356"/>
    <m/>
  </r>
  <r>
    <x v="10"/>
    <x v="89"/>
    <s v="Merizethe Barroso Gadelha"/>
    <s v="Feminino"/>
    <x v="2"/>
    <x v="20"/>
    <s v="20103514 - Fisioterapia - Patologia Em Diferentes Segmentos da Coluna (R$ 14,83)"/>
    <s v="Fisioterapia"/>
    <n v="1716900791"/>
    <s v="Finalizado (5/10)"/>
    <n v="13.0504"/>
    <n v="1.7796000000000001"/>
    <n v="14.83"/>
    <s v="Sessão a Faturar"/>
    <n v="774812000566020"/>
    <n v="59738"/>
    <s v="Unidade Vieiralves"/>
    <n v="1716900791"/>
    <m/>
  </r>
  <r>
    <x v="10"/>
    <x v="89"/>
    <s v="Victor Thury Vieira Hauache"/>
    <s v="Masculino"/>
    <x v="6"/>
    <x v="20"/>
    <s v="20103484 - Patologia Em Um Membro (R$ 14,16)"/>
    <s v="Fisioterapia"/>
    <n v="173301"/>
    <s v="Finalizado (1/10)"/>
    <n v="12.460800000000001"/>
    <n v="1.6992"/>
    <n v="14.16"/>
    <s v="Sessão a Faturar"/>
    <s v="55788888476678190110"/>
    <n v="59493"/>
    <s v="Unidade Vieiralves"/>
    <n v="173301"/>
    <m/>
  </r>
  <r>
    <x v="10"/>
    <x v="89"/>
    <s v="Braz Rodrigues dos Santos"/>
    <s v="Masculino"/>
    <x v="13"/>
    <x v="20"/>
    <s v="20103492 - Patologia Em Dois Ou Mais Membros (R$ 32,28)"/>
    <s v="Fisioterapia"/>
    <n v="13811417"/>
    <s v="Finalizado (2/10)"/>
    <n v="28.406400000000001"/>
    <n v="3.8736000000000002"/>
    <n v="32.28"/>
    <s v="Sessão a Faturar"/>
    <s v="00010300000540017"/>
    <n v="48698"/>
    <s v="Unidade Vieiralves"/>
    <n v="13811417"/>
    <m/>
  </r>
  <r>
    <x v="10"/>
    <x v="89"/>
    <s v="Sandra Souza Cavalcante"/>
    <m/>
    <x v="2"/>
    <x v="20"/>
    <s v="20103484 - Fisioterapia - Patologia Em Um Membro (R$ 12,22)"/>
    <s v="Fisioterapia"/>
    <n v="1710035241"/>
    <s v="Finalizado (8/8)"/>
    <n v="10.7536"/>
    <n v="1.4663999999999999"/>
    <n v="12.22"/>
    <s v="Sessão a Faturar"/>
    <n v="773299001503000"/>
    <n v="59519"/>
    <s v="Unidade Vieiralves"/>
    <n v="1710035241"/>
    <m/>
  </r>
  <r>
    <x v="10"/>
    <x v="89"/>
    <s v="Victor Thury Vieira Hauache"/>
    <s v="Masculino"/>
    <x v="6"/>
    <x v="20"/>
    <s v="31602185 - Estimulação Elétrica Transcutanea (Tens) (R$ 40,00)"/>
    <s v="Fisioterapia"/>
    <n v="171564"/>
    <s v="Finalizado (8/9)"/>
    <n v="35.200000000000003"/>
    <n v="4.8"/>
    <n v="40"/>
    <s v="Sessão a Faturar"/>
    <s v="55788888476678190110"/>
    <n v="59493"/>
    <s v="Unidade Vieiralves"/>
    <n v="171564"/>
    <m/>
  </r>
  <r>
    <x v="10"/>
    <x v="44"/>
    <s v="Ana Claudia Teixeira de Souza Viapiana"/>
    <m/>
    <x v="2"/>
    <x v="20"/>
    <s v="20103484 - Fisioterapia - Patologia Em Um Membro (R$ 12,22)"/>
    <s v="Fisioterapia"/>
    <n v="1715426602"/>
    <s v="Finalizado (6/10)"/>
    <n v="10.7536"/>
    <n v="1.4663999999999999"/>
    <n v="12.22"/>
    <s v="Sessão a Faturar"/>
    <n v="896958600019010"/>
    <n v="59405"/>
    <s v="Unidade Vieiralves"/>
    <n v="1715426602"/>
    <m/>
  </r>
  <r>
    <x v="10"/>
    <x v="44"/>
    <s v="Raimunda Carneiro de Carvalho"/>
    <s v="Feminino"/>
    <x v="10"/>
    <x v="20"/>
    <s v="50000160 - Fisioterapia Ortopédica (R$ 15,00)"/>
    <s v="Fisioterapia"/>
    <n v="15120294"/>
    <s v="Finalizado (2/10)"/>
    <n v="13.2"/>
    <n v="1.8"/>
    <n v="15"/>
    <s v="Sessão Faturada"/>
    <s v="00010064268499005"/>
    <n v="52966"/>
    <s v="Unidade Vieiralves"/>
    <n v="15120294"/>
    <s v="guia assinada "/>
  </r>
  <r>
    <x v="10"/>
    <x v="44"/>
    <s v="Cesar Augusto Dias"/>
    <s v="Masculino"/>
    <x v="1"/>
    <x v="20"/>
    <s v="50000160 - Fisioterapia Ortopédica (R$ 20,00), 98980327 - Taxa de Eletroterapia (Tens) (R$ 15,00)"/>
    <s v="Fisioterapia"/>
    <n v="9383626"/>
    <s v="Finalizado (4/10)"/>
    <n v="30.8"/>
    <n v="4.2"/>
    <n v="35"/>
    <s v="Sessão a Faturar"/>
    <s v="0701011252580008"/>
    <n v="59650"/>
    <s v="Unidade Vieiralves"/>
    <n v="9383626"/>
    <m/>
  </r>
  <r>
    <x v="10"/>
    <x v="41"/>
    <s v="Juliana Schettini Sobrinho Dourado"/>
    <m/>
    <x v="6"/>
    <x v="20"/>
    <s v="20103484 - Patologia Em Um Membro (R$ 14,16)"/>
    <s v="Fisioterapia"/>
    <n v="171274"/>
    <s v="Finalizado (9/10)"/>
    <n v="12.460800000000001"/>
    <n v="1.6992"/>
    <n v="14.16"/>
    <s v="Sessão a Faturar"/>
    <s v="51588888483923230010"/>
    <n v="58626"/>
    <s v="Unidade Vieiralves"/>
    <n v="171274"/>
    <m/>
  </r>
  <r>
    <x v="10"/>
    <x v="41"/>
    <s v="Edna Lucia Moraes Derzi"/>
    <s v="Feminino"/>
    <x v="6"/>
    <x v="20"/>
    <s v="20103492 - Patologia Em Dois Ou Mais Membros (R$ 30,26)"/>
    <s v="Fisioterapia"/>
    <n v="170406"/>
    <s v="Finalizado (10/10)"/>
    <n v="26.628799999999998"/>
    <n v="3.6312000000000002"/>
    <n v="30.26"/>
    <s v="Sessão a Faturar"/>
    <s v="54588888469679780015"/>
    <n v="13101"/>
    <s v="Unidade Vieiralves"/>
    <n v="170406"/>
    <m/>
  </r>
  <r>
    <x v="10"/>
    <x v="41"/>
    <s v="Cristina dos Santos Braga"/>
    <m/>
    <x v="20"/>
    <x v="20"/>
    <s v="20103506 - Patologia Em  Um Segmento da Coluna (R$ 27,11)"/>
    <s v="Fisioterapia"/>
    <n v="55729690"/>
    <s v="Finalizado (8/10)"/>
    <n v="23.8568"/>
    <n v="3.2532000000000001"/>
    <n v="27.11"/>
    <s v="Sessão a Faturar"/>
    <n v="10511000263700"/>
    <n v="59694"/>
    <s v="Unidade Vieiralves"/>
    <n v="55729690"/>
    <m/>
  </r>
  <r>
    <x v="10"/>
    <x v="65"/>
    <s v="Edna Lucia Moraes Derzi"/>
    <s v="Feminino"/>
    <x v="6"/>
    <x v="20"/>
    <s v="31602185 - Estimulação Elétrica Transcutanea (Tens) (R$ 40,00)"/>
    <s v="Fisioterapia"/>
    <n v="170747"/>
    <s v="Finalizado (9/10)"/>
    <n v="35.200000000000003"/>
    <n v="4.8"/>
    <n v="40"/>
    <s v="Sessão a Faturar"/>
    <s v="54588888469679780015"/>
    <n v="13101"/>
    <s v="Unidade Vieiralves"/>
    <n v="170747"/>
    <m/>
  </r>
  <r>
    <x v="10"/>
    <x v="65"/>
    <s v="Juliana Schettini Sobrinho Dourado"/>
    <m/>
    <x v="6"/>
    <x v="20"/>
    <s v="31602185 - Estimulação Elétrica Transcutanea (Tens) (R$ 40,00)"/>
    <s v="Fisioterapia"/>
    <n v="172381"/>
    <s v="Finalizado (5/6)"/>
    <n v="35.200000000000003"/>
    <n v="4.8"/>
    <n v="40"/>
    <s v="Sessão a Faturar"/>
    <s v="51588888483923230010"/>
    <n v="58626"/>
    <s v="Unidade Vieiralves"/>
    <n v="172381"/>
    <m/>
  </r>
  <r>
    <x v="10"/>
    <x v="36"/>
    <s v="Wendel de Mendonça de Souza"/>
    <s v="Masculino"/>
    <x v="2"/>
    <x v="20"/>
    <s v="20103514 - Fisioterapia - Patologia Em Diferentes Segmentos da Coluna (R$ 14,83)"/>
    <s v="Fisioterapia"/>
    <n v="1710121318"/>
    <s v="Finalizado (7/10)"/>
    <n v="13.0504"/>
    <n v="1.7796000000000001"/>
    <n v="14.83"/>
    <s v="Sessão a Faturar"/>
    <n v="854778700183020"/>
    <n v="59572"/>
    <s v="Unidade Vieiralves"/>
    <n v="1710121318"/>
    <m/>
  </r>
  <r>
    <x v="10"/>
    <x v="36"/>
    <s v="Darlan da Silva Picanço"/>
    <s v="Feminino"/>
    <x v="1"/>
    <x v="20"/>
    <s v="50000160 - Fisioterapia Ortopédica (R$ 20,00), 98980327 - Taxa de Eletroterapia (Tens) (R$ 15,00)"/>
    <s v="Fisioterapia"/>
    <n v="9458849"/>
    <s v="Finalizado (5/10)"/>
    <n v="30.8"/>
    <n v="4.2"/>
    <n v="35"/>
    <s v="Sessão Faturada"/>
    <s v="0901013959170057"/>
    <n v="15532"/>
    <s v="Unidade Vieiralves"/>
    <n v="9458849"/>
    <m/>
  </r>
  <r>
    <x v="10"/>
    <x v="36"/>
    <s v="Jose Antonio Rodrigues Neto"/>
    <s v="Masculino"/>
    <x v="1"/>
    <x v="20"/>
    <s v="50000160 - Fisioterapia Ortopédica (R$ 20,00), 98980327 - Taxa de Eletroterapia (Tens) (R$ 15,00)"/>
    <s v="Fisioterapia"/>
    <n v="9308623"/>
    <s v="Finalizado (7/10)"/>
    <n v="30.8"/>
    <n v="4.2"/>
    <n v="35"/>
    <s v="Sessão Faturada"/>
    <s v="0901014030320036"/>
    <n v="59617"/>
    <s v="Unidade Vieiralves"/>
    <n v="9308623"/>
    <m/>
  </r>
  <r>
    <x v="10"/>
    <x v="61"/>
    <s v="Wendel de Mendonça de Souza"/>
    <s v="Masculino"/>
    <x v="4"/>
    <x v="20"/>
    <s v="31602185 - Estimulação Elétrica Transcutânea - Removido 13/04/2026 (R$ 40,00)"/>
    <s v="Fisioterapia"/>
    <n v="1714944432"/>
    <s v="Finalizado (4/10)"/>
    <n v="35.200000000000003"/>
    <n v="4.8"/>
    <n v="40"/>
    <s v="Sessão a Faturar"/>
    <n v="854778700183020"/>
    <n v="59572"/>
    <s v="Unidade Vieiralves"/>
    <n v="1714944432"/>
    <m/>
  </r>
  <r>
    <x v="10"/>
    <x v="40"/>
    <s v="David de Souza Ferreira"/>
    <s v="Masculino"/>
    <x v="2"/>
    <x v="20"/>
    <s v="20103662 - Fisioterapia - Pos Operatorio Em Um Membro (R$ 14,99)"/>
    <s v="Fisioterapia"/>
    <n v="1718431379"/>
    <s v="Finalizado (2/10)"/>
    <n v="13.1912"/>
    <n v="1.7988"/>
    <n v="14.99"/>
    <s v="Sessão a Faturar"/>
    <n v="611209010001010"/>
    <n v="18809"/>
    <s v="Unidade Vieiralves"/>
    <n v="1718431379"/>
    <m/>
  </r>
  <r>
    <x v="10"/>
    <x v="40"/>
    <s v="Maria da Assunção Dantas da Silva"/>
    <m/>
    <x v="1"/>
    <x v="20"/>
    <s v="50000160 - Fisioterapia Ortopédica (R$ 20,00), 98980327 - Taxa de Eletroterapia (Tens) (R$ 15,00)"/>
    <s v="Fisioterapia"/>
    <n v="9367730"/>
    <s v="Finalizado (9/10)"/>
    <n v="30.8"/>
    <n v="4.2"/>
    <n v="35"/>
    <s v="Sessão Faturada"/>
    <n v="1901005511160100"/>
    <n v="59640"/>
    <s v="Unidade Vieiralves"/>
    <n v="9367730"/>
    <m/>
  </r>
  <r>
    <x v="10"/>
    <x v="40"/>
    <s v="Marilia Bezerra de Freitas Marques da Silva"/>
    <s v="Feminino"/>
    <x v="7"/>
    <x v="20"/>
    <s v="Part Convenio - 10 - Fisioterapia Ortopédica- Pacote (R$ 45,00)"/>
    <s v="Fisioterapia"/>
    <m/>
    <s v="Finalizado (1/10)"/>
    <n v="35.1"/>
    <n v="9.9"/>
    <n v="45"/>
    <s v="Pago"/>
    <s v="001"/>
    <n v="48227"/>
    <s v="Unidade Vieiralves"/>
    <m/>
    <m/>
  </r>
  <r>
    <x v="10"/>
    <x v="45"/>
    <s v="David de Souza Ferreira"/>
    <s v="Masculino"/>
    <x v="4"/>
    <x v="20"/>
    <s v="31602185 - Estimulação Elétrica Transcutânea - Removido 13/04/2026 (R$ 40,00)"/>
    <s v="Fisioterapia"/>
    <n v="1718878285"/>
    <s v="Finalizado (1/10)"/>
    <n v="35.200000000000003"/>
    <n v="4.8"/>
    <n v="40"/>
    <s v="Sessão a Faturar"/>
    <n v="611209010001010"/>
    <n v="18809"/>
    <s v="Unidade Vieiralves"/>
    <n v="1718878285"/>
    <m/>
  </r>
  <r>
    <x v="10"/>
    <x v="35"/>
    <s v="Olivaldo Soares da Silva"/>
    <s v="Masculino"/>
    <x v="2"/>
    <x v="20"/>
    <s v="20103492 - Fisioterapia - Patologia Em Dois Ou Mais Membros (R$ 14,83)"/>
    <s v="Fisioterapia"/>
    <n v="1713968118"/>
    <s v="Finalizado (5/10)"/>
    <n v="13.0504"/>
    <n v="1.7796000000000001"/>
    <n v="14.83"/>
    <s v="Sessão a Faturar"/>
    <n v="771015041238010"/>
    <n v="44585"/>
    <s v="Unidade Vieiralves"/>
    <n v="1713968118"/>
    <m/>
  </r>
  <r>
    <x v="10"/>
    <x v="35"/>
    <s v="Nely Cruz Ferreira"/>
    <s v="Feminino"/>
    <x v="1"/>
    <x v="20"/>
    <s v="50000160 - Fisioterapia Ortopédica (R$ 20,00), 98980327 - Taxa de Eletroterapia (Tens) (R$ 15,00)"/>
    <s v="Fisioterapia"/>
    <n v="8674348"/>
    <s v="Finalizado (9/10)"/>
    <n v="30.8"/>
    <n v="4.2"/>
    <n v="35"/>
    <s v="Sessão Faturada"/>
    <n v="1401013004130100"/>
    <n v="21829"/>
    <s v="Unidade Vieiralves"/>
    <n v="8674348"/>
    <m/>
  </r>
  <r>
    <x v="10"/>
    <x v="35"/>
    <s v="Luciana Ferreira Viana"/>
    <m/>
    <x v="7"/>
    <x v="20"/>
    <s v="Vieiralves - 1 - Fisioterapia Ortopedica - Pacote (R$ 40,00)"/>
    <s v="Fisioterapia"/>
    <m/>
    <s v="Finalizado (10/10)"/>
    <n v="31.2"/>
    <n v="8.8000000000000007"/>
    <n v="40"/>
    <s v="Pago"/>
    <s v="00"/>
    <n v="59537"/>
    <s v="Unidade Vieiralves"/>
    <m/>
    <m/>
  </r>
  <r>
    <x v="10"/>
    <x v="38"/>
    <s v="Cinara Viana de Oliveira"/>
    <s v="Feminino"/>
    <x v="5"/>
    <x v="20"/>
    <s v="98860011 - Fisioterapia Complexidade 1 (R$ 55,26)"/>
    <s v="Fisioterapia"/>
    <n v="78993720"/>
    <s v="Finalizado (5/10)"/>
    <n v="48.628799999999998"/>
    <n v="6.6311999999999998"/>
    <n v="55.26"/>
    <s v="Sessão a Faturar"/>
    <s v="0101015127010323"/>
    <n v="59671"/>
    <s v="Unidade Vieiralves"/>
    <n v="78993720"/>
    <m/>
  </r>
  <r>
    <x v="10"/>
    <x v="38"/>
    <s v="Valmir Cesar Pozzetti"/>
    <s v="Masculino"/>
    <x v="1"/>
    <x v="20"/>
    <s v="50000160 - Fisioterapia Ortopédica (R$ 20,00), 98980327 - Taxa de Eletroterapia (Tens) (R$ 15,00)"/>
    <s v="Fisioterapia"/>
    <n v="9588135"/>
    <s v="Finalizado (2/10)"/>
    <n v="30.8"/>
    <n v="4.2"/>
    <n v="35"/>
    <s v="Sessão a Faturar"/>
    <s v="0901013948180030"/>
    <n v="43203"/>
    <s v="Unidade Vieiralves"/>
    <n v="9588135"/>
    <m/>
  </r>
  <r>
    <x v="10"/>
    <x v="38"/>
    <s v="Simecleide de Carvalho Ribeiro"/>
    <s v="Feminino"/>
    <x v="5"/>
    <x v="20"/>
    <s v="31602185 - Estimulação Elétrica Transcutânea (Tens) (R$ 125,40)"/>
    <s v="Fisioterapia"/>
    <n v="79703340"/>
    <s v="Finalizado (1/10)"/>
    <n v="110.352"/>
    <n v="15.048"/>
    <n v="125.4"/>
    <s v="Sessão a Faturar"/>
    <s v="0100478291011686"/>
    <n v="51671"/>
    <s v="Unidade Vieiralves"/>
    <n v="79703340"/>
    <m/>
  </r>
  <r>
    <x v="10"/>
    <x v="38"/>
    <s v="Simecleide de Carvalho Ribeiro"/>
    <s v="Feminino"/>
    <x v="5"/>
    <x v="20"/>
    <s v="50000144 - Avaliação de Fisioterapia (R$ 37,63)"/>
    <s v="Fisioterapia"/>
    <n v="172722"/>
    <s v="Finalizado (1/1)"/>
    <n v="33.866999999999997"/>
    <n v="3.7629999999999999"/>
    <n v="37.630000000000003"/>
    <s v="Sessão Faturada"/>
    <s v="0100478291011686"/>
    <n v="51671"/>
    <s v="Unidade Vieiralves"/>
    <n v="172722"/>
    <m/>
  </r>
  <r>
    <x v="10"/>
    <x v="62"/>
    <s v="Simecleide de Carvalho Ribeiro"/>
    <s v="Feminino"/>
    <x v="5"/>
    <x v="20"/>
    <s v="98860020 - Fisioterapia Complexidade 2 (R$ 73,81)"/>
    <s v="Fisioterapia"/>
    <n v="79703570"/>
    <s v="Finalizado (1/10)"/>
    <n v="64.952799999999996"/>
    <n v="8.8572000000000006"/>
    <n v="73.81"/>
    <s v="Sessão a Faturar"/>
    <s v="0100478291011686"/>
    <n v="51671"/>
    <s v="Unidade Vieiralves"/>
    <n v="79703570"/>
    <m/>
  </r>
  <r>
    <x v="10"/>
    <x v="62"/>
    <s v="Cinara Viana de Oliveira"/>
    <s v="Feminino"/>
    <x v="5"/>
    <x v="20"/>
    <s v="31602185 - Estimulação Elétrica Transcutânea (Tens) (R$ 125,40)"/>
    <s v="Fisioterapia"/>
    <n v="79167880"/>
    <s v="Finalizado (5/10)"/>
    <n v="110.352"/>
    <n v="15.048"/>
    <n v="125.4"/>
    <s v="Sessão a Faturar"/>
    <s v="0101015127010323"/>
    <n v="59671"/>
    <s v="Unidade Vieiralves"/>
    <n v="79167880"/>
    <m/>
  </r>
  <r>
    <x v="10"/>
    <x v="37"/>
    <s v="Sara Gonçalves Vieira"/>
    <s v="Feminino"/>
    <x v="7"/>
    <x v="20"/>
    <s v="Vieiralves - 1 - Fisioterapia Ortopedica - Pacote (R$ 80,00)"/>
    <s v="Fisioterapia"/>
    <n v="171970"/>
    <s v="Finalizado (9/10)"/>
    <n v="62.4"/>
    <n v="17.600000000000001"/>
    <n v="80"/>
    <s v="Pago"/>
    <n v="56256"/>
    <n v="56256"/>
    <s v="Unidade Vieiralves"/>
    <n v="171970"/>
    <m/>
  </r>
  <r>
    <x v="10"/>
    <x v="37"/>
    <s v="Laindks Lopes"/>
    <s v="Feminino"/>
    <x v="2"/>
    <x v="20"/>
    <s v="20103484 - Fisioterapia - Patologia Em Um Membro (R$ 12,22), 20103506 - Fisioterapia - Patologia Em Um Segmento da Coluna (R$ 12,22)"/>
    <s v="Fisioterapia"/>
    <n v="1711388887"/>
    <s v="Finalizado (8/10)"/>
    <n v="21.507200000000001"/>
    <n v="2.9327999999999999"/>
    <n v="24.44"/>
    <s v="Sessão Faturada"/>
    <n v="611453030001010"/>
    <n v="29"/>
    <s v="Unidade Vieiralves"/>
    <n v="1711388887"/>
    <m/>
  </r>
  <r>
    <x v="10"/>
    <x v="37"/>
    <s v="Déborah Lúcia Ohana Rodrigues"/>
    <s v="Feminino"/>
    <x v="7"/>
    <x v="20"/>
    <s v="Vieiralves - 33 - Fisioterapia Ortopedica - Sessão Avulsa (R$ 90,00)"/>
    <s v="Fisioterapia"/>
    <m/>
    <s v="Finalizado (1/2)"/>
    <n v="70.2"/>
    <n v="19.8"/>
    <n v="90"/>
    <s v="Pago"/>
    <s v="00"/>
    <n v="59036"/>
    <s v="Unidade Vieiralves"/>
    <m/>
    <m/>
  </r>
  <r>
    <x v="10"/>
    <x v="63"/>
    <s v="Laindks Lopes"/>
    <s v="Feminino"/>
    <x v="4"/>
    <x v="20"/>
    <s v="31602185 - Estimulação Elétrica Transcutânea - Removido 13/04/2026 (R$ 40,00)"/>
    <s v="Fisioterapia"/>
    <n v="1715059057"/>
    <s v="Finalizado (5/7)"/>
    <n v="35.200000000000003"/>
    <n v="4.8"/>
    <n v="40"/>
    <s v="Sessão Faturada"/>
    <n v="611453030001010"/>
    <n v="29"/>
    <s v="Unidade Vieiralves"/>
    <n v="1715059057"/>
    <m/>
  </r>
  <r>
    <x v="10"/>
    <x v="39"/>
    <s v="Nick Davidson Cunha Furtado"/>
    <s v="Masculino"/>
    <x v="7"/>
    <x v="20"/>
    <s v="Vieiralves - 1 - Fisioterapia Ortopedica - Pacote (R$ 40,00)"/>
    <s v="Fisioterapia"/>
    <m/>
    <s v="Finalizado (5/10)"/>
    <n v="31.2"/>
    <n v="8.8000000000000007"/>
    <n v="40"/>
    <s v="No Prazo"/>
    <n v="0"/>
    <n v="59584"/>
    <s v="Unidade Vieiralves"/>
    <m/>
    <m/>
  </r>
  <r>
    <x v="10"/>
    <x v="39"/>
    <s v="Hudson Antonio Cristo Braga"/>
    <s v="Masculino"/>
    <x v="8"/>
    <x v="20"/>
    <s v="20103492 - Patologia Em Dois Ou Mais Membros (R$ 14,83)"/>
    <s v="Fisioterapia"/>
    <n v="1712735717"/>
    <s v="Finalizado (7/10)"/>
    <n v="13.0504"/>
    <n v="1.7796000000000001"/>
    <n v="14.83"/>
    <s v="Sessão a Faturar"/>
    <n v="954600020168030"/>
    <n v="47654"/>
    <s v="Unidade Vieiralves"/>
    <n v="1712735717"/>
    <m/>
  </r>
  <r>
    <x v="10"/>
    <x v="64"/>
    <s v="Hudson Antonio Cristo Braga"/>
    <s v="Masculino"/>
    <x v="9"/>
    <x v="20"/>
    <s v="31602185 - Estimulação Elétrica Transcutânea (Tens) - Removido 13/04/2026 (R$ 40,00)"/>
    <s v="Fisioterapia"/>
    <n v="1713389520"/>
    <s v="Finalizado (6/9)"/>
    <n v="35.200000000000003"/>
    <n v="4.8"/>
    <n v="40"/>
    <s v="Sessão a Faturar"/>
    <n v="954600020168030"/>
    <n v="47654"/>
    <s v="Unidade Vieiralves"/>
    <n v="1713389520"/>
    <m/>
  </r>
  <r>
    <x v="11"/>
    <x v="89"/>
    <s v="Rozirlande Oliveira do Valle"/>
    <s v="Feminino"/>
    <x v="6"/>
    <x v="20"/>
    <s v="31602185 - Estimulação Elétrica Transcutanea (Tens) (R$ 40,00)"/>
    <s v="Fisioterapia"/>
    <n v="172273"/>
    <s v="Finalizado (5/10)"/>
    <n v="35.200000000000003"/>
    <n v="4.8"/>
    <n v="40"/>
    <s v="Sessão a Faturar"/>
    <s v="58201466755603470024"/>
    <n v="38049"/>
    <s v="Unidade Vieiralves"/>
    <n v="172273"/>
    <m/>
  </r>
  <r>
    <x v="11"/>
    <x v="89"/>
    <s v="Maria Raimunda da Silva Guedes Lima"/>
    <s v="Feminino"/>
    <x v="2"/>
    <x v="20"/>
    <s v="20103492 - Fisioterapia - Patologia Em Dois Ou Mais Membros (R$ 14,83)"/>
    <s v="Fisioterapia"/>
    <n v="1716402020"/>
    <s v="Finalizado (3/10)"/>
    <n v="13.0504"/>
    <n v="1.7796000000000001"/>
    <n v="14.83"/>
    <s v="Sessão a Faturar"/>
    <n v="960016575471000"/>
    <n v="21019"/>
    <s v="Unidade Vieiralves"/>
    <n v="1716402020"/>
    <m/>
  </r>
  <r>
    <x v="11"/>
    <x v="89"/>
    <s v="Rozirlande Oliveira do Valle"/>
    <s v="Feminino"/>
    <x v="6"/>
    <x v="20"/>
    <s v="20103484 - Patologia Em Um Membro (R$ 14,16)"/>
    <s v="Fisioterapia"/>
    <n v="172228"/>
    <s v="Finalizado (6/10)"/>
    <n v="12.460800000000001"/>
    <n v="1.6992"/>
    <n v="14.16"/>
    <s v="Sessão a Faturar"/>
    <s v="58201466755603470024"/>
    <n v="38049"/>
    <s v="Unidade Vieiralves"/>
    <n v="172228"/>
    <m/>
  </r>
  <r>
    <x v="11"/>
    <x v="44"/>
    <s v="Francisco de Assis Barreto Sampaio Neto"/>
    <s v="Masculino"/>
    <x v="2"/>
    <x v="20"/>
    <s v="50000144 - Avaliação de Fisioterapia (R$ 51,42)"/>
    <s v="Fisioterapia"/>
    <n v="1719336925"/>
    <s v="Finalizado (1/1)"/>
    <n v="46.277999999999999"/>
    <n v="5.1420000000000003"/>
    <n v="51.42"/>
    <s v="Sessão Faturada"/>
    <n v="611347510001010"/>
    <n v="59819"/>
    <s v="Unidade Vieiralves"/>
    <n v="1719336925"/>
    <m/>
  </r>
  <r>
    <x v="11"/>
    <x v="44"/>
    <s v="Oto Trindade Backsmann"/>
    <s v="Masculino"/>
    <x v="6"/>
    <x v="20"/>
    <s v="20103514 - Patologia Em Dois Ou Mais Segmentos da Coluna (R$ 32,82)"/>
    <s v="Fisioterapia"/>
    <n v="171565"/>
    <s v="Finalizado (4/10)"/>
    <n v="28.881599999999999"/>
    <n v="3.9384000000000001"/>
    <n v="32.82"/>
    <s v="Sessão a Faturar"/>
    <s v="54588888485990460010"/>
    <n v="18508"/>
    <s v="Unidade Vieiralves"/>
    <n v="171565"/>
    <s v="GUIA ASSINADA!"/>
  </r>
  <r>
    <x v="11"/>
    <x v="44"/>
    <s v="Francisco de Assis Barreto Sampaio Neto"/>
    <s v="Masculino"/>
    <x v="2"/>
    <x v="20"/>
    <s v="20103484 - Fisioterapia - Patologia Em Um Membro (R$ 12,22)"/>
    <s v="Fisioterapia"/>
    <n v="1719340546"/>
    <s v="Finalizado (1/10)"/>
    <n v="10.7536"/>
    <n v="1.4663999999999999"/>
    <n v="12.22"/>
    <s v="Sessão a Faturar"/>
    <n v="611347510001010"/>
    <n v="59819"/>
    <s v="Unidade Vieiralves"/>
    <n v="1719340546"/>
    <m/>
  </r>
  <r>
    <x v="11"/>
    <x v="41"/>
    <s v="Claudia Miyuki Muramoto Sako"/>
    <s v="Feminino"/>
    <x v="2"/>
    <x v="20"/>
    <s v="20103492 - Fisioterapia - Patologia Em Dois Ou Mais Membros (R$ 14,83)"/>
    <s v="Fisioterapia"/>
    <n v="1717455925"/>
    <s v="Finalizado (3/10)"/>
    <n v="13.0504"/>
    <n v="1.7796000000000001"/>
    <n v="14.83"/>
    <s v="Sessão a Faturar"/>
    <n v="885854000132010"/>
    <n v="49229"/>
    <s v="Unidade Vieiralves"/>
    <n v="1717455925"/>
    <m/>
  </r>
  <r>
    <x v="11"/>
    <x v="41"/>
    <s v="Rafael Daniel Gerzvolf"/>
    <s v="Masculino"/>
    <x v="6"/>
    <x v="20"/>
    <s v="20103484 - Patologia Em Um Membro (R$ 14,16)"/>
    <s v="Fisioterapia"/>
    <n v="171440"/>
    <s v="Finalizado (9/10)"/>
    <n v="12.460800000000001"/>
    <n v="1.6992"/>
    <n v="14.16"/>
    <s v="Sessão a Faturar"/>
    <s v="51588888488560580015"/>
    <n v="57485"/>
    <s v="Unidade Vieiralves"/>
    <n v="171440"/>
    <m/>
  </r>
  <r>
    <x v="11"/>
    <x v="41"/>
    <s v="Wendel de Mendonça de Souza"/>
    <s v="Masculino"/>
    <x v="2"/>
    <x v="20"/>
    <s v="20103514 - Fisioterapia - Patologia Em Diferentes Segmentos da Coluna (R$ 14,83)"/>
    <s v="Fisioterapia"/>
    <n v="1710121318"/>
    <s v="Finalizado (8/10)"/>
    <n v="13.0504"/>
    <n v="1.7796000000000001"/>
    <n v="14.83"/>
    <s v="Sessão a Faturar"/>
    <n v="854778700183020"/>
    <n v="59572"/>
    <s v="Unidade Vieiralves"/>
    <n v="1710121318"/>
    <m/>
  </r>
  <r>
    <x v="11"/>
    <x v="41"/>
    <s v="Rafael Daniel Gerzvolf"/>
    <s v="Masculino"/>
    <x v="6"/>
    <x v="20"/>
    <s v="31602185 - Estimulação Elétrica Transcutanea (Tens) (R$ 40,00)"/>
    <s v="Fisioterapia"/>
    <n v="171439"/>
    <s v="Finalizado (9/9)"/>
    <n v="35.200000000000003"/>
    <n v="4.8"/>
    <n v="40"/>
    <s v="Sessão a Faturar"/>
    <s v="51588888488560580015"/>
    <n v="57485"/>
    <s v="Unidade Vieiralves"/>
    <n v="171439"/>
    <m/>
  </r>
  <r>
    <x v="11"/>
    <x v="41"/>
    <s v="Cristina dos Santos Braga"/>
    <m/>
    <x v="20"/>
    <x v="20"/>
    <s v="20103506 - Patologia Em  Um Segmento da Coluna (R$ 27,11)"/>
    <s v="Fisioterapia"/>
    <n v="55729690"/>
    <s v="Finalizado (9/10)"/>
    <n v="23.8568"/>
    <n v="3.2532000000000001"/>
    <n v="27.11"/>
    <s v="Sessão a Faturar"/>
    <n v="10511000263700"/>
    <n v="59694"/>
    <s v="Unidade Vieiralves"/>
    <n v="55729690"/>
    <m/>
  </r>
  <r>
    <x v="11"/>
    <x v="41"/>
    <s v="Claudia Miyuki Muramoto Sako"/>
    <s v="Feminino"/>
    <x v="2"/>
    <x v="20"/>
    <s v="20103492 - Fisioterapia - Patologia Em Dois Ou Mais Membros (R$ 14,83)"/>
    <s v="Fisioterapia"/>
    <n v="1717455925"/>
    <s v="Finalizado (2/10)"/>
    <n v="13.0504"/>
    <n v="1.7796000000000001"/>
    <n v="14.83"/>
    <s v="Sessão a Faturar"/>
    <n v="885854000132010"/>
    <n v="49229"/>
    <s v="Unidade Vieiralves"/>
    <n v="1717455925"/>
    <m/>
  </r>
  <r>
    <x v="11"/>
    <x v="65"/>
    <s v="Wendel de Mendonça de Souza"/>
    <s v="Masculino"/>
    <x v="4"/>
    <x v="20"/>
    <s v="31602185 - Estimulação Elétrica Transcutânea - Removido 13/04/2026 (R$ 40,00)"/>
    <s v="Fisioterapia"/>
    <n v="1714944432"/>
    <s v="Finalizado (5/10)"/>
    <n v="35.200000000000003"/>
    <n v="4.8"/>
    <n v="40"/>
    <s v="Sessão a Faturar"/>
    <n v="854778700183020"/>
    <n v="59572"/>
    <s v="Unidade Vieiralves"/>
    <n v="1714944432"/>
    <m/>
  </r>
  <r>
    <x v="11"/>
    <x v="36"/>
    <s v="Alessandro William Nascimento de Moura"/>
    <s v="Masculino"/>
    <x v="1"/>
    <x v="20"/>
    <s v="50000144 - Consulta de Fisioterapia (R$ 16,00)"/>
    <s v="Fisioterapia"/>
    <n v="9704664"/>
    <s v="Finalizado (1/1)"/>
    <n v="14.4"/>
    <n v="1.6"/>
    <n v="16"/>
    <s v="Sessão a Faturar"/>
    <s v="0201013263150083"/>
    <n v="56379"/>
    <s v="Unidade Vieiralves"/>
    <n v="9704664"/>
    <m/>
  </r>
  <r>
    <x v="11"/>
    <x v="36"/>
    <s v="Maria da Assunção Dantas da Silva"/>
    <m/>
    <x v="1"/>
    <x v="20"/>
    <s v="50000160 - Fisioterapia Ortopédica (R$ 20,00), 98980327 - Taxa de Eletroterapia (Tens) (R$ 15,00)"/>
    <s v="Fisioterapia"/>
    <n v="9367730"/>
    <s v="Finalizado (10/10)"/>
    <n v="30.8"/>
    <n v="4.2"/>
    <n v="35"/>
    <s v="Sessão Faturada"/>
    <n v="1901005511160100"/>
    <n v="59640"/>
    <s v="Unidade Vieiralves"/>
    <n v="9367730"/>
    <m/>
  </r>
  <r>
    <x v="11"/>
    <x v="61"/>
    <s v="Alessandro William Nascimento de Moura"/>
    <s v="Masculino"/>
    <x v="1"/>
    <x v="20"/>
    <s v="50000160 - Fisioterapia Ortopédica (R$ 20,00), 98980327 - Taxa de Eletroterapia (Tens) (R$ 15,00)"/>
    <s v="Fisioterapia"/>
    <n v="1173445"/>
    <s v="Finalizado (1/10)"/>
    <n v="30.8"/>
    <n v="4.2"/>
    <n v="35"/>
    <s v="Sessão a Faturar"/>
    <s v="0201013263150083"/>
    <n v="56379"/>
    <s v="Unidade Vieiralves"/>
    <n v="1173445"/>
    <m/>
  </r>
  <r>
    <x v="11"/>
    <x v="40"/>
    <s v="Aline de Paula Lima"/>
    <s v="Feminino"/>
    <x v="8"/>
    <x v="20"/>
    <s v="20103492 - Patologia Em Dois Ou Mais Membros (R$ 14,83), 20103514 - Patologia Em Diferentes Segmentos da Coluna (R$ 14,83)"/>
    <s v="Fisioterapia"/>
    <n v="1716504599"/>
    <s v="Finalizado (2/10)"/>
    <n v="26.1008"/>
    <n v="3.5592000000000001"/>
    <n v="29.66"/>
    <s v="Sessão a Faturar"/>
    <n v="954600033081030"/>
    <n v="47919"/>
    <s v="Unidade Vieiralves"/>
    <n v="1716504599"/>
    <m/>
  </r>
  <r>
    <x v="11"/>
    <x v="40"/>
    <s v="Darlan da Silva Picanço"/>
    <s v="Feminino"/>
    <x v="1"/>
    <x v="20"/>
    <s v="50000160 - Fisioterapia Ortopédica (R$ 20,00), 98980327 - Taxa de Eletroterapia (Tens) (R$ 15,00)"/>
    <s v="Fisioterapia"/>
    <n v="9458849"/>
    <s v="Finalizado (6/10)"/>
    <n v="30.8"/>
    <n v="4.2"/>
    <n v="35"/>
    <s v="Sessão Faturada"/>
    <s v="0901013959170057"/>
    <n v="15532"/>
    <s v="Unidade Vieiralves"/>
    <n v="9458849"/>
    <m/>
  </r>
  <r>
    <x v="11"/>
    <x v="35"/>
    <s v="Celiomara Serrão de Souza"/>
    <s v="Feminino"/>
    <x v="2"/>
    <x v="20"/>
    <s v="50000144 - Avaliação de Fisioterapia (R$ 51,42)"/>
    <s v="Fisioterapia"/>
    <n v="1719431352"/>
    <s v="Finalizado (1/1)"/>
    <n v="46.277999999999999"/>
    <n v="5.1420000000000003"/>
    <n v="51.42"/>
    <s v="Sessão Faturada"/>
    <n v="774981009709020"/>
    <n v="53672"/>
    <s v="Unidade Vieiralves"/>
    <n v="1719431352"/>
    <m/>
  </r>
  <r>
    <x v="11"/>
    <x v="42"/>
    <s v="Celiomara Serrão de Souza"/>
    <s v="Feminino"/>
    <x v="2"/>
    <x v="20"/>
    <s v="20103492 - Fisioterapia - Patologia Em Dois Ou Mais Membros (R$ 14,83), 20103506 - Fisioterapia - Patologia Em Um Segmento da Coluna (R$ 12,22)"/>
    <s v="Fisioterapia"/>
    <n v="1719432442"/>
    <s v="Finalizado (1/10)"/>
    <n v="23.803999999999998"/>
    <n v="3.246"/>
    <n v="27.05"/>
    <s v="Sessão a Faturar"/>
    <n v="774981009709020"/>
    <n v="53672"/>
    <s v="Unidade Vieiralves"/>
    <n v="1719432442"/>
    <m/>
  </r>
  <r>
    <x v="11"/>
    <x v="38"/>
    <s v="Dilcilene Angelim da Silva Santos"/>
    <m/>
    <x v="7"/>
    <x v="20"/>
    <s v="Vieiralves - 1 - Fisioterapia Ortopedica - Pacote (R$ 40,00)"/>
    <s v="Fisioterapia"/>
    <n v="171003"/>
    <s v="Finalizado (6/10)"/>
    <n v="31.2"/>
    <n v="8.8000000000000007"/>
    <n v="40"/>
    <s v="Pago"/>
    <n v="59115"/>
    <n v="59115"/>
    <s v="Unidade Vieiralves"/>
    <n v="171003"/>
    <m/>
  </r>
  <r>
    <x v="11"/>
    <x v="38"/>
    <s v="Valmir de Oliveira Rodrigues"/>
    <s v="Masculino"/>
    <x v="6"/>
    <x v="20"/>
    <s v="20103484 - Patologia Em Um Membro (R$ 14,16)"/>
    <s v="Fisioterapia"/>
    <n v="171854"/>
    <s v="Finalizado (6/10)"/>
    <n v="12.460800000000001"/>
    <n v="1.6992"/>
    <n v="14.16"/>
    <s v="Sessão a Faturar"/>
    <s v="55788888483016290015"/>
    <n v="15363"/>
    <s v="Unidade Vieiralves"/>
    <n v="171854"/>
    <m/>
  </r>
  <r>
    <x v="11"/>
    <x v="62"/>
    <s v="Valmir de Oliveira Rodrigues"/>
    <s v="Masculino"/>
    <x v="6"/>
    <x v="20"/>
    <s v="31602185 - Estimulação Elétrica Transcutanea (Tens) (R$ 40,00)"/>
    <s v="Fisioterapia"/>
    <n v="171855"/>
    <s v="Finalizado (6/7)"/>
    <n v="35.200000000000003"/>
    <n v="4.8"/>
    <n v="40"/>
    <s v="Sessão a Faturar"/>
    <s v="55788888483016290015"/>
    <n v="15363"/>
    <s v="Unidade Vieiralves"/>
    <n v="171855"/>
    <m/>
  </r>
  <r>
    <x v="11"/>
    <x v="37"/>
    <s v="Rita de Lima  Viana Ramos"/>
    <s v="Feminino"/>
    <x v="2"/>
    <x v="20"/>
    <s v="20103492 - Fisioterapia - Patologia Em Dois Ou Mais Membros (R$ 14,83), 20103514 - Fisioterapia - Patologia Em Diferentes Segmentos da Coluna (R$ 14,83)"/>
    <s v="Fisioterapia"/>
    <n v="1719478544"/>
    <s v="Finalizado (1/10)"/>
    <n v="26.1008"/>
    <n v="3.5592000000000001"/>
    <n v="29.66"/>
    <s v="Sessão a Faturar"/>
    <n v="960016167330010"/>
    <n v="46729"/>
    <s v="Unidade Vieiralves"/>
    <n v="1719478544"/>
    <m/>
  </r>
  <r>
    <x v="11"/>
    <x v="37"/>
    <s v="Dina Francoile Viana Ramos"/>
    <s v="Feminino"/>
    <x v="2"/>
    <x v="20"/>
    <s v="20103492 - Fisioterapia - Patologia Em Dois Ou Mais Membros (R$ 14,83)"/>
    <s v="Fisioterapia"/>
    <n v="1717609324"/>
    <s v="Finalizado (3/10)"/>
    <n v="13.0504"/>
    <n v="1.7796000000000001"/>
    <n v="14.83"/>
    <s v="Sessão a Faturar"/>
    <n v="960016167330060"/>
    <n v="16965"/>
    <s v="Unidade Vieiralves"/>
    <n v="1717609324"/>
    <m/>
  </r>
  <r>
    <x v="11"/>
    <x v="63"/>
    <s v="Dina Francoile Viana Ramos"/>
    <s v="Feminino"/>
    <x v="4"/>
    <x v="20"/>
    <s v="31602185 - Estimulação Elétrica Transcutânea - Removido 13/04/2026 (R$ 40,00)"/>
    <s v="Fisioterapia"/>
    <n v="1710826226"/>
    <s v="Finalizado (9/10)"/>
    <n v="35.200000000000003"/>
    <n v="4.8"/>
    <n v="40"/>
    <s v="Sessão Faturada"/>
    <n v="960016167330060"/>
    <n v="16965"/>
    <s v="Unidade Vieiralves"/>
    <n v="1710826226"/>
    <m/>
  </r>
  <r>
    <x v="11"/>
    <x v="39"/>
    <s v="Emanuele Menezes da Silva"/>
    <s v="Feminino"/>
    <x v="2"/>
    <x v="20"/>
    <s v="20103506 - Fisioterapia - Patologia Em Um Segmento da Coluna (R$ 12,22)"/>
    <s v="Fisioterapia"/>
    <n v="1713276569"/>
    <s v="Finalizado (5/10)"/>
    <n v="10.7536"/>
    <n v="1.4663999999999999"/>
    <n v="12.22"/>
    <s v="Sessão a Faturar"/>
    <n v="774642014893010"/>
    <n v="44534"/>
    <s v="Unidade Vieiralves"/>
    <n v="1713276569"/>
    <m/>
  </r>
  <r>
    <x v="11"/>
    <x v="39"/>
    <s v="Elma Morais Barbosa de Souza França"/>
    <s v="Feminino"/>
    <x v="3"/>
    <x v="20"/>
    <s v="0006 - Fisioterapia Ortopédica - Pacote Com 10 Sessões (R$ 40,00)"/>
    <s v="Fisioterapia"/>
    <n v="163200"/>
    <s v="Finalizado (6/10)"/>
    <n v="31.2"/>
    <n v="8.8000000000000007"/>
    <n v="40"/>
    <s v="Sessão a Faturar"/>
    <n v="610555130001010"/>
    <n v="42208"/>
    <s v="Unidade Vieiralves"/>
    <n v="163200"/>
    <m/>
  </r>
  <r>
    <x v="11"/>
    <x v="39"/>
    <s v="Emanuele Menezes da Silva"/>
    <s v="Feminino"/>
    <x v="2"/>
    <x v="20"/>
    <s v="20103484 - Fisioterapia - Patologia Em Um Membro (R$ 12,22)"/>
    <s v="Fisioterapia"/>
    <n v="1719500966"/>
    <s v="Finalizado (1/10)"/>
    <n v="10.7536"/>
    <n v="1.4663999999999999"/>
    <n v="12.22"/>
    <s v="Sessão a Faturar"/>
    <n v="774642014893010"/>
    <n v="44534"/>
    <s v="Unidade Vieiralves"/>
    <n v="1719500966"/>
    <m/>
  </r>
  <r>
    <x v="12"/>
    <x v="41"/>
    <s v="Ayumi de Senna Silva"/>
    <s v="Feminino"/>
    <x v="6"/>
    <x v="21"/>
    <s v="20103646 - Fisioterapia Perineal Com Biofeedback (R$ 229,39)"/>
    <s v="Fisioterapia Pélvica e Neurológica"/>
    <n v="168872"/>
    <s v="Finalizado (5/10)"/>
    <n v="137.63399999999999"/>
    <n v="91.756"/>
    <n v="229.39"/>
    <s v="Sessão Faturada"/>
    <s v="51588888463858150017"/>
    <n v="22238"/>
    <s v="Unidade Vieralves (ANEXO)"/>
    <n v="168872"/>
    <m/>
  </r>
  <r>
    <x v="12"/>
    <x v="57"/>
    <s v="Nicole Roessing Cruz Avelino"/>
    <s v="Feminino"/>
    <x v="2"/>
    <x v="21"/>
    <s v="20103646 - Reabilitação Perineal Com Biofeedback (R$ 138,17)"/>
    <s v="Fisioterapia Pélvica e Neurológica"/>
    <n v="1704680452"/>
    <s v="Finalizado (2/5)"/>
    <n v="82.902000000000001"/>
    <n v="55.268000000000001"/>
    <n v="138.16999999999999"/>
    <s v="Sessão Faturada"/>
    <n v="840957800035000"/>
    <n v="17489"/>
    <s v="Unidade Vieralves (ANEXO)"/>
    <n v="1704680452"/>
    <m/>
  </r>
  <r>
    <x v="12"/>
    <x v="38"/>
    <s v="Orione Almeida Cruz Veras"/>
    <s v="Feminino"/>
    <x v="1"/>
    <x v="21"/>
    <s v="50000233 - Fisioterapia Pélvica (R$ 138,17)"/>
    <s v="Fisioterapia Pélvica e Neurológica"/>
    <n v="8702864"/>
    <s v="Finalizado (8/9)"/>
    <n v="82.902000000000001"/>
    <n v="55.268000000000001"/>
    <n v="138.16999999999999"/>
    <s v="Sessão Faturada"/>
    <s v="0201013646330033"/>
    <n v="51322"/>
    <s v="Unidade Vieralves (ANEXO)"/>
    <n v="8702864"/>
    <m/>
  </r>
  <r>
    <x v="14"/>
    <x v="41"/>
    <s v="Thais Carvalho Areias"/>
    <s v="Feminino"/>
    <x v="2"/>
    <x v="21"/>
    <s v="20103646 - Reabilitação Perineal Com Biofeedback (R$ 138,17)"/>
    <s v="Fisioterapia Pélvica e Neurológica"/>
    <n v="1700830884"/>
    <s v="Finalizado (3/3)"/>
    <n v="82.902000000000001"/>
    <n v="55.268000000000001"/>
    <n v="138.16999999999999"/>
    <s v="Sessão Faturada"/>
    <n v="774642002429000"/>
    <n v="59362"/>
    <s v="Unidade Vieralves (ANEXO)"/>
    <n v="1700830884"/>
    <m/>
  </r>
  <r>
    <x v="14"/>
    <x v="57"/>
    <s v="Nicole Roessing Cruz Avelino"/>
    <s v="Feminino"/>
    <x v="2"/>
    <x v="21"/>
    <s v="20103646 - Reabilitação Perineal Com Biofeedback (R$ 138,17)"/>
    <s v="Fisioterapia Pélvica e Neurológica"/>
    <n v="1704680452"/>
    <s v="Finalizado (3/5)"/>
    <n v="82.902000000000001"/>
    <n v="55.268000000000001"/>
    <n v="138.16999999999999"/>
    <s v="Sessão Faturada"/>
    <n v="840957800035000"/>
    <n v="17489"/>
    <s v="Unidade Vieralves (ANEXO)"/>
    <n v="1704680452"/>
    <m/>
  </r>
  <r>
    <x v="14"/>
    <x v="55"/>
    <s v="Fabiana Santos Ribeiro"/>
    <s v="Feminino"/>
    <x v="2"/>
    <x v="21"/>
    <s v="20103646 - Reabilitação Perineal Com Biofeedback (R$ 138,17)"/>
    <s v="Fisioterapia Pélvica e Neurológica"/>
    <n v="1704700507"/>
    <s v="Finalizado (2/5)"/>
    <n v="82.902000000000001"/>
    <n v="55.268000000000001"/>
    <n v="138.16999999999999"/>
    <s v="Sessão Faturada"/>
    <n v="775225007463020"/>
    <n v="59211"/>
    <s v="Unidade Vieralves (ANEXO)"/>
    <n v="1704700507"/>
    <m/>
  </r>
  <r>
    <x v="14"/>
    <x v="58"/>
    <s v="Orione Almeida Cruz Veras"/>
    <s v="Feminino"/>
    <x v="1"/>
    <x v="21"/>
    <s v="50000233 - Fisioterapia Pélvica (R$ 138,17)"/>
    <s v="Fisioterapia Pélvica e Neurológica"/>
    <n v="8702864"/>
    <s v="Finalizado (9/9)"/>
    <n v="82.902000000000001"/>
    <n v="55.268000000000001"/>
    <n v="138.16999999999999"/>
    <s v="Sessão Faturada"/>
    <s v="0201013646330033"/>
    <n v="51322"/>
    <s v="Unidade Vieralves (ANEXO)"/>
    <n v="8702864"/>
    <m/>
  </r>
  <r>
    <x v="14"/>
    <x v="59"/>
    <s v="Laresca Cunha Moreira Altomar"/>
    <s v="Feminino"/>
    <x v="2"/>
    <x v="21"/>
    <s v="20103646 - Reabilitação Perineal Com Biofeedback (R$ 138,17)"/>
    <s v="Fisioterapia Pélvica e Neurológica"/>
    <n v="1703264168"/>
    <s v="Finalizado (2/5)"/>
    <n v="82.902000000000001"/>
    <n v="55.268000000000001"/>
    <n v="138.16999999999999"/>
    <s v="Sessão Faturada"/>
    <n v="771015061557010"/>
    <n v="36894"/>
    <s v="Unidade Vieralves (ANEXO)"/>
    <n v="1703264168"/>
    <m/>
  </r>
  <r>
    <x v="15"/>
    <x v="41"/>
    <s v="Ayumi de Senna Silva"/>
    <s v="Feminino"/>
    <x v="6"/>
    <x v="21"/>
    <s v="20103646 - Fisioterapia Perineal Com Biofeedback (R$ 229,39)"/>
    <s v="Fisioterapia Pélvica e Neurológica"/>
    <n v="168872"/>
    <s v="Não compareceu (6/10)"/>
    <n v="229.39"/>
    <n v="0"/>
    <n v="229.39"/>
    <s v="Sessão Faturada"/>
    <s v="51588888463858150017"/>
    <n v="22238"/>
    <s v="Unidade Vieralves (ANEXO)"/>
    <n v="168872"/>
    <m/>
  </r>
  <r>
    <x v="15"/>
    <x v="57"/>
    <s v="Priscila da Silva Lopes"/>
    <s v="Feminino"/>
    <x v="1"/>
    <x v="21"/>
    <s v="50000233 - Fisioterapia Pélvica (R$ 138,17)"/>
    <s v="Fisioterapia Pélvica e Neurológica"/>
    <n v="8842767"/>
    <s v="Finalizado (5/10)"/>
    <n v="82.902000000000001"/>
    <n v="55.268000000000001"/>
    <n v="138.16999999999999"/>
    <s v="Sessão Faturada"/>
    <s v="0901013218350309"/>
    <n v="57060"/>
    <s v="Unidade Vieralves (ANEXO)"/>
    <n v="8842767"/>
    <m/>
  </r>
  <r>
    <x v="15"/>
    <x v="38"/>
    <s v="Lúcia Ignéz Abreu de Sá"/>
    <s v="Feminino"/>
    <x v="1"/>
    <x v="21"/>
    <s v="50000144 - Consulta de Fisioterapia (R$ 16,00)"/>
    <s v="Fisioterapia Pélvica e Neurológica"/>
    <n v="9182567"/>
    <s v="Finalizado (1/1)"/>
    <n v="14.4"/>
    <n v="1.6"/>
    <n v="16"/>
    <s v="Sessão Faturada"/>
    <s v="0701010861030123"/>
    <n v="58903"/>
    <s v="Unidade Vieralves (ANEXO)"/>
    <n v="9182567"/>
    <m/>
  </r>
  <r>
    <x v="15"/>
    <x v="38"/>
    <s v="Lúcia Ignéz Abreu de Sá"/>
    <s v="Feminino"/>
    <x v="1"/>
    <x v="21"/>
    <s v="50000233 - Fisioterapia Pélvica (R$ 138,17)"/>
    <s v="Fisioterapia Pélvica e Neurológica"/>
    <n v="8651281"/>
    <s v="Finalizado (6/10)"/>
    <n v="82.902000000000001"/>
    <n v="55.268000000000001"/>
    <n v="138.16999999999999"/>
    <s v="Sessão Faturada"/>
    <s v="0701010861030123"/>
    <n v="58903"/>
    <s v="Unidade Vieralves (ANEXO)"/>
    <n v="8651281"/>
    <m/>
  </r>
  <r>
    <x v="15"/>
    <x v="58"/>
    <s v="Maria Idenize Matos Natividade"/>
    <s v="Feminino"/>
    <x v="2"/>
    <x v="21"/>
    <s v="50000144 - Avaliação de Fisioterapia (R$ 51,42)"/>
    <s v="Fisioterapia Pélvica e Neurológica"/>
    <n v="1707321140"/>
    <s v="Finalizado (1/1)"/>
    <n v="46.277999999999999"/>
    <n v="5.1420000000000003"/>
    <n v="51.42"/>
    <s v="Sessão Faturada"/>
    <n v="611643680020000"/>
    <n v="59315"/>
    <s v="Unidade Vieralves (ANEXO)"/>
    <n v="1707321140"/>
    <m/>
  </r>
  <r>
    <x v="15"/>
    <x v="58"/>
    <s v="Maria Idenize Matos Natividade"/>
    <s v="Feminino"/>
    <x v="2"/>
    <x v="21"/>
    <s v="20103646 - Reabilitação Perineal Com Biofeedback (R$ 138,17)"/>
    <s v="Fisioterapia Pélvica e Neurológica"/>
    <n v="1707321849"/>
    <s v="Finalizado (1/5)"/>
    <n v="82.902000000000001"/>
    <n v="55.268000000000001"/>
    <n v="138.16999999999999"/>
    <s v="Sessão Faturada"/>
    <n v="611643680020000"/>
    <n v="59315"/>
    <s v="Unidade Vieralves (ANEXO)"/>
    <n v="1707321849"/>
    <m/>
  </r>
  <r>
    <x v="17"/>
    <x v="41"/>
    <s v="Ayumi de Senna Silva"/>
    <s v="Feminino"/>
    <x v="6"/>
    <x v="21"/>
    <s v="20103646 - Fisioterapia Perineal Com Biofeedback (R$ 229,39)"/>
    <s v="Fisioterapia Pélvica e Neurológica"/>
    <n v="168872"/>
    <s v="Finalizado (7/10)"/>
    <n v="137.63399999999999"/>
    <n v="91.756"/>
    <n v="229.39"/>
    <s v="Sessão Faturada"/>
    <s v="51588888463858150017"/>
    <n v="22238"/>
    <s v="Unidade Vieralves (ANEXO)"/>
    <n v="168872"/>
    <m/>
  </r>
  <r>
    <x v="17"/>
    <x v="55"/>
    <s v="Barbara Barros Jacob"/>
    <s v="Feminino"/>
    <x v="1"/>
    <x v="21"/>
    <s v="50000233 - Fisioterapia Pélvica (R$ 138,17)"/>
    <s v="Fisioterapia Pélvica e Neurológica"/>
    <n v="8681189"/>
    <s v="Finalizado (5/10)"/>
    <n v="82.902000000000001"/>
    <n v="55.268000000000001"/>
    <n v="138.16999999999999"/>
    <s v="Sessão Faturada"/>
    <s v="0201013029220011"/>
    <n v="41008"/>
    <s v="Unidade Vieralves (ANEXO)"/>
    <n v="8681189"/>
    <m/>
  </r>
  <r>
    <x v="17"/>
    <x v="38"/>
    <s v="Orione Almeida Cruz Veras"/>
    <s v="Feminino"/>
    <x v="1"/>
    <x v="21"/>
    <s v="50000233 - Fisioterapia Pélvica (R$ 138,17)"/>
    <s v="Fisioterapia Pélvica e Neurológica"/>
    <n v="9160766"/>
    <s v="Finalizado (1/10)"/>
    <n v="82.902000000000001"/>
    <n v="55.268000000000001"/>
    <n v="138.16999999999999"/>
    <s v="Sessão Faturada"/>
    <s v="0201013646330033"/>
    <n v="51322"/>
    <s v="Unidade Vieralves (ANEXO)"/>
    <n v="9160766"/>
    <m/>
  </r>
  <r>
    <x v="17"/>
    <x v="59"/>
    <s v="Thyrsa Napoles de Mello Pedraca"/>
    <s v="Feminino"/>
    <x v="2"/>
    <x v="21"/>
    <s v="20103646 - Reabilitação Perineal Com Biofeedback (R$ 138,17)"/>
    <s v="Fisioterapia Pélvica e Neurológica"/>
    <n v="1704789091"/>
    <s v="Finalizado (2/5)"/>
    <n v="82.902000000000001"/>
    <n v="55.268000000000001"/>
    <n v="138.16999999999999"/>
    <s v="Sessão Faturada"/>
    <n v="774642030031010"/>
    <n v="58255"/>
    <s v="Unidade Vieralves (ANEXO)"/>
    <n v="1704789091"/>
    <m/>
  </r>
  <r>
    <x v="18"/>
    <x v="57"/>
    <s v="Nicole Roessing Cruz Avelino"/>
    <s v="Feminino"/>
    <x v="2"/>
    <x v="21"/>
    <s v="20103646 - Reabilitação Perineal Com Biofeedback (R$ 138,17)"/>
    <s v="Fisioterapia Pélvica e Neurológica"/>
    <n v="1704680452"/>
    <s v="Finalizado (4/5)"/>
    <n v="82.902000000000001"/>
    <n v="55.268000000000001"/>
    <n v="138.16999999999999"/>
    <s v="Sessão Faturada"/>
    <n v="840957800035000"/>
    <n v="17489"/>
    <s v="Unidade Vieralves (ANEXO)"/>
    <n v="1704680452"/>
    <m/>
  </r>
  <r>
    <x v="18"/>
    <x v="38"/>
    <s v="Maria Idenize Matos Natividade"/>
    <s v="Feminino"/>
    <x v="2"/>
    <x v="21"/>
    <s v="20103646 - Reabilitação Perineal Com Biofeedback (R$ 138,17)"/>
    <s v="Fisioterapia Pélvica e Neurológica"/>
    <n v="1707321849"/>
    <s v="Finalizado (2/5)"/>
    <n v="82.902000000000001"/>
    <n v="55.268000000000001"/>
    <n v="138.16999999999999"/>
    <s v="Sessão Faturada"/>
    <n v="611643680020000"/>
    <n v="59315"/>
    <s v="Unidade Vieralves (ANEXO)"/>
    <n v="1707321849"/>
    <m/>
  </r>
  <r>
    <x v="18"/>
    <x v="58"/>
    <s v="Thyrsa Napoles de Mello Pedraca"/>
    <s v="Feminino"/>
    <x v="2"/>
    <x v="21"/>
    <s v="20103646 - Reabilitação Perineal Com Biofeedback (R$ 138,17)"/>
    <s v="Fisioterapia Pélvica e Neurológica"/>
    <n v="1704789091"/>
    <s v="Finalizado (3/5)"/>
    <n v="82.902000000000001"/>
    <n v="55.268000000000001"/>
    <n v="138.16999999999999"/>
    <s v="Sessão Faturada"/>
    <n v="774642030031010"/>
    <n v="58255"/>
    <s v="Unidade Vieralves (ANEXO)"/>
    <n v="1704789091"/>
    <m/>
  </r>
  <r>
    <x v="18"/>
    <x v="59"/>
    <s v="Andrea Tavares Marinho Rodrigues"/>
    <s v="Feminino"/>
    <x v="2"/>
    <x v="21"/>
    <s v="20103646 - Reabilitação Perineal Com Biofeedback (R$ 138,17)"/>
    <s v="Fisioterapia Pélvica e Neurológica"/>
    <n v="1709645973"/>
    <s v="Finalizado (1/5)"/>
    <n v="82.902000000000001"/>
    <n v="55.268000000000001"/>
    <n v="138.16999999999999"/>
    <s v="Sessão Faturada"/>
    <n v="841006100019030"/>
    <n v="36143"/>
    <s v="Unidade Vieralves (ANEXO)"/>
    <n v="1709645973"/>
    <m/>
  </r>
  <r>
    <x v="22"/>
    <x v="38"/>
    <s v="Orione Almeida Cruz Veras"/>
    <s v="Feminino"/>
    <x v="1"/>
    <x v="21"/>
    <s v="50000233 - Fisioterapia Pélvica (R$ 138,17)"/>
    <s v="Fisioterapia Pélvica e Neurológica"/>
    <n v="9160766"/>
    <s v="Finalizado (2/10)"/>
    <n v="82.902000000000001"/>
    <n v="55.268000000000001"/>
    <n v="138.16999999999999"/>
    <s v="Sessão Faturada"/>
    <s v="0201013646330033"/>
    <n v="51322"/>
    <s v="Unidade Vieralves (ANEXO)"/>
    <n v="9160766"/>
    <m/>
  </r>
  <r>
    <x v="22"/>
    <x v="58"/>
    <s v="Fabiana Santos Ribeiro"/>
    <s v="Feminino"/>
    <x v="2"/>
    <x v="21"/>
    <s v="20103646 - Reabilitação Perineal Com Biofeedback (R$ 138,17)"/>
    <s v="Fisioterapia Pélvica e Neurológica"/>
    <n v="1704700507"/>
    <s v="Finalizado (3/5)"/>
    <n v="82.902000000000001"/>
    <n v="55.268000000000001"/>
    <n v="138.16999999999999"/>
    <s v="Sessão Faturada"/>
    <n v="775225007463020"/>
    <n v="59211"/>
    <s v="Unidade Vieralves (ANEXO)"/>
    <n v="1704700507"/>
    <m/>
  </r>
  <r>
    <x v="19"/>
    <x v="41"/>
    <s v="Thais Carvalho Areias"/>
    <s v="Feminino"/>
    <x v="2"/>
    <x v="21"/>
    <s v="20103646 - Reabilitação Perineal Com Biofeedback (R$ 138,17)"/>
    <s v="Fisioterapia Pélvica e Neurológica"/>
    <n v="1710712962"/>
    <s v="Finalizado (1/4)"/>
    <n v="82.902000000000001"/>
    <n v="55.268000000000001"/>
    <n v="138.16999999999999"/>
    <s v="Sessão a Faturar"/>
    <n v="774642002429000"/>
    <n v="59362"/>
    <s v="Unidade Vieralves (ANEXO)"/>
    <n v="1710712962"/>
    <m/>
  </r>
  <r>
    <x v="19"/>
    <x v="57"/>
    <s v="Nicole Roessing Cruz Avelino"/>
    <s v="Feminino"/>
    <x v="2"/>
    <x v="21"/>
    <s v="20103646 - Reabilitação Perineal Com Biofeedback (R$ 138,17)"/>
    <s v="Fisioterapia Pélvica e Neurológica"/>
    <n v="1704680452"/>
    <s v="Finalizado (5/5)"/>
    <n v="82.902000000000001"/>
    <n v="55.268000000000001"/>
    <n v="138.16999999999999"/>
    <s v="Sessão Faturada"/>
    <n v="840957800035000"/>
    <n v="17489"/>
    <s v="Unidade Vieralves (ANEXO)"/>
    <n v="1704680452"/>
    <m/>
  </r>
  <r>
    <x v="19"/>
    <x v="55"/>
    <s v="Priscila da Silva Lopes"/>
    <s v="Feminino"/>
    <x v="1"/>
    <x v="21"/>
    <s v="50000233 - Fisioterapia Pélvica (R$ 138,17)"/>
    <s v="Fisioterapia Pélvica e Neurológica"/>
    <n v="8842767"/>
    <s v="Finalizado (6/10)"/>
    <n v="82.902000000000001"/>
    <n v="55.268000000000001"/>
    <n v="138.16999999999999"/>
    <s v="Sessão Faturada"/>
    <s v="0901013218350309"/>
    <n v="57060"/>
    <s v="Unidade Vieralves (ANEXO)"/>
    <n v="8842767"/>
    <m/>
  </r>
  <r>
    <x v="20"/>
    <x v="41"/>
    <s v="Ayumi de Senna Silva"/>
    <s v="Feminino"/>
    <x v="6"/>
    <x v="21"/>
    <s v="20103646 - Fisioterapia Perineal Com Biofeedback (R$ 229,39)"/>
    <s v="Fisioterapia Pélvica e Neurológica"/>
    <n v="168872"/>
    <s v="Finalizado (8/10)"/>
    <n v="137.63399999999999"/>
    <n v="91.756"/>
    <n v="229.39"/>
    <s v="Sessão a Faturar"/>
    <s v="51588888463858150017"/>
    <n v="22238"/>
    <s v="Unidade Vieralves (ANEXO)"/>
    <n v="168872"/>
    <m/>
  </r>
  <r>
    <x v="20"/>
    <x v="55"/>
    <s v="Thyrsa Napoles de Mello Pedraca"/>
    <s v="Feminino"/>
    <x v="2"/>
    <x v="21"/>
    <s v="20103646 - Reabilitação Perineal Com Biofeedback (R$ 138,17)"/>
    <s v="Fisioterapia Pélvica e Neurológica"/>
    <n v="1704789091"/>
    <s v="Finalizado (4/5)"/>
    <n v="82.902000000000001"/>
    <n v="55.268000000000001"/>
    <n v="138.16999999999999"/>
    <s v="Sessão Faturada"/>
    <n v="774642030031010"/>
    <n v="58255"/>
    <s v="Unidade Vieralves (ANEXO)"/>
    <n v="1704789091"/>
    <m/>
  </r>
  <r>
    <x v="20"/>
    <x v="38"/>
    <s v="Orione Almeida Cruz Veras"/>
    <s v="Feminino"/>
    <x v="1"/>
    <x v="21"/>
    <s v="50000233 - Fisioterapia Pélvica (R$ 138,17)"/>
    <s v="Fisioterapia Pélvica e Neurológica"/>
    <n v="9160766"/>
    <s v="Finalizado (3/10)"/>
    <n v="82.902000000000001"/>
    <n v="55.268000000000001"/>
    <n v="138.16999999999999"/>
    <s v="Sessão Faturada"/>
    <s v="0201013646330033"/>
    <n v="51322"/>
    <s v="Unidade Vieralves (ANEXO)"/>
    <n v="9160766"/>
    <m/>
  </r>
  <r>
    <x v="20"/>
    <x v="58"/>
    <s v="Laresca Cunha Moreira Altomar"/>
    <s v="Feminino"/>
    <x v="2"/>
    <x v="21"/>
    <s v="20103646 - Reabilitação Perineal Com Biofeedback (R$ 138,17)"/>
    <s v="Fisioterapia Pélvica e Neurológica"/>
    <n v="1703264168"/>
    <s v="Finalizado (3/5)"/>
    <n v="82.902000000000001"/>
    <n v="55.268000000000001"/>
    <n v="138.16999999999999"/>
    <s v="Sessão Faturada"/>
    <n v="771015061557010"/>
    <n v="36894"/>
    <s v="Unidade Vieralves (ANEXO)"/>
    <n v="1703264168"/>
    <m/>
  </r>
  <r>
    <x v="0"/>
    <x v="57"/>
    <s v="Nicole Roessing Cruz Avelino"/>
    <s v="Feminino"/>
    <x v="2"/>
    <x v="21"/>
    <s v="20103646 - Reabilitação Perineal Com Biofeedback (R$ 138,17)"/>
    <s v="Fisioterapia Pélvica e Neurológica"/>
    <n v="1712628339"/>
    <s v="Finalizado (1/3)"/>
    <n v="82.902000000000001"/>
    <n v="55.268000000000001"/>
    <n v="138.16999999999999"/>
    <s v="Sessão a Faturar"/>
    <n v="840957800035000"/>
    <n v="17489"/>
    <s v="Unidade Vieralves (ANEXO)"/>
    <n v="1712628339"/>
    <m/>
  </r>
  <r>
    <x v="0"/>
    <x v="55"/>
    <s v="Laresca Cunha Moreira Altomar"/>
    <s v="Feminino"/>
    <x v="2"/>
    <x v="21"/>
    <s v="20103646 - Reabilitação Perineal Com Biofeedback (R$ 138,17)"/>
    <s v="Fisioterapia Pélvica e Neurológica"/>
    <n v="1703264168"/>
    <s v="Finalizado (4/5)"/>
    <n v="82.902000000000001"/>
    <n v="55.268000000000001"/>
    <n v="138.16999999999999"/>
    <s v="Sessão Faturada"/>
    <n v="771015061557010"/>
    <n v="36894"/>
    <s v="Unidade Vieralves (ANEXO)"/>
    <n v="1703264168"/>
    <m/>
  </r>
  <r>
    <x v="0"/>
    <x v="38"/>
    <s v="Orione Almeida Cruz Veras"/>
    <s v="Feminino"/>
    <x v="1"/>
    <x v="21"/>
    <s v="50000233 - Fisioterapia Pélvica (R$ 138,17)"/>
    <s v="Fisioterapia Pélvica e Neurológica"/>
    <n v="9160766"/>
    <s v="Finalizado (4/10)"/>
    <n v="82.902000000000001"/>
    <n v="55.268000000000001"/>
    <n v="138.16999999999999"/>
    <s v="Sessão Faturada"/>
    <s v="0201013646330033"/>
    <n v="51322"/>
    <s v="Unidade Vieralves (ANEXO)"/>
    <n v="9160766"/>
    <m/>
  </r>
  <r>
    <x v="0"/>
    <x v="58"/>
    <s v="Maria Idenize Matos Natividade"/>
    <s v="Feminino"/>
    <x v="2"/>
    <x v="21"/>
    <s v="20103646 - Reabilitação Perineal Com Biofeedback (R$ 138,17)"/>
    <s v="Fisioterapia Pélvica e Neurológica"/>
    <n v="1707321849"/>
    <s v="Finalizado (3/5)"/>
    <n v="82.902000000000001"/>
    <n v="55.268000000000001"/>
    <n v="138.16999999999999"/>
    <s v="Sessão Faturada"/>
    <n v="611643680020000"/>
    <n v="59315"/>
    <s v="Unidade Vieralves (ANEXO)"/>
    <n v="1707321849"/>
    <m/>
  </r>
  <r>
    <x v="0"/>
    <x v="59"/>
    <s v="Thyrsa Napoles de Mello Pedraca"/>
    <s v="Feminino"/>
    <x v="2"/>
    <x v="21"/>
    <s v="20103646 - Reabilitação Perineal Com Biofeedback (R$ 138,17)"/>
    <s v="Fisioterapia Pélvica e Neurológica"/>
    <n v="1704789091"/>
    <s v="Finalizado (5/5)"/>
    <n v="82.902000000000001"/>
    <n v="55.268000000000001"/>
    <n v="138.16999999999999"/>
    <s v="Sessão Faturada"/>
    <n v="774642030031010"/>
    <n v="58255"/>
    <s v="Unidade Vieralves (ANEXO)"/>
    <n v="1704789091"/>
    <m/>
  </r>
  <r>
    <x v="1"/>
    <x v="41"/>
    <s v="Thais Carvalho Areias"/>
    <s v="Feminino"/>
    <x v="2"/>
    <x v="21"/>
    <s v="20103646 - Reabilitação Perineal Com Biofeedback (R$ 138,17)"/>
    <s v="Fisioterapia Pélvica e Neurológica"/>
    <n v="1710712962"/>
    <s v="Finalizado (2/4)"/>
    <n v="82.902000000000001"/>
    <n v="55.268000000000001"/>
    <n v="138.16999999999999"/>
    <s v="Sessão a Faturar"/>
    <n v="774642002429000"/>
    <n v="59362"/>
    <s v="Unidade Vieralves (ANEXO)"/>
    <n v="1710712962"/>
    <m/>
  </r>
  <r>
    <x v="1"/>
    <x v="38"/>
    <s v="Fernanda de Souza Chagas"/>
    <s v="Feminino"/>
    <x v="2"/>
    <x v="21"/>
    <s v="50000144 - Avaliação de Fisioterapia (R$ 51,42)"/>
    <s v="Fisioterapia Pélvica e Neurológica"/>
    <n v="1713344278"/>
    <s v="Finalizado (1/1)"/>
    <n v="46.277999999999999"/>
    <n v="5.1420000000000003"/>
    <n v="51.42"/>
    <s v="Sessão Faturada"/>
    <n v="771015042757010"/>
    <n v="22022"/>
    <s v="Unidade Vieralves (ANEXO)"/>
    <n v="1713344278"/>
    <m/>
  </r>
  <r>
    <x v="1"/>
    <x v="38"/>
    <s v="Fernanda de Souza Chagas"/>
    <s v="Feminino"/>
    <x v="2"/>
    <x v="21"/>
    <s v="20103646 - Reabilitação Perineal Com Biofeedback (R$ 138,17)"/>
    <s v="Fisioterapia Pélvica e Neurológica"/>
    <n v="1713345217"/>
    <s v="Finalizado (1/1)"/>
    <n v="82.902000000000001"/>
    <n v="55.268000000000001"/>
    <n v="138.16999999999999"/>
    <s v="Sessão Faturada"/>
    <n v="771015042757010"/>
    <n v="22022"/>
    <s v="Unidade Vieralves (ANEXO)"/>
    <n v="1713345217"/>
    <m/>
  </r>
  <r>
    <x v="1"/>
    <x v="59"/>
    <s v="Andrea Tavares Marinho Rodrigues"/>
    <s v="Feminino"/>
    <x v="2"/>
    <x v="21"/>
    <s v="20103646 - Reabilitação Perineal Com Biofeedback (R$ 138,17)"/>
    <s v="Fisioterapia Pélvica e Neurológica"/>
    <n v="1709645973"/>
    <s v="Finalizado (2/5)"/>
    <n v="82.902000000000001"/>
    <n v="55.268000000000001"/>
    <n v="138.16999999999999"/>
    <s v="Sessão Faturada"/>
    <n v="841006100019030"/>
    <n v="36143"/>
    <s v="Unidade Vieralves (ANEXO)"/>
    <n v="1709645973"/>
    <m/>
  </r>
  <r>
    <x v="2"/>
    <x v="41"/>
    <s v="Ayumi de Senna Silva"/>
    <s v="Feminino"/>
    <x v="6"/>
    <x v="21"/>
    <s v="20103646 - Fisioterapia Perineal Com Biofeedback (R$ 229,39)"/>
    <s v="Fisioterapia Pélvica e Neurológica"/>
    <n v="168872"/>
    <s v="Finalizado (9/10)"/>
    <n v="137.63399999999999"/>
    <n v="91.756"/>
    <n v="229.39"/>
    <s v="Sessão a Faturar"/>
    <s v="51588888463858150017"/>
    <n v="22238"/>
    <s v="Unidade Vieralves (ANEXO)"/>
    <n v="168872"/>
    <m/>
  </r>
  <r>
    <x v="2"/>
    <x v="57"/>
    <s v="Nicole Roessing Cruz Avelino"/>
    <s v="Feminino"/>
    <x v="2"/>
    <x v="21"/>
    <s v="20103646 - Reabilitação Perineal Com Biofeedback (R$ 138,17)"/>
    <s v="Fisioterapia Pélvica e Neurológica"/>
    <n v="1712628339"/>
    <s v="Finalizado (2/3)"/>
    <n v="82.902000000000001"/>
    <n v="55.268000000000001"/>
    <n v="138.16999999999999"/>
    <s v="Sessão a Faturar"/>
    <n v="840957800035000"/>
    <n v="17489"/>
    <s v="Unidade Vieralves (ANEXO)"/>
    <n v="1712628339"/>
    <m/>
  </r>
  <r>
    <x v="2"/>
    <x v="38"/>
    <s v="Orione Almeida Cruz Veras"/>
    <s v="Feminino"/>
    <x v="1"/>
    <x v="21"/>
    <s v="50000233 - Fisioterapia Pélvica (R$ 138,17)"/>
    <s v="Fisioterapia Pélvica e Neurológica"/>
    <n v="9160766"/>
    <s v="Finalizado (5/10)"/>
    <n v="82.902000000000001"/>
    <n v="55.268000000000001"/>
    <n v="138.16999999999999"/>
    <s v="Sessão Faturada"/>
    <s v="0201013646330033"/>
    <n v="51322"/>
    <s v="Unidade Vieralves (ANEXO)"/>
    <n v="9160766"/>
    <m/>
  </r>
  <r>
    <x v="2"/>
    <x v="58"/>
    <s v="Fabiana Santos Ribeiro"/>
    <s v="Feminino"/>
    <x v="2"/>
    <x v="21"/>
    <s v="20103646 - Reabilitação Perineal Com Biofeedback (R$ 138,17)"/>
    <s v="Fisioterapia Pélvica e Neurológica"/>
    <n v="1704700507"/>
    <s v="Finalizado (4/5)"/>
    <n v="82.902000000000001"/>
    <n v="55.268000000000001"/>
    <n v="138.16999999999999"/>
    <s v="Sessão Faturada"/>
    <n v="775225007463020"/>
    <n v="59211"/>
    <s v="Unidade Vieralves (ANEXO)"/>
    <n v="1704700507"/>
    <m/>
  </r>
  <r>
    <x v="3"/>
    <x v="57"/>
    <s v="Thyrsa Napoles de Mello Pedraca"/>
    <s v="Feminino"/>
    <x v="2"/>
    <x v="21"/>
    <s v="20103646 - Reabilitação Perineal Com Biofeedback (R$ 138,17)"/>
    <s v="Fisioterapia Pélvica e Neurológica"/>
    <n v="1714448713"/>
    <s v="Finalizado (1/5)"/>
    <n v="82.902000000000001"/>
    <n v="55.268000000000001"/>
    <n v="138.16999999999999"/>
    <s v="Sessão Faturada"/>
    <n v="774642030031010"/>
    <n v="58255"/>
    <s v="Unidade Vieralves (ANEXO)"/>
    <n v="1714448713"/>
    <m/>
  </r>
  <r>
    <x v="3"/>
    <x v="55"/>
    <s v="Andrea Tavares Marinho Rodrigues"/>
    <s v="Feminino"/>
    <x v="2"/>
    <x v="21"/>
    <s v="20103646 - Reabilitação Perineal Com Biofeedback (R$ 138,17)"/>
    <s v="Fisioterapia Pélvica e Neurológica"/>
    <n v="1709645973"/>
    <s v="Finalizado (3/5)"/>
    <n v="82.902000000000001"/>
    <n v="55.268000000000001"/>
    <n v="138.16999999999999"/>
    <s v="Sessão Faturada"/>
    <n v="841006100019030"/>
    <n v="36143"/>
    <s v="Unidade Vieralves (ANEXO)"/>
    <n v="1709645973"/>
    <m/>
  </r>
  <r>
    <x v="3"/>
    <x v="58"/>
    <s v="Maria Idenize Matos Natividade"/>
    <s v="Feminino"/>
    <x v="2"/>
    <x v="21"/>
    <s v="20103646 - Reabilitação Perineal Com Biofeedback (R$ 138,17)"/>
    <s v="Fisioterapia Pélvica e Neurológica"/>
    <n v="1707321849"/>
    <s v="Finalizado (4/5)"/>
    <n v="82.902000000000001"/>
    <n v="55.268000000000001"/>
    <n v="138.16999999999999"/>
    <s v="Sessão Faturada"/>
    <n v="611643680020000"/>
    <n v="59315"/>
    <s v="Unidade Vieralves (ANEXO)"/>
    <n v="1707321849"/>
    <m/>
  </r>
  <r>
    <x v="4"/>
    <x v="57"/>
    <s v="Nicole Roessing Cruz Avelino"/>
    <s v="Feminino"/>
    <x v="2"/>
    <x v="21"/>
    <s v="20103646 - Reabilitação Perineal Com Biofeedback (R$ 138,17)"/>
    <s v="Fisioterapia Pélvica e Neurológica"/>
    <n v="1712628339"/>
    <s v="Finalizado (3/3)"/>
    <n v="82.902000000000001"/>
    <n v="55.268000000000001"/>
    <n v="138.16999999999999"/>
    <s v="Sessão a Faturar"/>
    <n v="840957800035000"/>
    <n v="17489"/>
    <s v="Unidade Vieralves (ANEXO)"/>
    <n v="1712628339"/>
    <m/>
  </r>
  <r>
    <x v="4"/>
    <x v="58"/>
    <s v="Fabiana Santos Ribeiro"/>
    <s v="Feminino"/>
    <x v="2"/>
    <x v="21"/>
    <s v="20103646 - Reabilitação Perineal Com Biofeedback (R$ 138,17)"/>
    <s v="Fisioterapia Pélvica e Neurológica"/>
    <n v="1704700507"/>
    <s v="Finalizado (5/5)"/>
    <n v="82.902000000000001"/>
    <n v="55.268000000000001"/>
    <n v="138.16999999999999"/>
    <s v="Sessão Faturada"/>
    <n v="775225007463020"/>
    <n v="59211"/>
    <s v="Unidade Vieralves (ANEXO)"/>
    <n v="1704700507"/>
    <m/>
  </r>
  <r>
    <x v="4"/>
    <x v="59"/>
    <s v="Thyrsa Napoles de Mello Pedraca"/>
    <s v="Feminino"/>
    <x v="2"/>
    <x v="21"/>
    <s v="20103646 - Reabilitação Perineal Com Biofeedback (R$ 138,17)"/>
    <s v="Fisioterapia Pélvica e Neurológica"/>
    <n v="1714448713"/>
    <s v="Finalizado (2/5)"/>
    <n v="82.902000000000001"/>
    <n v="55.268000000000001"/>
    <n v="138.16999999999999"/>
    <s v="Sessão Faturada"/>
    <n v="774642030031010"/>
    <n v="58255"/>
    <s v="Unidade Vieralves (ANEXO)"/>
    <n v="1714448713"/>
    <m/>
  </r>
  <r>
    <x v="5"/>
    <x v="41"/>
    <s v="Thais Carvalho Areias"/>
    <s v="Feminino"/>
    <x v="2"/>
    <x v="21"/>
    <s v="20103646 - Reabilitação Perineal Com Biofeedback (R$ 138,17)"/>
    <s v="Fisioterapia Pélvica e Neurológica"/>
    <n v="1710712962"/>
    <s v="Finalizado (3/4)"/>
    <n v="82.902000000000001"/>
    <n v="55.268000000000001"/>
    <n v="138.16999999999999"/>
    <s v="Sessão a Faturar"/>
    <n v="774642002429000"/>
    <n v="59362"/>
    <s v="Unidade Vieralves (ANEXO)"/>
    <n v="1710712962"/>
    <m/>
  </r>
  <r>
    <x v="5"/>
    <x v="57"/>
    <s v="Barbara Barros Jacob"/>
    <s v="Feminino"/>
    <x v="1"/>
    <x v="21"/>
    <s v="50000233 - Fisioterapia Pélvica (R$ 138,17)"/>
    <s v="Fisioterapia Pélvica e Neurológica"/>
    <n v="8681189"/>
    <s v="Finalizado (7/10)"/>
    <n v="82.902000000000001"/>
    <n v="55.268000000000001"/>
    <n v="138.16999999999999"/>
    <s v="Sessão Faturada"/>
    <s v="0201013029220011"/>
    <n v="41008"/>
    <s v="Unidade Vieralves (ANEXO)"/>
    <n v="8681189"/>
    <m/>
  </r>
  <r>
    <x v="5"/>
    <x v="58"/>
    <s v="Vitória Carvalho de Souza Alencar"/>
    <s v="Feminino"/>
    <x v="2"/>
    <x v="21"/>
    <s v="50000144 - Avaliação de Fisioterapia (R$ 51,42)"/>
    <s v="Fisioterapia Pélvica e Neurológica"/>
    <n v="1716026470"/>
    <s v="Finalizado (1/1)"/>
    <n v="46.277999999999999"/>
    <n v="5.1420000000000003"/>
    <n v="51.42"/>
    <s v="Sessão Faturada"/>
    <n v="775300018082010"/>
    <n v="54596"/>
    <s v="Unidade Vieralves (ANEXO)"/>
    <n v="1716026470"/>
    <m/>
  </r>
  <r>
    <x v="5"/>
    <x v="58"/>
    <s v="Vitória Carvalho de Souza Alencar"/>
    <s v="Feminino"/>
    <x v="2"/>
    <x v="21"/>
    <s v="20103646 - Reabilitação Perineal Com Biofeedback (R$ 138,17)"/>
    <s v="Fisioterapia Pélvica e Neurológica"/>
    <n v="1716027450"/>
    <s v="Finalizado (1/1)"/>
    <n v="82.902000000000001"/>
    <n v="55.268000000000001"/>
    <n v="138.16999999999999"/>
    <s v="Sessão a Faturar"/>
    <n v="775300018082010"/>
    <n v="54596"/>
    <s v="Unidade Vieralves (ANEXO)"/>
    <n v="1716027450"/>
    <m/>
  </r>
  <r>
    <x v="5"/>
    <x v="59"/>
    <s v="Thyrsa Napoles de Mello Pedraca"/>
    <s v="Feminino"/>
    <x v="2"/>
    <x v="21"/>
    <s v="20103646 - Reabilitação Perineal Com Biofeedback (R$ 138,17)"/>
    <s v="Fisioterapia Pélvica e Neurológica"/>
    <n v="1714448713"/>
    <s v="Finalizado (3/5)"/>
    <n v="82.902000000000001"/>
    <n v="55.268000000000001"/>
    <n v="138.16999999999999"/>
    <s v="Sessão Faturada"/>
    <n v="774642030031010"/>
    <n v="58255"/>
    <s v="Unidade Vieralves (ANEXO)"/>
    <n v="1714448713"/>
    <m/>
  </r>
  <r>
    <x v="6"/>
    <x v="41"/>
    <s v="Priscila da Silva Lopes"/>
    <s v="Feminino"/>
    <x v="1"/>
    <x v="21"/>
    <s v="50000233 - Fisioterapia Pélvica (R$ 138,17)"/>
    <s v="Fisioterapia Pélvica e Neurológica"/>
    <n v="8842767"/>
    <s v="Finalizado (7/10)"/>
    <n v="82.902000000000001"/>
    <n v="55.268000000000001"/>
    <n v="138.16999999999999"/>
    <s v="Sessão Faturada"/>
    <s v="0901013218350309"/>
    <n v="57060"/>
    <s v="Unidade Vieralves (ANEXO)"/>
    <n v="8842767"/>
    <m/>
  </r>
  <r>
    <x v="6"/>
    <x v="55"/>
    <s v="Camila Lima Santana Costa"/>
    <s v="Feminino"/>
    <x v="28"/>
    <x v="21"/>
    <s v="50000144 - Consulta de Fisioterapia (R$ 30,00), 50000233 - Fisioterapia Pelvica Com Biofeedback (R$ 85,68)"/>
    <s v="Fisioterapia Pélvica e Neurológica"/>
    <m/>
    <s v="Finalizado (1/1)"/>
    <n v="78.408000000000001"/>
    <n v="37.271999999999998"/>
    <n v="115.68"/>
    <s v="Sessão a Faturar"/>
    <n v="24004748011"/>
    <n v="41060"/>
    <s v="Unidade Vieralves (ANEXO)"/>
    <m/>
    <m/>
  </r>
  <r>
    <x v="6"/>
    <x v="38"/>
    <s v="Laresca Cunha Moreira Altomar"/>
    <s v="Feminino"/>
    <x v="2"/>
    <x v="21"/>
    <s v="20103646 - Reabilitação Perineal Com Biofeedback (R$ 138,17)"/>
    <s v="Fisioterapia Pélvica e Neurológica"/>
    <n v="1703264168"/>
    <s v="Finalizado (5/5)"/>
    <n v="82.902000000000001"/>
    <n v="55.268000000000001"/>
    <n v="138.16999999999999"/>
    <s v="Sessão Faturada"/>
    <n v="771015061557010"/>
    <n v="36894"/>
    <s v="Unidade Vieralves (ANEXO)"/>
    <n v="1703264168"/>
    <m/>
  </r>
  <r>
    <x v="6"/>
    <x v="58"/>
    <s v="Maria Idenize Matos Natividade"/>
    <s v="Feminino"/>
    <x v="2"/>
    <x v="21"/>
    <s v="20103646 - Reabilitação Perineal Com Biofeedback (R$ 138,17)"/>
    <s v="Fisioterapia Pélvica e Neurológica"/>
    <n v="1707321849"/>
    <s v="Finalizado (5/5)"/>
    <n v="82.902000000000001"/>
    <n v="55.268000000000001"/>
    <n v="138.16999999999999"/>
    <s v="Sessão Faturada"/>
    <n v="611643680020000"/>
    <n v="59315"/>
    <s v="Unidade Vieralves (ANEXO)"/>
    <n v="1707321849"/>
    <m/>
  </r>
  <r>
    <x v="6"/>
    <x v="59"/>
    <s v="Andrea Tavares Marinho Rodrigues"/>
    <s v="Feminino"/>
    <x v="2"/>
    <x v="21"/>
    <s v="20103646 - Reabilitação Perineal Com Biofeedback (R$ 138,17)"/>
    <s v="Fisioterapia Pélvica e Neurológica"/>
    <n v="1709645973"/>
    <s v="Finalizado (4/5)"/>
    <n v="82.902000000000001"/>
    <n v="55.268000000000001"/>
    <n v="138.16999999999999"/>
    <s v="Sessão Faturada"/>
    <n v="841006100019030"/>
    <n v="36143"/>
    <s v="Unidade Vieralves (ANEXO)"/>
    <n v="1709645973"/>
    <m/>
  </r>
  <r>
    <x v="7"/>
    <x v="55"/>
    <s v="Cristina Serrao Goncalves"/>
    <s v="Feminino"/>
    <x v="2"/>
    <x v="21"/>
    <s v="20103646 - Reabilitação Perineal Com Biofeedback (R$ 138,17)"/>
    <s v="Fisioterapia Pélvica e Neurológica"/>
    <n v="1717038822"/>
    <s v="Finalizado (1/5)"/>
    <n v="82.902000000000001"/>
    <n v="55.268000000000001"/>
    <n v="138.16999999999999"/>
    <s v="Sessão a Faturar"/>
    <n v="771015054119010"/>
    <n v="12646"/>
    <s v="Unidade Vieralves (ANEXO)"/>
    <n v="1717038822"/>
    <m/>
  </r>
  <r>
    <x v="7"/>
    <x v="55"/>
    <s v="Cristina Serrao Goncalves"/>
    <s v="Feminino"/>
    <x v="2"/>
    <x v="21"/>
    <s v="20203020 - Eletroestimulação do Assoalho Pélvico E/Ou Outra Técnica de Exercícios Perineais (R$ 17,17)"/>
    <s v="Fisioterapia Pélvica e Neurológica"/>
    <n v="1717039998"/>
    <s v="Finalizado (1/5)"/>
    <n v="10.302"/>
    <n v="6.8680000000000003"/>
    <n v="17.170000000000002"/>
    <s v="Sessão a Faturar"/>
    <n v="771015054119010"/>
    <n v="12646"/>
    <s v="Unidade Vieralves (ANEXO)"/>
    <n v="1717039998"/>
    <m/>
  </r>
  <r>
    <x v="7"/>
    <x v="38"/>
    <s v="Orione Almeida Cruz Veras"/>
    <s v="Feminino"/>
    <x v="1"/>
    <x v="21"/>
    <s v="50000233 - Fisioterapia Pélvica (R$ 138,17)"/>
    <s v="Fisioterapia Pélvica e Neurológica"/>
    <n v="9160766"/>
    <s v="Finalizado (6/10)"/>
    <n v="82.902000000000001"/>
    <n v="55.268000000000001"/>
    <n v="138.16999999999999"/>
    <s v="Sessão Faturada"/>
    <s v="0201013646330033"/>
    <n v="51322"/>
    <s v="Unidade Vieralves (ANEXO)"/>
    <n v="9160766"/>
    <m/>
  </r>
  <r>
    <x v="7"/>
    <x v="58"/>
    <s v="Isabel Bezerra da Silva"/>
    <s v="Feminino"/>
    <x v="6"/>
    <x v="21"/>
    <s v="20103646 - Fisioterapia Perineal Com Biofeedback (R$ 229,39)"/>
    <s v="Fisioterapia Pélvica e Neurológica"/>
    <n v="172440"/>
    <s v="Finalizado (1/10)"/>
    <n v="137.63399999999999"/>
    <n v="91.756"/>
    <n v="229.39"/>
    <s v="Sessão a Faturar"/>
    <s v="54588888485247240028"/>
    <n v="51434"/>
    <s v="Unidade Vieralves (ANEXO)"/>
    <n v="172440"/>
    <m/>
  </r>
  <r>
    <x v="7"/>
    <x v="59"/>
    <s v="Andrea Tavares Marinho Rodrigues"/>
    <s v="Feminino"/>
    <x v="2"/>
    <x v="21"/>
    <s v="20103646 - Reabilitação Perineal Com Biofeedback (R$ 138,17)"/>
    <s v="Fisioterapia Pélvica e Neurológica"/>
    <n v="1709645973"/>
    <s v="Finalizado (5/5)"/>
    <n v="82.902000000000001"/>
    <n v="55.268000000000001"/>
    <n v="138.16999999999999"/>
    <s v="Sessão Faturada"/>
    <n v="841006100019030"/>
    <n v="36143"/>
    <s v="Unidade Vieralves (ANEXO)"/>
    <n v="1709645973"/>
    <m/>
  </r>
  <r>
    <x v="8"/>
    <x v="41"/>
    <s v="Priscila da Silva Lopes"/>
    <s v="Feminino"/>
    <x v="1"/>
    <x v="21"/>
    <s v="50000233 - Fisioterapia Pélvica (R$ 138,17)"/>
    <s v="Fisioterapia Pélvica e Neurológica"/>
    <n v="8842767"/>
    <s v="Finalizado (8/10)"/>
    <n v="82.902000000000001"/>
    <n v="55.268000000000001"/>
    <n v="138.16999999999999"/>
    <s v="Sessão Faturada"/>
    <s v="0901013218350309"/>
    <n v="57060"/>
    <s v="Unidade Vieralves (ANEXO)"/>
    <n v="8842767"/>
    <m/>
  </r>
  <r>
    <x v="8"/>
    <x v="57"/>
    <s v="Camila Lima Santana Costa"/>
    <s v="Feminino"/>
    <x v="28"/>
    <x v="21"/>
    <s v="50000233 - Fisioterapia Pelvica Com Biofeedback (R$ 85,68)"/>
    <s v="Fisioterapia Pélvica e Neurológica"/>
    <m/>
    <s v="Finalizado (1/1)"/>
    <n v="51.408000000000001"/>
    <n v="34.271999999999998"/>
    <n v="85.68"/>
    <s v="Sessão a Faturar"/>
    <n v="24004748011"/>
    <n v="41060"/>
    <s v="Unidade Vieralves (ANEXO)"/>
    <m/>
    <m/>
  </r>
  <r>
    <x v="8"/>
    <x v="58"/>
    <s v="Maria Idenize Matos Natividade"/>
    <s v="Feminino"/>
    <x v="2"/>
    <x v="21"/>
    <s v="20103646 - Reabilitação Perineal Com Biofeedback (R$ 138,17)"/>
    <s v="Fisioterapia Pélvica e Neurológica"/>
    <n v="1717610805"/>
    <s v="Finalizado (1/5)"/>
    <n v="82.902000000000001"/>
    <n v="55.268000000000001"/>
    <n v="138.16999999999999"/>
    <s v="Sessão a Faturar"/>
    <n v="611643680020000"/>
    <n v="59315"/>
    <s v="Unidade Vieralves (ANEXO)"/>
    <n v="1717610805"/>
    <m/>
  </r>
  <r>
    <x v="8"/>
    <x v="59"/>
    <s v="Thyrsa Napoles de Mello Pedraca"/>
    <s v="Feminino"/>
    <x v="2"/>
    <x v="21"/>
    <s v="20103646 - Reabilitação Perineal Com Biofeedback (R$ 138,17)"/>
    <s v="Fisioterapia Pélvica e Neurológica"/>
    <n v="1714448713"/>
    <s v="Finalizado (4/5)"/>
    <n v="82.902000000000001"/>
    <n v="55.268000000000001"/>
    <n v="138.16999999999999"/>
    <s v="Sessão Faturada"/>
    <n v="774642030031010"/>
    <n v="58255"/>
    <s v="Unidade Vieralves (ANEXO)"/>
    <n v="1714448713"/>
    <m/>
  </r>
  <r>
    <x v="9"/>
    <x v="41"/>
    <s v="Ayumi de Senna Silva"/>
    <s v="Feminino"/>
    <x v="6"/>
    <x v="21"/>
    <s v="20103646 - Fisioterapia Perineal Com Biofeedback (R$ 229,39)"/>
    <s v="Fisioterapia Pélvica e Neurológica"/>
    <n v="168872"/>
    <s v="Finalizado (10/10)"/>
    <n v="137.63399999999999"/>
    <n v="91.756"/>
    <n v="229.39"/>
    <s v="Sessão a Faturar"/>
    <s v="51588888463858150017"/>
    <n v="22238"/>
    <s v="Unidade Vieralves (ANEXO)"/>
    <n v="168872"/>
    <m/>
  </r>
  <r>
    <x v="9"/>
    <x v="38"/>
    <s v="Orione Almeida Cruz Veras"/>
    <s v="Feminino"/>
    <x v="1"/>
    <x v="21"/>
    <s v="50000233 - Fisioterapia Pélvica (R$ 138,17)"/>
    <s v="Fisioterapia Pélvica e Neurológica"/>
    <n v="9160766"/>
    <s v="Finalizado (7/10)"/>
    <n v="82.902000000000001"/>
    <n v="55.268000000000001"/>
    <n v="138.16999999999999"/>
    <s v="Sessão Faturada"/>
    <s v="0201013646330033"/>
    <n v="51322"/>
    <s v="Unidade Vieralves (ANEXO)"/>
    <n v="9160766"/>
    <m/>
  </r>
  <r>
    <x v="9"/>
    <x v="58"/>
    <s v="Fabiana Santos Ribeiro"/>
    <s v="Feminino"/>
    <x v="2"/>
    <x v="21"/>
    <s v="20103646 - Reabilitação Perineal Com Biofeedback (R$ 138,17)"/>
    <s v="Fisioterapia Pélvica e Neurológica"/>
    <n v="1718111659"/>
    <s v="Finalizado (1/1)"/>
    <n v="82.902000000000001"/>
    <n v="55.268000000000001"/>
    <n v="138.16999999999999"/>
    <s v="Sessão a Faturar"/>
    <n v="775225007463020"/>
    <n v="59211"/>
    <s v="Unidade Vieralves (ANEXO)"/>
    <n v="1718111659"/>
    <m/>
  </r>
  <r>
    <x v="9"/>
    <x v="59"/>
    <s v="Thyrsa Napoles de Mello Pedraca"/>
    <s v="Feminino"/>
    <x v="2"/>
    <x v="21"/>
    <s v="20103646 - Reabilitação Perineal Com Biofeedback (R$ 138,17)"/>
    <s v="Fisioterapia Pélvica e Neurológica"/>
    <n v="1714448713"/>
    <s v="Finalizado (5/5)"/>
    <n v="82.902000000000001"/>
    <n v="55.268000000000001"/>
    <n v="138.16999999999999"/>
    <s v="Sessão Faturada"/>
    <n v="774642030031010"/>
    <n v="58255"/>
    <s v="Unidade Vieralves (ANEXO)"/>
    <n v="1714448713"/>
    <m/>
  </r>
  <r>
    <x v="10"/>
    <x v="41"/>
    <s v="Thais Carvalho Areias"/>
    <s v="Feminino"/>
    <x v="2"/>
    <x v="21"/>
    <s v="20103646 - Reabilitação Perineal Com Biofeedback (R$ 138,17)"/>
    <s v="Fisioterapia Pélvica e Neurológica"/>
    <n v="1710712962"/>
    <s v="Finalizado (4/4)"/>
    <n v="82.902000000000001"/>
    <n v="55.268000000000001"/>
    <n v="138.16999999999999"/>
    <s v="Sessão a Faturar"/>
    <n v="774642002429000"/>
    <n v="59362"/>
    <s v="Unidade Vieralves (ANEXO)"/>
    <n v="1710712962"/>
    <m/>
  </r>
  <r>
    <x v="10"/>
    <x v="55"/>
    <s v="Orione Almeida Cruz Veras"/>
    <s v="Feminino"/>
    <x v="1"/>
    <x v="21"/>
    <s v="50000233 - Fisioterapia Pélvica (R$ 138,17)"/>
    <s v="Fisioterapia Pélvica e Neurológica"/>
    <n v="9160766"/>
    <s v="Finalizado (8/10)"/>
    <n v="82.902000000000001"/>
    <n v="55.268000000000001"/>
    <n v="138.16999999999999"/>
    <s v="Sessão Faturada"/>
    <s v="0201013646330033"/>
    <n v="51322"/>
    <s v="Unidade Vieralves (ANEXO)"/>
    <n v="9160766"/>
    <m/>
  </r>
  <r>
    <x v="10"/>
    <x v="58"/>
    <s v="Larissa Lustosa Bastos"/>
    <s v="Feminino"/>
    <x v="1"/>
    <x v="21"/>
    <s v="50000233 - Fisioterapia Pélvica (R$ 138,17)"/>
    <s v="Fisioterapia Pélvica e Neurológica"/>
    <n v="9611830"/>
    <s v="Finalizado (1/10)"/>
    <n v="82.902000000000001"/>
    <n v="55.268000000000001"/>
    <n v="138.16999999999999"/>
    <s v="Sessão a Faturar"/>
    <n v="203004962210100"/>
    <n v="42033"/>
    <s v="Unidade Vieralves (ANEXO)"/>
    <n v="9611830"/>
    <m/>
  </r>
  <r>
    <x v="10"/>
    <x v="58"/>
    <s v="Larissa Lustosa Bastos"/>
    <s v="Feminino"/>
    <x v="1"/>
    <x v="21"/>
    <s v="50000144 - Consulta de Fisioterapia (R$ 16,00)"/>
    <s v="Fisioterapia Pélvica e Neurológica"/>
    <n v="9611766"/>
    <s v="Finalizado (1/1)"/>
    <n v="14.4"/>
    <n v="1.6"/>
    <n v="16"/>
    <s v="Sessão Faturada"/>
    <n v="203004962210100"/>
    <n v="42033"/>
    <s v="Unidade Vieralves (ANEXO)"/>
    <n v="9611766"/>
    <m/>
  </r>
  <r>
    <x v="10"/>
    <x v="59"/>
    <s v="Andrea Tavares Marinho Rodrigues"/>
    <s v="Feminino"/>
    <x v="2"/>
    <x v="21"/>
    <s v="20103646 - Reabilitação Perineal Com Biofeedback (R$ 138,17)"/>
    <s v="Fisioterapia Pélvica e Neurológica"/>
    <n v="1718969511"/>
    <s v="Finalizado (1/5)"/>
    <n v="82.902000000000001"/>
    <n v="55.268000000000001"/>
    <n v="138.16999999999999"/>
    <s v="Sessão a Faturar"/>
    <n v="841006100019030"/>
    <n v="36143"/>
    <s v="Unidade Vieralves (ANEXO)"/>
    <n v="1718969511"/>
    <m/>
  </r>
  <r>
    <x v="12"/>
    <x v="44"/>
    <s v="Nívea Rosangela Santos Barbosa"/>
    <s v="Feminino"/>
    <x v="6"/>
    <x v="22"/>
    <s v="20103492 - Patologia Em Dois Ou Mais Membros (R$ 30,26), 20103506 - Patologia Em Um Segmento da Coluna (R$ 14,16)"/>
    <s v="Fisioterapia"/>
    <n v="169438"/>
    <s v="Finalizado (3/5)"/>
    <n v="39.089599999999997"/>
    <n v="5.3304"/>
    <n v="44.42"/>
    <s v="Sessão a Faturar"/>
    <s v="54588888018689220020"/>
    <n v="56297"/>
    <s v="Unidade Vieiralves"/>
    <n v="169438"/>
    <m/>
  </r>
  <r>
    <x v="12"/>
    <x v="44"/>
    <s v="Ruth Vania Duarte Ramos"/>
    <m/>
    <x v="6"/>
    <x v="22"/>
    <s v="20103662 - Pos Operatorio Em Um Membro (R$ 22,53)"/>
    <s v="Fisioterapia"/>
    <n v="166788"/>
    <s v="Finalizado (8/8)"/>
    <n v="19.8264"/>
    <n v="2.7035999999999998"/>
    <n v="22.53"/>
    <s v="Sessão a Faturar"/>
    <s v="55788888489432510020"/>
    <n v="58616"/>
    <s v="Unidade Vieiralves"/>
    <n v="166788"/>
    <m/>
  </r>
  <r>
    <x v="12"/>
    <x v="44"/>
    <s v="Diego Nobuyoshi de Souza Tsuji"/>
    <s v="Masculino"/>
    <x v="2"/>
    <x v="22"/>
    <s v="20103484 - Fisioterapia - Patologia Em Um Membro (R$ 12,22)"/>
    <s v="Fisioterapia"/>
    <n v="1702124644"/>
    <s v="Finalizado (5/5)"/>
    <n v="10.7536"/>
    <n v="1.4663999999999999"/>
    <n v="12.22"/>
    <s v="Sessão Faturada"/>
    <n v="774981009148000"/>
    <n v="11130"/>
    <s v="Unidade Vieiralves"/>
    <n v="1702124644"/>
    <m/>
  </r>
  <r>
    <x v="12"/>
    <x v="44"/>
    <s v="Mateus Mota Nóbrega"/>
    <s v="Masculino"/>
    <x v="2"/>
    <x v="22"/>
    <s v="20103492 - Fisioterapia - Patologia Em Dois Ou Mais Membros (R$ 14,83)"/>
    <s v="Fisioterapia"/>
    <n v="1701279817"/>
    <s v="Finalizado (3/3)"/>
    <n v="13.0504"/>
    <n v="1.7796000000000001"/>
    <n v="14.83"/>
    <s v="Sessão Faturada"/>
    <n v="774981008516000"/>
    <n v="50878"/>
    <s v="Unidade Vieiralves"/>
    <n v="1701279817"/>
    <m/>
  </r>
  <r>
    <x v="12"/>
    <x v="44"/>
    <s v="Diego Nobuyoshi de Souza Tsuji"/>
    <s v="Masculino"/>
    <x v="2"/>
    <x v="22"/>
    <s v="20103115 - Atividade Reflexa Cinesioterápica (R$ 20,81)"/>
    <s v="Fisioterapia"/>
    <n v="1702125793"/>
    <s v="Finalizado (5/5)"/>
    <n v="18.312799999999999"/>
    <n v="2.4971999999999999"/>
    <n v="20.81"/>
    <s v="Sessão Faturada"/>
    <n v="774981009148000"/>
    <n v="11130"/>
    <s v="Unidade Vieiralves"/>
    <n v="1702125793"/>
    <m/>
  </r>
  <r>
    <x v="12"/>
    <x v="60"/>
    <s v="Mateus Mota Nóbrega"/>
    <s v="Masculino"/>
    <x v="2"/>
    <x v="22"/>
    <s v="20103115 - Atividade Reflexa Cinesioterápica (R$ 20,81)"/>
    <s v="Fisioterapia"/>
    <n v="1701280648"/>
    <s v="Finalizado (3/3)"/>
    <n v="18.312799999999999"/>
    <n v="2.4971999999999999"/>
    <n v="20.81"/>
    <s v="Sessão Faturada"/>
    <n v="774981008516000"/>
    <n v="50878"/>
    <s v="Unidade Vieiralves"/>
    <n v="1701280648"/>
    <m/>
  </r>
  <r>
    <x v="12"/>
    <x v="60"/>
    <s v="Nívea Rosangela Santos Barbosa"/>
    <s v="Feminino"/>
    <x v="6"/>
    <x v="22"/>
    <s v="31602185 - Estimulação Elétrica Transcutanea (Tens) (R$ 40,00)"/>
    <s v="Fisioterapia"/>
    <n v="169439"/>
    <s v="Finalizado (3/5)"/>
    <n v="35.200000000000003"/>
    <n v="4.8"/>
    <n v="40"/>
    <s v="Sessão a Faturar"/>
    <s v="54588888018689220020"/>
    <n v="56297"/>
    <s v="Unidade Vieiralves"/>
    <n v="169439"/>
    <m/>
  </r>
  <r>
    <x v="12"/>
    <x v="60"/>
    <s v="Ruth Vania Duarte Ramos"/>
    <m/>
    <x v="6"/>
    <x v="22"/>
    <s v="31602185 - Estimulação Elétrica Transcutanea (Tens) (R$ 40,00)"/>
    <s v="Fisioterapia"/>
    <n v="168577"/>
    <s v="Finalizado (5/10)"/>
    <n v="35.200000000000003"/>
    <n v="4.8"/>
    <n v="40"/>
    <s v="Sessão a Faturar"/>
    <s v="55788888489432510020"/>
    <n v="58616"/>
    <s v="Unidade Vieiralves"/>
    <n v="168577"/>
    <m/>
  </r>
  <r>
    <x v="12"/>
    <x v="41"/>
    <s v="Alberson Nascimento da Silva"/>
    <s v="Masculino"/>
    <x v="2"/>
    <x v="22"/>
    <s v="20103484 - Fisioterapia - Patologia Em Um Membro (R$ 12,22)"/>
    <s v="Fisioterapia"/>
    <n v="1705115181"/>
    <s v="Finalizado (2/5)"/>
    <n v="10.7536"/>
    <n v="1.4663999999999999"/>
    <n v="12.22"/>
    <s v="Sessão Faturada"/>
    <n v="847586402151000"/>
    <n v="58240"/>
    <s v="Unidade Vieiralves"/>
    <n v="1705115181"/>
    <m/>
  </r>
  <r>
    <x v="12"/>
    <x v="41"/>
    <s v="Mario Alves Sobral Junior"/>
    <s v="Masculino"/>
    <x v="1"/>
    <x v="22"/>
    <s v="50000217 - Fisioterapia Pré e Pós Operatória (R$ 25,00), 98980327 - Taxa de Eletroterapia (Tens) (R$ 15,00)"/>
    <s v="Fisioterapia"/>
    <n v="97632334"/>
    <s v="Finalizado (7/10)"/>
    <n v="35.200000000000003"/>
    <n v="4.8"/>
    <n v="40"/>
    <s v="Sessão a Faturar"/>
    <s v="01301012922220002"/>
    <n v="14923"/>
    <s v="Unidade Vieiralves"/>
    <n v="97632334"/>
    <m/>
  </r>
  <r>
    <x v="12"/>
    <x v="41"/>
    <s v="Alberson Nascimento da Silva"/>
    <s v="Masculino"/>
    <x v="2"/>
    <x v="22"/>
    <s v="20103115 - Atividade Reflexa Cinesioterápica (R$ 20,81)"/>
    <s v="Fisioterapia"/>
    <n v="1705115980"/>
    <s v="Finalizado (2/5)"/>
    <n v="18.312799999999999"/>
    <n v="2.4971999999999999"/>
    <n v="20.81"/>
    <s v="Sessão Faturada"/>
    <n v="847586402151000"/>
    <n v="58240"/>
    <s v="Unidade Vieiralves"/>
    <n v="1705115980"/>
    <m/>
  </r>
  <r>
    <x v="12"/>
    <x v="36"/>
    <s v="Ana Maria Barros Martins"/>
    <s v="Feminino"/>
    <x v="1"/>
    <x v="22"/>
    <s v="50000160 - Fisioterapia Ortopédica (R$ 20,00), 98980327 - Taxa de Eletroterapia (Tens) (R$ 15,00)"/>
    <s v="Fisioterapia"/>
    <n v="8673002"/>
    <s v="Finalizado (6/10)"/>
    <n v="30.8"/>
    <n v="4.2"/>
    <n v="35"/>
    <s v="Sessão Faturada"/>
    <s v="0201005329570033"/>
    <n v="55774"/>
    <s v="Unidade Vieiralves"/>
    <n v="8673002"/>
    <s v="GUIA ASSINADA!"/>
  </r>
  <r>
    <x v="12"/>
    <x v="40"/>
    <s v="Guaracy Silva da Cunha"/>
    <s v="Feminino"/>
    <x v="1"/>
    <x v="22"/>
    <s v="50000160 - Fisioterapia Ortopédica (R$ 20,00), 98980327 - Taxa de Eletroterapia (Tens) (R$ 15,00)"/>
    <s v="Fisioterapia"/>
    <n v="8790991"/>
    <s v="Finalizado (7/10)"/>
    <n v="30.8"/>
    <n v="4.2"/>
    <n v="35"/>
    <s v="Sessão Faturada"/>
    <s v="0901013070050252"/>
    <n v="21742"/>
    <s v="Unidade Vieiralves"/>
    <n v="8790991"/>
    <m/>
  </r>
  <r>
    <x v="12"/>
    <x v="35"/>
    <s v="Julliana Gadelha de Medeiros"/>
    <s v="Feminino"/>
    <x v="8"/>
    <x v="22"/>
    <s v="20103484 - Patologia Em Um Membro (R$ 12,22)"/>
    <s v="Fisioterapia"/>
    <n v="1705658536"/>
    <s v="Finalizado (1/5)"/>
    <n v="10.7536"/>
    <n v="1.4663999999999999"/>
    <n v="12.22"/>
    <s v="Sessão Faturada"/>
    <n v="954600002968020"/>
    <n v="20663"/>
    <s v="Unidade Vieiralves"/>
    <n v="1705658536"/>
    <m/>
  </r>
  <r>
    <x v="12"/>
    <x v="35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1790116"/>
    <s v="Finalizado (5/5)"/>
    <n v="26.1008"/>
    <n v="3.5592000000000001"/>
    <n v="29.66"/>
    <s v="Sessão Faturada"/>
    <n v="813312700027000"/>
    <n v="17029"/>
    <s v="Unidade Vieiralves"/>
    <n v="1701790116"/>
    <m/>
  </r>
  <r>
    <x v="12"/>
    <x v="42"/>
    <s v="Julliana Gadelha de Medeiros"/>
    <s v="Feminino"/>
    <x v="8"/>
    <x v="22"/>
    <s v="20103115 - Atividade Reflexa Cinesioterápica (R$ 20,81)"/>
    <s v="Fisioterapia"/>
    <n v="1705659450"/>
    <s v="Finalizado (1/4)"/>
    <n v="18.312799999999999"/>
    <n v="2.4971999999999999"/>
    <n v="20.81"/>
    <s v="Sessão Faturada"/>
    <n v="954600002968020"/>
    <n v="20663"/>
    <s v="Unidade Vieiralves"/>
    <n v="1705659450"/>
    <m/>
  </r>
  <r>
    <x v="12"/>
    <x v="42"/>
    <s v="Rose Mayre Vieira Barreto"/>
    <s v="Feminino"/>
    <x v="2"/>
    <x v="22"/>
    <s v="20103115 - Atividade Reflexa Cinesioterápica (R$ 20,81)"/>
    <s v="Fisioterapia"/>
    <n v="1701790784"/>
    <s v="Finalizado (5/5)"/>
    <n v="18.312799999999999"/>
    <n v="2.4971999999999999"/>
    <n v="20.81"/>
    <s v="Sessão Faturada"/>
    <n v="813312700027000"/>
    <n v="17029"/>
    <s v="Unidade Vieiralves"/>
    <n v="1701790784"/>
    <m/>
  </r>
  <r>
    <x v="12"/>
    <x v="38"/>
    <s v="Ednamar da Silva Barros"/>
    <s v="Feminino"/>
    <x v="2"/>
    <x v="22"/>
    <s v="20103506 - Fisioterapia - Patologia Em Um Segmento da Coluna (R$ 12,22)"/>
    <s v="Fisioterapia"/>
    <n v="1705688191"/>
    <s v="Finalizado (1/3)"/>
    <n v="10.7536"/>
    <n v="1.4663999999999999"/>
    <n v="12.22"/>
    <s v="Sessão Faturada"/>
    <n v="771015041971000"/>
    <n v="58523"/>
    <s v="Unidade Vieiralves"/>
    <n v="1705688191"/>
    <m/>
  </r>
  <r>
    <x v="12"/>
    <x v="38"/>
    <s v="Nardier Macedo de Araujo"/>
    <s v="Masculino"/>
    <x v="6"/>
    <x v="22"/>
    <s v="50000144 - Avaliação de Fisioterapia (R$ 56,52)"/>
    <s v="Fisioterapia"/>
    <n v="7700047063"/>
    <s v="Finalizado (1/1)"/>
    <n v="50.868000000000002"/>
    <n v="5.6520000000000001"/>
    <n v="56.52"/>
    <s v="Sessão Faturada"/>
    <s v="51588888482476410016"/>
    <n v="13294"/>
    <s v="Unidade Vieiralves"/>
    <n v="7700047063"/>
    <m/>
  </r>
  <r>
    <x v="12"/>
    <x v="68"/>
    <s v="Nardier Macedo de Araujo"/>
    <s v="Masculino"/>
    <x v="6"/>
    <x v="22"/>
    <s v="20103484 - Patologia Em Um Membro (R$ 14,16)"/>
    <s v="Fisioterapia"/>
    <n v="170118"/>
    <s v="Finalizado (1/1)"/>
    <n v="12.460800000000001"/>
    <n v="1.6992"/>
    <n v="14.16"/>
    <s v="Sessão a Faturar"/>
    <s v="51588888482476410016"/>
    <n v="13294"/>
    <s v="Unidade Vieiralves"/>
    <n v="170118"/>
    <m/>
  </r>
  <r>
    <x v="12"/>
    <x v="62"/>
    <s v="Ednamar da Silva Barros"/>
    <s v="Feminino"/>
    <x v="2"/>
    <x v="22"/>
    <s v="20103115 - Atividade Reflexa Cinesioterápica (R$ 20,81)"/>
    <s v="Fisioterapia"/>
    <n v="1705689085"/>
    <s v="Finalizado (1/3)"/>
    <n v="18.312799999999999"/>
    <n v="2.4971999999999999"/>
    <n v="20.81"/>
    <s v="Sessão Faturada"/>
    <n v="771015041971000"/>
    <n v="58523"/>
    <s v="Unidade Vieiralves"/>
    <n v="1705689085"/>
    <m/>
  </r>
  <r>
    <x v="12"/>
    <x v="37"/>
    <s v="Luciana Araujo Monteiro"/>
    <s v="Feminino"/>
    <x v="8"/>
    <x v="22"/>
    <s v="20103662 - Pos Operatorio Em Um Membro (R$ 14,99)"/>
    <s v="Fisioterapia"/>
    <n v="1705705892"/>
    <s v="Finalizado (1/5)"/>
    <n v="13.1912"/>
    <n v="1.7988"/>
    <n v="14.99"/>
    <s v="Sessão Faturada"/>
    <n v="954600033103010"/>
    <n v="59400"/>
    <s v="Unidade Vieiralves"/>
    <n v="1705705892"/>
    <m/>
  </r>
  <r>
    <x v="12"/>
    <x v="63"/>
    <s v="Luciana Araujo Monteiro"/>
    <s v="Feminino"/>
    <x v="8"/>
    <x v="22"/>
    <s v="20103115 - Atividade Reflexa Cinesioterápica (R$ 20,81)"/>
    <s v="Fisioterapia"/>
    <n v="1705707014"/>
    <s v="Finalizado (1/4)"/>
    <n v="18.312799999999999"/>
    <n v="2.4971999999999999"/>
    <n v="20.81"/>
    <s v="Sessão Faturada"/>
    <n v="954600033103010"/>
    <n v="59400"/>
    <s v="Unidade Vieiralves"/>
    <n v="1705707014"/>
    <m/>
  </r>
  <r>
    <x v="13"/>
    <x v="44"/>
    <s v="Yasmin Guedes Lima"/>
    <s v="Feminino"/>
    <x v="2"/>
    <x v="22"/>
    <s v="20103506 - Fisioterapia - Patologia Em Um Segmento da Coluna (R$ 12,22)"/>
    <s v="Fisioterapia"/>
    <n v="1703115625"/>
    <s v="Finalizado (4/5)"/>
    <n v="10.7536"/>
    <n v="1.4663999999999999"/>
    <n v="12.22"/>
    <s v="Sessão Faturada"/>
    <n v="960016575471020"/>
    <n v="35978"/>
    <s v="Unidade Vieiralves"/>
    <n v="1703115625"/>
    <m/>
  </r>
  <r>
    <x v="13"/>
    <x v="44"/>
    <s v="Diego Nobuyoshi de Souza Tsuji"/>
    <s v="Masculino"/>
    <x v="2"/>
    <x v="22"/>
    <s v="20103115 - Atividade Reflexa Cinesioterápica (R$ 20,81)"/>
    <s v="Fisioterapia"/>
    <n v="1706125488"/>
    <s v="Finalizado (1/5)"/>
    <n v="18.312799999999999"/>
    <n v="2.4971999999999999"/>
    <n v="20.81"/>
    <s v="Sessão Faturada"/>
    <n v="774981009148000"/>
    <n v="11130"/>
    <s v="Unidade Vieiralves"/>
    <n v="1706125488"/>
    <m/>
  </r>
  <r>
    <x v="13"/>
    <x v="44"/>
    <s v="Diego Nobuyoshi de Souza Tsuji"/>
    <s v="Masculino"/>
    <x v="2"/>
    <x v="22"/>
    <s v="20103484 - Fisioterapia - Patologia Em Um Membro (R$ 12,22)"/>
    <s v="Fisioterapia"/>
    <n v="1706124810"/>
    <s v="Finalizado (1/5)"/>
    <n v="10.7536"/>
    <n v="1.4663999999999999"/>
    <n v="12.22"/>
    <s v="Sessão Faturada"/>
    <n v="774981009148000"/>
    <n v="11130"/>
    <s v="Unidade Vieiralves"/>
    <n v="1706124810"/>
    <m/>
  </r>
  <r>
    <x v="13"/>
    <x v="60"/>
    <s v="Yasmin Guedes Lima"/>
    <s v="Feminino"/>
    <x v="2"/>
    <x v="22"/>
    <s v="20103115 - Atividade Reflexa Cinesioterápica (R$ 20,81)"/>
    <s v="Fisioterapia"/>
    <n v="1703116604"/>
    <s v="Finalizado (4/5)"/>
    <n v="18.312799999999999"/>
    <n v="2.4971999999999999"/>
    <n v="20.81"/>
    <s v="Sessão Faturada"/>
    <n v="960016575471020"/>
    <n v="35978"/>
    <s v="Unidade Vieiralves"/>
    <n v="1703116604"/>
    <m/>
  </r>
  <r>
    <x v="13"/>
    <x v="41"/>
    <s v="Carlos Jose Cavalcante Martins"/>
    <s v="Masculino"/>
    <x v="2"/>
    <x v="22"/>
    <s v="20103492 - Fisioterapia - Patologia Em Dois Ou Mais Membros (R$ 14,83)"/>
    <s v="Fisioterapia"/>
    <n v="1703164027"/>
    <s v="Finalizado (4/5)"/>
    <n v="13.0504"/>
    <n v="1.7796000000000001"/>
    <n v="14.83"/>
    <s v="Sessão Faturada"/>
    <n v="830425500051000"/>
    <n v="59320"/>
    <s v="Unidade Vieiralves"/>
    <n v="1703164027"/>
    <m/>
  </r>
  <r>
    <x v="13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1699306"/>
    <s v="Finalizado (5/5)"/>
    <n v="26.1008"/>
    <n v="3.5592000000000001"/>
    <n v="29.66"/>
    <s v="Sessão Faturada"/>
    <n v="830425500043000"/>
    <n v="7701"/>
    <s v="Unidade Vieiralves"/>
    <n v="1701699306"/>
    <m/>
  </r>
  <r>
    <x v="13"/>
    <x v="41"/>
    <s v="Alberson Nascimento da Silva"/>
    <s v="Masculino"/>
    <x v="2"/>
    <x v="22"/>
    <s v="20103484 - Fisioterapia - Patologia Em Um Membro (R$ 12,22)"/>
    <s v="Fisioterapia"/>
    <n v="1705115181"/>
    <s v="Finalizado (3/5)"/>
    <n v="10.7536"/>
    <n v="1.4663999999999999"/>
    <n v="12.22"/>
    <s v="Sessão Faturada"/>
    <n v="847586402151000"/>
    <n v="58240"/>
    <s v="Unidade Vieiralves"/>
    <n v="1705115181"/>
    <m/>
  </r>
  <r>
    <x v="13"/>
    <x v="65"/>
    <s v="Alberson Nascimento da Silva"/>
    <s v="Masculino"/>
    <x v="2"/>
    <x v="22"/>
    <s v="20103115 - Atividade Reflexa Cinesioterápica (R$ 20,81)"/>
    <s v="Fisioterapia"/>
    <n v="1705115980"/>
    <s v="Finalizado (3/5)"/>
    <n v="18.312799999999999"/>
    <n v="2.4971999999999999"/>
    <n v="20.81"/>
    <s v="Sessão Faturada"/>
    <n v="847586402151000"/>
    <n v="58240"/>
    <s v="Unidade Vieiralves"/>
    <n v="1705115980"/>
    <m/>
  </r>
  <r>
    <x v="13"/>
    <x v="65"/>
    <s v="Carlos Jose Cavalcante Martins"/>
    <s v="Masculino"/>
    <x v="2"/>
    <x v="22"/>
    <s v="20103115 - Atividade Reflexa Cinesioterápica (R$ 20,81)"/>
    <s v="Fisioterapia"/>
    <n v="1703166051"/>
    <s v="Finalizado (4/5)"/>
    <n v="18.312799999999999"/>
    <n v="2.4971999999999999"/>
    <n v="20.81"/>
    <s v="Sessão Faturada"/>
    <n v="830425500051000"/>
    <n v="59320"/>
    <s v="Unidade Vieiralves"/>
    <n v="1703166051"/>
    <m/>
  </r>
  <r>
    <x v="13"/>
    <x v="65"/>
    <s v="Maria Ercilia Cavalcante Martins"/>
    <s v="Feminino"/>
    <x v="2"/>
    <x v="22"/>
    <s v="20103115 - Atividade Reflexa Cinesioterápica (R$ 20,81)"/>
    <s v="Fisioterapia"/>
    <n v="1701700515"/>
    <s v="Finalizado (5/5)"/>
    <n v="18.312799999999999"/>
    <n v="2.4971999999999999"/>
    <n v="20.81"/>
    <s v="Sessão Faturada"/>
    <n v="830425500043000"/>
    <n v="7701"/>
    <s v="Unidade Vieiralves"/>
    <n v="1701700515"/>
    <m/>
  </r>
  <r>
    <x v="13"/>
    <x v="36"/>
    <s v="Maria de Lourdes Ferreira"/>
    <s v="Feminino"/>
    <x v="1"/>
    <x v="22"/>
    <s v="50000160 - Fisioterapia Ortopédica (R$ 20,00), 98980327 - Taxa de Eletroterapia (Tens) (R$ 15,00)"/>
    <s v="Fisioterapia"/>
    <n v="8824557"/>
    <s v="Finalizado (7/10)"/>
    <n v="30.8"/>
    <n v="4.2"/>
    <n v="35"/>
    <s v="Sessão Faturada"/>
    <s v="0802010939500016"/>
    <n v="58440"/>
    <s v="Unidade Vieiralves"/>
    <n v="8824557"/>
    <m/>
  </r>
  <r>
    <x v="13"/>
    <x v="36"/>
    <s v="Roberta Ferreira Coelho de Andrade"/>
    <s v="Feminino"/>
    <x v="1"/>
    <x v="22"/>
    <s v="50000160 - Fisioterapia Ortopédica (R$ 20,00), 98980327 - Taxa de Eletroterapia (Tens) (R$ 15,00)"/>
    <s v="Fisioterapia"/>
    <n v="8761145"/>
    <s v="Finalizado (6/10)"/>
    <n v="30.8"/>
    <n v="4.2"/>
    <n v="35"/>
    <s v="Sessão Faturada"/>
    <s v="0701010939440006"/>
    <n v="58292"/>
    <s v="Unidade Vieiralves"/>
    <n v="8761145"/>
    <m/>
  </r>
  <r>
    <x v="13"/>
    <x v="36"/>
    <s v="Maria Nazira Tomaz Pereira"/>
    <s v="Feminino"/>
    <x v="6"/>
    <x v="22"/>
    <s v="20103492 - Patologia Em Dois Ou Mais Membros (R$ 30,26), 20103514 - Patologia Em Dois Ou Mais Segmentos da Coluna (R$ 32,82)"/>
    <s v="Fisioterapia"/>
    <n v="169277"/>
    <s v="Finalizado (3/5)"/>
    <n v="55.510399999999997"/>
    <n v="7.5696000000000003"/>
    <n v="63.08"/>
    <s v="Sessão a Faturar"/>
    <s v="55788888483387380020"/>
    <n v="20265"/>
    <s v="Unidade Vieiralves"/>
    <n v="169277"/>
    <m/>
  </r>
  <r>
    <x v="13"/>
    <x v="61"/>
    <s v="Maria Nazira Tomaz Pereira"/>
    <s v="Feminino"/>
    <x v="6"/>
    <x v="22"/>
    <s v="31602185 - Estimulação Elétrica Transcutanea (Tens) (R$ 40,00)"/>
    <s v="Fisioterapia"/>
    <n v="169447"/>
    <s v="Finalizado (3/5)"/>
    <n v="35.200000000000003"/>
    <n v="4.8"/>
    <n v="40"/>
    <s v="Sessão a Faturar"/>
    <s v="55788888483387380020"/>
    <n v="20265"/>
    <s v="Unidade Vieiralves"/>
    <n v="169447"/>
    <m/>
  </r>
  <r>
    <x v="13"/>
    <x v="40"/>
    <s v="Rejane Costa Freire"/>
    <m/>
    <x v="1"/>
    <x v="22"/>
    <s v="50000160 - Fisioterapia Ortopédica (R$ 20,00), 98980327 - Taxa de Eletroterapia (Tens) (R$ 15,00)"/>
    <s v="Fisioterapia"/>
    <n v="9010622"/>
    <s v="Finalizado (3/10)"/>
    <n v="30.8"/>
    <n v="4.2"/>
    <n v="35"/>
    <s v="Sessão Faturada"/>
    <s v="0901013326530193"/>
    <n v="57964"/>
    <s v="Unidade Vieiralves"/>
    <n v="9010622"/>
    <m/>
  </r>
  <r>
    <x v="13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5/10)"/>
    <n v="30.8"/>
    <n v="4.2"/>
    <n v="35"/>
    <s v="Sessão Faturada"/>
    <n v="201013748740040"/>
    <n v="54729"/>
    <s v="Unidade Vieiralves"/>
    <n v="8824742"/>
    <m/>
  </r>
  <r>
    <x v="13"/>
    <x v="38"/>
    <s v="Marcus da Costa Tribuzi"/>
    <s v="Masculino"/>
    <x v="1"/>
    <x v="22"/>
    <s v="50000160 - Fisioterapia Ortopédica (R$ 20,00), 98980327 - Taxa de Eletroterapia (Tens) (R$ 15,00)"/>
    <s v="Fisioterapia"/>
    <n v="8459702"/>
    <s v="Finalizado (10/10)"/>
    <n v="30.8"/>
    <n v="4.2"/>
    <n v="35"/>
    <s v="Sessão Faturada"/>
    <s v="0203006692690088"/>
    <n v="54705"/>
    <s v="Unidade Vieiralves"/>
    <n v="8459702"/>
    <m/>
  </r>
  <r>
    <x v="13"/>
    <x v="37"/>
    <s v="Noemi Rebecca Ramos Macedo"/>
    <s v="Feminino"/>
    <x v="1"/>
    <x v="22"/>
    <s v="50000160 - Fisioterapia Ortopédica (R$ 20,00), 98980327 - Taxa de Eletroterapia (Tens) (R$ 15,00)"/>
    <s v="Fisioterapia"/>
    <n v="9485281"/>
    <s v="Finalizado (5/6)"/>
    <n v="30.8"/>
    <n v="4.2"/>
    <n v="35"/>
    <s v="Sessão Faturada"/>
    <n v="1901013411030100"/>
    <n v="57780"/>
    <s v="Unidade Vieiralves"/>
    <n v="9485281"/>
    <m/>
  </r>
  <r>
    <x v="13"/>
    <x v="37"/>
    <s v="Denise de Souza Lima Herzog"/>
    <s v="Feminino"/>
    <x v="2"/>
    <x v="22"/>
    <s v="50000144 - Avaliação de Fisioterapia (R$ 51,42)"/>
    <s v="Fisioterapia"/>
    <n v="1706278028"/>
    <s v="Finalizado (1/1)"/>
    <n v="46.277999999999999"/>
    <n v="5.1420000000000003"/>
    <n v="51.42"/>
    <s v="Sessão Faturada"/>
    <n v="810177500019010"/>
    <n v="52971"/>
    <s v="Unidade Vieiralves"/>
    <n v="1706278028"/>
    <m/>
  </r>
  <r>
    <x v="13"/>
    <x v="58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1/10)"/>
    <n v="23.803999999999998"/>
    <n v="3.246"/>
    <n v="27.05"/>
    <s v="Sessão Faturada"/>
    <n v="810177500019010"/>
    <n v="52971"/>
    <s v="Unidade Vieiralves"/>
    <n v="1706279020"/>
    <m/>
  </r>
  <r>
    <x v="13"/>
    <x v="50"/>
    <s v="Denise de Souza Lima Herzog"/>
    <s v="Feminino"/>
    <x v="2"/>
    <x v="22"/>
    <s v="20103115 - Atividade Reflexa Cinesioterápica (R$ 20,81)"/>
    <s v="Fisioterapia"/>
    <n v="1706279319"/>
    <s v="Finalizado (1/4)"/>
    <n v="18.312799999999999"/>
    <n v="2.4971999999999999"/>
    <n v="20.81"/>
    <s v="Sessão Faturada"/>
    <n v="810177500019010"/>
    <n v="52971"/>
    <s v="Unidade Vieiralves"/>
    <n v="1706279319"/>
    <m/>
  </r>
  <r>
    <x v="13"/>
    <x v="39"/>
    <s v="Elsa Otilia Heufemann Barria"/>
    <m/>
    <x v="1"/>
    <x v="22"/>
    <s v="50000160 - Fisioterapia Ortopédica (R$ 20,00), 98980327 - Taxa de Eletroterapia (Tens) (R$ 15,00)"/>
    <s v="Fisioterapia"/>
    <n v="8847890"/>
    <s v="Finalizado (4/4)"/>
    <n v="30.8"/>
    <n v="4.2"/>
    <n v="35"/>
    <s v="Sessão Faturada"/>
    <s v="0901012342410000"/>
    <n v="58491"/>
    <s v="Unidade Vieiralves"/>
    <n v="8847890"/>
    <m/>
  </r>
  <r>
    <x v="13"/>
    <x v="39"/>
    <s v="Hugo Del Carmen Castro Borquez"/>
    <s v="Masculino"/>
    <x v="1"/>
    <x v="22"/>
    <s v="50000160 - Fisioterapia Ortopédica (R$ 20,00), 98980327 - Taxa de Eletroterapia (Tens) (R$ 15,00)"/>
    <s v="Fisioterapia"/>
    <n v="8661715"/>
    <s v="Finalizado (7/7)"/>
    <n v="30.8"/>
    <n v="4.2"/>
    <n v="35"/>
    <s v="Sessão Faturada"/>
    <n v="903012342410110"/>
    <n v="56817"/>
    <s v="Unidade Vieiralves"/>
    <n v="8661715"/>
    <m/>
  </r>
  <r>
    <x v="14"/>
    <x v="44"/>
    <s v="Ruth Vania Duarte Ramos"/>
    <m/>
    <x v="6"/>
    <x v="22"/>
    <s v="20103662 - Pos Operatorio Em Um Membro (R$ 22,53)"/>
    <s v="Fisioterapia"/>
    <n v="170395"/>
    <s v="Finalizado (1/10)"/>
    <n v="19.8264"/>
    <n v="2.7035999999999998"/>
    <n v="22.53"/>
    <s v="Sessão a Faturar"/>
    <s v="55788888489432510020"/>
    <n v="58616"/>
    <s v="Unidade Vieiralves"/>
    <n v="170395"/>
    <s v="guia assinada"/>
  </r>
  <r>
    <x v="14"/>
    <x v="44"/>
    <s v="Yasmin Guedes Lima"/>
    <s v="Feminino"/>
    <x v="2"/>
    <x v="22"/>
    <s v="20103506 - Fisioterapia - Patologia Em Um Segmento da Coluna (R$ 12,22)"/>
    <s v="Fisioterapia"/>
    <n v="1703115625"/>
    <s v="Finalizado (5/5)"/>
    <n v="10.7536"/>
    <n v="1.4663999999999999"/>
    <n v="12.22"/>
    <s v="Sessão Faturada"/>
    <n v="960016575471020"/>
    <n v="35978"/>
    <s v="Unidade Vieiralves"/>
    <n v="1703115625"/>
    <m/>
  </r>
  <r>
    <x v="14"/>
    <x v="44"/>
    <s v="Diego Nobuyoshi de Souza Tsuji"/>
    <s v="Masculino"/>
    <x v="2"/>
    <x v="22"/>
    <s v="20103115 - Atividade Reflexa Cinesioterápica (R$ 20,81)"/>
    <s v="Fisioterapia"/>
    <n v="1706125488"/>
    <s v="Finalizado (2/5)"/>
    <n v="18.312799999999999"/>
    <n v="2.4971999999999999"/>
    <n v="20.81"/>
    <s v="Sessão Faturada"/>
    <n v="774981009148000"/>
    <n v="11130"/>
    <s v="Unidade Vieiralves"/>
    <n v="1706125488"/>
    <m/>
  </r>
  <r>
    <x v="14"/>
    <x v="44"/>
    <s v="Diego Nobuyoshi de Souza Tsuji"/>
    <s v="Masculino"/>
    <x v="2"/>
    <x v="22"/>
    <s v="20103484 - Fisioterapia - Patologia Em Um Membro (R$ 12,22)"/>
    <s v="Fisioterapia"/>
    <n v="1706124810"/>
    <s v="Finalizado (2/5)"/>
    <n v="10.7536"/>
    <n v="1.4663999999999999"/>
    <n v="12.22"/>
    <s v="Sessão Faturada"/>
    <n v="774981009148000"/>
    <n v="11130"/>
    <s v="Unidade Vieiralves"/>
    <n v="1706124810"/>
    <m/>
  </r>
  <r>
    <x v="14"/>
    <x v="60"/>
    <s v="Ruth Vania Duarte Ramos"/>
    <m/>
    <x v="6"/>
    <x v="22"/>
    <s v="31602185 - Estimulação Elétrica Transcutanea (Tens) (R$ 40,00)"/>
    <s v="Fisioterapia"/>
    <n v="168577"/>
    <s v="Finalizado (6/10)"/>
    <n v="35.200000000000003"/>
    <n v="4.8"/>
    <n v="40"/>
    <s v="Sessão a Faturar"/>
    <s v="55788888489432510020"/>
    <n v="58616"/>
    <s v="Unidade Vieiralves"/>
    <n v="168577"/>
    <m/>
  </r>
  <r>
    <x v="14"/>
    <x v="60"/>
    <s v="Yasmin Guedes Lima"/>
    <s v="Feminino"/>
    <x v="2"/>
    <x v="22"/>
    <s v="20103115 - Atividade Reflexa Cinesioterápica (R$ 20,81)"/>
    <s v="Fisioterapia"/>
    <n v="1703116604"/>
    <s v="Finalizado (5/5)"/>
    <n v="18.312799999999999"/>
    <n v="2.4971999999999999"/>
    <n v="20.81"/>
    <s v="Sessão Faturada"/>
    <n v="960016575471020"/>
    <n v="35978"/>
    <s v="Unidade Vieiralves"/>
    <n v="1703116604"/>
    <m/>
  </r>
  <r>
    <x v="14"/>
    <x v="41"/>
    <s v="Carlos Jose Cavalcante Martins"/>
    <s v="Masculino"/>
    <x v="2"/>
    <x v="22"/>
    <s v="20103492 - Fisioterapia - Patologia Em Dois Ou Mais Membros (R$ 14,83)"/>
    <s v="Fisioterapia"/>
    <n v="1703164027"/>
    <s v="Finalizado (5/5)"/>
    <n v="13.0504"/>
    <n v="1.7796000000000001"/>
    <n v="14.83"/>
    <s v="Sessão Faturada"/>
    <n v="830425500051000"/>
    <n v="59320"/>
    <s v="Unidade Vieiralves"/>
    <n v="1703164027"/>
    <m/>
  </r>
  <r>
    <x v="14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1/10)"/>
    <n v="26.1008"/>
    <n v="3.5592000000000001"/>
    <n v="29.66"/>
    <s v="Sessão Faturada"/>
    <n v="830425500043000"/>
    <n v="7701"/>
    <s v="Unidade Vieiralves"/>
    <n v="1706683478"/>
    <m/>
  </r>
  <r>
    <x v="14"/>
    <x v="41"/>
    <s v="Alberson Nascimento da Silva"/>
    <s v="Masculino"/>
    <x v="2"/>
    <x v="22"/>
    <s v="20103484 - Fisioterapia - Patologia Em Um Membro (R$ 12,22)"/>
    <s v="Fisioterapia"/>
    <n v="1705115181"/>
    <s v="Finalizado (4/5)"/>
    <n v="10.7536"/>
    <n v="1.4663999999999999"/>
    <n v="12.22"/>
    <s v="Sessão Faturada"/>
    <n v="847586402151000"/>
    <n v="58240"/>
    <s v="Unidade Vieiralves"/>
    <n v="1705115181"/>
    <m/>
  </r>
  <r>
    <x v="14"/>
    <x v="41"/>
    <s v="Carlos Jose Cavalcante Martins"/>
    <s v="Masculino"/>
    <x v="2"/>
    <x v="22"/>
    <s v="20103115 - Atividade Reflexa Cinesioterápica (R$ 20,81)"/>
    <s v="Fisioterapia"/>
    <n v="1703166051"/>
    <s v="Finalizado (5/5)"/>
    <n v="18.312799999999999"/>
    <n v="2.4971999999999999"/>
    <n v="20.81"/>
    <s v="Sessão Faturada"/>
    <n v="830425500051000"/>
    <n v="59320"/>
    <s v="Unidade Vieiralves"/>
    <n v="1703166051"/>
    <m/>
  </r>
  <r>
    <x v="14"/>
    <x v="41"/>
    <s v="Alberson Nascimento da Silva"/>
    <s v="Masculino"/>
    <x v="2"/>
    <x v="22"/>
    <s v="20103115 - Atividade Reflexa Cinesioterápica (R$ 20,81)"/>
    <s v="Fisioterapia"/>
    <n v="1705115980"/>
    <s v="Finalizado (4/5)"/>
    <n v="18.312799999999999"/>
    <n v="2.4971999999999999"/>
    <n v="20.81"/>
    <s v="Sessão Faturada"/>
    <n v="847586402151000"/>
    <n v="58240"/>
    <s v="Unidade Vieiralves"/>
    <n v="1705115980"/>
    <m/>
  </r>
  <r>
    <x v="14"/>
    <x v="65"/>
    <s v="Maria Ercilia Cavalcante Martins"/>
    <s v="Feminino"/>
    <x v="2"/>
    <x v="22"/>
    <s v="20103115 - Atividade Reflexa Cinesioterápica (R$ 20,81)"/>
    <s v="Fisioterapia"/>
    <n v="1706684901"/>
    <s v="Finalizado (1/2)"/>
    <n v="18.312799999999999"/>
    <n v="2.4971999999999999"/>
    <n v="20.81"/>
    <s v="Sessão Faturada"/>
    <n v="830425500043000"/>
    <n v="7701"/>
    <s v="Unidade Vieiralves"/>
    <n v="1706684901"/>
    <m/>
  </r>
  <r>
    <x v="14"/>
    <x v="36"/>
    <s v="Victor Lopes Miranda"/>
    <s v="Masculino"/>
    <x v="6"/>
    <x v="22"/>
    <s v="50000144 - Avaliação de Fisioterapia (R$ 56,52)"/>
    <s v="Fisioterapia"/>
    <n v="7700047087"/>
    <s v="Finalizado (1/1)"/>
    <n v="50.868000000000002"/>
    <n v="5.6520000000000001"/>
    <n v="56.52"/>
    <s v="Sessão Faturada"/>
    <s v="54588888022360490014"/>
    <n v="59470"/>
    <s v="Unidade Vieiralves"/>
    <n v="7700047087"/>
    <m/>
  </r>
  <r>
    <x v="14"/>
    <x v="36"/>
    <s v="Ana Maria Barros Martins"/>
    <s v="Feminino"/>
    <x v="1"/>
    <x v="22"/>
    <s v="50000160 - Fisioterapia Ortopédica (R$ 20,00), 98980327 - Taxa de Eletroterapia (Tens) (R$ 15,00)"/>
    <s v="Fisioterapia"/>
    <n v="8673002"/>
    <s v="Finalizado (7/10)"/>
    <n v="30.8"/>
    <n v="4.2"/>
    <n v="35"/>
    <s v="Sessão Faturada"/>
    <s v="0201005329570033"/>
    <n v="55774"/>
    <s v="Unidade Vieiralves"/>
    <n v="8673002"/>
    <s v="GUIA ASSINADA!"/>
  </r>
  <r>
    <x v="14"/>
    <x v="36"/>
    <s v="Maria Nazira Tomaz Pereira"/>
    <s v="Feminino"/>
    <x v="6"/>
    <x v="22"/>
    <s v="20103492 - Patologia Em Dois Ou Mais Membros (R$ 30,26), 20103514 - Patologia Em Dois Ou Mais Segmentos da Coluna (R$ 32,82)"/>
    <s v="Fisioterapia"/>
    <n v="169277"/>
    <s v="Finalizado (4/5)"/>
    <n v="55.510399999999997"/>
    <n v="7.5696000000000003"/>
    <n v="63.08"/>
    <s v="Sessão a Faturar"/>
    <s v="55788888483387380020"/>
    <n v="20265"/>
    <s v="Unidade Vieiralves"/>
    <n v="169277"/>
    <m/>
  </r>
  <r>
    <x v="14"/>
    <x v="57"/>
    <s v="Victor Lopes Miranda"/>
    <s v="Masculino"/>
    <x v="6"/>
    <x v="22"/>
    <s v="20103484 - Patologia Em Um Membro (R$ 14,16)"/>
    <s v="Fisioterapia"/>
    <n v="170422"/>
    <s v="Finalizado (1/3)"/>
    <n v="12.460800000000001"/>
    <n v="1.6992"/>
    <n v="14.16"/>
    <s v="Sessão a Faturar"/>
    <s v="54588888022360490014"/>
    <n v="59470"/>
    <s v="Unidade Vieiralves"/>
    <n v="170422"/>
    <m/>
  </r>
  <r>
    <x v="14"/>
    <x v="61"/>
    <s v="Maria Nazira Tomaz Pereira"/>
    <s v="Feminino"/>
    <x v="6"/>
    <x v="22"/>
    <s v="31602185 - Estimulação Elétrica Transcutanea (Tens) (R$ 40,00)"/>
    <s v="Fisioterapia"/>
    <n v="169447"/>
    <s v="Finalizado (4/5)"/>
    <n v="35.200000000000003"/>
    <n v="4.8"/>
    <n v="40"/>
    <s v="Sessão a Faturar"/>
    <s v="55788888483387380020"/>
    <n v="20265"/>
    <s v="Unidade Vieiralves"/>
    <n v="169447"/>
    <m/>
  </r>
  <r>
    <x v="14"/>
    <x v="67"/>
    <s v="Victor Lopes Miranda"/>
    <s v="Masculino"/>
    <x v="6"/>
    <x v="22"/>
    <s v="31602185 - Estimulação Elétrica Transcutanea (Tens) (R$ 40,00)"/>
    <s v="Fisioterapia"/>
    <n v="170423"/>
    <s v="Finalizado (1/3)"/>
    <n v="35.200000000000003"/>
    <n v="4.8"/>
    <n v="40"/>
    <s v="Sessão a Faturar"/>
    <s v="54588888022360490014"/>
    <n v="59470"/>
    <s v="Unidade Vieiralves"/>
    <n v="170423"/>
    <m/>
  </r>
  <r>
    <x v="14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2/10)"/>
    <n v="30.8"/>
    <n v="4.2"/>
    <n v="35"/>
    <s v="Sessão Faturada"/>
    <s v="0701013978710030"/>
    <n v="59447"/>
    <s v="Unidade Vieiralves"/>
    <n v="9071007"/>
    <m/>
  </r>
  <r>
    <x v="14"/>
    <x v="35"/>
    <s v="Samela da Silva Rocha"/>
    <s v="Feminino"/>
    <x v="2"/>
    <x v="22"/>
    <s v="50000144 - Avaliação de Fisioterapia (R$ 51,42)"/>
    <s v="Fisioterapia"/>
    <n v="1706755741"/>
    <s v="Finalizado (1/1)"/>
    <n v="46.277999999999999"/>
    <n v="5.1420000000000003"/>
    <n v="51.42"/>
    <s v="Sessão Faturada"/>
    <n v="774063012955000"/>
    <n v="59228"/>
    <s v="Unidade Vieiralves"/>
    <n v="1706755741"/>
    <m/>
  </r>
  <r>
    <x v="14"/>
    <x v="35"/>
    <s v="Julliana Gadelha de Medeiros"/>
    <s v="Feminino"/>
    <x v="8"/>
    <x v="22"/>
    <s v="20103484 - Patologia Em Um Membro (R$ 12,22)"/>
    <s v="Fisioterapia"/>
    <n v="1705658536"/>
    <s v="Finalizado (2/5)"/>
    <n v="10.7536"/>
    <n v="1.4663999999999999"/>
    <n v="12.22"/>
    <s v="Sessão Faturada"/>
    <n v="954600002968020"/>
    <n v="20663"/>
    <s v="Unidade Vieiralves"/>
    <n v="1705658536"/>
    <m/>
  </r>
  <r>
    <x v="14"/>
    <x v="70"/>
    <s v="Samela da Silva Rocha"/>
    <s v="Feminino"/>
    <x v="2"/>
    <x v="22"/>
    <s v="20103484 - Fisioterapia - Patologia Em Um Membro (R$ 12,22)"/>
    <s v="Fisioterapia"/>
    <n v="1706756638"/>
    <s v="Finalizado (1/1)"/>
    <n v="10.7536"/>
    <n v="1.4663999999999999"/>
    <n v="12.22"/>
    <s v="Sessão Faturada"/>
    <n v="774063012955000"/>
    <n v="59228"/>
    <s v="Unidade Vieiralves"/>
    <n v="1706756638"/>
    <m/>
  </r>
  <r>
    <x v="14"/>
    <x v="42"/>
    <s v="Julliana Gadelha de Medeiros"/>
    <s v="Feminino"/>
    <x v="8"/>
    <x v="22"/>
    <s v="20103115 - Atividade Reflexa Cinesioterápica (R$ 20,81)"/>
    <s v="Fisioterapia"/>
    <n v="1705659450"/>
    <s v="Finalizado (2/4)"/>
    <n v="18.312799999999999"/>
    <n v="2.4971999999999999"/>
    <n v="20.81"/>
    <s v="Sessão Faturada"/>
    <n v="954600002968020"/>
    <n v="20663"/>
    <s v="Unidade Vieiralves"/>
    <n v="1705659450"/>
    <m/>
  </r>
  <r>
    <x v="14"/>
    <x v="71"/>
    <s v="Samela da Silva Rocha"/>
    <s v="Feminino"/>
    <x v="2"/>
    <x v="22"/>
    <s v="20103115 - Atividade Reflexa Cinesioterápica (R$ 20,81)"/>
    <s v="Fisioterapia"/>
    <n v="1706757436"/>
    <s v="Finalizado (1/1)"/>
    <n v="18.312799999999999"/>
    <n v="2.4971999999999999"/>
    <n v="20.81"/>
    <s v="Sessão Faturada"/>
    <n v="774063012955000"/>
    <n v="59228"/>
    <s v="Unidade Vieiralves"/>
    <n v="1706757436"/>
    <m/>
  </r>
  <r>
    <x v="14"/>
    <x v="38"/>
    <s v="Raimunda Carvalho Caldas"/>
    <s v="Feminino"/>
    <x v="2"/>
    <x v="22"/>
    <s v="50000144 - Avaliação de Fisioterapia (R$ 51,42)"/>
    <s v="Fisioterapia"/>
    <n v="1706775047"/>
    <s v="Finalizado (1/1)"/>
    <n v="46.277999999999999"/>
    <n v="5.1420000000000003"/>
    <n v="51.42"/>
    <s v="Sessão Faturada"/>
    <n v="952480013332000"/>
    <n v="14710"/>
    <s v="Unidade Vieiralves"/>
    <n v="1706775047"/>
    <m/>
  </r>
  <r>
    <x v="14"/>
    <x v="38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6767128"/>
    <s v="Finalizado (1/5)"/>
    <n v="26.1008"/>
    <n v="3.5592000000000001"/>
    <n v="29.66"/>
    <s v="Sessão Faturada"/>
    <n v="813312700027000"/>
    <n v="17029"/>
    <s v="Unidade Vieiralves"/>
    <n v="1706767128"/>
    <m/>
  </r>
  <r>
    <x v="14"/>
    <x v="38"/>
    <s v="Guaracy Silva da Cunha"/>
    <s v="Feminino"/>
    <x v="1"/>
    <x v="22"/>
    <s v="50000160 - Fisioterapia Ortopédica (R$ 20,00), 98980327 - Taxa de Eletroterapia (Tens) (R$ 15,00)"/>
    <s v="Fisioterapia"/>
    <n v="8790991"/>
    <s v="Finalizado (8/10)"/>
    <n v="30.8"/>
    <n v="4.2"/>
    <n v="35"/>
    <s v="Sessão Faturada"/>
    <s v="0901013070050252"/>
    <n v="21742"/>
    <s v="Unidade Vieiralves"/>
    <n v="8790991"/>
    <m/>
  </r>
  <r>
    <x v="14"/>
    <x v="68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1/10)"/>
    <n v="23.803999999999998"/>
    <n v="3.246"/>
    <n v="27.05"/>
    <s v="Sessão Faturada"/>
    <n v="952480013332000"/>
    <n v="14710"/>
    <s v="Unidade Vieiralves"/>
    <n v="1706776664"/>
    <m/>
  </r>
  <r>
    <x v="14"/>
    <x v="62"/>
    <s v="Rose Mayre Vieira Barreto"/>
    <s v="Feminino"/>
    <x v="2"/>
    <x v="22"/>
    <s v="20103115 - Atividade Reflexa Cinesioterápica (R$ 20,81)"/>
    <s v="Fisioterapia"/>
    <n v="1706767963"/>
    <s v="Finalizado (1/3)"/>
    <n v="18.312799999999999"/>
    <n v="2.4971999999999999"/>
    <n v="20.81"/>
    <s v="Sessão Faturada"/>
    <n v="813312700027000"/>
    <n v="17029"/>
    <s v="Unidade Vieiralves"/>
    <n v="1706767963"/>
    <m/>
  </r>
  <r>
    <x v="14"/>
    <x v="69"/>
    <s v="Raimunda Carvalho Caldas"/>
    <s v="Feminino"/>
    <x v="2"/>
    <x v="22"/>
    <s v="20103115 - Atividade Reflexa Cinesioterápica (R$ 20,81)"/>
    <s v="Fisioterapia"/>
    <n v="1706777377"/>
    <s v="Finalizado (1/5)"/>
    <n v="18.312799999999999"/>
    <n v="2.4971999999999999"/>
    <n v="20.81"/>
    <s v="Sessão Faturada"/>
    <n v="952480013332000"/>
    <n v="14710"/>
    <s v="Unidade Vieiralves"/>
    <n v="1706777377"/>
    <m/>
  </r>
  <r>
    <x v="14"/>
    <x v="37"/>
    <s v="Ednamar da Silva Barros"/>
    <s v="Feminino"/>
    <x v="2"/>
    <x v="22"/>
    <s v="20103506 - Fisioterapia - Patologia Em Um Segmento da Coluna (R$ 12,22)"/>
    <s v="Fisioterapia"/>
    <n v="1705688191"/>
    <s v="Finalizado (2/3)"/>
    <n v="10.7536"/>
    <n v="1.4663999999999999"/>
    <n v="12.22"/>
    <s v="Sessão Faturada"/>
    <n v="771015041971000"/>
    <n v="58523"/>
    <s v="Unidade Vieiralves"/>
    <n v="1705688191"/>
    <m/>
  </r>
  <r>
    <x v="14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2/10)"/>
    <n v="23.803999999999998"/>
    <n v="3.246"/>
    <n v="27.05"/>
    <s v="Sessão Faturada"/>
    <n v="810177500019010"/>
    <n v="52971"/>
    <s v="Unidade Vieiralves"/>
    <n v="1706279020"/>
    <m/>
  </r>
  <r>
    <x v="14"/>
    <x v="37"/>
    <s v="Henrique Douglas Macedo Mendes Júnior"/>
    <s v="Masculino"/>
    <x v="2"/>
    <x v="22"/>
    <s v="20103492 - Fisioterapia - Patologia Em Dois Ou Mais Membros (R$ 14,83), 20103506 - Fisioterapia - Patologia Em Um Segmento da Coluna (R$ 12,22)"/>
    <s v="Fisioterapia"/>
    <n v="1702227851"/>
    <s v="Finalizado (4/4)"/>
    <n v="23.803999999999998"/>
    <n v="3.246"/>
    <n v="27.05"/>
    <s v="Sessão Faturada"/>
    <n v="897702200019010"/>
    <n v="56664"/>
    <s v="Unidade Vieiralves"/>
    <n v="1702227851"/>
    <m/>
  </r>
  <r>
    <x v="14"/>
    <x v="37"/>
    <s v="Luciana Araujo Monteiro"/>
    <s v="Feminino"/>
    <x v="8"/>
    <x v="22"/>
    <s v="20103662 - Pos Operatorio Em Um Membro (R$ 14,99)"/>
    <s v="Fisioterapia"/>
    <n v="1705705892"/>
    <s v="Finalizado (2/5)"/>
    <n v="13.1912"/>
    <n v="1.7988"/>
    <n v="14.99"/>
    <s v="Sessão Faturada"/>
    <n v="954600033103010"/>
    <n v="59400"/>
    <s v="Unidade Vieiralves"/>
    <n v="1705705892"/>
    <m/>
  </r>
  <r>
    <x v="14"/>
    <x v="37"/>
    <s v="Luciana Araujo Monteiro"/>
    <s v="Feminino"/>
    <x v="8"/>
    <x v="22"/>
    <s v="20103115 - Atividade Reflexa Cinesioterápica (R$ 20,81)"/>
    <s v="Fisioterapia"/>
    <n v="1705707014"/>
    <s v="Finalizado (2/4)"/>
    <n v="18.312799999999999"/>
    <n v="2.4971999999999999"/>
    <n v="20.81"/>
    <s v="Sessão Faturada"/>
    <n v="954600033103010"/>
    <n v="59400"/>
    <s v="Unidade Vieiralves"/>
    <n v="1705707014"/>
    <m/>
  </r>
  <r>
    <x v="14"/>
    <x v="63"/>
    <s v="Henrique Douglas Macedo Mendes Júnior"/>
    <s v="Masculino"/>
    <x v="2"/>
    <x v="22"/>
    <s v="20103115 - Atividade Reflexa Cinesioterápica (R$ 20,81)"/>
    <s v="Fisioterapia"/>
    <n v="1702228282"/>
    <s v="Finalizado (4/4)"/>
    <n v="18.312799999999999"/>
    <n v="2.4971999999999999"/>
    <n v="20.81"/>
    <s v="Sessão Faturada"/>
    <n v="897702200019010"/>
    <n v="56664"/>
    <s v="Unidade Vieiralves"/>
    <n v="1702228282"/>
    <m/>
  </r>
  <r>
    <x v="14"/>
    <x v="63"/>
    <s v="Ednamar da Silva Barros"/>
    <s v="Feminino"/>
    <x v="2"/>
    <x v="22"/>
    <s v="20103115 - Atividade Reflexa Cinesioterápica (R$ 20,81)"/>
    <s v="Fisioterapia"/>
    <n v="1705689085"/>
    <s v="Finalizado (2/3)"/>
    <n v="18.312799999999999"/>
    <n v="2.4971999999999999"/>
    <n v="20.81"/>
    <s v="Sessão Faturada"/>
    <n v="771015041971000"/>
    <n v="58523"/>
    <s v="Unidade Vieiralves"/>
    <n v="1705689085"/>
    <m/>
  </r>
  <r>
    <x v="14"/>
    <x v="63"/>
    <s v="Denise de Souza Lima Herzog"/>
    <s v="Feminino"/>
    <x v="2"/>
    <x v="22"/>
    <s v="20103115 - Atividade Reflexa Cinesioterápica (R$ 20,81)"/>
    <s v="Fisioterapia"/>
    <n v="1706279319"/>
    <s v="Finalizado (2/4)"/>
    <n v="18.312799999999999"/>
    <n v="2.4971999999999999"/>
    <n v="20.81"/>
    <s v="Sessão Faturada"/>
    <n v="810177500019010"/>
    <n v="52971"/>
    <s v="Unidade Vieiralves"/>
    <n v="1706279319"/>
    <m/>
  </r>
  <r>
    <x v="15"/>
    <x v="44"/>
    <s v="Diego Nobuyoshi de Souza Tsuji"/>
    <s v="Masculino"/>
    <x v="2"/>
    <x v="22"/>
    <s v="20103484 - Fisioterapia - Patologia Em Um Membro (R$ 12,22)"/>
    <s v="Fisioterapia"/>
    <n v="1706124810"/>
    <s v="Finalizado (3/5)"/>
    <n v="10.7536"/>
    <n v="1.4663999999999999"/>
    <n v="12.22"/>
    <s v="Sessão Faturada"/>
    <n v="774981009148000"/>
    <n v="11130"/>
    <s v="Unidade Vieiralves"/>
    <n v="1706124810"/>
    <m/>
  </r>
  <r>
    <x v="15"/>
    <x v="44"/>
    <s v="Nívea Rosangela Santos Barbosa"/>
    <s v="Feminino"/>
    <x v="6"/>
    <x v="22"/>
    <s v="20103492 - Patologia Em Dois Ou Mais Membros (R$ 30,26), 20103506 - Patologia Em Um Segmento da Coluna (R$ 14,16)"/>
    <s v="Fisioterapia"/>
    <n v="169438"/>
    <s v="Finalizado (4/5)"/>
    <n v="39.089599999999997"/>
    <n v="5.3304"/>
    <n v="44.42"/>
    <s v="Sessão a Faturar"/>
    <s v="54588888018689220020"/>
    <n v="56297"/>
    <s v="Unidade Vieiralves"/>
    <n v="169438"/>
    <m/>
  </r>
  <r>
    <x v="15"/>
    <x v="44"/>
    <s v="Yasmin Guedes Lima"/>
    <s v="Feminino"/>
    <x v="2"/>
    <x v="22"/>
    <s v="20103506 - Fisioterapia - Patologia Em Um Segmento da Coluna (R$ 12,22)"/>
    <s v="Fisioterapia"/>
    <n v="1707143503"/>
    <s v="Finalizado (1/5)"/>
    <n v="10.7536"/>
    <n v="1.4663999999999999"/>
    <n v="12.22"/>
    <s v="Sessão Faturada"/>
    <n v="960016575471020"/>
    <n v="35978"/>
    <s v="Unidade Vieiralves"/>
    <n v="1707143503"/>
    <m/>
  </r>
  <r>
    <x v="15"/>
    <x v="44"/>
    <s v="Diego Nobuyoshi de Souza Tsuji"/>
    <s v="Masculino"/>
    <x v="2"/>
    <x v="22"/>
    <s v="20103115 - Atividade Reflexa Cinesioterápica (R$ 20,81)"/>
    <s v="Fisioterapia"/>
    <n v="1706125488"/>
    <s v="Finalizado (3/5)"/>
    <n v="18.312799999999999"/>
    <n v="2.4971999999999999"/>
    <n v="20.81"/>
    <s v="Sessão Faturada"/>
    <n v="774981009148000"/>
    <n v="11130"/>
    <s v="Unidade Vieiralves"/>
    <n v="1706125488"/>
    <m/>
  </r>
  <r>
    <x v="15"/>
    <x v="60"/>
    <s v="Nívea Rosangela Santos Barbosa"/>
    <s v="Feminino"/>
    <x v="6"/>
    <x v="22"/>
    <s v="31602185 - Estimulação Elétrica Transcutanea (Tens) (R$ 40,00)"/>
    <s v="Fisioterapia"/>
    <n v="169439"/>
    <s v="Finalizado (4/5)"/>
    <n v="35.200000000000003"/>
    <n v="4.8"/>
    <n v="40"/>
    <s v="Sessão a Faturar"/>
    <s v="54588888018689220020"/>
    <n v="56297"/>
    <s v="Unidade Vieiralves"/>
    <n v="169439"/>
    <m/>
  </r>
  <r>
    <x v="15"/>
    <x v="60"/>
    <s v="Yasmin Guedes Lima"/>
    <s v="Feminino"/>
    <x v="2"/>
    <x v="22"/>
    <s v="20103115 - Atividade Reflexa Cinesioterápica (R$ 20,81)"/>
    <s v="Fisioterapia"/>
    <n v="1707144871"/>
    <s v="Finalizado (1/2)"/>
    <n v="18.312799999999999"/>
    <n v="2.4971999999999999"/>
    <n v="20.81"/>
    <s v="Sessão Faturada"/>
    <n v="960016575471020"/>
    <n v="35978"/>
    <s v="Unidade Vieiralves"/>
    <n v="1707144871"/>
    <m/>
  </r>
  <r>
    <x v="15"/>
    <x v="41"/>
    <s v="Alberson Nascimento da Silva"/>
    <s v="Masculino"/>
    <x v="2"/>
    <x v="22"/>
    <s v="20103484 - Fisioterapia - Patologia Em Um Membro (R$ 12,22)"/>
    <s v="Fisioterapia"/>
    <n v="1705115181"/>
    <s v="Finalizado (5/5)"/>
    <n v="10.7536"/>
    <n v="1.4663999999999999"/>
    <n v="12.22"/>
    <s v="Sessão Faturada"/>
    <n v="847586402151000"/>
    <n v="58240"/>
    <s v="Unidade Vieiralves"/>
    <n v="1705115181"/>
    <m/>
  </r>
  <r>
    <x v="15"/>
    <x v="41"/>
    <s v="Maria Jose Pinto da Mota"/>
    <m/>
    <x v="2"/>
    <x v="22"/>
    <s v="20103514 - Fisioterapia - Patologia Em Diferentes Segmentos da Coluna (R$ 14,83)"/>
    <s v="Fisioterapia"/>
    <n v="1707148878"/>
    <s v="Finalizado (1/4)"/>
    <n v="13.0504"/>
    <n v="1.7796000000000001"/>
    <n v="14.83"/>
    <s v="Sessão Faturada"/>
    <n v="771015052531020"/>
    <n v="59060"/>
    <s v="Unidade Vieiralves"/>
    <n v="1707148878"/>
    <m/>
  </r>
  <r>
    <x v="15"/>
    <x v="65"/>
    <s v="Alberson Nascimento da Silva"/>
    <s v="Masculino"/>
    <x v="2"/>
    <x v="22"/>
    <s v="20103115 - Atividade Reflexa Cinesioterápica (R$ 20,81)"/>
    <s v="Fisioterapia"/>
    <n v="1705115980"/>
    <s v="Finalizado (5/5)"/>
    <n v="18.312799999999999"/>
    <n v="2.4971999999999999"/>
    <n v="20.81"/>
    <s v="Sessão Faturada"/>
    <n v="847586402151000"/>
    <n v="58240"/>
    <s v="Unidade Vieiralves"/>
    <n v="1705115980"/>
    <m/>
  </r>
  <r>
    <x v="15"/>
    <x v="65"/>
    <s v="Maria Jose Pinto da Mota"/>
    <m/>
    <x v="2"/>
    <x v="22"/>
    <s v="20103115 - Atividade Reflexa Cinesioterápica (R$ 20,81)"/>
    <s v="Fisioterapia"/>
    <n v="1707149315"/>
    <s v="Finalizado (1/2)"/>
    <n v="18.312799999999999"/>
    <n v="2.4971999999999999"/>
    <n v="20.81"/>
    <s v="Sessão Faturada"/>
    <n v="771015052531020"/>
    <n v="59060"/>
    <s v="Unidade Vieiralves"/>
    <n v="1707149315"/>
    <m/>
  </r>
  <r>
    <x v="15"/>
    <x v="36"/>
    <s v="Miguel Ângelo Cabral Moreira"/>
    <m/>
    <x v="5"/>
    <x v="22"/>
    <s v="50000144 - Avaliação de Fisioterapia (R$ 37,63)"/>
    <s v="Fisioterapia"/>
    <n v="170470"/>
    <s v="Finalizado (1/1)"/>
    <n v="33.866999999999997"/>
    <n v="3.7629999999999999"/>
    <n v="37.630000000000003"/>
    <s v="Sessão Faturada"/>
    <n v="5500000889750200"/>
    <n v="59526"/>
    <s v="Unidade Vieiralves"/>
    <n v="170470"/>
    <m/>
  </r>
  <r>
    <x v="15"/>
    <x v="61"/>
    <s v="Miguel Ângelo Cabral Moreira"/>
    <m/>
    <x v="5"/>
    <x v="22"/>
    <s v="98860020 - Fisioterapia Complexidade 2 (R$ 73,81)"/>
    <s v="Fisioterapia"/>
    <n v="78992040"/>
    <s v="Finalizado (1/10)"/>
    <n v="64.952799999999996"/>
    <n v="8.8572000000000006"/>
    <n v="73.81"/>
    <s v="Sessão a Faturar"/>
    <n v="5500000889750200"/>
    <n v="59526"/>
    <s v="Unidade Vieiralves"/>
    <n v="78992040"/>
    <m/>
  </r>
  <r>
    <x v="15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6/10)"/>
    <n v="30.8"/>
    <n v="4.2"/>
    <n v="35"/>
    <s v="Sessão Faturada"/>
    <n v="201013748740040"/>
    <n v="54729"/>
    <s v="Unidade Vieiralves"/>
    <n v="8824742"/>
    <m/>
  </r>
  <r>
    <x v="15"/>
    <x v="40"/>
    <s v="Rejane Costa Freire"/>
    <m/>
    <x v="1"/>
    <x v="22"/>
    <s v="50000160 - Fisioterapia Ortopédica (R$ 20,00), 98980327 - Taxa de Eletroterapia (Tens) (R$ 15,00)"/>
    <s v="Fisioterapia"/>
    <n v="9010622"/>
    <s v="Finalizado (4/10)"/>
    <n v="30.8"/>
    <n v="4.2"/>
    <n v="35"/>
    <s v="Sessão Faturada"/>
    <s v="0901013326530193"/>
    <n v="57964"/>
    <s v="Unidade Vieiralves"/>
    <n v="9010622"/>
    <m/>
  </r>
  <r>
    <x v="15"/>
    <x v="35"/>
    <s v="Andrea Nogueira Rodrigues"/>
    <s v="Masculino"/>
    <x v="2"/>
    <x v="22"/>
    <s v="20103484 - Fisioterapia - Patologia Em Um Membro (R$ 12,22)"/>
    <s v="Fisioterapia"/>
    <n v="1707287810"/>
    <s v="Finalizado (1/4)"/>
    <n v="10.7536"/>
    <n v="1.4663999999999999"/>
    <n v="12.22"/>
    <s v="Sessão Faturada"/>
    <n v="773268005452020"/>
    <n v="59385"/>
    <s v="Unidade Vieiralves"/>
    <n v="1707287810"/>
    <m/>
  </r>
  <r>
    <x v="15"/>
    <x v="35"/>
    <s v="Lucia Ferreira Viana"/>
    <s v="Feminino"/>
    <x v="0"/>
    <x v="22"/>
    <s v="50000144 - Avaliação de Fisioterapia (R$ 39,72)"/>
    <s v="Fisioterapia"/>
    <n v="170591"/>
    <s v="Finalizado (1/1)"/>
    <n v="35.747999999999998"/>
    <n v="3.972"/>
    <n v="39.72"/>
    <s v="Sessão Faturada"/>
    <s v="010650248904"/>
    <n v="10197"/>
    <s v="Unidade Vieiralves"/>
    <n v="170591"/>
    <m/>
  </r>
  <r>
    <x v="15"/>
    <x v="70"/>
    <s v="Lucia Ferreira Viana"/>
    <s v="Feminino"/>
    <x v="0"/>
    <x v="22"/>
    <s v="50000160 - Fisioterapia Ortopedica (R$ 49,72)"/>
    <s v="Fisioterapia"/>
    <s v="42263120260305416369"/>
    <s v="Finalizado (1/10)"/>
    <n v="43.753599999999999"/>
    <n v="5.9664000000000001"/>
    <n v="49.72"/>
    <s v="Sessão a Faturar"/>
    <s v="010650248904"/>
    <n v="10197"/>
    <s v="Unidade Vieiralves"/>
    <s v="42263120260305416369"/>
    <m/>
  </r>
  <r>
    <x v="15"/>
    <x v="42"/>
    <s v="Andrea Nogueira Rodrigues"/>
    <s v="Masculino"/>
    <x v="2"/>
    <x v="22"/>
    <s v="20103115 - Atividade Reflexa Cinesioterápica (R$ 20,81)"/>
    <s v="Fisioterapia"/>
    <n v="1707289637"/>
    <s v="Finalizado (1/1)"/>
    <n v="18.312799999999999"/>
    <n v="2.4971999999999999"/>
    <n v="20.81"/>
    <s v="Sessão Faturada"/>
    <n v="773268005452020"/>
    <n v="59385"/>
    <s v="Unidade Vieiralves"/>
    <n v="1707289637"/>
    <m/>
  </r>
  <r>
    <x v="15"/>
    <x v="71"/>
    <s v="Lucia Ferreira Viana"/>
    <s v="Feminino"/>
    <x v="0"/>
    <x v="22"/>
    <s v="31602185 - Estimulação Elétrica Transcutânea Fisioterapia (Novo - 01/12) (R$ 54,13)"/>
    <s v="Fisioterapia"/>
    <s v="42263120260305416626"/>
    <s v="Finalizado (1/10)"/>
    <n v="47.634399999999999"/>
    <n v="6.4955999999999996"/>
    <n v="54.13"/>
    <s v="Sessão a Faturar"/>
    <s v="010650248904"/>
    <n v="10197"/>
    <s v="Unidade Vieiralves"/>
    <s v="42263120260305416626"/>
    <m/>
  </r>
  <r>
    <x v="15"/>
    <x v="38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2/10)"/>
    <n v="23.803999999999998"/>
    <n v="3.246"/>
    <n v="27.05"/>
    <s v="Sessão Faturada"/>
    <n v="952480013332000"/>
    <n v="14710"/>
    <s v="Unidade Vieiralves"/>
    <n v="1706776664"/>
    <m/>
  </r>
  <r>
    <x v="15"/>
    <x v="38"/>
    <s v="Katia Cilene Jardim da Costa"/>
    <s v="Feminino"/>
    <x v="2"/>
    <x v="22"/>
    <s v="50000144 - Avaliação de Fisioterapia (R$ 51,42)"/>
    <s v="Fisioterapia"/>
    <n v="1707248818"/>
    <s v="Finalizado (1/1)"/>
    <n v="46.277999999999999"/>
    <n v="5.1420000000000003"/>
    <n v="51.42"/>
    <s v="Sessão Faturada"/>
    <n v="771015041750020"/>
    <n v="37973"/>
    <s v="Unidade Vieiralves"/>
    <n v="1707248818"/>
    <m/>
  </r>
  <r>
    <x v="15"/>
    <x v="38"/>
    <s v="Rosana Batista Januario"/>
    <s v="Feminino"/>
    <x v="26"/>
    <x v="22"/>
    <s v="20103492 - Fisioterapia - Patologia Em Dois Ou Mais Membros (R$ 23,85)"/>
    <s v="Fisioterapia"/>
    <n v="270659481"/>
    <s v="Finalizado (8/10)"/>
    <n v="20.988"/>
    <n v="2.8620000000000001"/>
    <n v="23.85"/>
    <s v="Sessão Faturada"/>
    <s v="1Q6HS000023000"/>
    <n v="56673"/>
    <s v="Unidade Vieiralves"/>
    <n v="270659481"/>
    <m/>
  </r>
  <r>
    <x v="15"/>
    <x v="68"/>
    <s v="Katia Cilene Jardim da Costa"/>
    <s v="Feminino"/>
    <x v="2"/>
    <x v="22"/>
    <s v="20103484 - Fisioterapia - Patologia Em Um Membro (R$ 12,22)"/>
    <s v="Fisioterapia"/>
    <n v="1707250451"/>
    <s v="Finalizado (1/10)"/>
    <n v="10.7536"/>
    <n v="1.4663999999999999"/>
    <n v="12.22"/>
    <s v="Sessão Faturada"/>
    <n v="771015041750020"/>
    <n v="37973"/>
    <s v="Unidade Vieiralves"/>
    <n v="1707250451"/>
    <m/>
  </r>
  <r>
    <x v="15"/>
    <x v="62"/>
    <s v="Raimunda Carvalho Caldas"/>
    <s v="Feminino"/>
    <x v="2"/>
    <x v="22"/>
    <s v="20103115 - Atividade Reflexa Cinesioterápica (R$ 20,81)"/>
    <s v="Fisioterapia"/>
    <n v="1706777377"/>
    <s v="Finalizado (2/5)"/>
    <n v="18.312799999999999"/>
    <n v="2.4971999999999999"/>
    <n v="20.81"/>
    <s v="Sessão Faturada"/>
    <n v="952480013332000"/>
    <n v="14710"/>
    <s v="Unidade Vieiralves"/>
    <n v="1706777377"/>
    <m/>
  </r>
  <r>
    <x v="15"/>
    <x v="69"/>
    <s v="Katia Cilene Jardim da Costa"/>
    <s v="Feminino"/>
    <x v="2"/>
    <x v="22"/>
    <s v="20103115 - Atividade Reflexa Cinesioterápica (R$ 20,81)"/>
    <s v="Fisioterapia"/>
    <n v="1707251479"/>
    <s v="Finalizado (1/3)"/>
    <n v="18.312799999999999"/>
    <n v="2.4971999999999999"/>
    <n v="20.81"/>
    <s v="Sessão Faturada"/>
    <n v="771015041750020"/>
    <n v="37973"/>
    <s v="Unidade Vieiralves"/>
    <n v="1707251479"/>
    <m/>
  </r>
  <r>
    <x v="15"/>
    <x v="37"/>
    <s v="Noemi Rebecca Ramos Macedo"/>
    <s v="Feminino"/>
    <x v="1"/>
    <x v="22"/>
    <s v="50000160 - Fisioterapia Ortopédica (R$ 20,00), 98980327 - Taxa de Eletroterapia (Tens) (R$ 15,00)"/>
    <s v="Fisioterapia"/>
    <n v="9485281"/>
    <s v="Finalizado (6/6)"/>
    <n v="30.8"/>
    <n v="4.2"/>
    <n v="35"/>
    <s v="Sessão Faturada"/>
    <n v="1901013411030100"/>
    <n v="57780"/>
    <s v="Unidade Vieiralves"/>
    <n v="9485281"/>
    <m/>
  </r>
  <r>
    <x v="15"/>
    <x v="39"/>
    <s v="Cláudia Maria Ramos da Silva"/>
    <s v="Feminino"/>
    <x v="1"/>
    <x v="22"/>
    <s v="50000144 - Consulta de Fisioterapia (R$ 16,00)"/>
    <s v="Fisioterapia"/>
    <n v="9181161"/>
    <s v="Finalizado (1/1)"/>
    <n v="14.4"/>
    <n v="1.6"/>
    <n v="16"/>
    <s v="Sessão a Faturar"/>
    <n v="1901013411030200"/>
    <n v="57093"/>
    <s v="Unidade Vieiralves"/>
    <n v="9181161"/>
    <m/>
  </r>
  <r>
    <x v="15"/>
    <x v="64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1/10)"/>
    <n v="30.8"/>
    <n v="4.2"/>
    <n v="35"/>
    <s v="Sessão Faturada"/>
    <n v="1901013411030200"/>
    <n v="57093"/>
    <s v="Unidade Vieiralves"/>
    <n v="9181422"/>
    <s v="GUIA ASSINADA!"/>
  </r>
  <r>
    <x v="16"/>
    <x v="44"/>
    <s v="Diego Nobuyoshi de Souza Tsuji"/>
    <s v="Masculino"/>
    <x v="2"/>
    <x v="22"/>
    <s v="20103484 - Fisioterapia - Patologia Em Um Membro (R$ 12,22)"/>
    <s v="Fisioterapia"/>
    <n v="1706124810"/>
    <s v="Finalizado (4/5)"/>
    <n v="10.7536"/>
    <n v="1.4663999999999999"/>
    <n v="12.22"/>
    <s v="Sessão Faturada"/>
    <n v="774981009148000"/>
    <n v="11130"/>
    <s v="Unidade Vieiralves"/>
    <n v="1706124810"/>
    <m/>
  </r>
  <r>
    <x v="16"/>
    <x v="44"/>
    <s v="Diego Nobuyoshi de Souza Tsuji"/>
    <s v="Masculino"/>
    <x v="4"/>
    <x v="22"/>
    <s v="31602185 - Estimulação Elétrica Transcutânea - Removido 13/04/2026 (R$ 40,00)"/>
    <s v="Fisioterapia"/>
    <n v="1707704113"/>
    <s v="Finalizado (1/5)"/>
    <n v="35.200000000000003"/>
    <n v="4.8"/>
    <n v="40"/>
    <s v="Sessão Faturada"/>
    <n v="774981009148000"/>
    <n v="11130"/>
    <s v="Unidade Vieiralves"/>
    <n v="1707704113"/>
    <m/>
  </r>
  <r>
    <x v="16"/>
    <x v="44"/>
    <s v="Diego Nobuyoshi de Souza Tsuji"/>
    <s v="Masculino"/>
    <x v="2"/>
    <x v="22"/>
    <s v="20103115 - Atividade Reflexa Cinesioterápica (R$ 20,81)"/>
    <s v="Fisioterapia"/>
    <n v="1706125488"/>
    <s v="Finalizado (4/5)"/>
    <n v="18.312799999999999"/>
    <n v="2.4971999999999999"/>
    <n v="20.81"/>
    <s v="Sessão Faturada"/>
    <n v="774981009148000"/>
    <n v="11130"/>
    <s v="Unidade Vieiralves"/>
    <n v="1706125488"/>
    <m/>
  </r>
  <r>
    <x v="16"/>
    <x v="41"/>
    <s v="Carlos Jose Cavalcante Martins"/>
    <s v="Masculino"/>
    <x v="2"/>
    <x v="22"/>
    <s v="20103492 - Fisioterapia - Patologia Em Dois Ou Mais Membros (R$ 14,83)"/>
    <s v="Fisioterapia"/>
    <n v="1707732828"/>
    <s v="Finalizado (1/8)"/>
    <n v="13.0504"/>
    <n v="1.7796000000000001"/>
    <n v="14.83"/>
    <s v="Sessão a Faturar"/>
    <n v="830425500051000"/>
    <n v="59320"/>
    <s v="Unidade Vieiralves"/>
    <n v="1707732828"/>
    <m/>
  </r>
  <r>
    <x v="16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2/10)"/>
    <n v="26.1008"/>
    <n v="3.5592000000000001"/>
    <n v="29.66"/>
    <s v="Sessão Faturada"/>
    <n v="830425500043000"/>
    <n v="7701"/>
    <s v="Unidade Vieiralves"/>
    <n v="1706683478"/>
    <m/>
  </r>
  <r>
    <x v="16"/>
    <x v="41"/>
    <s v="Alberson Nascimento da Silva"/>
    <s v="Masculino"/>
    <x v="2"/>
    <x v="22"/>
    <s v="20103484 - Fisioterapia - Patologia Em Um Membro (R$ 12,22)"/>
    <s v="Fisioterapia"/>
    <n v="1707753300"/>
    <s v="Finalizado (1/2)"/>
    <n v="10.7536"/>
    <n v="1.4663999999999999"/>
    <n v="12.22"/>
    <s v="Sessão Faturada"/>
    <n v="847586402151000"/>
    <n v="58240"/>
    <s v="Unidade Vieiralves"/>
    <n v="1707753300"/>
    <m/>
  </r>
  <r>
    <x v="16"/>
    <x v="41"/>
    <s v="Carlos Jose Cavalcante Martins"/>
    <s v="Masculino"/>
    <x v="2"/>
    <x v="22"/>
    <s v="20103115 - Atividade Reflexa Cinesioterápica (R$ 20,81)"/>
    <s v="Fisioterapia"/>
    <n v="1707734208"/>
    <s v="Finalizado (1/1)"/>
    <n v="18.312799999999999"/>
    <n v="2.4971999999999999"/>
    <n v="20.81"/>
    <s v="Sessão Faturada"/>
    <n v="830425500051000"/>
    <n v="59320"/>
    <s v="Unidade Vieiralves"/>
    <n v="1707734208"/>
    <m/>
  </r>
  <r>
    <x v="16"/>
    <x v="76"/>
    <s v="Alberson Nascimento da Silva"/>
    <s v="Masculino"/>
    <x v="2"/>
    <x v="22"/>
    <s v="20103115 - Atividade Reflexa Cinesioterápica (R$ 20,81)"/>
    <s v="Fisioterapia"/>
    <n v="1707791342"/>
    <s v="Finalizado (1/2)"/>
    <n v="18.312799999999999"/>
    <n v="2.4971999999999999"/>
    <n v="20.81"/>
    <s v="Sessão Faturada"/>
    <n v="847586402151000"/>
    <n v="58240"/>
    <s v="Unidade Vieiralves"/>
    <n v="1707791342"/>
    <m/>
  </r>
  <r>
    <x v="16"/>
    <x v="65"/>
    <s v="Maria Ercilia Cavalcante Martins"/>
    <s v="Feminino"/>
    <x v="2"/>
    <x v="22"/>
    <s v="20103115 - Atividade Reflexa Cinesioterápica (R$ 20,81)"/>
    <s v="Fisioterapia"/>
    <n v="1706684901"/>
    <s v="Finalizado (2/2)"/>
    <n v="18.312799999999999"/>
    <n v="2.4971999999999999"/>
    <n v="20.81"/>
    <s v="Sessão Faturada"/>
    <n v="830425500043000"/>
    <n v="7701"/>
    <s v="Unidade Vieiralves"/>
    <n v="1706684901"/>
    <m/>
  </r>
  <r>
    <x v="16"/>
    <x v="36"/>
    <s v="Maria Nazira Tomaz Pereira"/>
    <s v="Feminino"/>
    <x v="6"/>
    <x v="22"/>
    <s v="20103492 - Patologia Em Dois Ou Mais Membros (R$ 30,26), 20103514 - Patologia Em Dois Ou Mais Segmentos da Coluna (R$ 32,82)"/>
    <s v="Fisioterapia"/>
    <n v="169277"/>
    <s v="Finalizado (5/5)"/>
    <n v="55.510399999999997"/>
    <n v="7.5696000000000003"/>
    <n v="63.08"/>
    <s v="Sessão a Faturar"/>
    <s v="55788888483387380020"/>
    <n v="20265"/>
    <s v="Unidade Vieiralves"/>
    <n v="169277"/>
    <m/>
  </r>
  <r>
    <x v="16"/>
    <x v="61"/>
    <s v="Maria Nazira Tomaz Pereira"/>
    <s v="Feminino"/>
    <x v="6"/>
    <x v="22"/>
    <s v="31602185 - Estimulação Elétrica Transcutanea (Tens) (R$ 40,00)"/>
    <s v="Fisioterapia"/>
    <n v="169447"/>
    <s v="Finalizado (5/5)"/>
    <n v="35.200000000000003"/>
    <n v="4.8"/>
    <n v="40"/>
    <s v="Sessão a Faturar"/>
    <s v="55788888483387380020"/>
    <n v="20265"/>
    <s v="Unidade Vieiralves"/>
    <n v="169447"/>
    <m/>
  </r>
  <r>
    <x v="16"/>
    <x v="40"/>
    <s v="Lucas Rodrigues de Oliveira"/>
    <s v="Masculino"/>
    <x v="17"/>
    <x v="22"/>
    <s v="50000144 - Avaliação de Fisioterapia (R$ 45,00)"/>
    <s v="Fisioterapia"/>
    <n v="3988689"/>
    <s v="Finalizado (1/1)"/>
    <n v="40.5"/>
    <n v="4.5"/>
    <n v="45"/>
    <s v="Sessão Faturada"/>
    <s v="000915777874300"/>
    <n v="46907"/>
    <s v="Unidade Vieiralves"/>
    <n v="3988689"/>
    <m/>
  </r>
  <r>
    <x v="16"/>
    <x v="40"/>
    <s v="Maria de Lourdes Ferreira"/>
    <s v="Feminino"/>
    <x v="1"/>
    <x v="22"/>
    <s v="50000160 - Fisioterapia Ortopédica (R$ 20,00), 98980327 - Taxa de Eletroterapia (Tens) (R$ 15,00)"/>
    <s v="Fisioterapia"/>
    <n v="8824557"/>
    <s v="Finalizado (8/10)"/>
    <n v="30.8"/>
    <n v="4.2"/>
    <n v="35"/>
    <s v="Sessão Faturada"/>
    <s v="0802010939500016"/>
    <n v="58440"/>
    <s v="Unidade Vieiralves"/>
    <n v="8824557"/>
    <m/>
  </r>
  <r>
    <x v="16"/>
    <x v="40"/>
    <s v="Katia Cilene Jardim da Costa"/>
    <s v="Feminino"/>
    <x v="2"/>
    <x v="22"/>
    <s v="20103484 - Fisioterapia - Patologia Em Um Membro (R$ 12,22)"/>
    <s v="Fisioterapia"/>
    <n v="1707250451"/>
    <s v="Finalizado (2/10)"/>
    <n v="10.7536"/>
    <n v="1.4663999999999999"/>
    <n v="12.22"/>
    <s v="Sessão Faturada"/>
    <n v="771015041750020"/>
    <n v="37973"/>
    <s v="Unidade Vieiralves"/>
    <n v="1707250451"/>
    <m/>
  </r>
  <r>
    <x v="16"/>
    <x v="49"/>
    <s v="Katia Cilene Jardim da Costa"/>
    <s v="Feminino"/>
    <x v="2"/>
    <x v="22"/>
    <s v="20103115 - Atividade Reflexa Cinesioterápica (R$ 20,81)"/>
    <s v="Fisioterapia"/>
    <n v="1707251479"/>
    <s v="Finalizado (2/3)"/>
    <n v="18.312799999999999"/>
    <n v="2.4971999999999999"/>
    <n v="20.81"/>
    <s v="Sessão Faturada"/>
    <n v="771015041750020"/>
    <n v="37973"/>
    <s v="Unidade Vieiralves"/>
    <n v="1707251479"/>
    <m/>
  </r>
  <r>
    <x v="16"/>
    <x v="45"/>
    <s v="Lucas Rodrigues de Oliveira"/>
    <s v="Masculino"/>
    <x v="17"/>
    <x v="22"/>
    <s v="50000160 - Fisioterapia Ortopedica (R$ 45,00)"/>
    <s v="Fisioterapia"/>
    <n v="3988705"/>
    <s v="Finalizado (1/4)"/>
    <n v="39.6"/>
    <n v="5.4"/>
    <n v="45"/>
    <s v="Sessão a Faturar"/>
    <s v="000915777874300"/>
    <n v="46907"/>
    <s v="Unidade Vieiralves"/>
    <n v="3988705"/>
    <m/>
  </r>
  <r>
    <x v="16"/>
    <x v="55"/>
    <s v="Katia Cilene Jardim da Costa"/>
    <s v="Feminino"/>
    <x v="4"/>
    <x v="22"/>
    <s v="31602185 - Estimulação Elétrica Transcutânea - Removido 13/04/2026 (R$ 40,00)"/>
    <s v="Fisioterapia"/>
    <n v="1707351947"/>
    <s v="Finalizado (1/5)"/>
    <n v="35.200000000000003"/>
    <n v="4.8"/>
    <n v="40"/>
    <s v="Sessão Faturada"/>
    <n v="771015041750020"/>
    <n v="37973"/>
    <s v="Unidade Vieiralves"/>
    <n v="1707351947"/>
    <m/>
  </r>
  <r>
    <x v="16"/>
    <x v="35"/>
    <s v="Serafim Pereira de Sousa"/>
    <m/>
    <x v="17"/>
    <x v="22"/>
    <s v="50000160 - Fisioterapia Ortopedica (R$ 45,00)"/>
    <s v="Fisioterapia"/>
    <n v="3970200"/>
    <s v="Finalizado (1/10)"/>
    <n v="39.6"/>
    <n v="5.4"/>
    <n v="45"/>
    <s v="Sessão Faturada"/>
    <s v="000915899766100"/>
    <n v="58192"/>
    <s v="Unidade Vieiralves"/>
    <n v="3970200"/>
    <m/>
  </r>
  <r>
    <x v="16"/>
    <x v="38"/>
    <s v="Raimunda Carvalho Caldas"/>
    <s v="Feminino"/>
    <x v="4"/>
    <x v="22"/>
    <s v="31602185 - Estimulação Elétrica Transcutânea - Removido 13/04/2026 (R$ 40,00)"/>
    <s v="Fisioterapia"/>
    <n v="1707806477"/>
    <s v="Finalizado (1/5)"/>
    <n v="35.200000000000003"/>
    <n v="4.8"/>
    <n v="40"/>
    <s v="Sessão Faturada"/>
    <n v="952480013332000"/>
    <n v="14710"/>
    <s v="Unidade Vieiralves"/>
    <n v="1707806477"/>
    <m/>
  </r>
  <r>
    <x v="16"/>
    <x v="38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3/10)"/>
    <n v="23.803999999999998"/>
    <n v="3.246"/>
    <n v="27.05"/>
    <s v="Sessão Faturada"/>
    <n v="952480013332000"/>
    <n v="14710"/>
    <s v="Unidade Vieiralves"/>
    <n v="1706776664"/>
    <m/>
  </r>
  <r>
    <x v="16"/>
    <x v="38"/>
    <s v="Roberta Ferreira Coelho de Andrade"/>
    <s v="Feminino"/>
    <x v="1"/>
    <x v="22"/>
    <s v="50000160 - Fisioterapia Ortopédica (R$ 20,00), 98980327 - Taxa de Eletroterapia (Tens) (R$ 15,00)"/>
    <s v="Fisioterapia"/>
    <n v="8761145"/>
    <s v="Finalizado (7/10)"/>
    <n v="30.8"/>
    <n v="4.2"/>
    <n v="35"/>
    <s v="Sessão Faturada"/>
    <s v="0701010939440006"/>
    <n v="58292"/>
    <s v="Unidade Vieiralves"/>
    <n v="8761145"/>
    <m/>
  </r>
  <r>
    <x v="16"/>
    <x v="38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6767128"/>
    <s v="Finalizado (2/5)"/>
    <n v="26.1008"/>
    <n v="3.5592000000000001"/>
    <n v="29.66"/>
    <s v="Sessão Faturada"/>
    <n v="813312700027000"/>
    <n v="17029"/>
    <s v="Unidade Vieiralves"/>
    <n v="1706767128"/>
    <m/>
  </r>
  <r>
    <x v="16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1/6)"/>
    <n v="23.803999999999998"/>
    <n v="3.246"/>
    <n v="27.05"/>
    <s v="Sessão a Faturar"/>
    <n v="952650062103000"/>
    <n v="59353"/>
    <s v="Unidade Vieiralves"/>
    <n v="1707840911"/>
    <m/>
  </r>
  <r>
    <x v="16"/>
    <x v="38"/>
    <s v="Guaracy Silva da Cunha"/>
    <s v="Feminino"/>
    <x v="1"/>
    <x v="22"/>
    <s v="50000160 - Fisioterapia Ortopédica (R$ 20,00), 98980327 - Taxa de Eletroterapia (Tens) (R$ 15,00)"/>
    <s v="Fisioterapia"/>
    <n v="8790991"/>
    <s v="Finalizado (9/10)"/>
    <n v="30.8"/>
    <n v="4.2"/>
    <n v="35"/>
    <s v="Sessão Faturada"/>
    <s v="0901013070050252"/>
    <n v="21742"/>
    <s v="Unidade Vieiralves"/>
    <n v="8790991"/>
    <m/>
  </r>
  <r>
    <x v="16"/>
    <x v="62"/>
    <s v="Rose Mayre Vieira Barreto"/>
    <s v="Feminino"/>
    <x v="2"/>
    <x v="22"/>
    <s v="20103115 - Atividade Reflexa Cinesioterápica (R$ 20,81)"/>
    <s v="Fisioterapia"/>
    <n v="1706767963"/>
    <s v="Finalizado (2/3)"/>
    <n v="18.312799999999999"/>
    <n v="2.4971999999999999"/>
    <n v="20.81"/>
    <s v="Sessão Faturada"/>
    <n v="813312700027000"/>
    <n v="17029"/>
    <s v="Unidade Vieiralves"/>
    <n v="1706767963"/>
    <m/>
  </r>
  <r>
    <x v="16"/>
    <x v="62"/>
    <s v="Daniele Guimarães Alves"/>
    <s v="Feminino"/>
    <x v="2"/>
    <x v="22"/>
    <s v="20103115 - Atividade Reflexa Cinesioterápica (R$ 20,81)"/>
    <s v="Fisioterapia"/>
    <n v="1707841911"/>
    <s v="Finalizado (1/2)"/>
    <n v="18.312799999999999"/>
    <n v="2.4971999999999999"/>
    <n v="20.81"/>
    <s v="Sessão Faturada"/>
    <n v="952650062103000"/>
    <n v="59353"/>
    <s v="Unidade Vieiralves"/>
    <n v="1707841911"/>
    <m/>
  </r>
  <r>
    <x v="16"/>
    <x v="62"/>
    <s v="Raimunda Carvalho Caldas"/>
    <s v="Feminino"/>
    <x v="2"/>
    <x v="22"/>
    <s v="20103115 - Atividade Reflexa Cinesioterápica (R$ 20,81)"/>
    <s v="Fisioterapia"/>
    <n v="1706777377"/>
    <s v="Finalizado (3/5)"/>
    <n v="18.312799999999999"/>
    <n v="2.4971999999999999"/>
    <n v="20.81"/>
    <s v="Sessão Faturada"/>
    <n v="952480013332000"/>
    <n v="14710"/>
    <s v="Unidade Vieiralves"/>
    <n v="1706777377"/>
    <m/>
  </r>
  <r>
    <x v="16"/>
    <x v="37"/>
    <s v="Luciana Araujo Monteiro"/>
    <s v="Feminino"/>
    <x v="8"/>
    <x v="22"/>
    <s v="20103662 - Pos Operatorio Em Um Membro (R$ 14,99)"/>
    <s v="Fisioterapia"/>
    <n v="1705705892"/>
    <s v="Finalizado (3/5)"/>
    <n v="13.1912"/>
    <n v="1.7988"/>
    <n v="14.99"/>
    <s v="Sessão Faturada"/>
    <n v="954600033103010"/>
    <n v="59400"/>
    <s v="Unidade Vieiralves"/>
    <n v="1705705892"/>
    <m/>
  </r>
  <r>
    <x v="16"/>
    <x v="63"/>
    <s v="Luciana Araujo Monteiro"/>
    <s v="Feminino"/>
    <x v="8"/>
    <x v="22"/>
    <s v="20103115 - Atividade Reflexa Cinesioterápica (R$ 20,81)"/>
    <s v="Fisioterapia"/>
    <n v="1705707014"/>
    <s v="Finalizado (3/4)"/>
    <n v="18.312799999999999"/>
    <n v="2.4971999999999999"/>
    <n v="20.81"/>
    <s v="Sessão Faturada"/>
    <n v="954600033103010"/>
    <n v="59400"/>
    <s v="Unidade Vieiralves"/>
    <n v="1705707014"/>
    <m/>
  </r>
  <r>
    <x v="16"/>
    <x v="39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3/10)"/>
    <n v="23.803999999999998"/>
    <n v="3.246"/>
    <n v="27.05"/>
    <s v="Sessão Faturada"/>
    <n v="810177500019010"/>
    <n v="52971"/>
    <s v="Unidade Vieiralves"/>
    <n v="1706279020"/>
    <m/>
  </r>
  <r>
    <x v="16"/>
    <x v="64"/>
    <s v="Denise de Souza Lima Herzog"/>
    <s v="Feminino"/>
    <x v="2"/>
    <x v="22"/>
    <s v="20103115 - Atividade Reflexa Cinesioterápica (R$ 20,81)"/>
    <s v="Fisioterapia"/>
    <n v="1706279319"/>
    <s v="Finalizado (3/4)"/>
    <n v="18.312799999999999"/>
    <n v="2.4971999999999999"/>
    <n v="20.81"/>
    <s v="Sessão Faturada"/>
    <n v="810177500019010"/>
    <n v="52971"/>
    <s v="Unidade Vieiralves"/>
    <n v="1706279319"/>
    <m/>
  </r>
  <r>
    <x v="16"/>
    <x v="43"/>
    <s v="Julliana Gadelha de Medeiros"/>
    <s v="Feminino"/>
    <x v="8"/>
    <x v="22"/>
    <s v="20103484 - Patologia Em Um Membro (R$ 12,22)"/>
    <s v="Fisioterapia"/>
    <n v="1705658536"/>
    <s v="Finalizado (3/5)"/>
    <n v="10.7536"/>
    <n v="1.4663999999999999"/>
    <n v="12.22"/>
    <s v="Sessão Faturada"/>
    <n v="954600002968020"/>
    <n v="20663"/>
    <s v="Unidade Vieiralves"/>
    <n v="1705658536"/>
    <m/>
  </r>
  <r>
    <x v="16"/>
    <x v="66"/>
    <s v="Julliana Gadelha de Medeiros"/>
    <s v="Feminino"/>
    <x v="8"/>
    <x v="22"/>
    <s v="20103115 - Atividade Reflexa Cinesioterápica (R$ 20,81)"/>
    <s v="Fisioterapia"/>
    <n v="1705659450"/>
    <s v="Finalizado (3/4)"/>
    <n v="18.312799999999999"/>
    <n v="2.4971999999999999"/>
    <n v="20.81"/>
    <s v="Sessão Faturada"/>
    <n v="954600002968020"/>
    <n v="20663"/>
    <s v="Unidade Vieiralves"/>
    <n v="1705659450"/>
    <m/>
  </r>
  <r>
    <x v="21"/>
    <x v="44"/>
    <s v="Victor Lopes Miranda"/>
    <s v="Masculino"/>
    <x v="6"/>
    <x v="22"/>
    <s v="20103484 - Patologia Em Um Membro (R$ 14,16)"/>
    <s v="Fisioterapia"/>
    <n v="170422"/>
    <s v="Finalizado (2/3)"/>
    <n v="12.460800000000001"/>
    <n v="1.6992"/>
    <n v="14.16"/>
    <s v="Sessão a Faturar"/>
    <s v="54588888022360490014"/>
    <n v="59470"/>
    <s v="Unidade Vieiralves"/>
    <n v="170422"/>
    <m/>
  </r>
  <r>
    <x v="21"/>
    <x v="44"/>
    <s v="Luiza Silvestre da Silva"/>
    <s v="Feminino"/>
    <x v="2"/>
    <x v="22"/>
    <s v="50000144 - Avaliação de Fisioterapia (R$ 51,42)"/>
    <s v="Fisioterapia"/>
    <n v="1708242055"/>
    <s v="Finalizado (1/1)"/>
    <n v="46.277999999999999"/>
    <n v="5.1420000000000003"/>
    <n v="51.42"/>
    <s v="Sessão Faturada"/>
    <n v="770179021261010"/>
    <n v="11820"/>
    <s v="Unidade Vieiralves"/>
    <n v="1708242055"/>
    <m/>
  </r>
  <r>
    <x v="21"/>
    <x v="44"/>
    <s v="Luiza Silvestre da Silva"/>
    <s v="Feminino"/>
    <x v="2"/>
    <x v="22"/>
    <s v="20103492 - Fisioterapia - Patologia Em Dois Ou Mais Membros 2 (R$ 14,83)"/>
    <s v="Fisioterapia"/>
    <n v="1708242412"/>
    <s v="Finalizado (1/2)"/>
    <n v="13.0504"/>
    <n v="1.7796000000000001"/>
    <n v="14.83"/>
    <s v="Sessão Faturada"/>
    <n v="770179021261010"/>
    <n v="11820"/>
    <s v="Unidade Vieiralves"/>
    <n v="1708242412"/>
    <m/>
  </r>
  <r>
    <x v="21"/>
    <x v="44"/>
    <s v="Luiza Silvestre da Silva"/>
    <s v="Feminino"/>
    <x v="2"/>
    <x v="22"/>
    <s v="20103115 - Atividade Reflexa Cinesioterápica (R$ 20,81)"/>
    <s v="Fisioterapia"/>
    <n v="1708242773"/>
    <s v="Finalizado (1/1)"/>
    <n v="18.312799999999999"/>
    <n v="2.4971999999999999"/>
    <n v="20.81"/>
    <s v="Sessão Faturada"/>
    <n v="770179021261010"/>
    <n v="11820"/>
    <s v="Unidade Vieiralves"/>
    <n v="1708242773"/>
    <m/>
  </r>
  <r>
    <x v="21"/>
    <x v="60"/>
    <s v="Victor Lopes Miranda"/>
    <s v="Masculino"/>
    <x v="6"/>
    <x v="22"/>
    <s v="31602185 - Estimulação Elétrica Transcutanea (Tens) (R$ 40,00)"/>
    <s v="Fisioterapia"/>
    <n v="170423"/>
    <s v="Finalizado (2/3)"/>
    <n v="35.200000000000003"/>
    <n v="4.8"/>
    <n v="40"/>
    <s v="Sessão a Faturar"/>
    <s v="54588888022360490014"/>
    <n v="59470"/>
    <s v="Unidade Vieiralves"/>
    <n v="170423"/>
    <m/>
  </r>
  <r>
    <x v="21"/>
    <x v="41"/>
    <s v="Junio Costa de Almeida"/>
    <s v="Masculino"/>
    <x v="2"/>
    <x v="22"/>
    <s v="20103492 - Fisioterapia - Patologia Em Dois Ou Mais Membros (R$ 14,83)"/>
    <s v="Fisioterapia"/>
    <n v="1705120475"/>
    <s v="Finalizado (3/4)"/>
    <n v="13.0504"/>
    <n v="1.7796000000000001"/>
    <n v="14.83"/>
    <s v="Sessão Faturada"/>
    <n v="773709045322000"/>
    <n v="59013"/>
    <s v="Unidade Vieiralves"/>
    <n v="1705120475"/>
    <m/>
  </r>
  <r>
    <x v="21"/>
    <x v="41"/>
    <s v="Lauro Loureiro Yoshimura"/>
    <s v="Masculino"/>
    <x v="6"/>
    <x v="22"/>
    <s v="20103492 - Patologia Em Dois Ou Mais Membros (R$ 30,26)"/>
    <s v="Fisioterapia"/>
    <n v="170033"/>
    <s v="Finalizado (2/10)"/>
    <n v="26.628799999999998"/>
    <n v="3.6312000000000002"/>
    <n v="30.26"/>
    <s v="Sessão a Faturar"/>
    <s v="58200789998000620040"/>
    <n v="44324"/>
    <s v="Unidade Vieiralves"/>
    <n v="170033"/>
    <m/>
  </r>
  <r>
    <x v="21"/>
    <x v="41"/>
    <s v="Lauro Loureiro Yoshimura"/>
    <s v="Masculino"/>
    <x v="6"/>
    <x v="22"/>
    <s v="31602185 - Estimulação Elétrica Transcutanea (Tens) (R$ 40,00)"/>
    <s v="Fisioterapia"/>
    <n v="170036"/>
    <s v="Finalizado (2/10)"/>
    <n v="35.200000000000003"/>
    <n v="4.8"/>
    <n v="40"/>
    <s v="Sessão a Faturar"/>
    <s v="58200789998000620040"/>
    <n v="44324"/>
    <s v="Unidade Vieiralves"/>
    <n v="170036"/>
    <m/>
  </r>
  <r>
    <x v="21"/>
    <x v="41"/>
    <s v="Junio Costa de Almeida"/>
    <s v="Masculino"/>
    <x v="2"/>
    <x v="22"/>
    <s v="20103115 - Atividade Reflexa Cinesioterápica (R$ 20,81)"/>
    <s v="Fisioterapia"/>
    <n v="1705121488"/>
    <s v="Finalizado (3/3)"/>
    <n v="18.312799999999999"/>
    <n v="2.4971999999999999"/>
    <n v="20.81"/>
    <s v="Sessão Faturada"/>
    <n v="773709045322000"/>
    <n v="59013"/>
    <s v="Unidade Vieiralves"/>
    <n v="1705121488"/>
    <m/>
  </r>
  <r>
    <x v="21"/>
    <x v="41"/>
    <s v="Alberson Nascimento da Silva"/>
    <s v="Masculino"/>
    <x v="2"/>
    <x v="22"/>
    <s v="20103484 - Fisioterapia - Patologia Em Um Membro (R$ 12,22)"/>
    <s v="Fisioterapia"/>
    <n v="1707753300"/>
    <s v="Finalizado (2/2)"/>
    <n v="10.7536"/>
    <n v="1.4663999999999999"/>
    <n v="12.22"/>
    <s v="Sessão Faturada"/>
    <n v="847586402151000"/>
    <n v="58240"/>
    <s v="Unidade Vieiralves"/>
    <n v="1707753300"/>
    <m/>
  </r>
  <r>
    <x v="21"/>
    <x v="41"/>
    <s v="Alberson Nascimento da Silva"/>
    <s v="Masculino"/>
    <x v="2"/>
    <x v="22"/>
    <s v="20103115 - Atividade Reflexa Cinesioterápica (R$ 20,81)"/>
    <s v="Fisioterapia"/>
    <n v="1707791342"/>
    <s v="Finalizado (2/2)"/>
    <n v="18.312799999999999"/>
    <n v="2.4971999999999999"/>
    <n v="20.81"/>
    <s v="Sessão Faturada"/>
    <n v="847586402151000"/>
    <n v="58240"/>
    <s v="Unidade Vieiralves"/>
    <n v="1707791342"/>
    <m/>
  </r>
  <r>
    <x v="21"/>
    <x v="36"/>
    <s v="Fabiane Rodrigues de Castro"/>
    <s v="Feminino"/>
    <x v="1"/>
    <x v="22"/>
    <s v="50000144 - Consulta de Fisioterapia (R$ 16,00)"/>
    <s v="Fisioterapia"/>
    <n v="9218275"/>
    <s v="Finalizado (1/1)"/>
    <n v="14.4"/>
    <n v="1.6"/>
    <n v="16"/>
    <s v="Sessão Faturada"/>
    <s v="0902013413310090"/>
    <n v="51698"/>
    <s v="Unidade Vieiralves"/>
    <n v="9218275"/>
    <m/>
  </r>
  <r>
    <x v="21"/>
    <x v="36"/>
    <s v="Fabiane Rodrigues de Castro"/>
    <s v="Feminino"/>
    <x v="1"/>
    <x v="22"/>
    <s v="50000160 - Fisioterapia Ortopédica (R$ 20,00), 98980327 - Taxa de Eletroterapia (Tens) (R$ 15,00)"/>
    <s v="Fisioterapia"/>
    <n v="9218426"/>
    <s v="Finalizado (1/1)"/>
    <n v="30.8"/>
    <n v="4.2"/>
    <n v="35"/>
    <s v="Sessão Faturada"/>
    <s v="0902013413310090"/>
    <n v="51698"/>
    <s v="Unidade Vieiralves"/>
    <n v="9218426"/>
    <m/>
  </r>
  <r>
    <x v="21"/>
    <x v="36"/>
    <s v="Maria Lúcia de Oliveira Freitas"/>
    <m/>
    <x v="10"/>
    <x v="22"/>
    <s v="50000160 - Fisioterapia Ortopédica (R$ 15,00)"/>
    <s v="Fisioterapia"/>
    <n v="3631265"/>
    <s v="Finalizado (10/10)"/>
    <n v="13.2"/>
    <n v="1.8"/>
    <n v="15"/>
    <s v="Sessão Faturada"/>
    <s v="00010064289223009"/>
    <n v="59183"/>
    <s v="Unidade Vieiralves"/>
    <n v="3631265"/>
    <m/>
  </r>
  <r>
    <x v="21"/>
    <x v="40"/>
    <s v="Icaro de Melo Amorim"/>
    <s v="Masculino"/>
    <x v="2"/>
    <x v="22"/>
    <s v="20103662 - Fisioterapia - Pos Operatorio Em Um Membro (R$ 14,99)"/>
    <s v="Fisioterapia"/>
    <n v="1706531289"/>
    <s v="Finalizado (4/5)"/>
    <n v="13.1912"/>
    <n v="1.7988"/>
    <n v="14.99"/>
    <s v="Sessão Faturada"/>
    <n v="960019332171000"/>
    <n v="30492"/>
    <s v="Unidade Vieiralves"/>
    <n v="1706531289"/>
    <m/>
  </r>
  <r>
    <x v="21"/>
    <x v="40"/>
    <s v="Francisco Lima da Silva"/>
    <s v="Masculino"/>
    <x v="2"/>
    <x v="22"/>
    <s v="20103492 - Fisioterapia - Patologia Em Dois Ou Mais Membros (R$ 14,83)"/>
    <s v="Fisioterapia"/>
    <n v="1704442222"/>
    <s v="Finalizado (5/5)"/>
    <n v="13.0504"/>
    <n v="1.7796000000000001"/>
    <n v="14.83"/>
    <s v="Sessão Faturada"/>
    <n v="774981007706010"/>
    <n v="52427"/>
    <s v="Unidade Vieiralves"/>
    <n v="1704442222"/>
    <m/>
  </r>
  <r>
    <x v="21"/>
    <x v="45"/>
    <s v="Francisco Lima da Silva"/>
    <s v="Masculino"/>
    <x v="2"/>
    <x v="22"/>
    <s v="20103115 - Atividade Reflexa Cinesioterápica (R$ 20,81)"/>
    <s v="Fisioterapia"/>
    <n v="1704443587"/>
    <s v="Finalizado (5/5)"/>
    <n v="18.312799999999999"/>
    <n v="2.4971999999999999"/>
    <n v="20.81"/>
    <s v="Sessão Faturada"/>
    <n v="774981007706010"/>
    <n v="52427"/>
    <s v="Unidade Vieiralves"/>
    <n v="1704443587"/>
    <m/>
  </r>
  <r>
    <x v="21"/>
    <x v="45"/>
    <s v="Icaro de Melo Amorim"/>
    <s v="Masculino"/>
    <x v="2"/>
    <x v="22"/>
    <s v="20103115 - Atividade Reflexa Cinesioterápica (R$ 20,81)"/>
    <s v="Fisioterapia"/>
    <n v="1706531671"/>
    <s v="Finalizado (4/5)"/>
    <n v="18.312799999999999"/>
    <n v="2.4971999999999999"/>
    <n v="20.81"/>
    <s v="Sessão Faturada"/>
    <n v="960019332171000"/>
    <n v="30492"/>
    <s v="Unidade Vieiralves"/>
    <n v="1706531671"/>
    <m/>
  </r>
  <r>
    <x v="21"/>
    <x v="35"/>
    <s v="Henrique Douglas Macedo Mendes Júnior"/>
    <s v="Masculino"/>
    <x v="2"/>
    <x v="22"/>
    <s v="20103484 - Fisioterapia - Patologia Em Um Membro (R$ 12,22)"/>
    <s v="Fisioterapia"/>
    <n v="1708321359"/>
    <s v="Finalizado (1/5)"/>
    <n v="10.7536"/>
    <n v="1.4663999999999999"/>
    <n v="12.22"/>
    <s v="Sessão Faturada"/>
    <n v="897702200019010"/>
    <n v="56664"/>
    <s v="Unidade Vieiralves"/>
    <n v="1708321359"/>
    <m/>
  </r>
  <r>
    <x v="21"/>
    <x v="35"/>
    <s v="Henrique Douglas Macedo Mendes Júnior"/>
    <s v="Masculino"/>
    <x v="2"/>
    <x v="22"/>
    <s v="20103115 - Atividade Reflexa Cinesioterápica (R$ 20,81)"/>
    <s v="Fisioterapia"/>
    <n v="1708322219"/>
    <s v="Finalizado (1/1)"/>
    <n v="18.312799999999999"/>
    <n v="2.4971999999999999"/>
    <n v="20.81"/>
    <s v="Sessão Faturada"/>
    <n v="897702200019010"/>
    <n v="56664"/>
    <s v="Unidade Vieiralves"/>
    <n v="1708322219"/>
    <m/>
  </r>
  <r>
    <x v="21"/>
    <x v="38"/>
    <s v="Larissa Bastos Nunes"/>
    <s v="Feminino"/>
    <x v="2"/>
    <x v="22"/>
    <s v="20103484 - Fisioterapia - Patologia Em Um Membro (R$ 12,22)"/>
    <s v="Fisioterapia"/>
    <n v="1705186719"/>
    <s v="Finalizado (3/5)"/>
    <n v="10.7536"/>
    <n v="1.4663999999999999"/>
    <n v="12.22"/>
    <s v="Sessão Faturada"/>
    <n v="610821790001010"/>
    <n v="59312"/>
    <s v="Unidade Vieiralves"/>
    <n v="1705186719"/>
    <m/>
  </r>
  <r>
    <x v="21"/>
    <x v="38"/>
    <s v="Eunice Emanuele Soares Martins"/>
    <s v="Feminino"/>
    <x v="1"/>
    <x v="22"/>
    <s v="50000160 - Fisioterapia Ortopédica (R$ 20,00), 98980327 - Taxa de Eletroterapia (Tens) (R$ 15,00)"/>
    <s v="Fisioterapia"/>
    <n v="8886344"/>
    <s v="Finalizado (2/10)"/>
    <n v="30.8"/>
    <n v="4.2"/>
    <n v="35"/>
    <s v="Sessão Faturada"/>
    <n v="1202011460120100"/>
    <n v="56253"/>
    <s v="Unidade Vieiralves"/>
    <n v="8886344"/>
    <m/>
  </r>
  <r>
    <x v="21"/>
    <x v="37"/>
    <s v="Thiago Lima Guedes"/>
    <s v="Masculino"/>
    <x v="2"/>
    <x v="22"/>
    <s v="20103115 - Atividade Reflexa Cinesioterápica (R$ 20,81)"/>
    <s v="Fisioterapia"/>
    <n v="1708335075"/>
    <s v="Finalizado (1/1)"/>
    <n v="18.312799999999999"/>
    <n v="2.4971999999999999"/>
    <n v="20.81"/>
    <s v="Sessão Faturada"/>
    <n v="960019317525020"/>
    <n v="59106"/>
    <s v="Unidade Vieiralves"/>
    <n v="1708335075"/>
    <m/>
  </r>
  <r>
    <x v="21"/>
    <x v="37"/>
    <s v="Thiago Lima Guedes"/>
    <s v="Masculino"/>
    <x v="2"/>
    <x v="22"/>
    <s v="50000144 - Avaliação de Fisioterapia (R$ 51,42)"/>
    <s v="Fisioterapia"/>
    <n v="1708334227"/>
    <s v="Finalizado (1/1)"/>
    <n v="46.277999999999999"/>
    <n v="5.1420000000000003"/>
    <n v="51.42"/>
    <s v="Sessão Faturada"/>
    <n v="960019317525020"/>
    <n v="59106"/>
    <s v="Unidade Vieiralves"/>
    <n v="1708334227"/>
    <m/>
  </r>
  <r>
    <x v="21"/>
    <x v="63"/>
    <s v="Thiago Lima Guedes"/>
    <s v="Masculino"/>
    <x v="2"/>
    <x v="22"/>
    <s v="20103484 - Fisioterapia - Patologia Em Um Membro (R$ 12,22)"/>
    <s v="Fisioterapia"/>
    <n v="1708334645"/>
    <s v="Finalizado (1/7)"/>
    <n v="10.7536"/>
    <n v="1.4663999999999999"/>
    <n v="12.22"/>
    <s v="Sessão a Faturar"/>
    <n v="960019317525020"/>
    <n v="59106"/>
    <s v="Unidade Vieiralves"/>
    <n v="1708334645"/>
    <m/>
  </r>
  <r>
    <x v="21"/>
    <x v="39"/>
    <s v="Elen Cristina Ferreira Botelho"/>
    <s v="Feminino"/>
    <x v="8"/>
    <x v="22"/>
    <s v="20103484 - Patologia Em Um Membro (R$ 12,22)"/>
    <s v="Fisioterapia"/>
    <n v="1708057920"/>
    <s v="Finalizado (2/2)"/>
    <n v="10.7536"/>
    <n v="1.4663999999999999"/>
    <n v="12.22"/>
    <s v="Sessão a Faturar"/>
    <n v="954440000647010"/>
    <n v="15871"/>
    <s v="Unidade Vieiralves"/>
    <n v="1708057920"/>
    <m/>
  </r>
  <r>
    <x v="21"/>
    <x v="64"/>
    <s v="Elen Cristina Ferreira Botelho"/>
    <s v="Feminino"/>
    <x v="8"/>
    <x v="22"/>
    <s v="20103115 - Atividade Reflexa Cinesioterápica (R$ 20,81)"/>
    <s v="Fisioterapia"/>
    <n v="1708058672"/>
    <s v="Finalizado (2/2)"/>
    <n v="18.312799999999999"/>
    <n v="2.4971999999999999"/>
    <n v="20.81"/>
    <s v="Sessão Faturada"/>
    <n v="954440000647010"/>
    <n v="15871"/>
    <s v="Unidade Vieiralves"/>
    <n v="1708058672"/>
    <m/>
  </r>
  <r>
    <x v="17"/>
    <x v="44"/>
    <s v="Diego Nobuyoshi de Souza Tsuji"/>
    <s v="Masculino"/>
    <x v="2"/>
    <x v="22"/>
    <s v="20103115 - Atividade Reflexa Cinesioterápica (R$ 20,81)"/>
    <s v="Fisioterapia"/>
    <n v="1706125488"/>
    <s v="Finalizado (5/5)"/>
    <n v="18.312799999999999"/>
    <n v="2.4971999999999999"/>
    <n v="20.81"/>
    <s v="Sessão Faturada"/>
    <n v="774981009148000"/>
    <n v="11130"/>
    <s v="Unidade Vieiralves"/>
    <n v="1706125488"/>
    <m/>
  </r>
  <r>
    <x v="17"/>
    <x v="44"/>
    <s v="Diego Nobuyoshi de Souza Tsuji"/>
    <s v="Masculino"/>
    <x v="4"/>
    <x v="22"/>
    <s v="31602185 - Estimulação Elétrica Transcutânea - Removido 13/04/2026 (R$ 40,00)"/>
    <s v="Fisioterapia"/>
    <n v="1707704113"/>
    <s v="Finalizado (2/5)"/>
    <n v="35.200000000000003"/>
    <n v="4.8"/>
    <n v="40"/>
    <s v="Sessão Faturada"/>
    <n v="774981009148000"/>
    <n v="11130"/>
    <s v="Unidade Vieiralves"/>
    <n v="1707704113"/>
    <m/>
  </r>
  <r>
    <x v="17"/>
    <x v="44"/>
    <s v="Ruth Vania Duarte Ramos"/>
    <m/>
    <x v="6"/>
    <x v="22"/>
    <s v="31602185 - Estimulação Elétrica Transcutanea (Tens) (R$ 40,00)"/>
    <s v="Fisioterapia"/>
    <n v="168577"/>
    <s v="Finalizado (7/10)"/>
    <n v="35.200000000000003"/>
    <n v="4.8"/>
    <n v="40"/>
    <s v="Sessão a Faturar"/>
    <s v="55788888489432510020"/>
    <n v="58616"/>
    <s v="Unidade Vieiralves"/>
    <n v="168577"/>
    <m/>
  </r>
  <r>
    <x v="17"/>
    <x v="44"/>
    <s v="Ruth Vania Duarte Ramos"/>
    <m/>
    <x v="6"/>
    <x v="22"/>
    <s v="20103662 - Pos Operatorio Em Um Membro (R$ 22,53)"/>
    <s v="Fisioterapia"/>
    <n v="170395"/>
    <s v="Finalizado (2/10)"/>
    <n v="19.8264"/>
    <n v="2.7035999999999998"/>
    <n v="22.53"/>
    <s v="Sessão a Faturar"/>
    <s v="55788888489432510020"/>
    <n v="58616"/>
    <s v="Unidade Vieiralves"/>
    <n v="170395"/>
    <s v="guia assinada"/>
  </r>
  <r>
    <x v="17"/>
    <x v="44"/>
    <s v="Diego Nobuyoshi de Souza Tsuji"/>
    <s v="Masculino"/>
    <x v="2"/>
    <x v="22"/>
    <s v="20103484 - Fisioterapia - Patologia Em Um Membro (R$ 12,22)"/>
    <s v="Fisioterapia"/>
    <n v="1706124810"/>
    <s v="Finalizado (5/5)"/>
    <n v="10.7536"/>
    <n v="1.4663999999999999"/>
    <n v="12.22"/>
    <s v="Sessão Faturada"/>
    <n v="774981009148000"/>
    <n v="11130"/>
    <s v="Unidade Vieiralves"/>
    <n v="1706124810"/>
    <m/>
  </r>
  <r>
    <x v="17"/>
    <x v="41"/>
    <s v="Joao Arthur Alcantara de Lima"/>
    <s v="Masculino"/>
    <x v="2"/>
    <x v="22"/>
    <s v="50000144 - Avaliação de Fisioterapia (R$ 51,42)"/>
    <s v="Fisioterapia"/>
    <n v="1708828222"/>
    <s v="Finalizado (1/1)"/>
    <n v="46.277999999999999"/>
    <n v="5.1420000000000003"/>
    <n v="51.42"/>
    <s v="Sessão Faturada"/>
    <n v="774642026670000"/>
    <n v="59569"/>
    <s v="Unidade Vieiralves"/>
    <n v="1708828222"/>
    <m/>
  </r>
  <r>
    <x v="17"/>
    <x v="41"/>
    <s v="Mario Alves Sobral Junior"/>
    <s v="Masculino"/>
    <x v="1"/>
    <x v="22"/>
    <s v="50000217 - Fisioterapia Pré e Pós Operatória (R$ 25,00), 98980327 - Taxa de Eletroterapia (Tens) (R$ 15,00)"/>
    <s v="Fisioterapia"/>
    <n v="97632334"/>
    <s v="Finalizado (8/10)"/>
    <n v="35.200000000000003"/>
    <n v="4.8"/>
    <n v="40"/>
    <s v="Sessão a Faturar"/>
    <s v="01301012922220002"/>
    <n v="14923"/>
    <s v="Unidade Vieiralves"/>
    <n v="97632334"/>
    <m/>
  </r>
  <r>
    <x v="17"/>
    <x v="76"/>
    <s v="Joao Arthur Alcantara de Lima"/>
    <s v="Masculino"/>
    <x v="2"/>
    <x v="22"/>
    <s v="20103662 - Fisioterapia - Pos Operatorio Em Um Membro (R$ 14,99)"/>
    <s v="Fisioterapia"/>
    <n v="1708826822"/>
    <s v="Finalizado (1/9)"/>
    <n v="13.1912"/>
    <n v="1.7988"/>
    <n v="14.99"/>
    <s v="Sessão Faturada"/>
    <n v="774642026670000"/>
    <n v="59569"/>
    <s v="Unidade Vieiralves"/>
    <n v="1708826822"/>
    <m/>
  </r>
  <r>
    <x v="17"/>
    <x v="48"/>
    <s v="Joao Arthur Alcantara de Lima"/>
    <s v="Masculino"/>
    <x v="2"/>
    <x v="22"/>
    <s v="20103115 - Atividade Reflexa Cinesioterápica (R$ 20,81)"/>
    <s v="Fisioterapia"/>
    <n v="1708829547"/>
    <s v="Finalizado (1/2)"/>
    <n v="18.312799999999999"/>
    <n v="2.4971999999999999"/>
    <n v="20.81"/>
    <s v="Sessão Faturada"/>
    <n v="774642026670000"/>
    <n v="59569"/>
    <s v="Unidade Vieiralves"/>
    <n v="1708829547"/>
    <m/>
  </r>
  <r>
    <x v="17"/>
    <x v="36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1/10)"/>
    <n v="39.089599999999997"/>
    <n v="5.3304"/>
    <n v="44.42"/>
    <s v="Sessão a Faturar"/>
    <s v="55788888483387380020"/>
    <n v="20265"/>
    <s v="Unidade Vieiralves"/>
    <n v="168228"/>
    <m/>
  </r>
  <r>
    <x v="17"/>
    <x v="36"/>
    <s v="Ana Maria Barros Martins"/>
    <s v="Feminino"/>
    <x v="1"/>
    <x v="22"/>
    <s v="50000160 - Fisioterapia Ortopédica (R$ 20,00), 98980327 - Taxa de Eletroterapia (Tens) (R$ 15,00)"/>
    <s v="Fisioterapia"/>
    <n v="8673002"/>
    <s v="Finalizado (8/10)"/>
    <n v="30.8"/>
    <n v="4.2"/>
    <n v="35"/>
    <s v="Sessão Faturada"/>
    <s v="0201005329570033"/>
    <n v="55774"/>
    <s v="Unidade Vieiralves"/>
    <n v="8673002"/>
    <s v="GUIA ASSINADA!"/>
  </r>
  <r>
    <x v="17"/>
    <x v="61"/>
    <s v="Maria Nazira Tomaz Pereira"/>
    <s v="Feminino"/>
    <x v="6"/>
    <x v="22"/>
    <s v="31602185 - Estimulação Elétrica Transcutanea (Tens) (R$ 40,00)"/>
    <s v="Fisioterapia"/>
    <n v="170935"/>
    <s v="Finalizado (1/10)"/>
    <n v="35.200000000000003"/>
    <n v="4.8"/>
    <n v="40"/>
    <s v="Sessão a Faturar"/>
    <s v="55788888483387380020"/>
    <n v="20265"/>
    <s v="Unidade Vieiralves"/>
    <n v="170935"/>
    <m/>
  </r>
  <r>
    <x v="17"/>
    <x v="40"/>
    <s v="Katia Cilene Jardim da Costa"/>
    <s v="Feminino"/>
    <x v="2"/>
    <x v="22"/>
    <s v="20103115 - Atividade Reflexa Cinesioterápica (R$ 20,81)"/>
    <s v="Fisioterapia"/>
    <n v="1707251479"/>
    <s v="Finalizado (3/3)"/>
    <n v="18.312799999999999"/>
    <n v="2.4971999999999999"/>
    <n v="20.81"/>
    <s v="Sessão Faturada"/>
    <n v="771015041750020"/>
    <n v="37973"/>
    <s v="Unidade Vieiralves"/>
    <n v="1707251479"/>
    <m/>
  </r>
  <r>
    <x v="17"/>
    <x v="40"/>
    <s v="Maria Eduarda Menezes"/>
    <s v="Feminino"/>
    <x v="0"/>
    <x v="22"/>
    <s v="50000160 - Fisioterapia Ortopedica (R$ 49,72)"/>
    <s v="Fisioterapia"/>
    <s v="42263120260310446258"/>
    <s v="Finalizado (1/10)"/>
    <n v="43.753599999999999"/>
    <n v="5.9664000000000001"/>
    <n v="49.72"/>
    <s v="Sessão a Faturar"/>
    <s v="010650678953"/>
    <n v="59554"/>
    <s v="Unidade Vieiralves"/>
    <s v="42263120260310446258"/>
    <m/>
  </r>
  <r>
    <x v="17"/>
    <x v="40"/>
    <s v="Maria Eduarda Menezes"/>
    <s v="Feminino"/>
    <x v="0"/>
    <x v="22"/>
    <s v="31602185 - Estimulação Elétrica Transcutânea Fisioterapia (Novo - 01/12) (R$ 54,13)"/>
    <s v="Fisioterapia"/>
    <s v="42263120260310446304"/>
    <s v="Finalizado (1/10)"/>
    <n v="47.634399999999999"/>
    <n v="6.4955999999999996"/>
    <n v="54.13"/>
    <s v="Sessão a Faturar"/>
    <s v="010650678953"/>
    <n v="59554"/>
    <s v="Unidade Vieiralves"/>
    <s v="42263120260310446304"/>
    <m/>
  </r>
  <r>
    <x v="17"/>
    <x v="40"/>
    <s v="Maria Eduarda Menezes"/>
    <s v="Feminino"/>
    <x v="0"/>
    <x v="22"/>
    <s v="50000144 - Avaliação de Fisioterapia (R$ 39,72)"/>
    <s v="Fisioterapia"/>
    <n v="170686"/>
    <s v="Finalizado (1/1)"/>
    <n v="35.747999999999998"/>
    <n v="3.972"/>
    <n v="39.72"/>
    <s v="Sessão Faturada"/>
    <s v="010650678953"/>
    <n v="59554"/>
    <s v="Unidade Vieiralves"/>
    <n v="170686"/>
    <m/>
  </r>
  <r>
    <x v="17"/>
    <x v="49"/>
    <s v="Katia Cilene Jardim da Costa"/>
    <s v="Feminino"/>
    <x v="4"/>
    <x v="22"/>
    <s v="31602185 - Estimulação Elétrica Transcutânea - Removido 13/04/2026 (R$ 40,00)"/>
    <s v="Fisioterapia"/>
    <n v="1707351947"/>
    <s v="Finalizado (2/5)"/>
    <n v="35.200000000000003"/>
    <n v="4.8"/>
    <n v="40"/>
    <s v="Sessão Faturada"/>
    <n v="771015041750020"/>
    <n v="37973"/>
    <s v="Unidade Vieiralves"/>
    <n v="1707351947"/>
    <m/>
  </r>
  <r>
    <x v="17"/>
    <x v="55"/>
    <s v="Katia Cilene Jardim da Costa"/>
    <s v="Feminino"/>
    <x v="2"/>
    <x v="22"/>
    <s v="20103484 - Fisioterapia - Patologia Em Um Membro (R$ 12,22)"/>
    <s v="Fisioterapia"/>
    <n v="1707250451"/>
    <s v="Finalizado (3/10)"/>
    <n v="10.7536"/>
    <n v="1.4663999999999999"/>
    <n v="12.22"/>
    <s v="Sessão Faturada"/>
    <n v="771015041750020"/>
    <n v="37973"/>
    <s v="Unidade Vieiralves"/>
    <n v="1707250451"/>
    <m/>
  </r>
  <r>
    <x v="17"/>
    <x v="35"/>
    <s v="Rosana Batista Januario"/>
    <s v="Feminino"/>
    <x v="26"/>
    <x v="22"/>
    <s v="20103492 - Fisioterapia - Patologia Em Dois Ou Mais Membros (R$ 23,85)"/>
    <s v="Fisioterapia"/>
    <n v="270659481"/>
    <s v="Não compareceu (9/10)"/>
    <n v="23.85"/>
    <n v="0"/>
    <n v="23.85"/>
    <s v="Sessão Faturada"/>
    <s v="1Q6HS000023000"/>
    <n v="56673"/>
    <s v="Unidade Vieiralves"/>
    <n v="270659481"/>
    <m/>
  </r>
  <r>
    <x v="17"/>
    <x v="35"/>
    <s v="Lucas Rodrigues de Oliveira"/>
    <s v="Masculino"/>
    <x v="17"/>
    <x v="22"/>
    <s v="50000160 - Fisioterapia Ortopedica (R$ 45,00)"/>
    <s v="Fisioterapia"/>
    <n v="3988705"/>
    <s v="Finalizado (2/4)"/>
    <n v="39.6"/>
    <n v="5.4"/>
    <n v="45"/>
    <s v="Sessão a Faturar"/>
    <s v="000915777874300"/>
    <n v="46907"/>
    <s v="Unidade Vieiralves"/>
    <n v="3988705"/>
    <m/>
  </r>
  <r>
    <x v="17"/>
    <x v="35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6767128"/>
    <s v="Finalizado (3/5)"/>
    <n v="26.1008"/>
    <n v="3.5592000000000001"/>
    <n v="29.66"/>
    <s v="Sessão Faturada"/>
    <n v="813312700027000"/>
    <n v="17029"/>
    <s v="Unidade Vieiralves"/>
    <n v="1706767128"/>
    <m/>
  </r>
  <r>
    <x v="17"/>
    <x v="35"/>
    <s v="Guaracy Silva da Cunha"/>
    <s v="Feminino"/>
    <x v="1"/>
    <x v="22"/>
    <s v="50000160 - Fisioterapia Ortopédica (R$ 20,00), 98980327 - Taxa de Eletroterapia (Tens) (R$ 15,00)"/>
    <s v="Fisioterapia"/>
    <n v="8790991"/>
    <s v="Finalizado (10/10)"/>
    <n v="30.8"/>
    <n v="4.2"/>
    <n v="35"/>
    <s v="Sessão Faturada"/>
    <s v="0901013070050252"/>
    <n v="21742"/>
    <s v="Unidade Vieiralves"/>
    <n v="8790991"/>
    <m/>
  </r>
  <r>
    <x v="17"/>
    <x v="70"/>
    <s v="Rose Mayre Vieira Barreto"/>
    <s v="Feminino"/>
    <x v="2"/>
    <x v="22"/>
    <s v="20103115 - Atividade Reflexa Cinesioterápica (R$ 20,81)"/>
    <s v="Fisioterapia"/>
    <n v="1706767963"/>
    <s v="Finalizado (3/3)"/>
    <n v="18.312799999999999"/>
    <n v="2.4971999999999999"/>
    <n v="20.81"/>
    <s v="Sessão Faturada"/>
    <n v="813312700027000"/>
    <n v="17029"/>
    <s v="Unidade Vieiralves"/>
    <n v="1706767963"/>
    <m/>
  </r>
  <r>
    <x v="17"/>
    <x v="71"/>
    <s v="Rose Mayre Vieira Barreto"/>
    <s v="Feminino"/>
    <x v="4"/>
    <x v="22"/>
    <s v="31602185 - Estimulação Elétrica Transcutânea - Removido 13/04/2026 (R$ 40,00)"/>
    <s v="Fisioterapia"/>
    <n v="1708908103"/>
    <s v="Finalizado (1/5)"/>
    <n v="35.200000000000003"/>
    <n v="4.8"/>
    <n v="40"/>
    <s v="Sessão Faturada"/>
    <n v="813312700027000"/>
    <n v="17029"/>
    <s v="Unidade Vieiralves"/>
    <n v="1708908103"/>
    <m/>
  </r>
  <r>
    <x v="17"/>
    <x v="38"/>
    <s v="Ednamar da Silva Barros"/>
    <s v="Feminino"/>
    <x v="2"/>
    <x v="22"/>
    <s v="20103115 - Atividade Reflexa Cinesioterápica (R$ 20,81)"/>
    <s v="Fisioterapia"/>
    <n v="1705689085"/>
    <s v="Finalizado (3/3)"/>
    <n v="18.312799999999999"/>
    <n v="2.4971999999999999"/>
    <n v="20.81"/>
    <s v="Sessão Faturada"/>
    <n v="771015041971000"/>
    <n v="58523"/>
    <s v="Unidade Vieiralves"/>
    <n v="1705689085"/>
    <m/>
  </r>
  <r>
    <x v="17"/>
    <x v="38"/>
    <s v="Ednamar da Silva Barros"/>
    <s v="Feminino"/>
    <x v="2"/>
    <x v="22"/>
    <s v="20103506 - Fisioterapia - Patologia Em Um Segmento da Coluna (R$ 12,22)"/>
    <s v="Fisioterapia"/>
    <n v="1705688191"/>
    <s v="Finalizado (3/3)"/>
    <n v="10.7536"/>
    <n v="1.4663999999999999"/>
    <n v="12.22"/>
    <s v="Sessão Faturada"/>
    <n v="771015041971000"/>
    <n v="58523"/>
    <s v="Unidade Vieiralves"/>
    <n v="1705688191"/>
    <m/>
  </r>
  <r>
    <x v="17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4/10)"/>
    <n v="23.803999999999998"/>
    <n v="3.246"/>
    <n v="27.05"/>
    <s v="Sessão Faturada"/>
    <n v="952480013332000"/>
    <n v="14710"/>
    <s v="Unidade Vieiralves"/>
    <n v="1706776664"/>
    <m/>
  </r>
  <r>
    <x v="17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4/10)"/>
    <n v="23.803999999999998"/>
    <n v="3.246"/>
    <n v="27.05"/>
    <s v="Sessão Faturada"/>
    <n v="810177500019010"/>
    <n v="52971"/>
    <s v="Unidade Vieiralves"/>
    <n v="1706279020"/>
    <m/>
  </r>
  <r>
    <x v="17"/>
    <x v="37"/>
    <s v="Denise de Souza Lima Herzog"/>
    <s v="Feminino"/>
    <x v="4"/>
    <x v="22"/>
    <s v="31602185 - Estimulação Elétrica Transcutânea - Removido 13/04/2026 (R$ 40,00)"/>
    <s v="Fisioterapia"/>
    <n v="1708948484"/>
    <s v="Finalizado (1/5)"/>
    <n v="35.200000000000003"/>
    <n v="4.8"/>
    <n v="40"/>
    <s v="Sessão Faturada"/>
    <n v="810177500019010"/>
    <n v="52971"/>
    <s v="Unidade Vieiralves"/>
    <n v="1708948484"/>
    <m/>
  </r>
  <r>
    <x v="17"/>
    <x v="37"/>
    <s v="Luciana Araujo Monteiro"/>
    <s v="Feminino"/>
    <x v="8"/>
    <x v="22"/>
    <s v="20103662 - Pos Operatorio Em Um Membro (R$ 14,99)"/>
    <s v="Fisioterapia"/>
    <n v="1705705892"/>
    <s v="Finalizado (4/5)"/>
    <n v="13.1912"/>
    <n v="1.7988"/>
    <n v="14.99"/>
    <s v="Sessão Faturada"/>
    <n v="954600033103010"/>
    <n v="59400"/>
    <s v="Unidade Vieiralves"/>
    <n v="1705705892"/>
    <m/>
  </r>
  <r>
    <x v="17"/>
    <x v="58"/>
    <s v="Raimunda Carvalho Caldas"/>
    <s v="Feminino"/>
    <x v="2"/>
    <x v="22"/>
    <s v="20103115 - Atividade Reflexa Cinesioterápica (R$ 20,81)"/>
    <s v="Fisioterapia"/>
    <n v="1706777377"/>
    <s v="Finalizado (4/5)"/>
    <n v="18.312799999999999"/>
    <n v="2.4971999999999999"/>
    <n v="20.81"/>
    <s v="Sessão Faturada"/>
    <n v="952480013332000"/>
    <n v="14710"/>
    <s v="Unidade Vieiralves"/>
    <n v="1706777377"/>
    <m/>
  </r>
  <r>
    <x v="17"/>
    <x v="58"/>
    <s v="Luciana Araujo Monteiro"/>
    <s v="Feminino"/>
    <x v="9"/>
    <x v="22"/>
    <s v="31602185 - Estimulação Elétrica Transcutânea (Tens) - Removido 13/04/2026 (R$ 40,00)"/>
    <s v="Fisioterapia"/>
    <n v="1708975983"/>
    <s v="Finalizado (1/5)"/>
    <n v="35.200000000000003"/>
    <n v="4.8"/>
    <n v="40"/>
    <s v="Sessão Faturada"/>
    <n v="954600033103010"/>
    <n v="59400"/>
    <s v="Unidade Vieiralves"/>
    <n v="1708975983"/>
    <m/>
  </r>
  <r>
    <x v="17"/>
    <x v="63"/>
    <s v="Denise de Souza Lima Herzog"/>
    <s v="Feminino"/>
    <x v="2"/>
    <x v="22"/>
    <s v="20103115 - Atividade Reflexa Cinesioterápica (R$ 20,81)"/>
    <s v="Fisioterapia"/>
    <n v="1706279319"/>
    <s v="Finalizado (4/4)"/>
    <n v="18.312799999999999"/>
    <n v="2.4971999999999999"/>
    <n v="20.81"/>
    <s v="Sessão Faturada"/>
    <n v="810177500019010"/>
    <n v="52971"/>
    <s v="Unidade Vieiralves"/>
    <n v="1706279319"/>
    <m/>
  </r>
  <r>
    <x v="17"/>
    <x v="50"/>
    <s v="Raimunda Carvalho Caldas"/>
    <s v="Feminino"/>
    <x v="4"/>
    <x v="22"/>
    <s v="31602185 - Estimulação Elétrica Transcutânea - Removido 13/04/2026 (R$ 40,00)"/>
    <s v="Fisioterapia"/>
    <n v="1707806477"/>
    <s v="Finalizado (2/5)"/>
    <n v="35.200000000000003"/>
    <n v="4.8"/>
    <n v="40"/>
    <s v="Sessão Faturada"/>
    <n v="952480013332000"/>
    <n v="14710"/>
    <s v="Unidade Vieiralves"/>
    <n v="1707806477"/>
    <m/>
  </r>
  <r>
    <x v="17"/>
    <x v="50"/>
    <s v="Luciana Araujo Monteiro"/>
    <s v="Feminino"/>
    <x v="8"/>
    <x v="22"/>
    <s v="20103115 - Atividade Reflexa Cinesioterápica (R$ 20,81)"/>
    <s v="Fisioterapia"/>
    <n v="1705707014"/>
    <s v="Finalizado (4/4)"/>
    <n v="18.312799999999999"/>
    <n v="2.4971999999999999"/>
    <n v="20.81"/>
    <s v="Sessão Faturada"/>
    <n v="954600033103010"/>
    <n v="59400"/>
    <s v="Unidade Vieiralves"/>
    <n v="1705707014"/>
    <m/>
  </r>
  <r>
    <x v="17"/>
    <x v="43"/>
    <s v="Julliana Gadelha de Medeiros"/>
    <s v="Feminino"/>
    <x v="8"/>
    <x v="22"/>
    <s v="20103484 - Patologia Em Um Membro (R$ 12,22)"/>
    <s v="Fisioterapia"/>
    <n v="1705658536"/>
    <s v="Finalizado (4/5)"/>
    <n v="10.7536"/>
    <n v="1.4663999999999999"/>
    <n v="12.22"/>
    <s v="Sessão Faturada"/>
    <n v="954600002968020"/>
    <n v="20663"/>
    <s v="Unidade Vieiralves"/>
    <n v="1705658536"/>
    <m/>
  </r>
  <r>
    <x v="17"/>
    <x v="43"/>
    <s v="Wandercleia Martins Pontes"/>
    <s v="Feminino"/>
    <x v="1"/>
    <x v="22"/>
    <s v="50000160 - Fisioterapia Ortopédica (R$ 20,00), 98980327 - Taxa de Eletroterapia (Tens) (R$ 15,00)"/>
    <s v="Fisioterapia"/>
    <n v="8749507"/>
    <s v="Finalizado (7/10)"/>
    <n v="30.8"/>
    <n v="4.2"/>
    <n v="35"/>
    <s v="Sessão Faturada"/>
    <s v="0201013323070030"/>
    <n v="19693"/>
    <s v="Unidade Vieiralves"/>
    <n v="8749507"/>
    <s v="GUIA ASSINADA!"/>
  </r>
  <r>
    <x v="17"/>
    <x v="51"/>
    <s v="Julliana Gadelha de Medeiros"/>
    <s v="Feminino"/>
    <x v="8"/>
    <x v="22"/>
    <s v="20103115 - Atividade Reflexa Cinesioterápica (R$ 20,81)"/>
    <s v="Fisioterapia"/>
    <n v="1705659450"/>
    <s v="Finalizado (4/4)"/>
    <n v="18.312799999999999"/>
    <n v="2.4971999999999999"/>
    <n v="20.81"/>
    <s v="Sessão Faturada"/>
    <n v="954600002968020"/>
    <n v="20663"/>
    <s v="Unidade Vieiralves"/>
    <n v="1705659450"/>
    <m/>
  </r>
  <r>
    <x v="17"/>
    <x v="77"/>
    <s v="Julliana Gadelha de Medeiros"/>
    <s v="Feminino"/>
    <x v="9"/>
    <x v="22"/>
    <s v="31602185 - Estimulação Elétrica Transcutânea (Tens) - Removido 13/04/2026 (R$ 40,00)"/>
    <s v="Fisioterapia"/>
    <n v="1708959722"/>
    <s v="Finalizado (1/5)"/>
    <n v="35.200000000000003"/>
    <n v="4.8"/>
    <n v="40"/>
    <s v="Sessão Faturada"/>
    <n v="954600002968020"/>
    <n v="20663"/>
    <s v="Unidade Vieiralves"/>
    <n v="1708959722"/>
    <m/>
  </r>
  <r>
    <x v="18"/>
    <x v="44"/>
    <s v="Yasmin Guedes Lima"/>
    <s v="Feminino"/>
    <x v="4"/>
    <x v="22"/>
    <s v="31602185 - Estimulação Elétrica Transcutânea - Removido 13/04/2026 (R$ 40,00)"/>
    <s v="Fisioterapia"/>
    <n v="1709414822"/>
    <s v="Finalizado (1/5)"/>
    <n v="35.200000000000003"/>
    <n v="4.8"/>
    <n v="40"/>
    <s v="Sessão Faturada"/>
    <n v="960016575471020"/>
    <n v="35978"/>
    <s v="Unidade Vieiralves"/>
    <n v="1709414822"/>
    <m/>
  </r>
  <r>
    <x v="18"/>
    <x v="44"/>
    <s v="Diego Nobuyoshi de Souza Tsuji"/>
    <s v="Masculino"/>
    <x v="2"/>
    <x v="22"/>
    <s v="20103492 - Fisioterapia - Patologia Em Dois Ou Mais Membros (R$ 14,83)"/>
    <s v="Fisioterapia"/>
    <n v="1709435090"/>
    <s v="Finalizado (1/5)"/>
    <n v="13.0504"/>
    <n v="1.7796000000000001"/>
    <n v="14.83"/>
    <s v="Sessão Faturada"/>
    <n v="774981009148000"/>
    <n v="11130"/>
    <s v="Unidade Vieiralves"/>
    <n v="1709435090"/>
    <m/>
  </r>
  <r>
    <x v="18"/>
    <x v="44"/>
    <s v="Diego Nobuyoshi de Souza Tsuji"/>
    <s v="Masculino"/>
    <x v="2"/>
    <x v="22"/>
    <s v="20103115 - Atividade Reflexa Cinesioterápica (R$ 20,81)"/>
    <s v="Fisioterapia"/>
    <n v="1709436905"/>
    <s v="Finalizado (1/1)"/>
    <n v="18.312799999999999"/>
    <n v="2.4971999999999999"/>
    <n v="20.81"/>
    <s v="Sessão Faturada"/>
    <n v="774981009148000"/>
    <n v="11130"/>
    <s v="Unidade Vieiralves"/>
    <n v="1709436905"/>
    <m/>
  </r>
  <r>
    <x v="18"/>
    <x v="44"/>
    <s v="Diego Nobuyoshi de Souza Tsuji"/>
    <s v="Masculino"/>
    <x v="4"/>
    <x v="22"/>
    <s v="31602185 - Estimulação Elétrica Transcutânea - Removido 13/04/2026 (R$ 40,00)"/>
    <s v="Fisioterapia"/>
    <n v="1707704113"/>
    <s v="Finalizado (3/5)"/>
    <n v="35.200000000000003"/>
    <n v="4.8"/>
    <n v="40"/>
    <s v="Sessão Faturada"/>
    <n v="774981009148000"/>
    <n v="11130"/>
    <s v="Unidade Vieiralves"/>
    <n v="1707704113"/>
    <m/>
  </r>
  <r>
    <x v="18"/>
    <x v="44"/>
    <s v="Yasmin Guedes Lima"/>
    <s v="Feminino"/>
    <x v="2"/>
    <x v="22"/>
    <s v="20103506 - Fisioterapia - Patologia Em Um Segmento da Coluna (R$ 12,22)"/>
    <s v="Fisioterapia"/>
    <n v="1707143503"/>
    <s v="Finalizado (2/5)"/>
    <n v="10.7536"/>
    <n v="1.4663999999999999"/>
    <n v="12.22"/>
    <s v="Sessão Faturada"/>
    <n v="960016575471020"/>
    <n v="35978"/>
    <s v="Unidade Vieiralves"/>
    <n v="1707143503"/>
    <m/>
  </r>
  <r>
    <x v="18"/>
    <x v="44"/>
    <s v="Georgia Coelho da Cunha"/>
    <s v="Feminino"/>
    <x v="6"/>
    <x v="22"/>
    <s v="50000144 - Avaliação de Fisioterapia (R$ 56,52)"/>
    <s v="Fisioterapia"/>
    <n v="7700047148"/>
    <s v="Finalizado (1/1)"/>
    <n v="50.868000000000002"/>
    <n v="5.6520000000000001"/>
    <n v="56.52"/>
    <s v="Sessão Faturada"/>
    <s v="51588888491631000016"/>
    <n v="59573"/>
    <s v="Unidade Vieiralves"/>
    <n v="7700047148"/>
    <m/>
  </r>
  <r>
    <x v="18"/>
    <x v="73"/>
    <s v="Georgia Coelho da Cunha"/>
    <s v="Feminino"/>
    <x v="6"/>
    <x v="22"/>
    <s v="20103506 - Patologia Em Um Segmento da Coluna (R$ 14,16)"/>
    <s v="Fisioterapia"/>
    <n v="171109"/>
    <s v="Finalizado (1/10)"/>
    <n v="12.460800000000001"/>
    <n v="1.6992"/>
    <n v="14.16"/>
    <s v="Sessão a Faturar"/>
    <s v="51588888491631000016"/>
    <n v="59573"/>
    <s v="Unidade Vieiralves"/>
    <n v="171109"/>
    <m/>
  </r>
  <r>
    <x v="18"/>
    <x v="60"/>
    <s v="Yasmin Guedes Lima"/>
    <s v="Feminino"/>
    <x v="2"/>
    <x v="22"/>
    <s v="20103115 - Atividade Reflexa Cinesioterápica (R$ 20,81)"/>
    <s v="Fisioterapia"/>
    <n v="1707144871"/>
    <s v="Finalizado (2/2)"/>
    <n v="18.312799999999999"/>
    <n v="2.4971999999999999"/>
    <n v="20.81"/>
    <s v="Sessão Faturada"/>
    <n v="960016575471020"/>
    <n v="35978"/>
    <s v="Unidade Vieiralves"/>
    <n v="1707144871"/>
    <m/>
  </r>
  <r>
    <x v="18"/>
    <x v="74"/>
    <s v="Georgia Coelho da Cunha"/>
    <s v="Feminino"/>
    <x v="6"/>
    <x v="22"/>
    <s v="31602185 - Estimulação Elétrica Transcutanea (Tens) (R$ 40,00)"/>
    <s v="Fisioterapia"/>
    <n v="171111"/>
    <s v="Finalizado (1/4)"/>
    <n v="35.200000000000003"/>
    <n v="4.8"/>
    <n v="40"/>
    <s v="Sessão a Faturar"/>
    <s v="51588888491631000016"/>
    <n v="59573"/>
    <s v="Unidade Vieiralves"/>
    <n v="171111"/>
    <m/>
  </r>
  <r>
    <x v="18"/>
    <x v="41"/>
    <s v="Maria Jose Pinto da Mota"/>
    <m/>
    <x v="2"/>
    <x v="22"/>
    <s v="20103514 - Fisioterapia - Patologia Em Diferentes Segmentos da Coluna (R$ 14,83)"/>
    <s v="Fisioterapia"/>
    <n v="1707148878"/>
    <s v="Finalizado (2/4)"/>
    <n v="13.0504"/>
    <n v="1.7796000000000001"/>
    <n v="14.83"/>
    <s v="Sessão Faturada"/>
    <n v="771015052531020"/>
    <n v="59060"/>
    <s v="Unidade Vieiralves"/>
    <n v="1707148878"/>
    <m/>
  </r>
  <r>
    <x v="18"/>
    <x v="41"/>
    <s v="Maria Jose Pinto da Mota"/>
    <m/>
    <x v="2"/>
    <x v="22"/>
    <s v="20103115 - Atividade Reflexa Cinesioterápica (R$ 20,81)"/>
    <s v="Fisioterapia"/>
    <n v="1707149315"/>
    <s v="Finalizado (2/2)"/>
    <n v="18.312799999999999"/>
    <n v="2.4971999999999999"/>
    <n v="20.81"/>
    <s v="Sessão Faturada"/>
    <n v="771015052531020"/>
    <n v="59060"/>
    <s v="Unidade Vieiralves"/>
    <n v="1707149315"/>
    <m/>
  </r>
  <r>
    <x v="18"/>
    <x v="41"/>
    <s v="Maria Jose Pinto da Mota"/>
    <m/>
    <x v="4"/>
    <x v="22"/>
    <s v="31602185 - Estimulação Elétrica Transcutânea - Removido 13/04/2026 (R$ 40,00)"/>
    <s v="Fisioterapia"/>
    <n v="1709407506"/>
    <s v="Finalizado (1/3)"/>
    <n v="35.200000000000003"/>
    <n v="4.8"/>
    <n v="40"/>
    <s v="Sessão Faturada"/>
    <n v="771015052531020"/>
    <n v="59060"/>
    <s v="Unidade Vieiralves"/>
    <n v="1709407506"/>
    <m/>
  </r>
  <r>
    <x v="18"/>
    <x v="41"/>
    <s v="Joao Arthur Alcantara de Lima"/>
    <s v="Masculino"/>
    <x v="2"/>
    <x v="22"/>
    <s v="20103662 - Fisioterapia - Pos Operatorio Em Um Membro (R$ 14,99)"/>
    <s v="Fisioterapia"/>
    <n v="1708826822"/>
    <s v="Finalizado (2/9)"/>
    <n v="13.1912"/>
    <n v="1.7988"/>
    <n v="14.99"/>
    <s v="Sessão Faturada"/>
    <n v="774642026670000"/>
    <n v="59569"/>
    <s v="Unidade Vieiralves"/>
    <n v="1708826822"/>
    <m/>
  </r>
  <r>
    <x v="18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3/10)"/>
    <n v="26.1008"/>
    <n v="3.5592000000000001"/>
    <n v="29.66"/>
    <s v="Sessão Faturada"/>
    <n v="830425500043000"/>
    <n v="7701"/>
    <s v="Unidade Vieiralves"/>
    <n v="1706683478"/>
    <m/>
  </r>
  <r>
    <x v="18"/>
    <x v="76"/>
    <s v="Joao Arthur Alcantara de Lima"/>
    <s v="Masculino"/>
    <x v="2"/>
    <x v="22"/>
    <s v="20103115 - Atividade Reflexa Cinesioterápica (R$ 20,81)"/>
    <s v="Fisioterapia"/>
    <n v="1708829547"/>
    <s v="Finalizado (2/2)"/>
    <n v="18.312799999999999"/>
    <n v="2.4971999999999999"/>
    <n v="20.81"/>
    <s v="Sessão Faturada"/>
    <n v="774642026670000"/>
    <n v="59569"/>
    <s v="Unidade Vieiralves"/>
    <n v="1708829547"/>
    <m/>
  </r>
  <r>
    <x v="18"/>
    <x v="48"/>
    <s v="Joao Arthur Alcantara de Lima"/>
    <s v="Masculino"/>
    <x v="4"/>
    <x v="22"/>
    <s v="31602185 - Estimulação Elétrica Transcutânea - Removido 13/04/2026 (R$ 40,00)"/>
    <s v="Fisioterapia"/>
    <n v="1709469492"/>
    <s v="Finalizado (1/5)"/>
    <n v="35.200000000000003"/>
    <n v="4.8"/>
    <n v="40"/>
    <s v="Sessão Faturada"/>
    <n v="774642026670000"/>
    <n v="59569"/>
    <s v="Unidade Vieiralves"/>
    <n v="1709469492"/>
    <m/>
  </r>
  <r>
    <x v="18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7/10)"/>
    <n v="30.8"/>
    <n v="4.2"/>
    <n v="35"/>
    <s v="Sessão Faturada"/>
    <n v="201013748740040"/>
    <n v="54729"/>
    <s v="Unidade Vieiralves"/>
    <n v="8824742"/>
    <m/>
  </r>
  <r>
    <x v="18"/>
    <x v="40"/>
    <s v="Rejane Costa Freire"/>
    <m/>
    <x v="1"/>
    <x v="22"/>
    <s v="50000160 - Fisioterapia Ortopédica (R$ 20,00), 98980327 - Taxa de Eletroterapia (Tens) (R$ 15,00)"/>
    <s v="Fisioterapia"/>
    <n v="9010622"/>
    <s v="Finalizado (5/10)"/>
    <n v="30.8"/>
    <n v="4.2"/>
    <n v="35"/>
    <s v="Sessão Faturada"/>
    <s v="0901013326530193"/>
    <n v="57964"/>
    <s v="Unidade Vieiralves"/>
    <n v="9010622"/>
    <m/>
  </r>
  <r>
    <x v="18"/>
    <x v="40"/>
    <s v="Lucia Ferreira Viana"/>
    <s v="Feminino"/>
    <x v="0"/>
    <x v="22"/>
    <s v="50000160 - Fisioterapia Ortopedica (R$ 49,72)"/>
    <s v="Fisioterapia"/>
    <s v="42263120260305416369"/>
    <s v="Finalizado (2/10)"/>
    <n v="43.753599999999999"/>
    <n v="5.9664000000000001"/>
    <n v="49.72"/>
    <s v="Sessão a Faturar"/>
    <s v="010650248904"/>
    <n v="10197"/>
    <s v="Unidade Vieiralves"/>
    <s v="42263120260305416369"/>
    <m/>
  </r>
  <r>
    <x v="18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3/10)"/>
    <n v="30.8"/>
    <n v="4.2"/>
    <n v="35"/>
    <s v="Sessão Faturada"/>
    <s v="0701013978710030"/>
    <n v="59447"/>
    <s v="Unidade Vieiralves"/>
    <n v="9071007"/>
    <m/>
  </r>
  <r>
    <x v="18"/>
    <x v="45"/>
    <s v="Lucia Ferreira Viana"/>
    <s v="Feminino"/>
    <x v="0"/>
    <x v="22"/>
    <s v="31602185 - Estimulação Elétrica Transcutânea Fisioterapia (Novo - 01/12) (R$ 54,13)"/>
    <s v="Fisioterapia"/>
    <s v="42263120260305416626"/>
    <s v="Finalizado (2/10)"/>
    <n v="47.634399999999999"/>
    <n v="6.4955999999999996"/>
    <n v="54.13"/>
    <s v="Sessão a Faturar"/>
    <s v="010650248904"/>
    <n v="10197"/>
    <s v="Unidade Vieiralves"/>
    <s v="42263120260305416626"/>
    <m/>
  </r>
  <r>
    <x v="18"/>
    <x v="35"/>
    <s v="Andrea Nogueira Rodrigues"/>
    <s v="Masculino"/>
    <x v="2"/>
    <x v="22"/>
    <s v="20103484 - Fisioterapia - Patologia Em Um Membro (R$ 12,22)"/>
    <s v="Fisioterapia"/>
    <n v="1707287810"/>
    <s v="Finalizado (2/4)"/>
    <n v="10.7536"/>
    <n v="1.4663999999999999"/>
    <n v="12.22"/>
    <s v="Sessão Faturada"/>
    <n v="773268005452020"/>
    <n v="59385"/>
    <s v="Unidade Vieiralves"/>
    <n v="1707287810"/>
    <m/>
  </r>
  <r>
    <x v="18"/>
    <x v="35"/>
    <s v="Vivianne Cristina Canavarro Fernandes Rocha"/>
    <s v="Feminino"/>
    <x v="6"/>
    <x v="22"/>
    <s v="50000144 - Avaliação de Fisioterapia (R$ 56,52)"/>
    <s v="Fisioterapia"/>
    <n v="7700047149"/>
    <s v="Finalizado (1/1)"/>
    <n v="50.868000000000002"/>
    <n v="5.6520000000000001"/>
    <n v="56.52"/>
    <s v="Sessão Faturada"/>
    <s v="54588888491549250012"/>
    <n v="59548"/>
    <s v="Unidade Vieiralves"/>
    <n v="7700047149"/>
    <m/>
  </r>
  <r>
    <x v="18"/>
    <x v="35"/>
    <s v="Andrea Nogueira Rodrigues"/>
    <s v="Masculino"/>
    <x v="4"/>
    <x v="22"/>
    <s v="31602185 - Estimulação Elétrica Transcutânea - Removido 13/04/2026 (R$ 40,00)"/>
    <s v="Fisioterapia"/>
    <n v="1709558396"/>
    <s v="Finalizado (1/2)"/>
    <n v="35.200000000000003"/>
    <n v="4.8"/>
    <n v="40"/>
    <s v="Sessão Faturada"/>
    <n v="773268005452020"/>
    <n v="59385"/>
    <s v="Unidade Vieiralves"/>
    <n v="1709558396"/>
    <m/>
  </r>
  <r>
    <x v="18"/>
    <x v="35"/>
    <s v="Aldair Oliveira de Andrade"/>
    <s v="Masculino"/>
    <x v="1"/>
    <x v="22"/>
    <s v="50000160 - Fisioterapia Ortopédica (R$ 20,00), 98980327 - Taxa de Eletroterapia (Tens) (R$ 15,00)"/>
    <s v="Fisioterapia"/>
    <n v="8936322"/>
    <s v="Finalizado (2/10)"/>
    <n v="30.8"/>
    <n v="4.2"/>
    <n v="35"/>
    <s v="Sessão Faturada"/>
    <s v="0702007029320058"/>
    <n v="58351"/>
    <s v="Unidade Vieiralves"/>
    <n v="8936322"/>
    <s v="GUIA ASSINADA!"/>
  </r>
  <r>
    <x v="18"/>
    <x v="70"/>
    <s v="Vivianne Cristina Canavarro Fernandes Rocha"/>
    <s v="Feminino"/>
    <x v="6"/>
    <x v="22"/>
    <s v="20103514 - Patologia Em Dois Ou Mais Segmentos da Coluna (R$ 32,82)"/>
    <s v="Fisioterapia"/>
    <n v="171150"/>
    <s v="Finalizado (1/10)"/>
    <n v="28.881599999999999"/>
    <n v="3.9384000000000001"/>
    <n v="32.82"/>
    <s v="Sessão a Faturar"/>
    <s v="54588888491549250012"/>
    <n v="59548"/>
    <s v="Unidade Vieiralves"/>
    <n v="171150"/>
    <m/>
  </r>
  <r>
    <x v="18"/>
    <x v="71"/>
    <s v="Vivianne Cristina Canavarro Fernandes Rocha"/>
    <s v="Feminino"/>
    <x v="6"/>
    <x v="22"/>
    <s v="31602185 - Estimulação Elétrica Transcutanea (Tens) (R$ 40,00)"/>
    <s v="Fisioterapia"/>
    <n v="171151"/>
    <s v="Finalizado (1/10)"/>
    <n v="35.200000000000003"/>
    <n v="4.8"/>
    <n v="40"/>
    <s v="Sessão a Faturar"/>
    <s v="54588888491549250012"/>
    <n v="59548"/>
    <s v="Unidade Vieiralves"/>
    <n v="171151"/>
    <m/>
  </r>
  <r>
    <x v="18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2/6)"/>
    <n v="23.803999999999998"/>
    <n v="3.246"/>
    <n v="27.05"/>
    <s v="Sessão a Faturar"/>
    <n v="952650062103000"/>
    <n v="59353"/>
    <s v="Unidade Vieiralves"/>
    <n v="1707840911"/>
    <m/>
  </r>
  <r>
    <x v="18"/>
    <x v="38"/>
    <s v="Maria de Lourdes Ferreira"/>
    <s v="Feminino"/>
    <x v="1"/>
    <x v="22"/>
    <s v="50000160 - Fisioterapia Ortopédica (R$ 20,00), 98980327 - Taxa de Eletroterapia (Tens) (R$ 15,00)"/>
    <s v="Fisioterapia"/>
    <n v="8824557"/>
    <s v="Finalizado (9/10)"/>
    <n v="30.8"/>
    <n v="4.2"/>
    <n v="35"/>
    <s v="Sessão Faturada"/>
    <s v="0802010939500016"/>
    <n v="58440"/>
    <s v="Unidade Vieiralves"/>
    <n v="8824557"/>
    <m/>
  </r>
  <r>
    <x v="18"/>
    <x v="38"/>
    <s v="Roberta Ferreira Coelho de Andrade"/>
    <s v="Feminino"/>
    <x v="1"/>
    <x v="22"/>
    <s v="50000160 - Fisioterapia Ortopédica (R$ 20,00), 98980327 - Taxa de Eletroterapia (Tens) (R$ 15,00)"/>
    <s v="Fisioterapia"/>
    <n v="8761145"/>
    <s v="Finalizado (8/10)"/>
    <n v="30.8"/>
    <n v="4.2"/>
    <n v="35"/>
    <s v="Sessão Faturada"/>
    <s v="0701010939440006"/>
    <n v="58292"/>
    <s v="Unidade Vieiralves"/>
    <n v="8761145"/>
    <m/>
  </r>
  <r>
    <x v="18"/>
    <x v="62"/>
    <s v="Daniele Guimarães Alves"/>
    <s v="Feminino"/>
    <x v="2"/>
    <x v="22"/>
    <s v="20103115 - Atividade Reflexa Cinesioterápica (R$ 20,81)"/>
    <s v="Fisioterapia"/>
    <n v="1707841911"/>
    <s v="Finalizado (2/2)"/>
    <n v="18.312799999999999"/>
    <n v="2.4971999999999999"/>
    <n v="20.81"/>
    <s v="Sessão Faturada"/>
    <n v="952650062103000"/>
    <n v="59353"/>
    <s v="Unidade Vieiralves"/>
    <n v="1707841911"/>
    <m/>
  </r>
  <r>
    <x v="18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5/10)"/>
    <n v="23.803999999999998"/>
    <n v="3.246"/>
    <n v="27.05"/>
    <s v="Sessão Faturada"/>
    <n v="952480013332000"/>
    <n v="14710"/>
    <s v="Unidade Vieiralves"/>
    <n v="1706776664"/>
    <m/>
  </r>
  <r>
    <x v="18"/>
    <x v="58"/>
    <s v="Raimunda Carvalho Caldas"/>
    <s v="Feminino"/>
    <x v="2"/>
    <x v="22"/>
    <s v="20103115 - Atividade Reflexa Cinesioterápica (R$ 20,81)"/>
    <s v="Fisioterapia"/>
    <n v="1706777377"/>
    <s v="Finalizado (5/5)"/>
    <n v="18.312799999999999"/>
    <n v="2.4971999999999999"/>
    <n v="20.81"/>
    <s v="Sessão Faturada"/>
    <n v="952480013332000"/>
    <n v="14710"/>
    <s v="Unidade Vieiralves"/>
    <n v="1706777377"/>
    <m/>
  </r>
  <r>
    <x v="18"/>
    <x v="50"/>
    <s v="Raimunda Carvalho Caldas"/>
    <s v="Feminino"/>
    <x v="4"/>
    <x v="22"/>
    <s v="31602185 - Estimulação Elétrica Transcutânea - Removido 13/04/2026 (R$ 40,00)"/>
    <s v="Fisioterapia"/>
    <n v="1707806477"/>
    <s v="Finalizado (3/5)"/>
    <n v="35.200000000000003"/>
    <n v="4.8"/>
    <n v="40"/>
    <s v="Sessão Faturada"/>
    <n v="952480013332000"/>
    <n v="14710"/>
    <s v="Unidade Vieiralves"/>
    <n v="1707806477"/>
    <m/>
  </r>
  <r>
    <x v="22"/>
    <x v="44"/>
    <s v="Diego Nobuyoshi de Souza Tsuji"/>
    <s v="Masculino"/>
    <x v="4"/>
    <x v="22"/>
    <s v="31602185 - Estimulação Elétrica Transcutânea - Removido 13/04/2026 (R$ 40,00)"/>
    <s v="Fisioterapia"/>
    <n v="1707704113"/>
    <s v="Finalizado (4/5)"/>
    <n v="35.200000000000003"/>
    <n v="4.8"/>
    <n v="40"/>
    <s v="Sessão Faturada"/>
    <n v="774981009148000"/>
    <n v="11130"/>
    <s v="Unidade Vieiralves"/>
    <n v="1707704113"/>
    <m/>
  </r>
  <r>
    <x v="22"/>
    <x v="44"/>
    <s v="Yasmin Guedes Lima"/>
    <s v="Feminino"/>
    <x v="2"/>
    <x v="22"/>
    <s v="20103506 - Fisioterapia - Patologia Em Um Segmento da Coluna (R$ 12,22)"/>
    <s v="Fisioterapia"/>
    <n v="1707143503"/>
    <s v="Finalizado (3/5)"/>
    <n v="10.7536"/>
    <n v="1.4663999999999999"/>
    <n v="12.22"/>
    <s v="Sessão Faturada"/>
    <n v="960016575471020"/>
    <n v="35978"/>
    <s v="Unidade Vieiralves"/>
    <n v="1707143503"/>
    <m/>
  </r>
  <r>
    <x v="22"/>
    <x v="44"/>
    <s v="Diego Nobuyoshi de Souza Tsuji"/>
    <s v="Masculino"/>
    <x v="2"/>
    <x v="22"/>
    <s v="20103492 - Fisioterapia - Patologia Em Dois Ou Mais Membros (R$ 14,83)"/>
    <s v="Fisioterapia"/>
    <n v="1709435090"/>
    <s v="Finalizado (2/5)"/>
    <n v="13.0504"/>
    <n v="1.7796000000000001"/>
    <n v="14.83"/>
    <s v="Sessão Faturada"/>
    <n v="774981009148000"/>
    <n v="11130"/>
    <s v="Unidade Vieiralves"/>
    <n v="1709435090"/>
    <m/>
  </r>
  <r>
    <x v="22"/>
    <x v="44"/>
    <s v="Yasmin Guedes Lima"/>
    <s v="Feminino"/>
    <x v="4"/>
    <x v="22"/>
    <s v="31602185 - Estimulação Elétrica Transcutânea - Removido 13/04/2026 (R$ 40,00)"/>
    <s v="Fisioterapia"/>
    <n v="1709414822"/>
    <s v="Finalizado (2/5)"/>
    <n v="35.200000000000003"/>
    <n v="4.8"/>
    <n v="40"/>
    <s v="Sessão Faturada"/>
    <n v="960016575471020"/>
    <n v="35978"/>
    <s v="Unidade Vieiralves"/>
    <n v="1709414822"/>
    <m/>
  </r>
  <r>
    <x v="22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4/10)"/>
    <n v="26.1008"/>
    <n v="3.5592000000000001"/>
    <n v="29.66"/>
    <s v="Sessão Faturada"/>
    <n v="830425500043000"/>
    <n v="7701"/>
    <s v="Unidade Vieiralves"/>
    <n v="1706683478"/>
    <m/>
  </r>
  <r>
    <x v="22"/>
    <x v="41"/>
    <s v="Joao Arthur Alcantara de Lima"/>
    <s v="Masculino"/>
    <x v="2"/>
    <x v="22"/>
    <s v="20103662 - Fisioterapia - Pos Operatorio Em Um Membro (R$ 14,99)"/>
    <s v="Fisioterapia"/>
    <n v="1708826822"/>
    <s v="Finalizado (3/9)"/>
    <n v="13.1912"/>
    <n v="1.7988"/>
    <n v="14.99"/>
    <s v="Sessão Faturada"/>
    <n v="774642026670000"/>
    <n v="59569"/>
    <s v="Unidade Vieiralves"/>
    <n v="1708826822"/>
    <m/>
  </r>
  <r>
    <x v="22"/>
    <x v="65"/>
    <s v="Joao Arthur Alcantara de Lima"/>
    <s v="Masculino"/>
    <x v="4"/>
    <x v="22"/>
    <s v="31602185 - Estimulação Elétrica Transcutânea - Removido 13/04/2026 (R$ 40,00)"/>
    <s v="Fisioterapia"/>
    <n v="1709469492"/>
    <s v="Finalizado (2/5)"/>
    <n v="35.200000000000003"/>
    <n v="4.8"/>
    <n v="40"/>
    <s v="Sessão Faturada"/>
    <n v="774642026670000"/>
    <n v="59569"/>
    <s v="Unidade Vieiralves"/>
    <n v="1709469492"/>
    <m/>
  </r>
  <r>
    <x v="22"/>
    <x v="36"/>
    <s v="Mario Alves Sobral Junior"/>
    <s v="Masculino"/>
    <x v="1"/>
    <x v="22"/>
    <s v="50000217 - Fisioterapia Pré e Pós Operatória (R$ 25,00), 98980327 - Taxa de Eletroterapia (Tens) (R$ 15,00)"/>
    <s v="Fisioterapia"/>
    <n v="97632334"/>
    <s v="Finalizado (9/10)"/>
    <n v="35.200000000000003"/>
    <n v="4.8"/>
    <n v="40"/>
    <s v="Sessão a Faturar"/>
    <s v="01301012922220002"/>
    <n v="14923"/>
    <s v="Unidade Vieiralves"/>
    <n v="97632334"/>
    <m/>
  </r>
  <r>
    <x v="22"/>
    <x v="36"/>
    <s v="Katia Cilene Jardim da Costa"/>
    <s v="Feminino"/>
    <x v="2"/>
    <x v="22"/>
    <s v="20103484 - Fisioterapia - Patologia Em Um Membro (R$ 12,22)"/>
    <s v="Fisioterapia"/>
    <n v="1707250451"/>
    <s v="Finalizado (4/10)"/>
    <n v="10.7536"/>
    <n v="1.4663999999999999"/>
    <n v="12.22"/>
    <s v="Sessão Faturada"/>
    <n v="771015041750020"/>
    <n v="37973"/>
    <s v="Unidade Vieiralves"/>
    <n v="1707250451"/>
    <m/>
  </r>
  <r>
    <x v="22"/>
    <x v="36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2/10)"/>
    <n v="39.089599999999997"/>
    <n v="5.3304"/>
    <n v="44.42"/>
    <s v="Sessão a Faturar"/>
    <s v="55788888483387380020"/>
    <n v="20265"/>
    <s v="Unidade Vieiralves"/>
    <n v="168228"/>
    <m/>
  </r>
  <r>
    <x v="22"/>
    <x v="36"/>
    <s v="Ana Maria Barros Martins"/>
    <s v="Feminino"/>
    <x v="1"/>
    <x v="22"/>
    <s v="50000160 - Fisioterapia Ortopédica (R$ 20,00), 98980327 - Taxa de Eletroterapia (Tens) (R$ 15,00)"/>
    <s v="Fisioterapia"/>
    <n v="8673002"/>
    <s v="Finalizado (9/10)"/>
    <n v="30.8"/>
    <n v="4.2"/>
    <n v="35"/>
    <s v="Sessão Faturada"/>
    <s v="0201005329570033"/>
    <n v="55774"/>
    <s v="Unidade Vieiralves"/>
    <n v="8673002"/>
    <s v="GUIA ASSINADA!"/>
  </r>
  <r>
    <x v="22"/>
    <x v="61"/>
    <s v="Katia Cilene Jardim da Costa"/>
    <s v="Feminino"/>
    <x v="4"/>
    <x v="22"/>
    <s v="31602185 - Estimulação Elétrica Transcutânea - Removido 13/04/2026 (R$ 40,00)"/>
    <s v="Fisioterapia"/>
    <n v="1707351947"/>
    <s v="Finalizado (3/5)"/>
    <n v="35.200000000000003"/>
    <n v="4.8"/>
    <n v="40"/>
    <s v="Sessão Faturada"/>
    <n v="771015041750020"/>
    <n v="37973"/>
    <s v="Unidade Vieiralves"/>
    <n v="1707351947"/>
    <m/>
  </r>
  <r>
    <x v="22"/>
    <x v="61"/>
    <s v="Maria Nazira Tomaz Pereira"/>
    <s v="Feminino"/>
    <x v="6"/>
    <x v="22"/>
    <s v="31602185 - Estimulação Elétrica Transcutanea (Tens) (R$ 40,00)"/>
    <s v="Fisioterapia"/>
    <n v="170935"/>
    <s v="Finalizado (2/10)"/>
    <n v="35.200000000000003"/>
    <n v="4.8"/>
    <n v="40"/>
    <s v="Sessão a Faturar"/>
    <s v="55788888483387380020"/>
    <n v="20265"/>
    <s v="Unidade Vieiralves"/>
    <n v="170935"/>
    <m/>
  </r>
  <r>
    <x v="22"/>
    <x v="40"/>
    <s v="Victor Lopes Miranda"/>
    <s v="Masculino"/>
    <x v="6"/>
    <x v="22"/>
    <s v="20103484 - Patologia Em Um Membro (R$ 14,16)"/>
    <s v="Fisioterapia"/>
    <n v="170422"/>
    <s v="Finalizado (3/3)"/>
    <n v="12.460800000000001"/>
    <n v="1.6992"/>
    <n v="14.16"/>
    <s v="Sessão a Faturar"/>
    <s v="54588888022360490014"/>
    <n v="59470"/>
    <s v="Unidade Vieiralves"/>
    <n v="170422"/>
    <m/>
  </r>
  <r>
    <x v="22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4/10)"/>
    <n v="30.8"/>
    <n v="4.2"/>
    <n v="35"/>
    <s v="Sessão Faturada"/>
    <s v="0701013978710030"/>
    <n v="59447"/>
    <s v="Unidade Vieiralves"/>
    <n v="9071007"/>
    <m/>
  </r>
  <r>
    <x v="22"/>
    <x v="45"/>
    <s v="Victor Lopes Miranda"/>
    <s v="Masculino"/>
    <x v="6"/>
    <x v="22"/>
    <s v="31602185 - Estimulação Elétrica Transcutanea (Tens) (R$ 40,00)"/>
    <s v="Fisioterapia"/>
    <n v="170423"/>
    <s v="Finalizado (3/3)"/>
    <n v="35.200000000000003"/>
    <n v="4.8"/>
    <n v="40"/>
    <s v="Sessão a Faturar"/>
    <s v="54588888022360490014"/>
    <n v="59470"/>
    <s v="Unidade Vieiralves"/>
    <n v="170423"/>
    <m/>
  </r>
  <r>
    <x v="22"/>
    <x v="35"/>
    <s v="Suzy Moraes de Souza"/>
    <s v="Feminino"/>
    <x v="2"/>
    <x v="22"/>
    <s v="50000144 - Avaliação de Fisioterapia (R$ 51,42)"/>
    <s v="Fisioterapia"/>
    <n v="1710084773"/>
    <s v="Finalizado (1/1)"/>
    <n v="46.277999999999999"/>
    <n v="5.1420000000000003"/>
    <n v="51.42"/>
    <s v="Sessão Faturada"/>
    <n v="973700010774020"/>
    <n v="48848"/>
    <s v="Unidade Vieiralves"/>
    <n v="1710084773"/>
    <m/>
  </r>
  <r>
    <x v="22"/>
    <x v="35"/>
    <s v="Serafim Pereira de Sousa"/>
    <m/>
    <x v="17"/>
    <x v="22"/>
    <s v="50000160 - Fisioterapia Ortopedica (R$ 45,00)"/>
    <s v="Fisioterapia"/>
    <n v="3970200"/>
    <s v="Finalizado (2/10)"/>
    <n v="39.6"/>
    <n v="5.4"/>
    <n v="45"/>
    <s v="Sessão Faturada"/>
    <s v="000915899766100"/>
    <n v="58192"/>
    <s v="Unidade Vieiralves"/>
    <n v="3970200"/>
    <m/>
  </r>
  <r>
    <x v="22"/>
    <x v="42"/>
    <s v="Suzy Moraes de Souza"/>
    <s v="Feminino"/>
    <x v="2"/>
    <x v="22"/>
    <s v="20103492 - Fisioterapia - Patologia Em Dois Ou Mais Membros (R$ 14,83)"/>
    <s v="Fisioterapia"/>
    <n v="1710086788"/>
    <s v="Finalizado (1/3)"/>
    <n v="13.0504"/>
    <n v="1.7796000000000001"/>
    <n v="14.83"/>
    <s v="Sessão Faturada"/>
    <n v="973700010774020"/>
    <n v="48848"/>
    <s v="Unidade Vieiralves"/>
    <n v="1710086788"/>
    <m/>
  </r>
  <r>
    <x v="22"/>
    <x v="38"/>
    <s v="Rosana Batista Januario"/>
    <s v="Feminino"/>
    <x v="26"/>
    <x v="22"/>
    <s v="20103492 - Fisioterapia - Patologia Em Dois Ou Mais Membros (R$ 23,85)"/>
    <s v="Fisioterapia"/>
    <n v="270659481"/>
    <s v="Finalizado (10/10)"/>
    <n v="20.988"/>
    <n v="2.8620000000000001"/>
    <n v="23.85"/>
    <s v="Sessão Faturada"/>
    <s v="1Q6HS000023000"/>
    <n v="56673"/>
    <s v="Unidade Vieiralves"/>
    <n v="270659481"/>
    <m/>
  </r>
  <r>
    <x v="22"/>
    <x v="38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6767128"/>
    <s v="Finalizado (4/5)"/>
    <n v="26.1008"/>
    <n v="3.5592000000000001"/>
    <n v="29.66"/>
    <s v="Sessão Faturada"/>
    <n v="813312700027000"/>
    <n v="17029"/>
    <s v="Unidade Vieiralves"/>
    <n v="1706767128"/>
    <m/>
  </r>
  <r>
    <x v="22"/>
    <x v="62"/>
    <s v="Rose Mayre Vieira Barreto"/>
    <s v="Feminino"/>
    <x v="4"/>
    <x v="22"/>
    <s v="31602185 - Estimulação Elétrica Transcutânea - Removido 13/04/2026 (R$ 40,00)"/>
    <s v="Fisioterapia"/>
    <n v="1708908103"/>
    <s v="Finalizado (2/5)"/>
    <n v="35.200000000000003"/>
    <n v="4.8"/>
    <n v="40"/>
    <s v="Sessão Faturada"/>
    <n v="813312700027000"/>
    <n v="17029"/>
    <s v="Unidade Vieiralves"/>
    <n v="1708908103"/>
    <m/>
  </r>
  <r>
    <x v="22"/>
    <x v="37"/>
    <s v="Luciana Araujo Monteiro"/>
    <s v="Feminino"/>
    <x v="9"/>
    <x v="22"/>
    <s v="31602185 - Estimulação Elétrica Transcutânea (Tens) - Removido 13/04/2026 (R$ 40,00)"/>
    <s v="Fisioterapia"/>
    <n v="1708975983"/>
    <s v="Finalizado (2/5)"/>
    <n v="35.200000000000003"/>
    <n v="4.8"/>
    <n v="40"/>
    <s v="Sessão Faturada"/>
    <n v="954600033103010"/>
    <n v="59400"/>
    <s v="Unidade Vieiralves"/>
    <n v="1708975983"/>
    <m/>
  </r>
  <r>
    <x v="22"/>
    <x v="37"/>
    <s v="Luciana Araujo Monteiro"/>
    <s v="Feminino"/>
    <x v="8"/>
    <x v="22"/>
    <s v="20103662 - Pos Operatorio Em Um Membro (R$ 14,99)"/>
    <s v="Fisioterapia"/>
    <n v="1705705892"/>
    <s v="Finalizado (5/5)"/>
    <n v="13.1912"/>
    <n v="1.7988"/>
    <n v="14.99"/>
    <s v="Sessão Faturada"/>
    <n v="954600033103010"/>
    <n v="59400"/>
    <s v="Unidade Vieiralves"/>
    <n v="1705705892"/>
    <m/>
  </r>
  <r>
    <x v="22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6/10)"/>
    <n v="23.803999999999998"/>
    <n v="3.246"/>
    <n v="27.05"/>
    <s v="Sessão Faturada"/>
    <n v="952480013332000"/>
    <n v="14710"/>
    <s v="Unidade Vieiralves"/>
    <n v="1706776664"/>
    <m/>
  </r>
  <r>
    <x v="22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5/10)"/>
    <n v="23.803999999999998"/>
    <n v="3.246"/>
    <n v="27.05"/>
    <s v="Sessão Faturada"/>
    <n v="810177500019010"/>
    <n v="52971"/>
    <s v="Unidade Vieiralves"/>
    <n v="1706279020"/>
    <m/>
  </r>
  <r>
    <x v="22"/>
    <x v="58"/>
    <s v="Denise de Souza Lima Herzog"/>
    <s v="Feminino"/>
    <x v="4"/>
    <x v="22"/>
    <s v="31602185 - Estimulação Elétrica Transcutânea - Removido 13/04/2026 (R$ 40,00)"/>
    <s v="Fisioterapia"/>
    <n v="1708948484"/>
    <s v="Finalizado (2/5)"/>
    <n v="35.200000000000003"/>
    <n v="4.8"/>
    <n v="40"/>
    <s v="Sessão Faturada"/>
    <n v="810177500019010"/>
    <n v="52971"/>
    <s v="Unidade Vieiralves"/>
    <n v="1708948484"/>
    <m/>
  </r>
  <r>
    <x v="22"/>
    <x v="50"/>
    <s v="Raimunda Carvalho Caldas"/>
    <s v="Feminino"/>
    <x v="4"/>
    <x v="22"/>
    <s v="31602185 - Estimulação Elétrica Transcutânea - Removido 13/04/2026 (R$ 40,00)"/>
    <s v="Fisioterapia"/>
    <n v="1707806477"/>
    <s v="Finalizado (4/5)"/>
    <n v="35.200000000000003"/>
    <n v="4.8"/>
    <n v="40"/>
    <s v="Sessão Faturada"/>
    <n v="952480013332000"/>
    <n v="14710"/>
    <s v="Unidade Vieiralves"/>
    <n v="1707806477"/>
    <m/>
  </r>
  <r>
    <x v="22"/>
    <x v="39"/>
    <s v="Leandro da Rocha Rodrigues"/>
    <s v="Masculino"/>
    <x v="2"/>
    <x v="22"/>
    <s v="50000144 - Avaliação de Fisioterapia (R$ 51,42)"/>
    <s v="Fisioterapia"/>
    <n v="1710240435"/>
    <s v="Finalizado (1/1)"/>
    <n v="46.277999999999999"/>
    <n v="5.1420000000000003"/>
    <n v="51.42"/>
    <s v="Sessão Faturada"/>
    <n v="770202149608010"/>
    <n v="7852"/>
    <s v="Unidade Vieiralves"/>
    <n v="1710240435"/>
    <m/>
  </r>
  <r>
    <x v="22"/>
    <x v="64"/>
    <s v="Leandro da Rocha Rodrigues"/>
    <s v="Masculino"/>
    <x v="2"/>
    <x v="22"/>
    <s v="20103484 - Fisioterapia - Patologia Em Um Membro (R$ 12,22)"/>
    <s v="Fisioterapia"/>
    <n v="1710241237"/>
    <s v="Finalizado (1/3)"/>
    <n v="10.7536"/>
    <n v="1.4663999999999999"/>
    <n v="12.22"/>
    <s v="Sessão Faturada"/>
    <n v="770202149608010"/>
    <n v="7852"/>
    <s v="Unidade Vieiralves"/>
    <n v="1710241237"/>
    <m/>
  </r>
  <r>
    <x v="22"/>
    <x v="43"/>
    <s v="Julliana Gadelha de Medeiros"/>
    <s v="Feminino"/>
    <x v="8"/>
    <x v="22"/>
    <s v="20103484 - Patologia Em Um Membro (R$ 12,22)"/>
    <s v="Fisioterapia"/>
    <n v="1705658536"/>
    <s v="Finalizado (5/5)"/>
    <n v="10.7536"/>
    <n v="1.4663999999999999"/>
    <n v="12.22"/>
    <s v="Sessão Faturada"/>
    <n v="954600002968020"/>
    <n v="20663"/>
    <s v="Unidade Vieiralves"/>
    <n v="1705658536"/>
    <m/>
  </r>
  <r>
    <x v="22"/>
    <x v="66"/>
    <s v="Julliana Gadelha de Medeiros"/>
    <s v="Feminino"/>
    <x v="9"/>
    <x v="22"/>
    <s v="31602185 - Estimulação Elétrica Transcutânea (Tens) - Removido 13/04/2026 (R$ 40,00)"/>
    <s v="Fisioterapia"/>
    <n v="1708959722"/>
    <s v="Finalizado (2/5)"/>
    <n v="35.200000000000003"/>
    <n v="4.8"/>
    <n v="40"/>
    <s v="Sessão Faturada"/>
    <n v="954600002968020"/>
    <n v="20663"/>
    <s v="Unidade Vieiralves"/>
    <n v="1708959722"/>
    <m/>
  </r>
  <r>
    <x v="19"/>
    <x v="44"/>
    <s v="Bruna Lucianne dos Santos Galate"/>
    <s v="Feminino"/>
    <x v="6"/>
    <x v="22"/>
    <s v="50000144 - Avaliação de Fisioterapia (R$ 56,52)"/>
    <s v="Fisioterapia"/>
    <n v="7700047185"/>
    <s v="Finalizado (1/1)"/>
    <n v="50.868000000000002"/>
    <n v="5.6520000000000001"/>
    <n v="56.52"/>
    <s v="Sessão Faturada"/>
    <s v="55788888493194760120"/>
    <n v="43650"/>
    <s v="Unidade Vieiralves"/>
    <n v="7700047185"/>
    <m/>
  </r>
  <r>
    <x v="19"/>
    <x v="44"/>
    <s v="Georgia Coelho da Cunha"/>
    <s v="Feminino"/>
    <x v="6"/>
    <x v="22"/>
    <s v="31602185 - Estimulação Elétrica Transcutanea (Tens) (R$ 40,00)"/>
    <s v="Fisioterapia"/>
    <n v="171111"/>
    <s v="Finalizado (2/4)"/>
    <n v="35.200000000000003"/>
    <n v="4.8"/>
    <n v="40"/>
    <s v="Sessão a Faturar"/>
    <s v="51588888491631000016"/>
    <n v="59573"/>
    <s v="Unidade Vieiralves"/>
    <n v="171111"/>
    <m/>
  </r>
  <r>
    <x v="19"/>
    <x v="44"/>
    <s v="Georgia Coelho da Cunha"/>
    <s v="Feminino"/>
    <x v="6"/>
    <x v="22"/>
    <s v="20103506 - Patologia Em Um Segmento da Coluna (R$ 14,16)"/>
    <s v="Fisioterapia"/>
    <n v="171109"/>
    <s v="Finalizado (2/10)"/>
    <n v="12.460800000000001"/>
    <n v="1.6992"/>
    <n v="14.16"/>
    <s v="Sessão a Faturar"/>
    <s v="51588888491631000016"/>
    <n v="59573"/>
    <s v="Unidade Vieiralves"/>
    <n v="171109"/>
    <m/>
  </r>
  <r>
    <x v="19"/>
    <x v="44"/>
    <s v="Yasmin Guedes Lima"/>
    <s v="Feminino"/>
    <x v="2"/>
    <x v="22"/>
    <s v="20103506 - Fisioterapia - Patologia Em Um Segmento da Coluna (R$ 12,22)"/>
    <s v="Fisioterapia"/>
    <n v="1707143503"/>
    <s v="Finalizado (4/5)"/>
    <n v="10.7536"/>
    <n v="1.4663999999999999"/>
    <n v="12.22"/>
    <s v="Sessão Faturada"/>
    <n v="960016575471020"/>
    <n v="35978"/>
    <s v="Unidade Vieiralves"/>
    <n v="1707143503"/>
    <m/>
  </r>
  <r>
    <x v="19"/>
    <x v="73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1/10)"/>
    <n v="39.089599999999997"/>
    <n v="5.3304"/>
    <n v="44.42"/>
    <s v="Sessão a Faturar"/>
    <s v="55788888493194760120"/>
    <n v="43650"/>
    <s v="Unidade Vieiralves"/>
    <n v="171429"/>
    <m/>
  </r>
  <r>
    <x v="19"/>
    <x v="60"/>
    <s v="Yasmin Guedes Lima"/>
    <s v="Feminino"/>
    <x v="4"/>
    <x v="22"/>
    <s v="31602185 - Estimulação Elétrica Transcutânea - Removido 13/04/2026 (R$ 40,00)"/>
    <s v="Fisioterapia"/>
    <n v="1709414822"/>
    <s v="Finalizado (3/5)"/>
    <n v="35.200000000000003"/>
    <n v="4.8"/>
    <n v="40"/>
    <s v="Sessão Faturada"/>
    <n v="960016575471020"/>
    <n v="35978"/>
    <s v="Unidade Vieiralves"/>
    <n v="1709414822"/>
    <m/>
  </r>
  <r>
    <x v="19"/>
    <x v="74"/>
    <s v="Bruna Lucianne dos Santos Galate"/>
    <s v="Feminino"/>
    <x v="6"/>
    <x v="22"/>
    <s v="31602185 - Estimulação Elétrica Transcutanea (Tens) (R$ 40,00)"/>
    <s v="Fisioterapia"/>
    <n v="171430"/>
    <s v="Finalizado (1/10)"/>
    <n v="35.200000000000003"/>
    <n v="4.8"/>
    <n v="40"/>
    <s v="Sessão a Faturar"/>
    <s v="55788888493194760120"/>
    <n v="43650"/>
    <s v="Unidade Vieiralves"/>
    <n v="171430"/>
    <m/>
  </r>
  <r>
    <x v="19"/>
    <x v="41"/>
    <s v="Diego Nobuyoshi de Souza Tsuji"/>
    <s v="Masculino"/>
    <x v="2"/>
    <x v="22"/>
    <s v="20103492 - Fisioterapia - Patologia Em Dois Ou Mais Membros (R$ 14,83)"/>
    <s v="Fisioterapia"/>
    <n v="1709435090"/>
    <s v="Finalizado (3/5)"/>
    <n v="13.0504"/>
    <n v="1.7796000000000001"/>
    <n v="14.83"/>
    <s v="Sessão Faturada"/>
    <n v="774981009148000"/>
    <n v="11130"/>
    <s v="Unidade Vieiralves"/>
    <n v="1709435090"/>
    <m/>
  </r>
  <r>
    <x v="19"/>
    <x v="41"/>
    <s v="Katia Cilene Jardim da Costa"/>
    <s v="Feminino"/>
    <x v="4"/>
    <x v="22"/>
    <s v="31602185 - Estimulação Elétrica Transcutânea - Removido 13/04/2026 (R$ 40,00)"/>
    <s v="Fisioterapia"/>
    <n v="1707351947"/>
    <s v="Finalizado (4/5)"/>
    <n v="35.200000000000003"/>
    <n v="4.8"/>
    <n v="40"/>
    <s v="Sessão Faturada"/>
    <n v="771015041750020"/>
    <n v="37973"/>
    <s v="Unidade Vieiralves"/>
    <n v="1707351947"/>
    <m/>
  </r>
  <r>
    <x v="19"/>
    <x v="41"/>
    <s v="Suzy Moraes de Souza"/>
    <s v="Feminino"/>
    <x v="2"/>
    <x v="22"/>
    <s v="20103492 - Fisioterapia - Patologia Em Dois Ou Mais Membros (R$ 14,83)"/>
    <s v="Fisioterapia"/>
    <n v="1710086788"/>
    <s v="Finalizado (2/3)"/>
    <n v="13.0504"/>
    <n v="1.7796000000000001"/>
    <n v="14.83"/>
    <s v="Sessão Faturada"/>
    <n v="973700010774020"/>
    <n v="48848"/>
    <s v="Unidade Vieiralves"/>
    <n v="1710086788"/>
    <m/>
  </r>
  <r>
    <x v="19"/>
    <x v="41"/>
    <s v="Diego Nobuyoshi de Souza Tsuji"/>
    <s v="Masculino"/>
    <x v="4"/>
    <x v="22"/>
    <s v="31602185 - Estimulação Elétrica Transcutânea - Removido 13/04/2026 (R$ 40,00)"/>
    <s v="Fisioterapia"/>
    <n v="1707704113"/>
    <s v="Finalizado (5/5)"/>
    <n v="35.200000000000003"/>
    <n v="4.8"/>
    <n v="40"/>
    <s v="Sessão Faturada"/>
    <n v="774981009148000"/>
    <n v="11130"/>
    <s v="Unidade Vieiralves"/>
    <n v="1707704113"/>
    <m/>
  </r>
  <r>
    <x v="19"/>
    <x v="41"/>
    <s v="Maria Jose Pinto da Mota"/>
    <m/>
    <x v="2"/>
    <x v="22"/>
    <s v="20103514 - Fisioterapia - Patologia Em Diferentes Segmentos da Coluna (R$ 14,83)"/>
    <s v="Fisioterapia"/>
    <n v="1707148878"/>
    <s v="Finalizado (3/4)"/>
    <n v="13.0504"/>
    <n v="1.7796000000000001"/>
    <n v="14.83"/>
    <s v="Sessão Faturada"/>
    <n v="771015052531020"/>
    <n v="59060"/>
    <s v="Unidade Vieiralves"/>
    <n v="1707148878"/>
    <m/>
  </r>
  <r>
    <x v="19"/>
    <x v="41"/>
    <s v="Katia Cilene Jardim da Costa"/>
    <s v="Feminino"/>
    <x v="2"/>
    <x v="22"/>
    <s v="20103484 - Fisioterapia - Patologia Em Um Membro (R$ 12,22)"/>
    <s v="Fisioterapia"/>
    <n v="1707250451"/>
    <s v="Finalizado (5/10)"/>
    <n v="10.7536"/>
    <n v="1.4663999999999999"/>
    <n v="12.22"/>
    <s v="Sessão Faturada"/>
    <n v="771015041750020"/>
    <n v="37973"/>
    <s v="Unidade Vieiralves"/>
    <n v="1707250451"/>
    <m/>
  </r>
  <r>
    <x v="19"/>
    <x v="65"/>
    <s v="Maria Jose Pinto da Mota"/>
    <m/>
    <x v="4"/>
    <x v="22"/>
    <s v="31602185 - Estimulação Elétrica Transcutânea - Removido 13/04/2026 (R$ 40,00)"/>
    <s v="Fisioterapia"/>
    <n v="1709407506"/>
    <s v="Finalizado (2/3)"/>
    <n v="35.200000000000003"/>
    <n v="4.8"/>
    <n v="40"/>
    <s v="Sessão Faturada"/>
    <n v="771015052531020"/>
    <n v="59060"/>
    <s v="Unidade Vieiralves"/>
    <n v="1709407506"/>
    <m/>
  </r>
  <r>
    <x v="19"/>
    <x v="36"/>
    <s v="Rui Heliandro Sa Valente"/>
    <s v="Masculino"/>
    <x v="1"/>
    <x v="22"/>
    <s v="50000160 - Fisioterapia Ortopédica (R$ 20,00), 98980327 - Taxa de Eletroterapia (Tens) (R$ 15,00)"/>
    <s v="Fisioterapia"/>
    <n v="9071007"/>
    <s v="Finalizado (5/10)"/>
    <n v="30.8"/>
    <n v="4.2"/>
    <n v="35"/>
    <s v="Sessão Faturada"/>
    <s v="0701013978710030"/>
    <n v="59447"/>
    <s v="Unidade Vieiralves"/>
    <n v="9071007"/>
    <m/>
  </r>
  <r>
    <x v="19"/>
    <x v="36"/>
    <s v="Vivianne Cristina Canavarro Fernandes Rocha"/>
    <s v="Feminino"/>
    <x v="6"/>
    <x v="22"/>
    <s v="20103514 - Patologia Em Dois Ou Mais Segmentos da Coluna (R$ 32,82)"/>
    <s v="Fisioterapia"/>
    <n v="171150"/>
    <s v="Finalizado (2/10)"/>
    <n v="28.881599999999999"/>
    <n v="3.9384000000000001"/>
    <n v="32.82"/>
    <s v="Sessão a Faturar"/>
    <s v="54588888491549250012"/>
    <n v="59548"/>
    <s v="Unidade Vieiralves"/>
    <n v="171150"/>
    <m/>
  </r>
  <r>
    <x v="19"/>
    <x v="61"/>
    <s v="Vivianne Cristina Canavarro Fernandes Rocha"/>
    <s v="Feminino"/>
    <x v="6"/>
    <x v="22"/>
    <s v="31602185 - Estimulação Elétrica Transcutanea (Tens) (R$ 40,00)"/>
    <s v="Fisioterapia"/>
    <n v="171151"/>
    <s v="Finalizado (2/10)"/>
    <n v="35.200000000000003"/>
    <n v="4.8"/>
    <n v="40"/>
    <s v="Sessão a Faturar"/>
    <s v="54588888491549250012"/>
    <n v="59548"/>
    <s v="Unidade Vieiralves"/>
    <n v="171151"/>
    <m/>
  </r>
  <r>
    <x v="19"/>
    <x v="40"/>
    <s v="Rejane Costa Freire"/>
    <m/>
    <x v="1"/>
    <x v="22"/>
    <s v="50000160 - Fisioterapia Ortopédica (R$ 20,00), 98980327 - Taxa de Eletroterapia (Tens) (R$ 15,00)"/>
    <s v="Fisioterapia"/>
    <n v="9010622"/>
    <s v="Finalizado (6/10)"/>
    <n v="30.8"/>
    <n v="4.2"/>
    <n v="35"/>
    <s v="Sessão Faturada"/>
    <s v="0901013326530193"/>
    <n v="57964"/>
    <s v="Unidade Vieiralves"/>
    <n v="9010622"/>
    <m/>
  </r>
  <r>
    <x v="19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8/10)"/>
    <n v="30.8"/>
    <n v="4.2"/>
    <n v="35"/>
    <s v="Sessão Faturada"/>
    <n v="201013748740040"/>
    <n v="54729"/>
    <s v="Unidade Vieiralves"/>
    <n v="8824742"/>
    <m/>
  </r>
  <r>
    <x v="19"/>
    <x v="40"/>
    <s v="Jussara Maria Bandeira de Melo Rio Branco"/>
    <s v="Feminino"/>
    <x v="6"/>
    <x v="22"/>
    <s v="20103492 - Patologia Em Dois Ou Mais Membros (R$ 30,26), 20103506 - Patologia Em Um Segmento da Coluna (R$ 14,16)"/>
    <s v="Fisioterapia"/>
    <n v="171446"/>
    <s v="Finalizado (1/1)"/>
    <n v="39.089599999999997"/>
    <n v="5.3304"/>
    <n v="44.42"/>
    <s v="Sessão a Faturar"/>
    <s v="55788888481071980013"/>
    <n v="15916"/>
    <s v="Unidade Vieiralves"/>
    <n v="171446"/>
    <m/>
  </r>
  <r>
    <x v="19"/>
    <x v="40"/>
    <s v="Lucia Ferreira Viana"/>
    <s v="Feminino"/>
    <x v="0"/>
    <x v="22"/>
    <s v="50000160 - Fisioterapia Ortopedica (R$ 49,72)"/>
    <s v="Fisioterapia"/>
    <s v="42263120260305416369"/>
    <s v="Finalizado (3/10)"/>
    <n v="43.753599999999999"/>
    <n v="5.9664000000000001"/>
    <n v="49.72"/>
    <s v="Sessão a Faturar"/>
    <s v="010650248904"/>
    <n v="10197"/>
    <s v="Unidade Vieiralves"/>
    <s v="42263120260305416369"/>
    <m/>
  </r>
  <r>
    <x v="19"/>
    <x v="45"/>
    <s v="Jussara Maria Bandeira de Melo Rio Branco"/>
    <s v="Feminino"/>
    <x v="6"/>
    <x v="22"/>
    <s v="31602185 - Estimulação Elétrica Transcutanea (Tens) (R$ 40,00)"/>
    <s v="Fisioterapia"/>
    <n v="171447"/>
    <s v="Finalizado (1/1)"/>
    <n v="35.200000000000003"/>
    <n v="4.8"/>
    <n v="40"/>
    <s v="Sessão a Faturar"/>
    <s v="55788888481071980013"/>
    <n v="15916"/>
    <s v="Unidade Vieiralves"/>
    <n v="171447"/>
    <m/>
  </r>
  <r>
    <x v="19"/>
    <x v="45"/>
    <s v="Lucia Ferreira Viana"/>
    <s v="Feminino"/>
    <x v="0"/>
    <x v="22"/>
    <s v="31602185 - Estimulação Elétrica Transcutânea Fisioterapia (Novo - 01/12) (R$ 54,13)"/>
    <s v="Fisioterapia"/>
    <s v="42263120260305416626"/>
    <s v="Finalizado (3/10)"/>
    <n v="47.634399999999999"/>
    <n v="6.4955999999999996"/>
    <n v="54.13"/>
    <s v="Sessão a Faturar"/>
    <s v="010650248904"/>
    <n v="10197"/>
    <s v="Unidade Vieiralves"/>
    <s v="42263120260305416626"/>
    <m/>
  </r>
  <r>
    <x v="19"/>
    <x v="35"/>
    <s v="Joao Arthur Alcantara de Lima"/>
    <s v="Masculino"/>
    <x v="2"/>
    <x v="22"/>
    <s v="20103662 - Fisioterapia - Pos Operatorio Em Um Membro (R$ 14,99)"/>
    <s v="Fisioterapia"/>
    <n v="1708826822"/>
    <s v="Finalizado (4/9)"/>
    <n v="13.1912"/>
    <n v="1.7988"/>
    <n v="14.99"/>
    <s v="Sessão Faturada"/>
    <n v="774642026670000"/>
    <n v="59569"/>
    <s v="Unidade Vieiralves"/>
    <n v="1708826822"/>
    <m/>
  </r>
  <r>
    <x v="19"/>
    <x v="42"/>
    <s v="Joao Arthur Alcantara de Lima"/>
    <s v="Masculino"/>
    <x v="4"/>
    <x v="22"/>
    <s v="31602185 - Estimulação Elétrica Transcutânea - Removido 13/04/2026 (R$ 40,00)"/>
    <s v="Fisioterapia"/>
    <n v="1709469492"/>
    <s v="Finalizado (3/5)"/>
    <n v="35.200000000000003"/>
    <n v="4.8"/>
    <n v="40"/>
    <s v="Sessão Faturada"/>
    <n v="774642026670000"/>
    <n v="59569"/>
    <s v="Unidade Vieiralves"/>
    <n v="1709469492"/>
    <m/>
  </r>
  <r>
    <x v="19"/>
    <x v="37"/>
    <s v="Adenildo Neles de Vasconcelos"/>
    <s v="Masculino"/>
    <x v="2"/>
    <x v="22"/>
    <s v="20103492 - Fisioterapia - Patologia Em Dois Ou Mais Membros (R$ 14,83)"/>
    <s v="Fisioterapia"/>
    <n v="1710838335"/>
    <s v="Finalizado (1/10)"/>
    <n v="13.0504"/>
    <n v="1.7796000000000001"/>
    <n v="14.83"/>
    <s v="Sessão a Faturar"/>
    <n v="890729700019020"/>
    <n v="47173"/>
    <s v="Unidade Vieiralves"/>
    <n v="1710838335"/>
    <m/>
  </r>
  <r>
    <x v="19"/>
    <x v="37"/>
    <s v="Adenildo Neles de Vasconcelos"/>
    <s v="Masculino"/>
    <x v="2"/>
    <x v="22"/>
    <s v="50000144 - Avaliação de Fisioterapia (R$ 51,42)"/>
    <s v="Fisioterapia"/>
    <n v="1710838129"/>
    <s v="Finalizado (1/1)"/>
    <n v="46.277999999999999"/>
    <n v="5.1420000000000003"/>
    <n v="51.42"/>
    <s v="Sessão Faturada"/>
    <n v="890729700019020"/>
    <n v="47173"/>
    <s v="Unidade Vieiralves"/>
    <n v="1710838129"/>
    <m/>
  </r>
  <r>
    <x v="19"/>
    <x v="37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2/10)"/>
    <n v="30.8"/>
    <n v="4.2"/>
    <n v="35"/>
    <s v="Sessão Faturada"/>
    <n v="1901013411030200"/>
    <n v="57093"/>
    <s v="Unidade Vieiralves"/>
    <n v="9181422"/>
    <s v="GUIA ASSINADA!"/>
  </r>
  <r>
    <x v="19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7/10)"/>
    <n v="23.803999999999998"/>
    <n v="3.246"/>
    <n v="27.05"/>
    <s v="Sessão Faturada"/>
    <n v="952480013332000"/>
    <n v="14710"/>
    <s v="Unidade Vieiralves"/>
    <n v="1706776664"/>
    <m/>
  </r>
  <r>
    <x v="19"/>
    <x v="63"/>
    <s v="Raimunda Carvalho Caldas"/>
    <s v="Feminino"/>
    <x v="4"/>
    <x v="22"/>
    <s v="31602185 - Estimulação Elétrica Transcutânea - Removido 13/04/2026 (R$ 40,00)"/>
    <s v="Fisioterapia"/>
    <n v="1707806477"/>
    <s v="Finalizado (5/5)"/>
    <n v="35.200000000000003"/>
    <n v="4.8"/>
    <n v="40"/>
    <s v="Sessão Faturada"/>
    <n v="952480013332000"/>
    <n v="14710"/>
    <s v="Unidade Vieiralves"/>
    <n v="1707806477"/>
    <m/>
  </r>
  <r>
    <x v="19"/>
    <x v="43"/>
    <s v="Suellen Andrade Barroso"/>
    <s v="Feminino"/>
    <x v="6"/>
    <x v="22"/>
    <s v="50000144 - Avaliação de Fisioterapia (R$ 56,52)"/>
    <s v="Fisioterapia"/>
    <n v="7700047192"/>
    <s v="Finalizado (1/1)"/>
    <n v="50.868000000000002"/>
    <n v="5.6520000000000001"/>
    <n v="56.52"/>
    <s v="Sessão a Faturar"/>
    <s v="54588888479635870024"/>
    <n v="31354"/>
    <s v="Unidade Vieiralves"/>
    <n v="7700047192"/>
    <m/>
  </r>
  <r>
    <x v="19"/>
    <x v="51"/>
    <s v="Suellen Andrade Barroso"/>
    <s v="Feminino"/>
    <x v="6"/>
    <x v="22"/>
    <s v="20103492 - Patologia Em Dois Ou Mais Membros (R$ 30,26)"/>
    <s v="Fisioterapia"/>
    <n v="171490"/>
    <s v="Finalizado (1/10)"/>
    <n v="26.628799999999998"/>
    <n v="3.6312000000000002"/>
    <n v="30.26"/>
    <s v="Sessão a Faturar"/>
    <s v="54588888479635870024"/>
    <n v="31354"/>
    <s v="Unidade Vieiralves"/>
    <n v="171490"/>
    <m/>
  </r>
  <r>
    <x v="19"/>
    <x v="77"/>
    <s v="Suellen Andrade Barroso"/>
    <s v="Feminino"/>
    <x v="6"/>
    <x v="22"/>
    <s v="31602185 - Estimulação Elétrica Transcutanea (Tens) (R$ 40,00)"/>
    <s v="Fisioterapia"/>
    <n v="171491"/>
    <s v="Finalizado (1/4)"/>
    <n v="35.200000000000003"/>
    <n v="4.8"/>
    <n v="40"/>
    <s v="Sessão a Faturar"/>
    <s v="54588888479635870024"/>
    <n v="31354"/>
    <s v="Unidade Vieiralves"/>
    <n v="171491"/>
    <m/>
  </r>
  <r>
    <x v="20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2/10)"/>
    <n v="39.089599999999997"/>
    <n v="5.3304"/>
    <n v="44.42"/>
    <s v="Sessão a Faturar"/>
    <s v="55788888493194760120"/>
    <n v="43650"/>
    <s v="Unidade Vieiralves"/>
    <n v="171429"/>
    <m/>
  </r>
  <r>
    <x v="20"/>
    <x v="44"/>
    <s v="Katia Cilene Jardim da Costa"/>
    <s v="Feminino"/>
    <x v="4"/>
    <x v="22"/>
    <s v="31602185 - Estimulação Elétrica Transcutânea - Removido 13/04/2026 (R$ 40,00)"/>
    <s v="Fisioterapia"/>
    <n v="1707351947"/>
    <s v="Finalizado (5/5)"/>
    <n v="35.200000000000003"/>
    <n v="4.8"/>
    <n v="40"/>
    <s v="Sessão Faturada"/>
    <n v="771015041750020"/>
    <n v="37973"/>
    <s v="Unidade Vieiralves"/>
    <n v="1707351947"/>
    <m/>
  </r>
  <r>
    <x v="20"/>
    <x v="44"/>
    <s v="Bruna Lucianne dos Santos Galate"/>
    <s v="Feminino"/>
    <x v="6"/>
    <x v="22"/>
    <s v="31602185 - Estimulação Elétrica Transcutanea (Tens) (R$ 40,00)"/>
    <s v="Fisioterapia"/>
    <n v="171430"/>
    <s v="Finalizado (2/10)"/>
    <n v="35.200000000000003"/>
    <n v="4.8"/>
    <n v="40"/>
    <s v="Sessão a Faturar"/>
    <s v="55788888493194760120"/>
    <n v="43650"/>
    <s v="Unidade Vieiralves"/>
    <n v="171430"/>
    <m/>
  </r>
  <r>
    <x v="20"/>
    <x v="44"/>
    <s v="Georgia Coelho da Cunha"/>
    <s v="Feminino"/>
    <x v="6"/>
    <x v="22"/>
    <s v="31602185 - Estimulação Elétrica Transcutanea (Tens) (R$ 40,00)"/>
    <s v="Fisioterapia"/>
    <n v="171111"/>
    <s v="Finalizado (3/4)"/>
    <n v="35.200000000000003"/>
    <n v="4.8"/>
    <n v="40"/>
    <s v="Sessão a Faturar"/>
    <s v="51588888491631000016"/>
    <n v="59573"/>
    <s v="Unidade Vieiralves"/>
    <n v="171111"/>
    <m/>
  </r>
  <r>
    <x v="20"/>
    <x v="44"/>
    <s v="Katia Cilene Jardim da Costa"/>
    <s v="Feminino"/>
    <x v="2"/>
    <x v="22"/>
    <s v="20103484 - Fisioterapia - Patologia Em Um Membro (R$ 12,22)"/>
    <s v="Fisioterapia"/>
    <n v="1707250451"/>
    <s v="Finalizado (6/10)"/>
    <n v="10.7536"/>
    <n v="1.4663999999999999"/>
    <n v="12.22"/>
    <s v="Sessão Faturada"/>
    <n v="771015041750020"/>
    <n v="37973"/>
    <s v="Unidade Vieiralves"/>
    <n v="1707250451"/>
    <m/>
  </r>
  <r>
    <x v="20"/>
    <x v="44"/>
    <s v="Diego Nobuyoshi de Souza Tsuji"/>
    <s v="Masculino"/>
    <x v="2"/>
    <x v="22"/>
    <s v="20103492 - Fisioterapia - Patologia Em Dois Ou Mais Membros (R$ 14,83)"/>
    <s v="Fisioterapia"/>
    <n v="1709435090"/>
    <s v="Finalizado (4/5)"/>
    <n v="13.0504"/>
    <n v="1.7796000000000001"/>
    <n v="14.83"/>
    <s v="Sessão Faturada"/>
    <n v="774981009148000"/>
    <n v="11130"/>
    <s v="Unidade Vieiralves"/>
    <n v="1709435090"/>
    <m/>
  </r>
  <r>
    <x v="20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5/10)"/>
    <n v="26.1008"/>
    <n v="3.5592000000000001"/>
    <n v="29.66"/>
    <s v="Sessão Faturada"/>
    <n v="830425500043000"/>
    <n v="7701"/>
    <s v="Unidade Vieiralves"/>
    <n v="1706683478"/>
    <m/>
  </r>
  <r>
    <x v="20"/>
    <x v="41"/>
    <s v="Carlos Jose Cavalcante Martins"/>
    <s v="Masculino"/>
    <x v="2"/>
    <x v="22"/>
    <s v="20103492 - Fisioterapia - Patologia Em Dois Ou Mais Membros (R$ 14,83)"/>
    <s v="Fisioterapia"/>
    <n v="1707732828"/>
    <s v="Finalizado (2/8)"/>
    <n v="13.0504"/>
    <n v="1.7796000000000001"/>
    <n v="14.83"/>
    <s v="Sessão a Faturar"/>
    <n v="830425500051000"/>
    <n v="59320"/>
    <s v="Unidade Vieiralves"/>
    <n v="1707732828"/>
    <m/>
  </r>
  <r>
    <x v="20"/>
    <x v="41"/>
    <s v="Mario Alves Sobral Junior"/>
    <s v="Masculino"/>
    <x v="1"/>
    <x v="22"/>
    <s v="50000217 - Fisioterapia Pré e Pós Operatória (R$ 25,00), 98980327 - Taxa de Eletroterapia (Tens) (R$ 15,00)"/>
    <s v="Fisioterapia"/>
    <n v="97632334"/>
    <s v="Finalizado (10/10)"/>
    <n v="35.200000000000003"/>
    <n v="4.8"/>
    <n v="40"/>
    <s v="Sessão a Faturar"/>
    <s v="01301012922220002"/>
    <n v="14923"/>
    <s v="Unidade Vieiralves"/>
    <n v="97632334"/>
    <m/>
  </r>
  <r>
    <x v="20"/>
    <x v="36"/>
    <s v="Maria Nazira Tomaz Pereira"/>
    <s v="Feminino"/>
    <x v="6"/>
    <x v="22"/>
    <s v="31602185 - Estimulação Elétrica Transcutanea (Tens) (R$ 40,00)"/>
    <s v="Fisioterapia"/>
    <n v="170935"/>
    <s v="Finalizado (3/10)"/>
    <n v="35.200000000000003"/>
    <n v="4.8"/>
    <n v="40"/>
    <s v="Sessão a Faturar"/>
    <s v="55788888483387380020"/>
    <n v="20265"/>
    <s v="Unidade Vieiralves"/>
    <n v="170935"/>
    <m/>
  </r>
  <r>
    <x v="20"/>
    <x v="36"/>
    <s v="Vivianne Cristina Canavarro Fernandes Rocha"/>
    <s v="Feminino"/>
    <x v="6"/>
    <x v="22"/>
    <s v="20103514 - Patologia Em Dois Ou Mais Segmentos da Coluna (R$ 32,82)"/>
    <s v="Fisioterapia"/>
    <n v="171150"/>
    <s v="Finalizado (3/10)"/>
    <n v="28.881599999999999"/>
    <n v="3.9384000000000001"/>
    <n v="32.82"/>
    <s v="Sessão a Faturar"/>
    <s v="54588888491549250012"/>
    <n v="59548"/>
    <s v="Unidade Vieiralves"/>
    <n v="171150"/>
    <m/>
  </r>
  <r>
    <x v="20"/>
    <x v="36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3/10)"/>
    <n v="39.089599999999997"/>
    <n v="5.3304"/>
    <n v="44.42"/>
    <s v="Sessão a Faturar"/>
    <s v="55788888483387380020"/>
    <n v="20265"/>
    <s v="Unidade Vieiralves"/>
    <n v="168228"/>
    <m/>
  </r>
  <r>
    <x v="20"/>
    <x v="61"/>
    <s v="Vivianne Cristina Canavarro Fernandes Rocha"/>
    <s v="Feminino"/>
    <x v="6"/>
    <x v="22"/>
    <s v="31602185 - Estimulação Elétrica Transcutanea (Tens) (R$ 40,00)"/>
    <s v="Fisioterapia"/>
    <n v="171151"/>
    <s v="Finalizado (3/10)"/>
    <n v="35.200000000000003"/>
    <n v="4.8"/>
    <n v="40"/>
    <s v="Sessão a Faturar"/>
    <s v="54588888491549250012"/>
    <n v="59548"/>
    <s v="Unidade Vieiralves"/>
    <n v="171151"/>
    <m/>
  </r>
  <r>
    <x v="20"/>
    <x v="40"/>
    <s v="Aldair Oliveira de Andrade"/>
    <s v="Masculino"/>
    <x v="1"/>
    <x v="22"/>
    <s v="50000160 - Fisioterapia Ortopédica (R$ 20,00), 98980327 - Taxa de Eletroterapia (Tens) (R$ 15,00)"/>
    <s v="Fisioterapia"/>
    <n v="8936322"/>
    <s v="Finalizado (3/10)"/>
    <n v="30.8"/>
    <n v="4.2"/>
    <n v="35"/>
    <s v="Sessão Faturada"/>
    <s v="0702007029320058"/>
    <n v="58351"/>
    <s v="Unidade Vieiralves"/>
    <n v="8936322"/>
    <s v="GUIA ASSINADA!"/>
  </r>
  <r>
    <x v="20"/>
    <x v="40"/>
    <s v="Roberta Ferreira Coelho de Andrade"/>
    <s v="Feminino"/>
    <x v="1"/>
    <x v="22"/>
    <s v="50000160 - Fisioterapia Ortopédica (R$ 20,00), 98980327 - Taxa de Eletroterapia (Tens) (R$ 15,00)"/>
    <s v="Fisioterapia"/>
    <n v="8761145"/>
    <s v="Finalizado (9/10)"/>
    <n v="30.8"/>
    <n v="4.2"/>
    <n v="35"/>
    <s v="Sessão Faturada"/>
    <s v="0701010939440006"/>
    <n v="58292"/>
    <s v="Unidade Vieiralves"/>
    <n v="8761145"/>
    <m/>
  </r>
  <r>
    <x v="20"/>
    <x v="40"/>
    <s v="Joao Arthur Alcantara de Lima"/>
    <s v="Masculino"/>
    <x v="2"/>
    <x v="22"/>
    <s v="20103662 - Fisioterapia - Pos Operatorio Em Um Membro (R$ 14,99)"/>
    <s v="Fisioterapia"/>
    <n v="1708826822"/>
    <s v="Finalizado (5/9)"/>
    <n v="13.1912"/>
    <n v="1.7988"/>
    <n v="14.99"/>
    <s v="Sessão Faturada"/>
    <n v="774642026670000"/>
    <n v="59569"/>
    <s v="Unidade Vieiralves"/>
    <n v="1708826822"/>
    <m/>
  </r>
  <r>
    <x v="20"/>
    <x v="40"/>
    <s v="Maria Eduarda Menezes"/>
    <s v="Feminino"/>
    <x v="0"/>
    <x v="22"/>
    <s v="50000160 - Fisioterapia Ortopedica (R$ 49,72)"/>
    <s v="Fisioterapia"/>
    <s v="42263120260310446258"/>
    <s v="Finalizado (2/10)"/>
    <n v="43.753599999999999"/>
    <n v="5.9664000000000001"/>
    <n v="49.72"/>
    <s v="Sessão a Faturar"/>
    <s v="010650678953"/>
    <n v="59554"/>
    <s v="Unidade Vieiralves"/>
    <s v="42263120260310446258"/>
    <m/>
  </r>
  <r>
    <x v="20"/>
    <x v="45"/>
    <s v="Maria Eduarda Menezes"/>
    <s v="Feminino"/>
    <x v="0"/>
    <x v="22"/>
    <s v="31602185 - Estimulação Elétrica Transcutânea Fisioterapia (Novo - 01/12) (R$ 54,13)"/>
    <s v="Fisioterapia"/>
    <s v="42263120260310446304"/>
    <s v="Finalizado (2/10)"/>
    <n v="47.634399999999999"/>
    <n v="6.4955999999999996"/>
    <n v="54.13"/>
    <s v="Sessão a Faturar"/>
    <s v="010650678953"/>
    <n v="59554"/>
    <s v="Unidade Vieiralves"/>
    <s v="42263120260310446304"/>
    <m/>
  </r>
  <r>
    <x v="20"/>
    <x v="45"/>
    <s v="Joao Arthur Alcantara de Lima"/>
    <s v="Masculino"/>
    <x v="4"/>
    <x v="22"/>
    <s v="31602185 - Estimulação Elétrica Transcutânea - Removido 13/04/2026 (R$ 40,00)"/>
    <s v="Fisioterapia"/>
    <n v="1709469492"/>
    <s v="Finalizado (4/5)"/>
    <n v="35.200000000000003"/>
    <n v="4.8"/>
    <n v="40"/>
    <s v="Sessão Faturada"/>
    <n v="774642026670000"/>
    <n v="59569"/>
    <s v="Unidade Vieiralves"/>
    <n v="1709469492"/>
    <m/>
  </r>
  <r>
    <x v="20"/>
    <x v="35"/>
    <s v="Guaracy Silva da Cunha"/>
    <s v="Feminino"/>
    <x v="1"/>
    <x v="22"/>
    <s v="50000160 - Fisioterapia Ortopédica (R$ 20,00), 98980327 - Taxa de Eletroterapia (Tens) (R$ 15,00)"/>
    <s v="Fisioterapia"/>
    <n v="9313898"/>
    <s v="Finalizado (1/10)"/>
    <n v="30.8"/>
    <n v="4.2"/>
    <n v="35"/>
    <s v="Sessão Faturada"/>
    <s v="0901013070050252"/>
    <n v="21742"/>
    <s v="Unidade Vieiralves"/>
    <n v="9313898"/>
    <s v="GUIA ASSINADA!"/>
  </r>
  <r>
    <x v="20"/>
    <x v="38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8/10)"/>
    <n v="23.803999999999998"/>
    <n v="3.246"/>
    <n v="27.05"/>
    <s v="Sessão Faturada"/>
    <n v="952480013332000"/>
    <n v="14710"/>
    <s v="Unidade Vieiralves"/>
    <n v="1706776664"/>
    <m/>
  </r>
  <r>
    <x v="20"/>
    <x v="38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06767128"/>
    <s v="Finalizado (5/5)"/>
    <n v="26.1008"/>
    <n v="3.5592000000000001"/>
    <n v="29.66"/>
    <s v="Sessão Faturada"/>
    <n v="813312700027000"/>
    <n v="17029"/>
    <s v="Unidade Vieiralves"/>
    <n v="1706767128"/>
    <m/>
  </r>
  <r>
    <x v="20"/>
    <x v="38"/>
    <s v="Raimunda Carvalho Caldas"/>
    <s v="Feminino"/>
    <x v="4"/>
    <x v="22"/>
    <s v="31602185 - Estimulação Elétrica Transcutânea - Removido 13/04/2026 (R$ 40,00)"/>
    <s v="Fisioterapia"/>
    <n v="1711413005"/>
    <s v="Finalizado (1/10)"/>
    <n v="35.200000000000003"/>
    <n v="4.8"/>
    <n v="40"/>
    <s v="Sessão a Faturar"/>
    <n v="952480013332000"/>
    <n v="14710"/>
    <s v="Unidade Vieiralves"/>
    <n v="1711413005"/>
    <m/>
  </r>
  <r>
    <x v="20"/>
    <x v="68"/>
    <s v="Estevam Pedrosa"/>
    <s v="Masculino"/>
    <x v="6"/>
    <x v="22"/>
    <s v="20103484 - Patologia Em Um Membro (R$ 14,16), 20103506 - Patologia Em Um Segmento da Coluna (R$ 14,16)"/>
    <s v="Fisioterapia"/>
    <n v="171634"/>
    <s v="Finalizado (1/4)"/>
    <n v="24.921600000000002"/>
    <n v="3.3984000000000001"/>
    <n v="28.32"/>
    <s v="Sessão a Faturar"/>
    <s v="51588888476524760013"/>
    <n v="56604"/>
    <s v="Unidade Vieiralves"/>
    <n v="171634"/>
    <m/>
  </r>
  <r>
    <x v="20"/>
    <x v="62"/>
    <s v="Rose Mayre Vieira Barreto"/>
    <s v="Feminino"/>
    <x v="4"/>
    <x v="22"/>
    <s v="31602185 - Estimulação Elétrica Transcutânea - Removido 13/04/2026 (R$ 40,00)"/>
    <s v="Fisioterapia"/>
    <n v="1708908103"/>
    <s v="Finalizado (3/5)"/>
    <n v="35.200000000000003"/>
    <n v="4.8"/>
    <n v="40"/>
    <s v="Sessão Faturada"/>
    <n v="813312700027000"/>
    <n v="17029"/>
    <s v="Unidade Vieiralves"/>
    <n v="1708908103"/>
    <m/>
  </r>
  <r>
    <x v="20"/>
    <x v="69"/>
    <s v="Estevam Pedrosa"/>
    <s v="Masculino"/>
    <x v="6"/>
    <x v="22"/>
    <s v="31602185 - Estimulação Elétrica Transcutanea (Tens) (R$ 40,00)"/>
    <s v="Fisioterapia"/>
    <n v="171635"/>
    <s v="Finalizado (1/4)"/>
    <n v="35.200000000000003"/>
    <n v="4.8"/>
    <n v="40"/>
    <s v="Sessão a Faturar"/>
    <s v="51588888476524760013"/>
    <n v="56604"/>
    <s v="Unidade Vieiralves"/>
    <n v="171635"/>
    <m/>
  </r>
  <r>
    <x v="20"/>
    <x v="37"/>
    <s v="Luciana Araujo Monteiro"/>
    <s v="Feminino"/>
    <x v="9"/>
    <x v="22"/>
    <s v="31602185 - Estimulação Elétrica Transcutânea (Tens) - Removido 13/04/2026 (R$ 40,00)"/>
    <s v="Fisioterapia"/>
    <n v="1708975983"/>
    <s v="Finalizado (3/5)"/>
    <n v="35.200000000000003"/>
    <n v="4.8"/>
    <n v="40"/>
    <s v="Sessão Faturada"/>
    <n v="954600033103010"/>
    <n v="59400"/>
    <s v="Unidade Vieiralves"/>
    <n v="1708975983"/>
    <m/>
  </r>
  <r>
    <x v="20"/>
    <x v="63"/>
    <s v="Luciana Araujo Monteiro"/>
    <s v="Feminino"/>
    <x v="8"/>
    <x v="22"/>
    <s v="20103662 - Pos Operatorio Em Um Membro (R$ 14,99)"/>
    <s v="Fisioterapia"/>
    <n v="1711456550"/>
    <s v="Finalizado (1/5)"/>
    <n v="13.1912"/>
    <n v="1.7988"/>
    <n v="14.99"/>
    <s v="Sessão a Faturar"/>
    <n v="954600033103010"/>
    <n v="59400"/>
    <s v="Unidade Vieiralves"/>
    <n v="1711456550"/>
    <m/>
  </r>
  <r>
    <x v="20"/>
    <x v="39"/>
    <s v="Suzy Moraes de Souza"/>
    <s v="Feminino"/>
    <x v="2"/>
    <x v="22"/>
    <s v="20103492 - Fisioterapia - Patologia Em Dois Ou Mais Membros (R$ 14,83)"/>
    <s v="Fisioterapia"/>
    <n v="1710086788"/>
    <s v="Finalizado (3/3)"/>
    <n v="13.0504"/>
    <n v="1.7796000000000001"/>
    <n v="14.83"/>
    <s v="Sessão Faturada"/>
    <n v="973700010774020"/>
    <n v="48848"/>
    <s v="Unidade Vieiralves"/>
    <n v="1710086788"/>
    <m/>
  </r>
  <r>
    <x v="20"/>
    <x v="39"/>
    <s v="Henrique Douglas Macedo Mendes Júnior"/>
    <s v="Masculino"/>
    <x v="2"/>
    <x v="22"/>
    <s v="20103484 - Fisioterapia - Patologia Em Um Membro (R$ 12,22)"/>
    <s v="Fisioterapia"/>
    <n v="1708321359"/>
    <s v="Finalizado (3/5)"/>
    <n v="10.7536"/>
    <n v="1.4663999999999999"/>
    <n v="12.22"/>
    <s v="Sessão Faturada"/>
    <n v="897702200019010"/>
    <n v="56664"/>
    <s v="Unidade Vieiralves"/>
    <n v="1708321359"/>
    <m/>
  </r>
  <r>
    <x v="20"/>
    <x v="43"/>
    <s v="Wandercleia Martins Pontes"/>
    <s v="Feminino"/>
    <x v="1"/>
    <x v="22"/>
    <s v="50000160 - Fisioterapia Ortopédica (R$ 20,00), 98980327 - Taxa de Eletroterapia (Tens) (R$ 15,00)"/>
    <s v="Fisioterapia"/>
    <n v="8749507"/>
    <s v="Finalizado (8/10)"/>
    <n v="30.8"/>
    <n v="4.2"/>
    <n v="35"/>
    <s v="Sessão Faturada"/>
    <s v="0201013323070030"/>
    <n v="19693"/>
    <s v="Unidade Vieiralves"/>
    <n v="8749507"/>
    <s v="GUIA ASSINADA!"/>
  </r>
  <r>
    <x v="20"/>
    <x v="43"/>
    <s v="Julliana Gadelha de Medeiros"/>
    <s v="Feminino"/>
    <x v="8"/>
    <x v="22"/>
    <s v="20103484 - Patologia Em Um Membro (R$ 12,22)"/>
    <s v="Fisioterapia"/>
    <n v="1711444434"/>
    <s v="Finalizado (1/7)"/>
    <n v="10.7536"/>
    <n v="1.4663999999999999"/>
    <n v="12.22"/>
    <s v="Sessão a Faturar"/>
    <n v="954600002968020"/>
    <n v="20663"/>
    <s v="Unidade Vieiralves"/>
    <n v="1711444434"/>
    <m/>
  </r>
  <r>
    <x v="20"/>
    <x v="66"/>
    <s v="Julliana Gadelha de Medeiros"/>
    <s v="Feminino"/>
    <x v="9"/>
    <x v="22"/>
    <s v="31602185 - Estimulação Elétrica Transcutânea (Tens) - Removido 13/04/2026 (R$ 40,00)"/>
    <s v="Fisioterapia"/>
    <n v="1708959722"/>
    <s v="Finalizado (3/5)"/>
    <n v="35.200000000000003"/>
    <n v="4.8"/>
    <n v="40"/>
    <s v="Sessão Faturada"/>
    <n v="954600002968020"/>
    <n v="20663"/>
    <s v="Unidade Vieiralves"/>
    <n v="1708959722"/>
    <m/>
  </r>
  <r>
    <x v="23"/>
    <x v="44"/>
    <s v="Lauro Loureiro Yoshimura"/>
    <s v="Masculino"/>
    <x v="6"/>
    <x v="22"/>
    <s v="31602185 - Estimulação Elétrica Transcutanea (Tens) (R$ 40,00)"/>
    <s v="Fisioterapia"/>
    <n v="170036"/>
    <s v="Finalizado (3/10)"/>
    <n v="35.200000000000003"/>
    <n v="4.8"/>
    <n v="40"/>
    <s v="Sessão a Faturar"/>
    <s v="58200789998000620040"/>
    <n v="44324"/>
    <s v="Unidade Vieiralves"/>
    <n v="170036"/>
    <m/>
  </r>
  <r>
    <x v="23"/>
    <x v="44"/>
    <s v="Leandro da Rocha Rodrigues"/>
    <s v="Masculino"/>
    <x v="4"/>
    <x v="22"/>
    <s v="31602185 - Estimulação Elétrica Transcutânea - Removido 13/04/2026 (R$ 40,00)"/>
    <s v="Fisioterapia"/>
    <n v="1711861290"/>
    <s v="Finalizado (1/2)"/>
    <n v="35.200000000000003"/>
    <n v="4.8"/>
    <n v="40"/>
    <s v="Sessão Faturada"/>
    <n v="770202149608010"/>
    <n v="7852"/>
    <s v="Unidade Vieiralves"/>
    <n v="1711861290"/>
    <m/>
  </r>
  <r>
    <x v="23"/>
    <x v="44"/>
    <s v="Maria Neuza Ribeiro de Matos Oliveira"/>
    <s v="Feminino"/>
    <x v="7"/>
    <x v="22"/>
    <s v="Vieiralves - 1 - Fisioterapia Ortopedica - Pacote (R$ 40,00)"/>
    <s v="Fisioterapia"/>
    <n v="171039"/>
    <s v="Finalizado (4/10)"/>
    <n v="31.2"/>
    <n v="8.8000000000000007"/>
    <n v="40"/>
    <s v="No Prazo"/>
    <s v="00"/>
    <n v="59588"/>
    <s v="Unidade Vieiralves"/>
    <n v="171039"/>
    <m/>
  </r>
  <r>
    <x v="23"/>
    <x v="44"/>
    <s v="Leandro da Rocha Rodrigues"/>
    <s v="Masculino"/>
    <x v="2"/>
    <x v="22"/>
    <s v="20103484 - Fisioterapia - Patologia Em Um Membro (R$ 12,22)"/>
    <s v="Fisioterapia"/>
    <n v="1710241237"/>
    <s v="Finalizado (2/3)"/>
    <n v="10.7536"/>
    <n v="1.4663999999999999"/>
    <n v="12.22"/>
    <s v="Sessão Faturada"/>
    <n v="770202149608010"/>
    <n v="7852"/>
    <s v="Unidade Vieiralves"/>
    <n v="1710241237"/>
    <m/>
  </r>
  <r>
    <x v="23"/>
    <x v="44"/>
    <s v="Lauro Loureiro Yoshimura"/>
    <s v="Masculino"/>
    <x v="6"/>
    <x v="22"/>
    <s v="20103492 - Patologia Em Dois Ou Mais Membros (R$ 30,26)"/>
    <s v="Fisioterapia"/>
    <n v="170033"/>
    <s v="Finalizado (3/10)"/>
    <n v="26.628799999999998"/>
    <n v="3.6312000000000002"/>
    <n v="30.26"/>
    <s v="Sessão a Faturar"/>
    <s v="58200789998000620040"/>
    <n v="44324"/>
    <s v="Unidade Vieiralves"/>
    <n v="170033"/>
    <m/>
  </r>
  <r>
    <x v="23"/>
    <x v="44"/>
    <s v="Luiza Silvestre da Silva"/>
    <s v="Feminino"/>
    <x v="2"/>
    <x v="22"/>
    <s v="20103492 - Fisioterapia - Patologia Em Dois Ou Mais Membros 2 (R$ 14,83)"/>
    <s v="Fisioterapia"/>
    <n v="1708242412"/>
    <s v="Finalizado (2/2)"/>
    <n v="13.0504"/>
    <n v="1.7796000000000001"/>
    <n v="14.83"/>
    <s v="Sessão Faturada"/>
    <n v="770179021261010"/>
    <n v="11820"/>
    <s v="Unidade Vieiralves"/>
    <n v="1708242412"/>
    <m/>
  </r>
  <r>
    <x v="23"/>
    <x v="41"/>
    <s v="Junio Costa de Almeida"/>
    <s v="Masculino"/>
    <x v="2"/>
    <x v="22"/>
    <s v="20103492 - Fisioterapia - Patologia Em Dois Ou Mais Membros (R$ 14,83)"/>
    <s v="Fisioterapia"/>
    <n v="1705120475"/>
    <s v="Finalizado (4/4)"/>
    <n v="13.0504"/>
    <n v="1.7796000000000001"/>
    <n v="14.83"/>
    <s v="Sessão Faturada"/>
    <n v="773709045322000"/>
    <n v="59013"/>
    <s v="Unidade Vieiralves"/>
    <n v="1705120475"/>
    <m/>
  </r>
  <r>
    <x v="23"/>
    <x v="41"/>
    <s v="Bruna Lucianne dos Santos Galate"/>
    <s v="Feminino"/>
    <x v="6"/>
    <x v="22"/>
    <s v="31602185 - Estimulação Elétrica Transcutanea (Tens) (R$ 40,00)"/>
    <s v="Fisioterapia"/>
    <n v="171430"/>
    <s v="Finalizado (3/10)"/>
    <n v="35.200000000000003"/>
    <n v="4.8"/>
    <n v="40"/>
    <s v="Sessão a Faturar"/>
    <s v="55788888493194760120"/>
    <n v="43650"/>
    <s v="Unidade Vieiralves"/>
    <n v="171430"/>
    <m/>
  </r>
  <r>
    <x v="23"/>
    <x v="41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3/10)"/>
    <n v="39.089599999999997"/>
    <n v="5.3304"/>
    <n v="44.42"/>
    <s v="Sessão a Faturar"/>
    <s v="55788888493194760120"/>
    <n v="43650"/>
    <s v="Unidade Vieiralves"/>
    <n v="171429"/>
    <m/>
  </r>
  <r>
    <x v="23"/>
    <x v="41"/>
    <s v="Marilena Ferreira Brasil Correia Puga Barbosa"/>
    <m/>
    <x v="1"/>
    <x v="22"/>
    <s v="50000144 - Consulta de Fisioterapia (R$ 16,00)"/>
    <s v="Fisioterapia"/>
    <n v="9348175"/>
    <s v="Finalizado (1/1)"/>
    <n v="14.4"/>
    <n v="1.6"/>
    <n v="16"/>
    <s v="Sessão Faturada"/>
    <n v="1901013246260100"/>
    <n v="53193"/>
    <s v="Unidade Vieiralves"/>
    <n v="9348175"/>
    <m/>
  </r>
  <r>
    <x v="23"/>
    <x v="65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1/10)"/>
    <n v="30.8"/>
    <n v="4.2"/>
    <n v="35"/>
    <s v="Sessão Faturada"/>
    <n v="1901013246260100"/>
    <n v="53193"/>
    <s v="Unidade Vieiralves"/>
    <n v="9350764"/>
    <m/>
  </r>
  <r>
    <x v="23"/>
    <x v="40"/>
    <s v="Lucia Ferreira Viana"/>
    <s v="Feminino"/>
    <x v="0"/>
    <x v="22"/>
    <s v="50000160 - Fisioterapia Ortopedica (R$ 49,72)"/>
    <s v="Fisioterapia"/>
    <s v="42263120260305416369"/>
    <s v="Finalizado (4/10)"/>
    <n v="43.753599999999999"/>
    <n v="5.9664000000000001"/>
    <n v="49.72"/>
    <s v="Sessão a Faturar"/>
    <s v="010650248904"/>
    <n v="10197"/>
    <s v="Unidade Vieiralves"/>
    <s v="42263120260305416369"/>
    <m/>
  </r>
  <r>
    <x v="23"/>
    <x v="45"/>
    <s v="Lucia Ferreira Viana"/>
    <s v="Feminino"/>
    <x v="0"/>
    <x v="22"/>
    <s v="31602185 - Estimulação Elétrica Transcutânea Fisioterapia (Novo - 01/12) (R$ 54,13)"/>
    <s v="Fisioterapia"/>
    <s v="42263120260305416626"/>
    <s v="Finalizado (4/10)"/>
    <n v="47.634399999999999"/>
    <n v="6.4955999999999996"/>
    <n v="54.13"/>
    <s v="Sessão a Faturar"/>
    <s v="010650248904"/>
    <n v="10197"/>
    <s v="Unidade Vieiralves"/>
    <s v="42263120260305416626"/>
    <m/>
  </r>
  <r>
    <x v="23"/>
    <x v="35"/>
    <s v="Ormandina Martins Leão"/>
    <s v="Feminino"/>
    <x v="5"/>
    <x v="22"/>
    <s v="98860020 - Fisioterapia Complexidade 2 - 04/03/2026 (R$ 70,79)"/>
    <s v="Fisioterapia"/>
    <n v="77123200"/>
    <s v="Finalizado (4/10)"/>
    <n v="62.295200000000001"/>
    <n v="8.4947999999999997"/>
    <n v="70.790000000000006"/>
    <s v="Sessão Faturada"/>
    <s v="0100865562010408"/>
    <n v="275"/>
    <s v="Unidade Vieiralves"/>
    <n v="77123200"/>
    <m/>
  </r>
  <r>
    <x v="23"/>
    <x v="35"/>
    <s v="Estevam Pedrosa"/>
    <s v="Masculino"/>
    <x v="6"/>
    <x v="22"/>
    <s v="20103484 - Patologia Em Um Membro (R$ 14,16), 20103506 - Patologia Em Um Segmento da Coluna (R$ 14,16)"/>
    <s v="Fisioterapia"/>
    <n v="171634"/>
    <s v="Finalizado (2/4)"/>
    <n v="24.921600000000002"/>
    <n v="3.3984000000000001"/>
    <n v="28.32"/>
    <s v="Sessão a Faturar"/>
    <s v="51588888476524760013"/>
    <n v="56604"/>
    <s v="Unidade Vieiralves"/>
    <n v="171634"/>
    <m/>
  </r>
  <r>
    <x v="23"/>
    <x v="35"/>
    <s v="Joao Arthur Alcantara de Lima"/>
    <s v="Masculino"/>
    <x v="4"/>
    <x v="22"/>
    <s v="31602185 - Estimulação Elétrica Transcutânea - Removido 13/04/2026 (R$ 40,00)"/>
    <s v="Fisioterapia"/>
    <n v="1709469492"/>
    <s v="Finalizado (5/5)"/>
    <n v="35.200000000000003"/>
    <n v="4.8"/>
    <n v="40"/>
    <s v="Sessão Faturada"/>
    <n v="774642026670000"/>
    <n v="59569"/>
    <s v="Unidade Vieiralves"/>
    <n v="1709469492"/>
    <m/>
  </r>
  <r>
    <x v="23"/>
    <x v="35"/>
    <s v="Ormandina Martins Leão"/>
    <s v="Feminino"/>
    <x v="5"/>
    <x v="22"/>
    <s v="31602185 - Estimulação Elétrica Transcutânea (Tens) (R$ 125,40)"/>
    <s v="Fisioterapia"/>
    <n v="78069600"/>
    <s v="Finalizado (1/10)"/>
    <n v="110.352"/>
    <n v="15.048"/>
    <n v="125.4"/>
    <s v="Sessão a Faturar"/>
    <s v="0100865562010408"/>
    <n v="275"/>
    <s v="Unidade Vieiralves"/>
    <n v="78069600"/>
    <m/>
  </r>
  <r>
    <x v="23"/>
    <x v="35"/>
    <s v="Joao Arthur Alcantara de Lima"/>
    <s v="Masculino"/>
    <x v="2"/>
    <x v="22"/>
    <s v="20103662 - Fisioterapia - Pos Operatorio Em Um Membro (R$ 14,99)"/>
    <s v="Fisioterapia"/>
    <n v="1708826822"/>
    <s v="Finalizado (6/9)"/>
    <n v="13.1912"/>
    <n v="1.7988"/>
    <n v="14.99"/>
    <s v="Sessão Faturada"/>
    <n v="774642026670000"/>
    <n v="59569"/>
    <s v="Unidade Vieiralves"/>
    <n v="1708826822"/>
    <m/>
  </r>
  <r>
    <x v="23"/>
    <x v="42"/>
    <s v="Estevam Pedrosa"/>
    <s v="Masculino"/>
    <x v="6"/>
    <x v="22"/>
    <s v="31602185 - Estimulação Elétrica Transcutanea (Tens) (R$ 40,00)"/>
    <s v="Fisioterapia"/>
    <n v="171635"/>
    <s v="Finalizado (2/4)"/>
    <n v="35.200000000000003"/>
    <n v="4.8"/>
    <n v="40"/>
    <s v="Sessão a Faturar"/>
    <s v="51588888476524760013"/>
    <n v="56604"/>
    <s v="Unidade Vieiralves"/>
    <n v="171635"/>
    <m/>
  </r>
  <r>
    <x v="23"/>
    <x v="38"/>
    <s v="Alice da Silva dos Santos"/>
    <m/>
    <x v="4"/>
    <x v="22"/>
    <s v="31602185 - Estimulação Elétrica Transcutânea - Removido 13/04/2026 (R$ 40,00)"/>
    <s v="Fisioterapia"/>
    <n v="1709795792"/>
    <s v="Finalizado (4/5)"/>
    <n v="35.200000000000003"/>
    <n v="4.8"/>
    <n v="40"/>
    <s v="Sessão Faturada"/>
    <n v="843486100604000"/>
    <n v="56112"/>
    <s v="Unidade Vieiralves"/>
    <n v="1709795792"/>
    <m/>
  </r>
  <r>
    <x v="23"/>
    <x v="38"/>
    <s v="Alice da Silva dos Santos"/>
    <m/>
    <x v="2"/>
    <x v="22"/>
    <s v="20103484 - Fisioterapia - Patologia Em Um Membro (R$ 12,22)"/>
    <s v="Fisioterapia"/>
    <n v="1709100134"/>
    <s v="Finalizado (5/5)"/>
    <n v="10.7536"/>
    <n v="1.4663999999999999"/>
    <n v="12.22"/>
    <s v="Sessão Faturada"/>
    <n v="843486100604000"/>
    <n v="56112"/>
    <s v="Unidade Vieiralves"/>
    <n v="1709100134"/>
    <m/>
  </r>
  <r>
    <x v="23"/>
    <x v="38"/>
    <s v="Larissa Bastos Nunes"/>
    <s v="Feminino"/>
    <x v="2"/>
    <x v="22"/>
    <s v="20103484 - Fisioterapia - Patologia Em Um Membro (R$ 12,22)"/>
    <s v="Fisioterapia"/>
    <n v="1705186719"/>
    <s v="Finalizado (5/5)"/>
    <n v="10.7536"/>
    <n v="1.4663999999999999"/>
    <n v="12.22"/>
    <s v="Sessão Faturada"/>
    <n v="610821790001010"/>
    <n v="59312"/>
    <s v="Unidade Vieiralves"/>
    <n v="1705186719"/>
    <m/>
  </r>
  <r>
    <x v="23"/>
    <x v="37"/>
    <s v="Edla de Araujo Silva"/>
    <s v="Feminino"/>
    <x v="13"/>
    <x v="22"/>
    <s v="20103492 - Patologia Em Dois Ou Mais Membros (R$ 32,28)"/>
    <s v="Fisioterapia"/>
    <n v="13101142"/>
    <s v="Finalizado (8/10)"/>
    <n v="28.406400000000001"/>
    <n v="3.8736000000000002"/>
    <n v="32.28"/>
    <s v="Sessão Faturada"/>
    <s v="00010300011877026"/>
    <n v="50914"/>
    <s v="Unidade Vieiralves"/>
    <n v="13101142"/>
    <m/>
  </r>
  <r>
    <x v="23"/>
    <x v="39"/>
    <s v="Ana Paula Alves Cruz"/>
    <s v="Feminino"/>
    <x v="7"/>
    <x v="22"/>
    <s v="Vieiralves - 1 - Fisioterapia Ortopedica - Pacote (R$ 80,00)"/>
    <s v="Fisioterapia"/>
    <n v="171735"/>
    <s v="Finalizado (1/10)"/>
    <n v="62.4"/>
    <n v="17.600000000000001"/>
    <n v="80"/>
    <s v="No Prazo"/>
    <n v="0"/>
    <n v="8820"/>
    <s v="Unidade Vieiralves"/>
    <n v="171735"/>
    <m/>
  </r>
  <r>
    <x v="23"/>
    <x v="39"/>
    <s v="Thiago Lima Guedes"/>
    <s v="Masculino"/>
    <x v="2"/>
    <x v="22"/>
    <s v="20103484 - Fisioterapia - Patologia Em Um Membro (R$ 12,22)"/>
    <s v="Fisioterapia"/>
    <n v="1708334645"/>
    <s v="Finalizado (3/7)"/>
    <n v="10.7536"/>
    <n v="1.4663999999999999"/>
    <n v="12.22"/>
    <s v="Sessão a Faturar"/>
    <n v="960019317525020"/>
    <n v="59106"/>
    <s v="Unidade Vieiralves"/>
    <n v="1708334645"/>
    <m/>
  </r>
  <r>
    <x v="0"/>
    <x v="44"/>
    <s v="Bruna Lucianne dos Santos Galate"/>
    <s v="Feminino"/>
    <x v="6"/>
    <x v="22"/>
    <s v="31602185 - Estimulação Elétrica Transcutanea (Tens) (R$ 40,00)"/>
    <s v="Fisioterapia"/>
    <n v="171430"/>
    <s v="Finalizado (4/10)"/>
    <n v="35.200000000000003"/>
    <n v="4.8"/>
    <n v="40"/>
    <s v="Sessão a Faturar"/>
    <s v="55788888493194760120"/>
    <n v="43650"/>
    <s v="Unidade Vieiralves"/>
    <n v="171430"/>
    <m/>
  </r>
  <r>
    <x v="0"/>
    <x v="44"/>
    <s v="Katia Cilene Jardim da Costa"/>
    <s v="Feminino"/>
    <x v="2"/>
    <x v="22"/>
    <s v="20103484 - Fisioterapia - Patologia Em Um Membro (R$ 12,22)"/>
    <s v="Fisioterapia"/>
    <n v="1707250451"/>
    <s v="Finalizado (7/10)"/>
    <n v="10.7536"/>
    <n v="1.4663999999999999"/>
    <n v="12.22"/>
    <s v="Sessão Faturada"/>
    <n v="771015041750020"/>
    <n v="37973"/>
    <s v="Unidade Vieiralves"/>
    <n v="1707250451"/>
    <m/>
  </r>
  <r>
    <x v="0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4/10)"/>
    <n v="39.089599999999997"/>
    <n v="5.3304"/>
    <n v="44.42"/>
    <s v="Sessão a Faturar"/>
    <s v="55788888493194760120"/>
    <n v="43650"/>
    <s v="Unidade Vieiralves"/>
    <n v="171429"/>
    <m/>
  </r>
  <r>
    <x v="0"/>
    <x v="44"/>
    <s v="Diego Nobuyoshi de Souza Tsuji"/>
    <s v="Masculino"/>
    <x v="2"/>
    <x v="22"/>
    <s v="20103492 - Fisioterapia - Patologia Em Dois Ou Mais Membros (R$ 14,83)"/>
    <s v="Fisioterapia"/>
    <n v="1709435090"/>
    <s v="Finalizado (5/5)"/>
    <n v="13.0504"/>
    <n v="1.7796000000000001"/>
    <n v="14.83"/>
    <s v="Sessão Faturada"/>
    <n v="774981009148000"/>
    <n v="11130"/>
    <s v="Unidade Vieiralves"/>
    <n v="1709435090"/>
    <m/>
  </r>
  <r>
    <x v="0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1/10)"/>
    <n v="30.8"/>
    <n v="4.2"/>
    <n v="35"/>
    <s v="Sessão Faturada"/>
    <s v="01301012922220002"/>
    <n v="14923"/>
    <s v="Unidade Vieiralves"/>
    <n v="9337474"/>
    <m/>
  </r>
  <r>
    <x v="0"/>
    <x v="41"/>
    <s v="Ana Paula Alves Cruz"/>
    <s v="Feminino"/>
    <x v="7"/>
    <x v="22"/>
    <s v="Vieiralves - 1 - Fisioterapia Ortopedica - Pacote (R$ 80,00)"/>
    <s v="Fisioterapia"/>
    <n v="171735"/>
    <s v="Finalizado (2/10)"/>
    <n v="62.4"/>
    <n v="17.600000000000001"/>
    <n v="80"/>
    <s v="No Prazo"/>
    <n v="0"/>
    <n v="8820"/>
    <s v="Unidade Vieiralves"/>
    <n v="171735"/>
    <m/>
  </r>
  <r>
    <x v="0"/>
    <x v="41"/>
    <s v="Ana Maria Barros Martins"/>
    <s v="Feminino"/>
    <x v="1"/>
    <x v="22"/>
    <s v="50000160 - Fisioterapia Ortopédica (R$ 20,00), 98980327 - Taxa de Eletroterapia (Tens) (R$ 15,00)"/>
    <s v="Fisioterapia"/>
    <n v="8673002"/>
    <s v="Finalizado (10/10)"/>
    <n v="30.8"/>
    <n v="4.2"/>
    <n v="35"/>
    <s v="Sessão Faturada"/>
    <s v="0201005329570033"/>
    <n v="55774"/>
    <s v="Unidade Vieiralves"/>
    <n v="8673002"/>
    <s v="GUIA ASSINADA!"/>
  </r>
  <r>
    <x v="0"/>
    <x v="36"/>
    <s v="Waldir dos Santos Fontes Junior"/>
    <s v="Masculino"/>
    <x v="2"/>
    <x v="22"/>
    <s v="20103506 - Fisioterapia - Patologia Em Um Segmento da Coluna (R$ 12,22)"/>
    <s v="Fisioterapia"/>
    <n v="1707542354"/>
    <s v="Finalizado (5/5)"/>
    <n v="10.7536"/>
    <n v="1.4663999999999999"/>
    <n v="12.22"/>
    <s v="Sessão Faturada"/>
    <n v="772133000728000"/>
    <n v="51522"/>
    <s v="Unidade Vieiralves"/>
    <n v="1707542354"/>
    <m/>
  </r>
  <r>
    <x v="0"/>
    <x v="36"/>
    <s v="Maria Nazira Tomaz Pereira"/>
    <s v="Feminino"/>
    <x v="6"/>
    <x v="22"/>
    <s v="31602185 - Estimulação Elétrica Transcutanea (Tens) (R$ 40,00)"/>
    <s v="Fisioterapia"/>
    <n v="170935"/>
    <s v="Finalizado (4/10)"/>
    <n v="35.200000000000003"/>
    <n v="4.8"/>
    <n v="40"/>
    <s v="Sessão a Faturar"/>
    <s v="55788888483387380020"/>
    <n v="20265"/>
    <s v="Unidade Vieiralves"/>
    <n v="170935"/>
    <m/>
  </r>
  <r>
    <x v="0"/>
    <x v="61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4/10)"/>
    <n v="39.089599999999997"/>
    <n v="5.3304"/>
    <n v="44.42"/>
    <s v="Sessão a Faturar"/>
    <s v="55788888483387380020"/>
    <n v="20265"/>
    <s v="Unidade Vieiralves"/>
    <n v="168228"/>
    <m/>
  </r>
  <r>
    <x v="0"/>
    <x v="40"/>
    <s v="Maria Eduarda Menezes"/>
    <s v="Feminino"/>
    <x v="0"/>
    <x v="22"/>
    <s v="50000160 - Fisioterapia Ortopedica (R$ 49,72)"/>
    <s v="Fisioterapia"/>
    <s v="42263120260310446258"/>
    <s v="Finalizado (3/10)"/>
    <n v="43.753599999999999"/>
    <n v="5.9664000000000001"/>
    <n v="49.72"/>
    <s v="Sessão a Faturar"/>
    <s v="010650678953"/>
    <n v="59554"/>
    <s v="Unidade Vieiralves"/>
    <s v="42263120260310446258"/>
    <m/>
  </r>
  <r>
    <x v="0"/>
    <x v="40"/>
    <s v="Maria Eduarda Menezes"/>
    <s v="Feminino"/>
    <x v="0"/>
    <x v="22"/>
    <s v="31602185 - Estimulação Elétrica Transcutânea Fisioterapia (Novo - 01/12) (R$ 54,13)"/>
    <s v="Fisioterapia"/>
    <s v="42263120260310446304"/>
    <s v="Finalizado (3/10)"/>
    <n v="47.634399999999999"/>
    <n v="6.4955999999999996"/>
    <n v="54.13"/>
    <s v="Sessão a Faturar"/>
    <s v="010650678953"/>
    <n v="59554"/>
    <s v="Unidade Vieiralves"/>
    <s v="42263120260310446304"/>
    <m/>
  </r>
  <r>
    <x v="0"/>
    <x v="40"/>
    <s v="Leandro da Rocha Rodrigues"/>
    <s v="Masculino"/>
    <x v="2"/>
    <x v="22"/>
    <s v="20103484 - Fisioterapia - Patologia Em Um Membro (R$ 12,22)"/>
    <s v="Fisioterapia"/>
    <n v="1710241237"/>
    <s v="Finalizado (3/3)"/>
    <n v="10.7536"/>
    <n v="1.4663999999999999"/>
    <n v="12.22"/>
    <s v="Sessão Faturada"/>
    <n v="770202149608010"/>
    <n v="7852"/>
    <s v="Unidade Vieiralves"/>
    <n v="1710241237"/>
    <m/>
  </r>
  <r>
    <x v="0"/>
    <x v="45"/>
    <s v="Leandro da Rocha Rodrigues"/>
    <s v="Masculino"/>
    <x v="4"/>
    <x v="22"/>
    <s v="31602185 - Estimulação Elétrica Transcutânea - Removido 13/04/2026 (R$ 40,00)"/>
    <s v="Fisioterapia"/>
    <n v="1711861290"/>
    <s v="Finalizado (2/2)"/>
    <n v="35.200000000000003"/>
    <n v="4.8"/>
    <n v="40"/>
    <s v="Sessão Faturada"/>
    <n v="770202149608010"/>
    <n v="7852"/>
    <s v="Unidade Vieiralves"/>
    <n v="1711861290"/>
    <m/>
  </r>
  <r>
    <x v="0"/>
    <x v="35"/>
    <s v="Serafim Pereira de Sousa"/>
    <m/>
    <x v="17"/>
    <x v="22"/>
    <s v="50000160 - Fisioterapia Ortopedica (R$ 45,00)"/>
    <s v="Fisioterapia"/>
    <n v="3970200"/>
    <s v="Finalizado (3/10)"/>
    <n v="39.6"/>
    <n v="5.4"/>
    <n v="45"/>
    <s v="Sessão Faturada"/>
    <s v="000915899766100"/>
    <n v="58192"/>
    <s v="Unidade Vieiralves"/>
    <n v="3970200"/>
    <m/>
  </r>
  <r>
    <x v="0"/>
    <x v="35"/>
    <s v="Rose Mayre Vieira Barreto"/>
    <s v="Feminino"/>
    <x v="2"/>
    <x v="22"/>
    <s v="20103492 - Fisioterapia - Patologia Em Dois Ou Mais Membros (R$ 14,83), 20103506 - Fisioterapia - Patologia Em Um Segmento da Coluna (R$ 12,22)"/>
    <s v="Fisioterapia"/>
    <n v="1713968993"/>
    <s v="Finalizado (1/5)"/>
    <n v="23.803999999999998"/>
    <n v="3.246"/>
    <n v="27.05"/>
    <s v="Sessão Faturada"/>
    <n v="813312700027000"/>
    <n v="17029"/>
    <s v="Unidade Vieiralves"/>
    <n v="1713968993"/>
    <m/>
  </r>
  <r>
    <x v="0"/>
    <x v="35"/>
    <s v="Guaracy Silva da Cunha"/>
    <s v="Feminino"/>
    <x v="1"/>
    <x v="22"/>
    <s v="50000160 - Fisioterapia Ortopédica (R$ 20,00), 98980327 - Taxa de Eletroterapia (Tens) (R$ 15,00)"/>
    <s v="Fisioterapia"/>
    <n v="9313898"/>
    <s v="Finalizado (2/10)"/>
    <n v="30.8"/>
    <n v="4.2"/>
    <n v="35"/>
    <s v="Sessão Faturada"/>
    <s v="0901013070050252"/>
    <n v="21742"/>
    <s v="Unidade Vieiralves"/>
    <n v="9313898"/>
    <s v="GUIA ASSINADA!"/>
  </r>
  <r>
    <x v="0"/>
    <x v="42"/>
    <s v="Rose Mayre Vieira Barreto"/>
    <s v="Feminino"/>
    <x v="4"/>
    <x v="22"/>
    <s v="31602185 - Estimulação Elétrica Transcutânea - Removido 13/04/2026 (R$ 40,00)"/>
    <s v="Fisioterapia"/>
    <n v="1708908103"/>
    <s v="Finalizado (4/5)"/>
    <n v="35.200000000000003"/>
    <n v="4.8"/>
    <n v="40"/>
    <s v="Sessão Faturada"/>
    <n v="813312700027000"/>
    <n v="17029"/>
    <s v="Unidade Vieiralves"/>
    <n v="1708908103"/>
    <m/>
  </r>
  <r>
    <x v="0"/>
    <x v="38"/>
    <s v="Joao Arthur Alcantara de Lima"/>
    <s v="Masculino"/>
    <x v="2"/>
    <x v="22"/>
    <s v="20103662 - Fisioterapia - Pos Operatorio Em Um Membro (R$ 14,99)"/>
    <s v="Fisioterapia"/>
    <n v="1708826822"/>
    <s v="Finalizado (7/9)"/>
    <n v="13.1912"/>
    <n v="1.7988"/>
    <n v="14.99"/>
    <s v="Sessão Faturada"/>
    <n v="774642026670000"/>
    <n v="59569"/>
    <s v="Unidade Vieiralves"/>
    <n v="1708826822"/>
    <m/>
  </r>
  <r>
    <x v="0"/>
    <x v="38"/>
    <s v="Anne Kelly Fróes Fontinele"/>
    <s v="Feminino"/>
    <x v="8"/>
    <x v="22"/>
    <s v="50000144 - Consulta de Fisioterapia (R$ 51,42)"/>
    <s v="Fisioterapia"/>
    <n v="1712681389"/>
    <s v="Finalizado (1/1)"/>
    <n v="46.277999999999999"/>
    <n v="5.1420000000000003"/>
    <n v="51.42"/>
    <s v="Sessão Faturada"/>
    <n v="954600022691010"/>
    <n v="47757"/>
    <s v="Unidade Vieiralves"/>
    <n v="1712681389"/>
    <m/>
  </r>
  <r>
    <x v="0"/>
    <x v="62"/>
    <s v="Anne Kelly Fróes Fontinele"/>
    <s v="Feminino"/>
    <x v="8"/>
    <x v="22"/>
    <s v="20103506 - Patologia Em Um Segmento Na Coluna (R$ 12,22)"/>
    <s v="Fisioterapia"/>
    <n v="1712682313"/>
    <s v="Finalizado (1/2)"/>
    <n v="10.7536"/>
    <n v="1.4663999999999999"/>
    <n v="12.22"/>
    <s v="Sessão Faturada"/>
    <n v="954600022691010"/>
    <n v="47757"/>
    <s v="Unidade Vieiralves"/>
    <n v="1712682313"/>
    <m/>
  </r>
  <r>
    <x v="0"/>
    <x v="37"/>
    <s v="Estevam Pedrosa"/>
    <s v="Masculino"/>
    <x v="6"/>
    <x v="22"/>
    <s v="20103484 - Patologia Em Um Membro (R$ 14,16), 20103506 - Patologia Em Um Segmento da Coluna (R$ 14,16)"/>
    <s v="Fisioterapia"/>
    <n v="171634"/>
    <s v="Finalizado (3/4)"/>
    <n v="24.921600000000002"/>
    <n v="3.3984000000000001"/>
    <n v="28.32"/>
    <s v="Sessão a Faturar"/>
    <s v="51588888476524760013"/>
    <n v="56604"/>
    <s v="Unidade Vieiralves"/>
    <n v="171634"/>
    <m/>
  </r>
  <r>
    <x v="0"/>
    <x v="37"/>
    <s v="Luciana Araujo Monteiro"/>
    <s v="Feminino"/>
    <x v="8"/>
    <x v="22"/>
    <s v="20103662 - Pos Operatorio Em Um Membro (R$ 14,99)"/>
    <s v="Fisioterapia"/>
    <n v="1711456550"/>
    <s v="Finalizado (2/5)"/>
    <n v="13.1912"/>
    <n v="1.7988"/>
    <n v="14.99"/>
    <s v="Sessão a Faturar"/>
    <n v="954600033103010"/>
    <n v="59400"/>
    <s v="Unidade Vieiralves"/>
    <n v="1711456550"/>
    <m/>
  </r>
  <r>
    <x v="0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6/10)"/>
    <n v="23.803999999999998"/>
    <n v="3.246"/>
    <n v="27.05"/>
    <s v="Sessão Faturada"/>
    <n v="810177500019010"/>
    <n v="52971"/>
    <s v="Unidade Vieiralves"/>
    <n v="1706279020"/>
    <m/>
  </r>
  <r>
    <x v="0"/>
    <x v="63"/>
    <s v="Denise de Souza Lima Herzog"/>
    <s v="Feminino"/>
    <x v="4"/>
    <x v="22"/>
    <s v="31602185 - Estimulação Elétrica Transcutânea - Removido 13/04/2026 (R$ 40,00)"/>
    <s v="Fisioterapia"/>
    <n v="1708948484"/>
    <s v="Finalizado (3/5)"/>
    <n v="35.200000000000003"/>
    <n v="4.8"/>
    <n v="40"/>
    <s v="Sessão Faturada"/>
    <n v="810177500019010"/>
    <n v="52971"/>
    <s v="Unidade Vieiralves"/>
    <n v="1708948484"/>
    <m/>
  </r>
  <r>
    <x v="0"/>
    <x v="63"/>
    <s v="Estevam Pedrosa"/>
    <s v="Masculino"/>
    <x v="6"/>
    <x v="22"/>
    <s v="31602185 - Estimulação Elétrica Transcutanea (Tens) (R$ 40,00)"/>
    <s v="Fisioterapia"/>
    <n v="171635"/>
    <s v="Finalizado (3/4)"/>
    <n v="35.200000000000003"/>
    <n v="4.8"/>
    <n v="40"/>
    <s v="Sessão a Faturar"/>
    <s v="51588888476524760013"/>
    <n v="56604"/>
    <s v="Unidade Vieiralves"/>
    <n v="171635"/>
    <m/>
  </r>
  <r>
    <x v="0"/>
    <x v="63"/>
    <s v="Luciana Araujo Monteiro"/>
    <s v="Feminino"/>
    <x v="9"/>
    <x v="22"/>
    <s v="31602185 - Estimulação Elétrica Transcutânea (Tens) - Removido 13/04/2026 (R$ 40,00)"/>
    <s v="Fisioterapia"/>
    <n v="1708975983"/>
    <s v="Finalizado (4/5)"/>
    <n v="35.200000000000003"/>
    <n v="4.8"/>
    <n v="40"/>
    <s v="Sessão Faturada"/>
    <n v="954600033103010"/>
    <n v="59400"/>
    <s v="Unidade Vieiralves"/>
    <n v="1708975983"/>
    <m/>
  </r>
  <r>
    <x v="0"/>
    <x v="39"/>
    <s v="Suellen Andrade Barroso"/>
    <s v="Feminino"/>
    <x v="6"/>
    <x v="22"/>
    <s v="20103492 - Patologia Em Dois Ou Mais Membros (R$ 30,26)"/>
    <s v="Fisioterapia"/>
    <n v="171490"/>
    <s v="Finalizado (2/10)"/>
    <n v="26.628799999999998"/>
    <n v="3.6312000000000002"/>
    <n v="30.26"/>
    <s v="Sessão a Faturar"/>
    <s v="54588888479635870024"/>
    <n v="31354"/>
    <s v="Unidade Vieiralves"/>
    <n v="171490"/>
    <m/>
  </r>
  <r>
    <x v="0"/>
    <x v="64"/>
    <s v="Suellen Andrade Barroso"/>
    <s v="Feminino"/>
    <x v="6"/>
    <x v="22"/>
    <s v="31602185 - Estimulação Elétrica Transcutanea (Tens) (R$ 40,00)"/>
    <s v="Fisioterapia"/>
    <n v="171491"/>
    <s v="Finalizado (2/4)"/>
    <n v="35.200000000000003"/>
    <n v="4.8"/>
    <n v="40"/>
    <s v="Sessão a Faturar"/>
    <s v="54588888479635870024"/>
    <n v="31354"/>
    <s v="Unidade Vieiralves"/>
    <n v="171491"/>
    <m/>
  </r>
  <r>
    <x v="1"/>
    <x v="44"/>
    <s v="Yasmin Guedes Lima"/>
    <s v="Feminino"/>
    <x v="4"/>
    <x v="22"/>
    <s v="31602185 - Estimulação Elétrica Transcutânea - Removido 13/04/2026 (R$ 40,00)"/>
    <s v="Fisioterapia"/>
    <n v="1709414822"/>
    <s v="Finalizado (4/5)"/>
    <n v="35.200000000000003"/>
    <n v="4.8"/>
    <n v="40"/>
    <s v="Sessão Faturada"/>
    <n v="960016575471020"/>
    <n v="35978"/>
    <s v="Unidade Vieiralves"/>
    <n v="1709414822"/>
    <m/>
  </r>
  <r>
    <x v="1"/>
    <x v="44"/>
    <s v="Georgia Coelho da Cunha"/>
    <s v="Feminino"/>
    <x v="6"/>
    <x v="22"/>
    <s v="31602185 - Estimulação Elétrica Transcutanea (Tens) (R$ 40,00)"/>
    <s v="Fisioterapia"/>
    <n v="171111"/>
    <s v="Finalizado (4/4)"/>
    <n v="35.200000000000003"/>
    <n v="4.8"/>
    <n v="40"/>
    <s v="Sessão a Faturar"/>
    <s v="51588888491631000016"/>
    <n v="59573"/>
    <s v="Unidade Vieiralves"/>
    <n v="171111"/>
    <m/>
  </r>
  <r>
    <x v="1"/>
    <x v="44"/>
    <s v="Bruna Lucianne dos Santos Galate"/>
    <s v="Feminino"/>
    <x v="6"/>
    <x v="22"/>
    <s v="31602185 - Estimulação Elétrica Transcutanea (Tens) (R$ 40,00)"/>
    <s v="Fisioterapia"/>
    <n v="171430"/>
    <s v="Finalizado (5/10)"/>
    <n v="35.200000000000003"/>
    <n v="4.8"/>
    <n v="40"/>
    <s v="Sessão a Faturar"/>
    <s v="55788888493194760120"/>
    <n v="43650"/>
    <s v="Unidade Vieiralves"/>
    <n v="171430"/>
    <m/>
  </r>
  <r>
    <x v="1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5/10)"/>
    <n v="39.089599999999997"/>
    <n v="5.3304"/>
    <n v="44.42"/>
    <s v="Sessão a Faturar"/>
    <s v="55788888493194760120"/>
    <n v="43650"/>
    <s v="Unidade Vieiralves"/>
    <n v="171429"/>
    <m/>
  </r>
  <r>
    <x v="1"/>
    <x v="44"/>
    <s v="Yasmin Guedes Lima"/>
    <s v="Feminino"/>
    <x v="2"/>
    <x v="22"/>
    <s v="20103506 - Fisioterapia - Patologia Em Um Segmento da Coluna (R$ 12,22)"/>
    <s v="Fisioterapia"/>
    <n v="1707143503"/>
    <s v="Finalizado (5/5)"/>
    <n v="10.7536"/>
    <n v="1.4663999999999999"/>
    <n v="12.22"/>
    <s v="Sessão Faturada"/>
    <n v="960016575471020"/>
    <n v="35978"/>
    <s v="Unidade Vieiralves"/>
    <n v="1707143503"/>
    <m/>
  </r>
  <r>
    <x v="1"/>
    <x v="44"/>
    <s v="Katia Cilene Jardim da Costa"/>
    <s v="Feminino"/>
    <x v="2"/>
    <x v="22"/>
    <s v="20103484 - Fisioterapia - Patologia Em Um Membro (R$ 12,22)"/>
    <s v="Fisioterapia"/>
    <n v="1707250451"/>
    <s v="Finalizado (8/10)"/>
    <n v="10.7536"/>
    <n v="1.4663999999999999"/>
    <n v="12.22"/>
    <s v="Sessão Faturada"/>
    <n v="771015041750020"/>
    <n v="37973"/>
    <s v="Unidade Vieiralves"/>
    <n v="1707250451"/>
    <m/>
  </r>
  <r>
    <x v="1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6/10)"/>
    <n v="26.1008"/>
    <n v="3.5592000000000001"/>
    <n v="29.66"/>
    <s v="Sessão Faturada"/>
    <n v="830425500043000"/>
    <n v="7701"/>
    <s v="Unidade Vieiralves"/>
    <n v="1706683478"/>
    <m/>
  </r>
  <r>
    <x v="1"/>
    <x v="41"/>
    <s v="Ruth Vania Duarte Ramos"/>
    <m/>
    <x v="6"/>
    <x v="22"/>
    <s v="20103662 - Pos Operatorio Em Um Membro (R$ 22,53)"/>
    <s v="Fisioterapia"/>
    <n v="170395"/>
    <s v="Finalizado (3/10)"/>
    <n v="19.8264"/>
    <n v="2.7035999999999998"/>
    <n v="22.53"/>
    <s v="Sessão a Faturar"/>
    <s v="55788888489432510020"/>
    <n v="58616"/>
    <s v="Unidade Vieiralves"/>
    <n v="170395"/>
    <s v="guia assinada"/>
  </r>
  <r>
    <x v="1"/>
    <x v="41"/>
    <s v="Carlos Jose Cavalcante Martins"/>
    <s v="Masculino"/>
    <x v="2"/>
    <x v="22"/>
    <s v="20103492 - Fisioterapia - Patologia Em Dois Ou Mais Membros (R$ 14,83)"/>
    <s v="Fisioterapia"/>
    <n v="1707732828"/>
    <s v="Finalizado (3/8)"/>
    <n v="13.0504"/>
    <n v="1.7796000000000001"/>
    <n v="14.83"/>
    <s v="Sessão a Faturar"/>
    <n v="830425500051000"/>
    <n v="59320"/>
    <s v="Unidade Vieiralves"/>
    <n v="1707732828"/>
    <m/>
  </r>
  <r>
    <x v="1"/>
    <x v="65"/>
    <s v="Ruth Vania Duarte Ramos"/>
    <m/>
    <x v="6"/>
    <x v="22"/>
    <s v="31602185 - Estimulação Elétrica Transcutanea (Tens) (R$ 40,00)"/>
    <s v="Fisioterapia"/>
    <n v="168577"/>
    <s v="Finalizado (8/10)"/>
    <n v="35.200000000000003"/>
    <n v="4.8"/>
    <n v="40"/>
    <s v="Sessão a Faturar"/>
    <s v="55788888489432510020"/>
    <n v="58616"/>
    <s v="Unidade Vieiralves"/>
    <n v="168577"/>
    <m/>
  </r>
  <r>
    <x v="1"/>
    <x v="36"/>
    <s v="Nívea Rosangela Santos Barbosa"/>
    <s v="Feminino"/>
    <x v="6"/>
    <x v="22"/>
    <s v="20103492 - Patologia Em Dois Ou Mais Membros (R$ 30,26), 20103506 - Patologia Em Um Segmento da Coluna (R$ 14,16)"/>
    <s v="Fisioterapia"/>
    <n v="169438"/>
    <s v="Finalizado (5/5)"/>
    <n v="39.089599999999997"/>
    <n v="5.3304"/>
    <n v="44.42"/>
    <s v="Sessão a Faturar"/>
    <s v="54588888018689220020"/>
    <n v="56297"/>
    <s v="Unidade Vieiralves"/>
    <n v="169438"/>
    <m/>
  </r>
  <r>
    <x v="1"/>
    <x v="61"/>
    <s v="Nívea Rosangela Santos Barbosa"/>
    <s v="Feminino"/>
    <x v="6"/>
    <x v="22"/>
    <s v="31602185 - Estimulação Elétrica Transcutanea (Tens) (R$ 40,00)"/>
    <s v="Fisioterapia"/>
    <n v="169439"/>
    <s v="Finalizado (5/5)"/>
    <n v="35.200000000000003"/>
    <n v="4.8"/>
    <n v="40"/>
    <s v="Sessão a Faturar"/>
    <s v="54588888018689220020"/>
    <n v="56297"/>
    <s v="Unidade Vieiralves"/>
    <n v="169439"/>
    <m/>
  </r>
  <r>
    <x v="1"/>
    <x v="40"/>
    <s v="Maria de Lourdes Ferreira"/>
    <s v="Feminino"/>
    <x v="1"/>
    <x v="22"/>
    <s v="50000160 - Fisioterapia Ortopédica (R$ 20,00), 98980327 - Taxa de Eletroterapia (Tens) (R$ 15,00)"/>
    <s v="Fisioterapia"/>
    <n v="8824557"/>
    <s v="Finalizado (10/10)"/>
    <n v="30.8"/>
    <n v="4.2"/>
    <n v="35"/>
    <s v="Sessão Faturada"/>
    <s v="0802010939500016"/>
    <n v="58440"/>
    <s v="Unidade Vieiralves"/>
    <n v="8824557"/>
    <m/>
  </r>
  <r>
    <x v="1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6/10)"/>
    <n v="30.8"/>
    <n v="4.2"/>
    <n v="35"/>
    <s v="Sessão Faturada"/>
    <s v="0701013978710030"/>
    <n v="59447"/>
    <s v="Unidade Vieiralves"/>
    <n v="9071007"/>
    <m/>
  </r>
  <r>
    <x v="1"/>
    <x v="40"/>
    <s v="Lucia Ferreira Viana"/>
    <s v="Feminino"/>
    <x v="0"/>
    <x v="22"/>
    <s v="50000160 - Fisioterapia Ortopedica (R$ 49,72)"/>
    <s v="Fisioterapia"/>
    <s v="42263120260305416369"/>
    <s v="Finalizado (5/10)"/>
    <n v="43.753599999999999"/>
    <n v="5.9664000000000001"/>
    <n v="49.72"/>
    <s v="Sessão a Faturar"/>
    <s v="010650248904"/>
    <n v="10197"/>
    <s v="Unidade Vieiralves"/>
    <s v="42263120260305416369"/>
    <m/>
  </r>
  <r>
    <x v="1"/>
    <x v="40"/>
    <s v="Rejane Costa Freire"/>
    <m/>
    <x v="1"/>
    <x v="22"/>
    <s v="50000160 - Fisioterapia Ortopédica (R$ 20,00), 98980327 - Taxa de Eletroterapia (Tens) (R$ 15,00)"/>
    <s v="Fisioterapia"/>
    <n v="9010622"/>
    <s v="Finalizado (7/10)"/>
    <n v="30.8"/>
    <n v="4.2"/>
    <n v="35"/>
    <s v="Sessão Faturada"/>
    <s v="0901013326530193"/>
    <n v="57964"/>
    <s v="Unidade Vieiralves"/>
    <n v="9010622"/>
    <m/>
  </r>
  <r>
    <x v="1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9/10)"/>
    <n v="30.8"/>
    <n v="4.2"/>
    <n v="35"/>
    <s v="Sessão Faturada"/>
    <n v="201013748740040"/>
    <n v="54729"/>
    <s v="Unidade Vieiralves"/>
    <n v="8824742"/>
    <m/>
  </r>
  <r>
    <x v="1"/>
    <x v="45"/>
    <s v="Lucia Ferreira Viana"/>
    <s v="Feminino"/>
    <x v="0"/>
    <x v="22"/>
    <s v="31602185 - Estimulação Elétrica Transcutânea Fisioterapia (Novo - 01/12) (R$ 54,13)"/>
    <s v="Fisioterapia"/>
    <s v="42263120260305416626"/>
    <s v="Finalizado (5/10)"/>
    <n v="47.634399999999999"/>
    <n v="6.4955999999999996"/>
    <n v="54.13"/>
    <s v="Sessão a Faturar"/>
    <s v="010650248904"/>
    <n v="10197"/>
    <s v="Unidade Vieiralves"/>
    <s v="42263120260305416626"/>
    <m/>
  </r>
  <r>
    <x v="1"/>
    <x v="35"/>
    <s v="Roberta Ferreira Coelho de Andrade"/>
    <s v="Feminino"/>
    <x v="1"/>
    <x v="22"/>
    <s v="50000160 - Fisioterapia Ortopédica (R$ 20,00), 98980327 - Taxa de Eletroterapia (Tens) (R$ 15,00)"/>
    <s v="Fisioterapia"/>
    <n v="8761145"/>
    <s v="Finalizado (10/10)"/>
    <n v="30.8"/>
    <n v="4.2"/>
    <n v="35"/>
    <s v="Sessão Faturada"/>
    <s v="0701010939440006"/>
    <n v="58292"/>
    <s v="Unidade Vieiralves"/>
    <n v="8761145"/>
    <m/>
  </r>
  <r>
    <x v="1"/>
    <x v="35"/>
    <s v="Aldair Oliveira de Andrade"/>
    <s v="Masculino"/>
    <x v="1"/>
    <x v="22"/>
    <s v="50000160 - Fisioterapia Ortopédica (R$ 20,00), 98980327 - Taxa de Eletroterapia (Tens) (R$ 15,00)"/>
    <s v="Fisioterapia"/>
    <n v="8936322"/>
    <s v="Finalizado (4/10)"/>
    <n v="30.8"/>
    <n v="4.2"/>
    <n v="35"/>
    <s v="Sessão Faturada"/>
    <s v="0702007029320058"/>
    <n v="58351"/>
    <s v="Unidade Vieiralves"/>
    <n v="8936322"/>
    <s v="GUIA ASSINADA!"/>
  </r>
  <r>
    <x v="1"/>
    <x v="35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2/10)"/>
    <n v="30.8"/>
    <n v="4.2"/>
    <n v="35"/>
    <s v="Sessão Faturada"/>
    <n v="1901013246260100"/>
    <n v="53193"/>
    <s v="Unidade Vieiralves"/>
    <n v="9350764"/>
    <m/>
  </r>
  <r>
    <x v="1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3/6)"/>
    <n v="23.803999999999998"/>
    <n v="3.246"/>
    <n v="27.05"/>
    <s v="Sessão a Faturar"/>
    <n v="952650062103000"/>
    <n v="59353"/>
    <s v="Unidade Vieiralves"/>
    <n v="1707840911"/>
    <m/>
  </r>
  <r>
    <x v="1"/>
    <x v="38"/>
    <s v="Julliana Gadelha de Medeiros"/>
    <s v="Feminino"/>
    <x v="9"/>
    <x v="22"/>
    <s v="31602185 - Estimulação Elétrica Transcutânea (Tens) - Removido 13/04/2026 (R$ 40,00)"/>
    <s v="Fisioterapia"/>
    <n v="1708959722"/>
    <s v="Finalizado (4/5)"/>
    <n v="35.200000000000003"/>
    <n v="4.8"/>
    <n v="40"/>
    <s v="Sessão Faturada"/>
    <n v="954600002968020"/>
    <n v="20663"/>
    <s v="Unidade Vieiralves"/>
    <n v="1708959722"/>
    <m/>
  </r>
  <r>
    <x v="1"/>
    <x v="38"/>
    <s v="Joao Arthur Alcantara de Lima"/>
    <s v="Masculino"/>
    <x v="2"/>
    <x v="22"/>
    <s v="20103662 - Fisioterapia - Pos Operatorio Em Um Membro (R$ 14,99)"/>
    <s v="Fisioterapia"/>
    <n v="1708826822"/>
    <s v="Finalizado (8/9)"/>
    <n v="13.1912"/>
    <n v="1.7988"/>
    <n v="14.99"/>
    <s v="Sessão Faturada"/>
    <n v="774642026670000"/>
    <n v="59569"/>
    <s v="Unidade Vieiralves"/>
    <n v="1708826822"/>
    <m/>
  </r>
  <r>
    <x v="1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9/10)"/>
    <n v="23.803999999999998"/>
    <n v="3.246"/>
    <n v="27.05"/>
    <s v="Sessão Faturada"/>
    <n v="952480013332000"/>
    <n v="14710"/>
    <s v="Unidade Vieiralves"/>
    <n v="1706776664"/>
    <m/>
  </r>
  <r>
    <x v="1"/>
    <x v="37"/>
    <s v="Raimunda Carvalho Caldas"/>
    <s v="Feminino"/>
    <x v="4"/>
    <x v="22"/>
    <s v="31602185 - Estimulação Elétrica Transcutânea - Removido 13/04/2026 (R$ 40,00)"/>
    <s v="Fisioterapia"/>
    <n v="1711413005"/>
    <s v="Finalizado (2/10)"/>
    <n v="35.200000000000003"/>
    <n v="4.8"/>
    <n v="40"/>
    <s v="Sessão a Faturar"/>
    <n v="952480013332000"/>
    <n v="14710"/>
    <s v="Unidade Vieiralves"/>
    <n v="1711413005"/>
    <m/>
  </r>
  <r>
    <x v="1"/>
    <x v="39"/>
    <s v="Wandercleia Martins Pontes"/>
    <s v="Feminino"/>
    <x v="1"/>
    <x v="22"/>
    <s v="50000160 - Fisioterapia Ortopédica (R$ 20,00), 98980327 - Taxa de Eletroterapia (Tens) (R$ 15,00)"/>
    <s v="Fisioterapia"/>
    <n v="8749507"/>
    <s v="Finalizado (9/10)"/>
    <n v="30.8"/>
    <n v="4.2"/>
    <n v="35"/>
    <s v="Sessão Faturada"/>
    <s v="0201013323070030"/>
    <n v="19693"/>
    <s v="Unidade Vieiralves"/>
    <n v="8749507"/>
    <s v="GUIA ASSINADA!"/>
  </r>
  <r>
    <x v="2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6/10)"/>
    <n v="39.089599999999997"/>
    <n v="5.3304"/>
    <n v="44.42"/>
    <s v="Sessão a Faturar"/>
    <s v="55788888493194760120"/>
    <n v="43650"/>
    <s v="Unidade Vieiralves"/>
    <n v="171429"/>
    <m/>
  </r>
  <r>
    <x v="2"/>
    <x v="44"/>
    <s v="Yasmin Guedes Lima"/>
    <s v="Feminino"/>
    <x v="2"/>
    <x v="22"/>
    <s v="20103506 - Fisioterapia - Patologia Em Um Segmento da Coluna (R$ 12,22)"/>
    <s v="Fisioterapia"/>
    <n v="1713905300"/>
    <s v="Finalizado (1/10)"/>
    <n v="10.7536"/>
    <n v="1.4663999999999999"/>
    <n v="12.22"/>
    <s v="Sessão a Faturar"/>
    <n v="960016575471020"/>
    <n v="35978"/>
    <s v="Unidade Vieiralves"/>
    <n v="1713905300"/>
    <m/>
  </r>
  <r>
    <x v="2"/>
    <x v="44"/>
    <s v="Katia Cilene Jardim da Costa"/>
    <s v="Feminino"/>
    <x v="2"/>
    <x v="22"/>
    <s v="20103484 - Fisioterapia - Patologia Em Um Membro (R$ 12,22)"/>
    <s v="Fisioterapia"/>
    <n v="1707250451"/>
    <s v="Finalizado (9/10)"/>
    <n v="10.7536"/>
    <n v="1.4663999999999999"/>
    <n v="12.22"/>
    <s v="Sessão Faturada"/>
    <n v="771015041750020"/>
    <n v="37973"/>
    <s v="Unidade Vieiralves"/>
    <n v="1707250451"/>
    <m/>
  </r>
  <r>
    <x v="2"/>
    <x v="44"/>
    <s v="Bruna Lucianne dos Santos Galate"/>
    <s v="Feminino"/>
    <x v="6"/>
    <x v="22"/>
    <s v="31602185 - Estimulação Elétrica Transcutanea (Tens) (R$ 40,00)"/>
    <s v="Fisioterapia"/>
    <n v="171430"/>
    <s v="Finalizado (6/10)"/>
    <n v="35.200000000000003"/>
    <n v="4.8"/>
    <n v="40"/>
    <s v="Sessão a Faturar"/>
    <s v="55788888493194760120"/>
    <n v="43650"/>
    <s v="Unidade Vieiralves"/>
    <n v="171430"/>
    <m/>
  </r>
  <r>
    <x v="2"/>
    <x v="41"/>
    <s v="Carlos Juliano Prado"/>
    <s v="Masculino"/>
    <x v="2"/>
    <x v="22"/>
    <s v="20103506 - Fisioterapia - Patologia Em Um Segmento da Coluna (R$ 12,22)"/>
    <s v="Fisioterapia"/>
    <n v="1713864619"/>
    <s v="Finalizado (1/10)"/>
    <n v="10.7536"/>
    <n v="1.4663999999999999"/>
    <n v="12.22"/>
    <s v="Sessão a Faturar"/>
    <n v="774981010073010"/>
    <n v="55509"/>
    <s v="Unidade Vieiralves"/>
    <n v="1713864619"/>
    <m/>
  </r>
  <r>
    <x v="2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2/10)"/>
    <n v="30.8"/>
    <n v="4.2"/>
    <n v="35"/>
    <s v="Sessão Faturada"/>
    <s v="01301012922220002"/>
    <n v="14923"/>
    <s v="Unidade Vieiralves"/>
    <n v="9337474"/>
    <m/>
  </r>
  <r>
    <x v="2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7/10)"/>
    <n v="26.1008"/>
    <n v="3.5592000000000001"/>
    <n v="29.66"/>
    <s v="Sessão Faturada"/>
    <n v="830425500043000"/>
    <n v="7701"/>
    <s v="Unidade Vieiralves"/>
    <n v="1706683478"/>
    <m/>
  </r>
  <r>
    <x v="2"/>
    <x v="41"/>
    <s v="Carlos Juliano Prado"/>
    <s v="Masculino"/>
    <x v="2"/>
    <x v="22"/>
    <s v="50000144 - Avaliação de Fisioterapia (R$ 51,42)"/>
    <s v="Fisioterapia"/>
    <n v="1713863295"/>
    <s v="Finalizado (1/1)"/>
    <n v="46.277999999999999"/>
    <n v="5.1420000000000003"/>
    <n v="51.42"/>
    <s v="Sessão Faturada"/>
    <n v="774981010073010"/>
    <n v="55509"/>
    <s v="Unidade Vieiralves"/>
    <n v="1713863295"/>
    <m/>
  </r>
  <r>
    <x v="2"/>
    <x v="41"/>
    <s v="Carlos Jose Cavalcante Martins"/>
    <s v="Masculino"/>
    <x v="2"/>
    <x v="22"/>
    <s v="20103492 - Fisioterapia - Patologia Em Dois Ou Mais Membros (R$ 14,83)"/>
    <s v="Fisioterapia"/>
    <n v="1707732828"/>
    <s v="Finalizado (4/8)"/>
    <n v="13.0504"/>
    <n v="1.7796000000000001"/>
    <n v="14.83"/>
    <s v="Sessão a Faturar"/>
    <n v="830425500051000"/>
    <n v="59320"/>
    <s v="Unidade Vieiralves"/>
    <n v="1707732828"/>
    <m/>
  </r>
  <r>
    <x v="2"/>
    <x v="36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5/10)"/>
    <n v="39.089599999999997"/>
    <n v="5.3304"/>
    <n v="44.42"/>
    <s v="Sessão a Faturar"/>
    <s v="55788888483387380020"/>
    <n v="20265"/>
    <s v="Unidade Vieiralves"/>
    <n v="168228"/>
    <m/>
  </r>
  <r>
    <x v="2"/>
    <x v="36"/>
    <s v="Ana Carolina Bento Andrade da Encarnação"/>
    <s v="Feminino"/>
    <x v="2"/>
    <x v="22"/>
    <s v="20103492 - Fisioterapia - Patologia Em Dois Ou Mais Membros (R$ 14,83), 20103506 - Fisioterapia - Patologia Em Um Segmento da Coluna (R$ 12,22)"/>
    <s v="Fisioterapia"/>
    <n v="1713611213"/>
    <s v="Finalizado (2/10)"/>
    <n v="23.803999999999998"/>
    <n v="3.246"/>
    <n v="27.05"/>
    <s v="Sessão a Faturar"/>
    <n v="771015045292010"/>
    <n v="21604"/>
    <s v="Unidade Vieiralves"/>
    <n v="1713611213"/>
    <m/>
  </r>
  <r>
    <x v="2"/>
    <x v="36"/>
    <s v="Ana Maria Barros Martins"/>
    <s v="Feminino"/>
    <x v="1"/>
    <x v="22"/>
    <s v="50000160 - Fisioterapia Ortopédica (R$ 20,00)"/>
    <s v="Fisioterapia"/>
    <n v="9431265"/>
    <s v="Finalizado (1/10)"/>
    <n v="17.600000000000001"/>
    <n v="2.4"/>
    <n v="20"/>
    <s v="Sessão a Faturar"/>
    <s v="0201005329570033"/>
    <n v="55774"/>
    <s v="Unidade Vieiralves"/>
    <n v="9431265"/>
    <m/>
  </r>
  <r>
    <x v="2"/>
    <x v="61"/>
    <s v="Maria Nazira Tomaz Pereira"/>
    <s v="Feminino"/>
    <x v="6"/>
    <x v="22"/>
    <s v="31602185 - Estimulação Elétrica Transcutanea (Tens) (R$ 40,00)"/>
    <s v="Fisioterapia"/>
    <n v="170935"/>
    <s v="Finalizado (5/10)"/>
    <n v="35.200000000000003"/>
    <n v="4.8"/>
    <n v="40"/>
    <s v="Sessão a Faturar"/>
    <s v="55788888483387380020"/>
    <n v="20265"/>
    <s v="Unidade Vieiralves"/>
    <n v="170935"/>
    <m/>
  </r>
  <r>
    <x v="2"/>
    <x v="40"/>
    <s v="Maria Eduarda Menezes"/>
    <s v="Feminino"/>
    <x v="0"/>
    <x v="22"/>
    <s v="50000160 - Fisioterapia Ortopedica (R$ 49,72)"/>
    <s v="Fisioterapia"/>
    <s v="42263120260310446258"/>
    <s v="Finalizado (4/10)"/>
    <n v="43.753599999999999"/>
    <n v="5.9664000000000001"/>
    <n v="49.72"/>
    <s v="Sessão a Faturar"/>
    <s v="010650678953"/>
    <n v="59554"/>
    <s v="Unidade Vieiralves"/>
    <s v="42263120260310446258"/>
    <m/>
  </r>
  <r>
    <x v="2"/>
    <x v="40"/>
    <s v="Marta Barbosa de Oliveira"/>
    <s v="Feminino"/>
    <x v="0"/>
    <x v="22"/>
    <s v="50000144 - Avaliação de Fisioterapia (R$ 39,72)"/>
    <s v="Fisioterapia"/>
    <n v="171815"/>
    <s v="Finalizado (1/1)"/>
    <n v="35.747999999999998"/>
    <n v="3.972"/>
    <n v="39.72"/>
    <s v="Sessão Faturada"/>
    <s v="010650689402"/>
    <n v="59659"/>
    <s v="Unidade Vieiralves"/>
    <n v="171815"/>
    <m/>
  </r>
  <r>
    <x v="2"/>
    <x v="49"/>
    <s v="Marta Barbosa de Oliveira"/>
    <s v="Feminino"/>
    <x v="0"/>
    <x v="22"/>
    <s v="50000160 - Fisioterapia Ortopedica (R$ 49,72)"/>
    <s v="Fisioterapia"/>
    <s v="42263120260318509090"/>
    <s v="Finalizado (1/10)"/>
    <n v="43.753599999999999"/>
    <n v="5.9664000000000001"/>
    <n v="49.72"/>
    <s v="Sessão a Faturar"/>
    <s v="010650689402"/>
    <n v="59659"/>
    <s v="Unidade Vieiralves"/>
    <s v="42263120260318509090"/>
    <m/>
  </r>
  <r>
    <x v="2"/>
    <x v="45"/>
    <s v="Maria Eduarda Menezes"/>
    <s v="Feminino"/>
    <x v="0"/>
    <x v="22"/>
    <s v="31602185 - Estimulação Elétrica Transcutânea Fisioterapia (Novo - 01/12) (R$ 54,13)"/>
    <s v="Fisioterapia"/>
    <s v="42263120260310446304"/>
    <s v="Finalizado (4/10)"/>
    <n v="47.634399999999999"/>
    <n v="6.4955999999999996"/>
    <n v="54.13"/>
    <s v="Sessão a Faturar"/>
    <s v="010650678953"/>
    <n v="59554"/>
    <s v="Unidade Vieiralves"/>
    <s v="42263120260310446304"/>
    <m/>
  </r>
  <r>
    <x v="2"/>
    <x v="55"/>
    <s v="Marta Barbosa de Oliveira"/>
    <s v="Feminino"/>
    <x v="0"/>
    <x v="22"/>
    <s v="31602185 - Estimulação Elétrica Transcutânea Fisioterapia (Novo - 01/12) (R$ 54,13)"/>
    <s v="Fisioterapia"/>
    <s v="42263120260318510326"/>
    <s v="Finalizado (1/10)"/>
    <n v="47.634399999999999"/>
    <n v="6.4955999999999996"/>
    <n v="54.13"/>
    <s v="Sessão a Faturar"/>
    <s v="010650689402"/>
    <n v="59659"/>
    <s v="Unidade Vieiralves"/>
    <s v="42263120260318510326"/>
    <m/>
  </r>
  <r>
    <x v="2"/>
    <x v="35"/>
    <s v="Julliana Gadelha de Medeiros"/>
    <s v="Feminino"/>
    <x v="9"/>
    <x v="22"/>
    <s v="31602185 - Estimulação Elétrica Transcutânea (Tens) - Removido 13/04/2026 (R$ 40,00)"/>
    <s v="Fisioterapia"/>
    <n v="1708959722"/>
    <s v="Finalizado (5/5)"/>
    <n v="35.200000000000003"/>
    <n v="4.8"/>
    <n v="40"/>
    <s v="Sessão Faturada"/>
    <n v="954600002968020"/>
    <n v="20663"/>
    <s v="Unidade Vieiralves"/>
    <n v="1708959722"/>
    <m/>
  </r>
  <r>
    <x v="2"/>
    <x v="35"/>
    <s v="Serafim Pereira de Sousa"/>
    <m/>
    <x v="17"/>
    <x v="22"/>
    <s v="50000160 - Fisioterapia Ortopedica (R$ 45,00)"/>
    <s v="Fisioterapia"/>
    <n v="3970200"/>
    <s v="Finalizado (4/10)"/>
    <n v="39.6"/>
    <n v="5.4"/>
    <n v="45"/>
    <s v="Sessão Faturada"/>
    <s v="000915899766100"/>
    <n v="58192"/>
    <s v="Unidade Vieiralves"/>
    <n v="3970200"/>
    <m/>
  </r>
  <r>
    <x v="2"/>
    <x v="35"/>
    <s v="Guaracy Silva da Cunha"/>
    <s v="Feminino"/>
    <x v="1"/>
    <x v="22"/>
    <s v="50000160 - Fisioterapia Ortopédica (R$ 20,00), 98980327 - Taxa de Eletroterapia (Tens) (R$ 15,00)"/>
    <s v="Fisioterapia"/>
    <n v="9313898"/>
    <s v="Finalizado (3/10)"/>
    <n v="30.8"/>
    <n v="4.2"/>
    <n v="35"/>
    <s v="Sessão Faturada"/>
    <s v="0901013070050252"/>
    <n v="21742"/>
    <s v="Unidade Vieiralves"/>
    <n v="9313898"/>
    <s v="GUIA ASSINADA!"/>
  </r>
  <r>
    <x v="2"/>
    <x v="35"/>
    <s v="Julliana Gadelha de Medeiros"/>
    <s v="Feminino"/>
    <x v="8"/>
    <x v="22"/>
    <s v="20103484 - Patologia Em Um Membro (R$ 12,22)"/>
    <s v="Fisioterapia"/>
    <n v="1711444434"/>
    <s v="Finalizado (3/7)"/>
    <n v="10.7536"/>
    <n v="1.4663999999999999"/>
    <n v="12.22"/>
    <s v="Sessão a Faturar"/>
    <n v="954600002968020"/>
    <n v="20663"/>
    <s v="Unidade Vieiralves"/>
    <n v="1711444434"/>
    <m/>
  </r>
  <r>
    <x v="2"/>
    <x v="38"/>
    <s v="Rose Mayre Vieira Barreto"/>
    <s v="Feminino"/>
    <x v="2"/>
    <x v="22"/>
    <s v="20103492 - Fisioterapia - Patologia Em Dois Ou Mais Membros (R$ 14,83), 20103506 - Fisioterapia - Patologia Em Um Segmento da Coluna (R$ 12,22)"/>
    <s v="Fisioterapia"/>
    <n v="1713968993"/>
    <s v="Finalizado (2/5)"/>
    <n v="23.803999999999998"/>
    <n v="3.246"/>
    <n v="27.05"/>
    <s v="Sessão Faturada"/>
    <n v="813312700027000"/>
    <n v="17029"/>
    <s v="Unidade Vieiralves"/>
    <n v="1713968993"/>
    <m/>
  </r>
  <r>
    <x v="2"/>
    <x v="38"/>
    <s v="Marcus da Costa Tribuzi"/>
    <s v="Masculino"/>
    <x v="1"/>
    <x v="22"/>
    <s v="50000160 - Fisioterapia Ortopédica (R$ 20,00), 98980327 - Taxa de Eletroterapia (Tens) (R$ 15,00)"/>
    <s v="Fisioterapia"/>
    <n v="9414324"/>
    <s v="Finalizado (1/10)"/>
    <n v="30.8"/>
    <n v="4.2"/>
    <n v="35"/>
    <s v="Sessão Faturada"/>
    <s v="0203006692690088"/>
    <n v="54705"/>
    <s v="Unidade Vieiralves"/>
    <n v="9414324"/>
    <s v="guia assinada "/>
  </r>
  <r>
    <x v="2"/>
    <x v="38"/>
    <s v="Joao Arthur Alcantara de Lima"/>
    <s v="Masculino"/>
    <x v="2"/>
    <x v="22"/>
    <s v="20103662 - Fisioterapia - Pos Operatorio Em Um Membro (R$ 14,99)"/>
    <s v="Fisioterapia"/>
    <n v="1708826822"/>
    <s v="Finalizado (9/9)"/>
    <n v="13.1912"/>
    <n v="1.7988"/>
    <n v="14.99"/>
    <s v="Sessão Faturada"/>
    <n v="774642026670000"/>
    <n v="59569"/>
    <s v="Unidade Vieiralves"/>
    <n v="1708826822"/>
    <m/>
  </r>
  <r>
    <x v="2"/>
    <x v="62"/>
    <s v="Rose Mayre Vieira Barreto"/>
    <s v="Feminino"/>
    <x v="4"/>
    <x v="22"/>
    <s v="31602185 - Estimulação Elétrica Transcutânea - Removido 13/04/2026 (R$ 40,00)"/>
    <s v="Fisioterapia"/>
    <n v="1708908103"/>
    <s v="Finalizado (5/5)"/>
    <n v="35.200000000000003"/>
    <n v="4.8"/>
    <n v="40"/>
    <s v="Sessão Faturada"/>
    <n v="813312700027000"/>
    <n v="17029"/>
    <s v="Unidade Vieiralves"/>
    <n v="1708908103"/>
    <m/>
  </r>
  <r>
    <x v="2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06776664"/>
    <s v="Finalizado (10/10)"/>
    <n v="23.803999999999998"/>
    <n v="3.246"/>
    <n v="27.05"/>
    <s v="Sessão Faturada"/>
    <n v="952480013332000"/>
    <n v="14710"/>
    <s v="Unidade Vieiralves"/>
    <n v="1706776664"/>
    <m/>
  </r>
  <r>
    <x v="2"/>
    <x v="37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3/10)"/>
    <n v="30.8"/>
    <n v="4.2"/>
    <n v="35"/>
    <s v="Sessão Faturada"/>
    <n v="1901013411030200"/>
    <n v="57093"/>
    <s v="Unidade Vieiralves"/>
    <n v="9181422"/>
    <s v="GUIA ASSINADA!"/>
  </r>
  <r>
    <x v="2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7/10)"/>
    <n v="23.803999999999998"/>
    <n v="3.246"/>
    <n v="27.05"/>
    <s v="Sessão Faturada"/>
    <n v="810177500019010"/>
    <n v="52971"/>
    <s v="Unidade Vieiralves"/>
    <n v="1706279020"/>
    <m/>
  </r>
  <r>
    <x v="2"/>
    <x v="63"/>
    <s v="Raimunda Carvalho Caldas"/>
    <s v="Feminino"/>
    <x v="4"/>
    <x v="22"/>
    <s v="31602185 - Estimulação Elétrica Transcutânea - Removido 13/04/2026 (R$ 40,00)"/>
    <s v="Fisioterapia"/>
    <n v="1711413005"/>
    <s v="Finalizado (3/10)"/>
    <n v="35.200000000000003"/>
    <n v="4.8"/>
    <n v="40"/>
    <s v="Sessão a Faturar"/>
    <n v="952480013332000"/>
    <n v="14710"/>
    <s v="Unidade Vieiralves"/>
    <n v="1711413005"/>
    <m/>
  </r>
  <r>
    <x v="2"/>
    <x v="63"/>
    <s v="Denise de Souza Lima Herzog"/>
    <s v="Feminino"/>
    <x v="4"/>
    <x v="22"/>
    <s v="31602185 - Estimulação Elétrica Transcutânea - Removido 13/04/2026 (R$ 40,00)"/>
    <s v="Fisioterapia"/>
    <n v="1708948484"/>
    <s v="Finalizado (4/5)"/>
    <n v="35.200000000000003"/>
    <n v="4.8"/>
    <n v="40"/>
    <s v="Sessão Faturada"/>
    <n v="810177500019010"/>
    <n v="52971"/>
    <s v="Unidade Vieiralves"/>
    <n v="1708948484"/>
    <m/>
  </r>
  <r>
    <x v="2"/>
    <x v="39"/>
    <s v="Suellen Andrade Barroso"/>
    <s v="Feminino"/>
    <x v="6"/>
    <x v="22"/>
    <s v="31602185 - Estimulação Elétrica Transcutanea (Tens) (R$ 40,00)"/>
    <s v="Fisioterapia"/>
    <n v="171491"/>
    <s v="Finalizado (3/4)"/>
    <n v="35.200000000000003"/>
    <n v="4.8"/>
    <n v="40"/>
    <s v="Sessão a Faturar"/>
    <s v="54588888479635870024"/>
    <n v="31354"/>
    <s v="Unidade Vieiralves"/>
    <n v="171491"/>
    <m/>
  </r>
  <r>
    <x v="2"/>
    <x v="39"/>
    <s v="Anne Kelly Fróes Fontinele"/>
    <s v="Feminino"/>
    <x v="8"/>
    <x v="22"/>
    <s v="20103506 - Patologia Em Um Segmento Na Coluna (R$ 12,22)"/>
    <s v="Fisioterapia"/>
    <n v="1712682313"/>
    <s v="Finalizado (2/2)"/>
    <n v="10.7536"/>
    <n v="1.4663999999999999"/>
    <n v="12.22"/>
    <s v="Sessão Faturada"/>
    <n v="954600022691010"/>
    <n v="47757"/>
    <s v="Unidade Vieiralves"/>
    <n v="1712682313"/>
    <m/>
  </r>
  <r>
    <x v="2"/>
    <x v="39"/>
    <s v="Estevam Pedrosa"/>
    <s v="Masculino"/>
    <x v="6"/>
    <x v="22"/>
    <s v="20103484 - Patologia Em Um Membro (R$ 14,16), 20103506 - Patologia Em Um Segmento da Coluna (R$ 14,16)"/>
    <s v="Fisioterapia"/>
    <n v="171634"/>
    <s v="Finalizado (4/4)"/>
    <n v="24.921600000000002"/>
    <n v="3.3984000000000001"/>
    <n v="28.32"/>
    <s v="Sessão a Faturar"/>
    <s v="51588888476524760013"/>
    <n v="56604"/>
    <s v="Unidade Vieiralves"/>
    <n v="171634"/>
    <m/>
  </r>
  <r>
    <x v="2"/>
    <x v="39"/>
    <s v="Luciana Araujo Monteiro"/>
    <s v="Feminino"/>
    <x v="8"/>
    <x v="22"/>
    <s v="20103662 - Pos Operatorio Em Um Membro (R$ 14,99)"/>
    <s v="Fisioterapia"/>
    <n v="1711456550"/>
    <s v="Finalizado (3/5)"/>
    <n v="13.1912"/>
    <n v="1.7988"/>
    <n v="14.99"/>
    <s v="Sessão a Faturar"/>
    <n v="954600033103010"/>
    <n v="59400"/>
    <s v="Unidade Vieiralves"/>
    <n v="1711456550"/>
    <m/>
  </r>
  <r>
    <x v="2"/>
    <x v="64"/>
    <s v="Estevam Pedrosa"/>
    <s v="Masculino"/>
    <x v="6"/>
    <x v="22"/>
    <s v="31602185 - Estimulação Elétrica Transcutanea (Tens) (R$ 40,00)"/>
    <s v="Fisioterapia"/>
    <n v="171635"/>
    <s v="Finalizado (4/4)"/>
    <n v="35.200000000000003"/>
    <n v="4.8"/>
    <n v="40"/>
    <s v="Sessão a Faturar"/>
    <s v="51588888476524760013"/>
    <n v="56604"/>
    <s v="Unidade Vieiralves"/>
    <n v="171635"/>
    <m/>
  </r>
  <r>
    <x v="2"/>
    <x v="64"/>
    <s v="Luciana Araujo Monteiro"/>
    <s v="Feminino"/>
    <x v="9"/>
    <x v="22"/>
    <s v="31602185 - Estimulação Elétrica Transcutânea (Tens) - Removido 13/04/2026 (R$ 40,00)"/>
    <s v="Fisioterapia"/>
    <n v="1708975983"/>
    <s v="Finalizado (5/5)"/>
    <n v="35.200000000000003"/>
    <n v="4.8"/>
    <n v="40"/>
    <s v="Sessão Faturada"/>
    <n v="954600033103010"/>
    <n v="59400"/>
    <s v="Unidade Vieiralves"/>
    <n v="1708975983"/>
    <m/>
  </r>
  <r>
    <x v="2"/>
    <x v="64"/>
    <s v="Anne Kelly Fróes Fontinele"/>
    <s v="Feminino"/>
    <x v="9"/>
    <x v="22"/>
    <s v="31602185 - Estimulação Elétrica Transcutânea (Tens) - Removido 13/04/2026 (R$ 40,00)"/>
    <s v="Fisioterapia"/>
    <n v="1714006737"/>
    <s v="Finalizado (1/1)"/>
    <n v="35.200000000000003"/>
    <n v="4.8"/>
    <n v="40"/>
    <s v="Sessão Faturada"/>
    <n v="954600022691010"/>
    <n v="47757"/>
    <s v="Unidade Vieiralves"/>
    <n v="1714006737"/>
    <m/>
  </r>
  <r>
    <x v="2"/>
    <x v="64"/>
    <s v="Suellen Andrade Barroso"/>
    <s v="Feminino"/>
    <x v="6"/>
    <x v="22"/>
    <s v="20103492 - Patologia Em Dois Ou Mais Membros (R$ 30,26)"/>
    <s v="Fisioterapia"/>
    <n v="171490"/>
    <s v="Finalizado (3/10)"/>
    <n v="26.628799999999998"/>
    <n v="3.6312000000000002"/>
    <n v="30.26"/>
    <s v="Sessão a Faturar"/>
    <s v="54588888479635870024"/>
    <n v="31354"/>
    <s v="Unidade Vieiralves"/>
    <n v="171490"/>
    <m/>
  </r>
  <r>
    <x v="2"/>
    <x v="43"/>
    <s v="Chirly Ribeiro de Souza Lira"/>
    <s v="Feminino"/>
    <x v="2"/>
    <x v="22"/>
    <s v="20103484 - Fisioterapia - Patologia Em Um Membro (R$ 12,22), 20103514 - Fisioterapia - Patologia Em Diferentes Segmentos da Coluna (R$ 14,83)"/>
    <s v="Fisioterapia"/>
    <n v="1710963718"/>
    <s v="Finalizado (3/3)"/>
    <n v="23.803999999999998"/>
    <n v="3.246"/>
    <n v="27.05"/>
    <s v="Sessão Faturada"/>
    <n v="771015039004010"/>
    <n v="47661"/>
    <s v="Unidade Vieiralves"/>
    <n v="1710963718"/>
    <m/>
  </r>
  <r>
    <x v="2"/>
    <x v="43"/>
    <s v="Henrique Douglas Macedo Mendes Júnior"/>
    <s v="Masculino"/>
    <x v="2"/>
    <x v="22"/>
    <s v="20103484 - Fisioterapia - Patologia Em Um Membro (R$ 12,22)"/>
    <s v="Fisioterapia"/>
    <n v="1708321359"/>
    <s v="Finalizado (4/5)"/>
    <n v="10.7536"/>
    <n v="1.4663999999999999"/>
    <n v="12.22"/>
    <s v="Sessão Faturada"/>
    <n v="897702200019010"/>
    <n v="56664"/>
    <s v="Unidade Vieiralves"/>
    <n v="1708321359"/>
    <m/>
  </r>
  <r>
    <x v="3"/>
    <x v="44"/>
    <s v="Diego Nobuyoshi de Souza Tsuji"/>
    <s v="Masculino"/>
    <x v="2"/>
    <x v="22"/>
    <s v="20103492 - Fisioterapia - Patologia Em Dois Ou Mais Membros (R$ 14,83)"/>
    <s v="Fisioterapia"/>
    <n v="1714395186"/>
    <s v="Finalizado (1/10)"/>
    <n v="13.0504"/>
    <n v="1.7796000000000001"/>
    <n v="14.83"/>
    <s v="Sessão a Faturar"/>
    <n v="774981009148000"/>
    <n v="11130"/>
    <s v="Unidade Vieiralves"/>
    <n v="1714395186"/>
    <m/>
  </r>
  <r>
    <x v="3"/>
    <x v="44"/>
    <s v="Katia Cilene Jardim da Costa"/>
    <s v="Feminino"/>
    <x v="2"/>
    <x v="22"/>
    <s v="20103484 - Fisioterapia - Patologia Em Um Membro (R$ 12,22)"/>
    <s v="Fisioterapia"/>
    <n v="1707250451"/>
    <s v="Finalizado (10/10)"/>
    <n v="10.7536"/>
    <n v="1.4663999999999999"/>
    <n v="12.22"/>
    <s v="Sessão Faturada"/>
    <n v="771015041750020"/>
    <n v="37973"/>
    <s v="Unidade Vieiralves"/>
    <n v="1707250451"/>
    <m/>
  </r>
  <r>
    <x v="3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7/10)"/>
    <n v="39.089599999999997"/>
    <n v="5.3304"/>
    <n v="44.42"/>
    <s v="Sessão a Faturar"/>
    <s v="55788888493194760120"/>
    <n v="43650"/>
    <s v="Unidade Vieiralves"/>
    <n v="171429"/>
    <m/>
  </r>
  <r>
    <x v="3"/>
    <x v="44"/>
    <s v="Bruna Lucianne dos Santos Galate"/>
    <s v="Feminino"/>
    <x v="6"/>
    <x v="22"/>
    <s v="31602185 - Estimulação Elétrica Transcutanea (Tens) (R$ 40,00)"/>
    <s v="Fisioterapia"/>
    <n v="171430"/>
    <s v="Finalizado (7/10)"/>
    <n v="35.200000000000003"/>
    <n v="4.8"/>
    <n v="40"/>
    <s v="Sessão a Faturar"/>
    <s v="55788888493194760120"/>
    <n v="43650"/>
    <s v="Unidade Vieiralves"/>
    <n v="171430"/>
    <m/>
  </r>
  <r>
    <x v="3"/>
    <x v="41"/>
    <s v="Nívea Rosangela Santos Barbosa"/>
    <s v="Feminino"/>
    <x v="6"/>
    <x v="22"/>
    <s v="20103492 - Patologia Em Dois Ou Mais Membros (R$ 30,26), 20103506 - Patologia Em Um Segmento da Coluna (R$ 14,16)"/>
    <s v="Fisioterapia"/>
    <n v="172238"/>
    <s v="Finalizado (1/1)"/>
    <n v="39.089599999999997"/>
    <n v="5.3304"/>
    <n v="44.42"/>
    <s v="Sessão a Faturar"/>
    <s v="54588888018689220020"/>
    <n v="56297"/>
    <s v="Unidade Vieiralves"/>
    <n v="172238"/>
    <m/>
  </r>
  <r>
    <x v="3"/>
    <x v="41"/>
    <s v="Nívea Rosangela Santos Barbosa"/>
    <s v="Feminino"/>
    <x v="6"/>
    <x v="22"/>
    <s v="31602185 - Estimulação Elétrica Transcutanea (Tens) (R$ 40,00)"/>
    <s v="Fisioterapia"/>
    <n v="172239"/>
    <s v="Finalizado (1/1)"/>
    <n v="35.200000000000003"/>
    <n v="4.8"/>
    <n v="40"/>
    <s v="Sessão a Faturar"/>
    <s v="54588888018689220020"/>
    <n v="56297"/>
    <s v="Unidade Vieiralves"/>
    <n v="172239"/>
    <m/>
  </r>
  <r>
    <x v="3"/>
    <x v="41"/>
    <s v="Yasmin Guedes Lima"/>
    <s v="Feminino"/>
    <x v="2"/>
    <x v="22"/>
    <s v="20103506 - Fisioterapia - Patologia Em Um Segmento da Coluna (R$ 12,22)"/>
    <s v="Fisioterapia"/>
    <n v="1713905300"/>
    <s v="Finalizado (2/10)"/>
    <n v="10.7536"/>
    <n v="1.4663999999999999"/>
    <n v="12.22"/>
    <s v="Sessão a Faturar"/>
    <n v="960016575471020"/>
    <n v="35978"/>
    <s v="Unidade Vieiralves"/>
    <n v="1713905300"/>
    <m/>
  </r>
  <r>
    <x v="3"/>
    <x v="36"/>
    <s v="Ana Carolina Bento Andrade da Encarnação"/>
    <s v="Feminino"/>
    <x v="2"/>
    <x v="22"/>
    <s v="20103492 - Fisioterapia - Patologia Em Dois Ou Mais Membros (R$ 14,83), 20103506 - Fisioterapia - Patologia Em Um Segmento da Coluna (R$ 12,22)"/>
    <s v="Fisioterapia"/>
    <n v="1713611213"/>
    <s v="Finalizado (3/10)"/>
    <n v="23.803999999999998"/>
    <n v="3.246"/>
    <n v="27.05"/>
    <s v="Sessão a Faturar"/>
    <n v="771015045292010"/>
    <n v="21604"/>
    <s v="Unidade Vieiralves"/>
    <n v="1713611213"/>
    <m/>
  </r>
  <r>
    <x v="3"/>
    <x v="35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3/10)"/>
    <n v="30.8"/>
    <n v="4.2"/>
    <n v="35"/>
    <s v="Sessão Faturada"/>
    <n v="1901013246260100"/>
    <n v="53193"/>
    <s v="Unidade Vieiralves"/>
    <n v="9350764"/>
    <m/>
  </r>
  <r>
    <x v="3"/>
    <x v="37"/>
    <s v="Amanda Campos Goes Bezerra"/>
    <s v="Feminino"/>
    <x v="1"/>
    <x v="22"/>
    <s v="50000144 - Consulta de Fisioterapia (R$ 16,00)"/>
    <s v="Fisioterapia"/>
    <n v="9435510"/>
    <s v="Finalizado (1/1)"/>
    <n v="14.4"/>
    <n v="1.6"/>
    <n v="16"/>
    <s v="Sessão Faturada"/>
    <s v="0901013300950004"/>
    <n v="59623"/>
    <s v="Unidade Vieiralves"/>
    <n v="9435510"/>
    <m/>
  </r>
  <r>
    <x v="3"/>
    <x v="37"/>
    <s v="Amanda Campos Goes Bezerra"/>
    <s v="Feminino"/>
    <x v="1"/>
    <x v="22"/>
    <s v="50000160 - Fisioterapia Ortopédica (R$ 20,00), 98980327 - Taxa de Eletroterapia (Tens) (R$ 15,00)"/>
    <s v="Fisioterapia"/>
    <n v="9435670"/>
    <s v="Finalizado (1/10)"/>
    <n v="30.8"/>
    <n v="4.2"/>
    <n v="35"/>
    <s v="Sessão a Faturar"/>
    <s v="0901013300950004"/>
    <n v="59623"/>
    <s v="Unidade Vieiralves"/>
    <n v="9435670"/>
    <m/>
  </r>
  <r>
    <x v="3"/>
    <x v="39"/>
    <s v="Andrea Nogueira Rodrigues"/>
    <s v="Masculino"/>
    <x v="2"/>
    <x v="22"/>
    <s v="20103484 - Fisioterapia - Patologia Em Um Membro (R$ 12,22)"/>
    <s v="Fisioterapia"/>
    <n v="1707287810"/>
    <s v="Finalizado (3/4)"/>
    <n v="10.7536"/>
    <n v="1.4663999999999999"/>
    <n v="12.22"/>
    <s v="Sessão Faturada"/>
    <n v="773268005452020"/>
    <n v="59385"/>
    <s v="Unidade Vieiralves"/>
    <n v="1707287810"/>
    <m/>
  </r>
  <r>
    <x v="3"/>
    <x v="39"/>
    <s v="Wandercleia Martins Pontes"/>
    <s v="Feminino"/>
    <x v="1"/>
    <x v="22"/>
    <s v="50000160 - Fisioterapia Ortopédica (R$ 20,00), 98980327 - Taxa de Eletroterapia (Tens) (R$ 15,00)"/>
    <s v="Fisioterapia"/>
    <n v="8749507"/>
    <s v="Finalizado (10/10)"/>
    <n v="30.8"/>
    <n v="4.2"/>
    <n v="35"/>
    <s v="Sessão Faturada"/>
    <s v="0201013323070030"/>
    <n v="19693"/>
    <s v="Unidade Vieiralves"/>
    <n v="8749507"/>
    <s v="GUIA ASSINADA!"/>
  </r>
  <r>
    <x v="3"/>
    <x v="64"/>
    <s v="Andrea Nogueira Rodrigues"/>
    <s v="Masculino"/>
    <x v="4"/>
    <x v="22"/>
    <s v="31602185 - Estimulação Elétrica Transcutânea - Removido 13/04/2026 (R$ 40,00)"/>
    <s v="Fisioterapia"/>
    <n v="1709558396"/>
    <s v="Finalizado (2/2)"/>
    <n v="35.200000000000003"/>
    <n v="4.8"/>
    <n v="40"/>
    <s v="Sessão Faturada"/>
    <n v="773268005452020"/>
    <n v="59385"/>
    <s v="Unidade Vieiralves"/>
    <n v="1709558396"/>
    <m/>
  </r>
  <r>
    <x v="4"/>
    <x v="44"/>
    <s v="Bruna Lucianne dos Santos Galate"/>
    <s v="Feminino"/>
    <x v="6"/>
    <x v="22"/>
    <s v="31602185 - Estimulação Elétrica Transcutanea (Tens) (R$ 40,00)"/>
    <s v="Fisioterapia"/>
    <n v="171430"/>
    <s v="Finalizado (8/10)"/>
    <n v="35.200000000000003"/>
    <n v="4.8"/>
    <n v="40"/>
    <s v="Sessão a Faturar"/>
    <s v="55788888493194760120"/>
    <n v="43650"/>
    <s v="Unidade Vieiralves"/>
    <n v="171430"/>
    <m/>
  </r>
  <r>
    <x v="4"/>
    <x v="44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1/10)"/>
    <n v="21.507200000000001"/>
    <n v="2.9327999999999999"/>
    <n v="24.44"/>
    <s v="Sessão a Faturar"/>
    <n v="771015041750020"/>
    <n v="37973"/>
    <s v="Unidade Vieiralves"/>
    <n v="1714893972"/>
    <m/>
  </r>
  <r>
    <x v="4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8/10)"/>
    <n v="39.089599999999997"/>
    <n v="5.3304"/>
    <n v="44.42"/>
    <s v="Sessão a Faturar"/>
    <s v="55788888493194760120"/>
    <n v="43650"/>
    <s v="Unidade Vieiralves"/>
    <n v="171429"/>
    <m/>
  </r>
  <r>
    <x v="4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3/10)"/>
    <n v="30.8"/>
    <n v="4.2"/>
    <n v="35"/>
    <s v="Sessão Faturada"/>
    <s v="01301012922220002"/>
    <n v="14923"/>
    <s v="Unidade Vieiralves"/>
    <n v="9337474"/>
    <m/>
  </r>
  <r>
    <x v="4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8/10)"/>
    <n v="26.1008"/>
    <n v="3.5592000000000001"/>
    <n v="29.66"/>
    <s v="Sessão Faturada"/>
    <n v="830425500043000"/>
    <n v="7701"/>
    <s v="Unidade Vieiralves"/>
    <n v="1706683478"/>
    <m/>
  </r>
  <r>
    <x v="4"/>
    <x v="41"/>
    <s v="Carlos Juliano Prado"/>
    <s v="Masculino"/>
    <x v="2"/>
    <x v="22"/>
    <s v="20103506 - Fisioterapia - Patologia Em Um Segmento da Coluna (R$ 12,22)"/>
    <s v="Fisioterapia"/>
    <n v="1713864619"/>
    <s v="Finalizado (2/10)"/>
    <n v="10.7536"/>
    <n v="1.4663999999999999"/>
    <n v="12.22"/>
    <s v="Sessão a Faturar"/>
    <n v="774981010073010"/>
    <n v="55509"/>
    <s v="Unidade Vieiralves"/>
    <n v="1713864619"/>
    <m/>
  </r>
  <r>
    <x v="4"/>
    <x v="41"/>
    <s v="Carlos Jose Cavalcante Martins"/>
    <s v="Masculino"/>
    <x v="2"/>
    <x v="22"/>
    <s v="20103492 - Fisioterapia - Patologia Em Dois Ou Mais Membros (R$ 14,83)"/>
    <s v="Fisioterapia"/>
    <n v="1707732828"/>
    <s v="Finalizado (5/8)"/>
    <n v="13.0504"/>
    <n v="1.7796000000000001"/>
    <n v="14.83"/>
    <s v="Sessão a Faturar"/>
    <n v="830425500051000"/>
    <n v="59320"/>
    <s v="Unidade Vieiralves"/>
    <n v="1707732828"/>
    <m/>
  </r>
  <r>
    <x v="4"/>
    <x v="65"/>
    <s v="Carlos Juliano Prado"/>
    <s v="Masculino"/>
    <x v="4"/>
    <x v="22"/>
    <s v="31602185 - Estimulação Elétrica Transcutânea - Removido 13/04/2026 (R$ 40,00)"/>
    <s v="Fisioterapia"/>
    <n v="1714918693"/>
    <s v="Finalizado (1/10)"/>
    <n v="35.200000000000003"/>
    <n v="4.8"/>
    <n v="40"/>
    <s v="Sessão a Faturar"/>
    <n v="774981010073010"/>
    <n v="55509"/>
    <s v="Unidade Vieiralves"/>
    <n v="1714918693"/>
    <m/>
  </r>
  <r>
    <x v="4"/>
    <x v="36"/>
    <s v="Vivianne Cristina Canavarro Fernandes Rocha"/>
    <s v="Feminino"/>
    <x v="6"/>
    <x v="22"/>
    <s v="20103514 - Patologia Em Dois Ou Mais Segmentos da Coluna (R$ 32,82)"/>
    <s v="Fisioterapia"/>
    <n v="171150"/>
    <s v="Finalizado (4/10)"/>
    <n v="28.881599999999999"/>
    <n v="3.9384000000000001"/>
    <n v="32.82"/>
    <s v="Sessão a Faturar"/>
    <s v="54588888491549250012"/>
    <n v="59548"/>
    <s v="Unidade Vieiralves"/>
    <n v="171150"/>
    <m/>
  </r>
  <r>
    <x v="4"/>
    <x v="36"/>
    <s v="Ana Carolina Bento Andrade da Encarnação"/>
    <s v="Feminino"/>
    <x v="2"/>
    <x v="22"/>
    <s v="20103492 - Fisioterapia - Patologia Em Dois Ou Mais Membros (R$ 14,83), 20103506 - Fisioterapia - Patologia Em Um Segmento da Coluna (R$ 12,22)"/>
    <s v="Fisioterapia"/>
    <n v="1713611213"/>
    <s v="Finalizado (4/10)"/>
    <n v="23.803999999999998"/>
    <n v="3.246"/>
    <n v="27.05"/>
    <s v="Sessão a Faturar"/>
    <n v="771015045292010"/>
    <n v="21604"/>
    <s v="Unidade Vieiralves"/>
    <n v="1713611213"/>
    <m/>
  </r>
  <r>
    <x v="4"/>
    <x v="61"/>
    <s v="Vivianne Cristina Canavarro Fernandes Rocha"/>
    <s v="Feminino"/>
    <x v="6"/>
    <x v="22"/>
    <s v="31602185 - Estimulação Elétrica Transcutanea (Tens) (R$ 40,00)"/>
    <s v="Fisioterapia"/>
    <n v="171151"/>
    <s v="Finalizado (4/10)"/>
    <n v="35.200000000000003"/>
    <n v="4.8"/>
    <n v="40"/>
    <s v="Sessão a Faturar"/>
    <s v="54588888491549250012"/>
    <n v="59548"/>
    <s v="Unidade Vieiralves"/>
    <n v="171151"/>
    <m/>
  </r>
  <r>
    <x v="4"/>
    <x v="40"/>
    <s v="Maria Eduarda Menezes"/>
    <s v="Feminino"/>
    <x v="0"/>
    <x v="22"/>
    <s v="31602185 - Estimulação Elétrica Transcutânea Fisioterapia (Novo - 01/12) (R$ 54,13)"/>
    <s v="Fisioterapia"/>
    <s v="42263120260310446304"/>
    <s v="Finalizado (5/10)"/>
    <n v="47.634399999999999"/>
    <n v="6.4955999999999996"/>
    <n v="54.13"/>
    <s v="Sessão a Faturar"/>
    <s v="010650678953"/>
    <n v="59554"/>
    <s v="Unidade Vieiralves"/>
    <s v="42263120260310446304"/>
    <m/>
  </r>
  <r>
    <x v="4"/>
    <x v="40"/>
    <s v="Aldair Oliveira de Andrade"/>
    <s v="Masculino"/>
    <x v="1"/>
    <x v="22"/>
    <s v="50000160 - Fisioterapia Ortopédica (R$ 20,00), 98980327 - Taxa de Eletroterapia (Tens) (R$ 15,00)"/>
    <s v="Fisioterapia"/>
    <n v="8936322"/>
    <s v="Finalizado (5/10)"/>
    <n v="30.8"/>
    <n v="4.2"/>
    <n v="35"/>
    <s v="Sessão Faturada"/>
    <s v="0702007029320058"/>
    <n v="58351"/>
    <s v="Unidade Vieiralves"/>
    <n v="8936322"/>
    <s v="GUIA ASSINADA!"/>
  </r>
  <r>
    <x v="4"/>
    <x v="40"/>
    <s v="Maria Eduarda Menezes"/>
    <s v="Feminino"/>
    <x v="0"/>
    <x v="22"/>
    <s v="50000160 - Fisioterapia Ortopedica (R$ 49,72)"/>
    <s v="Fisioterapia"/>
    <s v="42263120260310446258"/>
    <s v="Finalizado (5/10)"/>
    <n v="43.753599999999999"/>
    <n v="5.9664000000000001"/>
    <n v="49.72"/>
    <s v="Sessão a Faturar"/>
    <s v="010650678953"/>
    <n v="59554"/>
    <s v="Unidade Vieiralves"/>
    <s v="42263120260310446258"/>
    <m/>
  </r>
  <r>
    <x v="4"/>
    <x v="35"/>
    <s v="Guaracy Silva da Cunha"/>
    <s v="Feminino"/>
    <x v="1"/>
    <x v="22"/>
    <s v="50000160 - Fisioterapia Ortopédica (R$ 20,00), 98980327 - Taxa de Eletroterapia (Tens) (R$ 15,00)"/>
    <s v="Fisioterapia"/>
    <n v="9313898"/>
    <s v="Finalizado (4/10)"/>
    <n v="30.8"/>
    <n v="4.2"/>
    <n v="35"/>
    <s v="Sessão Faturada"/>
    <s v="0901013070050252"/>
    <n v="21742"/>
    <s v="Unidade Vieiralves"/>
    <n v="9313898"/>
    <s v="GUIA ASSINADA!"/>
  </r>
  <r>
    <x v="4"/>
    <x v="35"/>
    <s v="Julliana Gadelha de Medeiros"/>
    <s v="Feminino"/>
    <x v="8"/>
    <x v="22"/>
    <s v="20103484 - Patologia Em Um Membro (R$ 12,22)"/>
    <s v="Fisioterapia"/>
    <n v="1711444434"/>
    <s v="Finalizado (4/7)"/>
    <n v="10.7536"/>
    <n v="1.4663999999999999"/>
    <n v="12.22"/>
    <s v="Sessão a Faturar"/>
    <n v="954600002968020"/>
    <n v="20663"/>
    <s v="Unidade Vieiralves"/>
    <n v="1711444434"/>
    <m/>
  </r>
  <r>
    <x v="4"/>
    <x v="35"/>
    <s v="Marta Barbosa de Oliveira"/>
    <s v="Feminino"/>
    <x v="0"/>
    <x v="22"/>
    <s v="50000160 - Fisioterapia Ortopedica (R$ 49,72)"/>
    <s v="Fisioterapia"/>
    <s v="42263120260318509090"/>
    <s v="Finalizado (2/10)"/>
    <n v="43.753599999999999"/>
    <n v="5.9664000000000001"/>
    <n v="49.72"/>
    <s v="Sessão a Faturar"/>
    <s v="010650689402"/>
    <n v="59659"/>
    <s v="Unidade Vieiralves"/>
    <s v="42263120260318509090"/>
    <m/>
  </r>
  <r>
    <x v="4"/>
    <x v="42"/>
    <s v="Marta Barbosa de Oliveira"/>
    <s v="Feminino"/>
    <x v="0"/>
    <x v="22"/>
    <s v="31602185 - Estimulação Elétrica Transcutânea Fisioterapia (Novo - 01/12) (R$ 54,13)"/>
    <s v="Fisioterapia"/>
    <s v="42263120260318510326"/>
    <s v="Finalizado (2/10)"/>
    <n v="47.634399999999999"/>
    <n v="6.4955999999999996"/>
    <n v="54.13"/>
    <s v="Sessão a Faturar"/>
    <s v="010650689402"/>
    <n v="59659"/>
    <s v="Unidade Vieiralves"/>
    <s v="42263120260318510326"/>
    <m/>
  </r>
  <r>
    <x v="4"/>
    <x v="38"/>
    <s v="Rose Mayre Vieira Barreto"/>
    <s v="Feminino"/>
    <x v="2"/>
    <x v="22"/>
    <s v="20103492 - Fisioterapia - Patologia Em Dois Ou Mais Membros (R$ 14,83), 20103506 - Fisioterapia - Patologia Em Um Segmento da Coluna (R$ 12,22)"/>
    <s v="Fisioterapia"/>
    <n v="1713968993"/>
    <s v="Finalizado (3/5)"/>
    <n v="23.803999999999998"/>
    <n v="3.246"/>
    <n v="27.05"/>
    <s v="Sessão Faturada"/>
    <n v="813312700027000"/>
    <n v="17029"/>
    <s v="Unidade Vieiralves"/>
    <n v="1713968993"/>
    <m/>
  </r>
  <r>
    <x v="4"/>
    <x v="38"/>
    <s v="Leonice Soares Lira"/>
    <s v="Feminino"/>
    <x v="8"/>
    <x v="22"/>
    <s v="50000144 - Consulta de Fisioterapia (R$ 51,42)"/>
    <s v="Fisioterapia"/>
    <n v="1715034868"/>
    <s v="Finalizado (1/1)"/>
    <n v="46.277999999999999"/>
    <n v="5.1420000000000003"/>
    <n v="51.42"/>
    <s v="Sessão a Faturar"/>
    <n v="954600008907000"/>
    <n v="59695"/>
    <s v="Unidade Vieiralves"/>
    <n v="1715034868"/>
    <m/>
  </r>
  <r>
    <x v="4"/>
    <x v="62"/>
    <s v="Leonice Soares Lira"/>
    <s v="Feminino"/>
    <x v="8"/>
    <x v="22"/>
    <s v="20103492 - Patologia Em Dois Ou Mais Membros (R$ 14,83)"/>
    <s v="Fisioterapia"/>
    <n v="1715036003"/>
    <s v="Finalizado (1/10)"/>
    <n v="13.0504"/>
    <n v="1.7796000000000001"/>
    <n v="14.83"/>
    <s v="Sessão a Faturar"/>
    <n v="954600008907000"/>
    <n v="59695"/>
    <s v="Unidade Vieiralves"/>
    <n v="1715036003"/>
    <m/>
  </r>
  <r>
    <x v="4"/>
    <x v="37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15032669"/>
    <s v="Finalizado (1/10)"/>
    <n v="23.803999999999998"/>
    <n v="3.246"/>
    <n v="27.05"/>
    <s v="Sessão a Faturar"/>
    <n v="952480013332000"/>
    <n v="14710"/>
    <s v="Unidade Vieiralves"/>
    <n v="1715032669"/>
    <m/>
  </r>
  <r>
    <x v="4"/>
    <x v="37"/>
    <s v="Denise de Souza Lima Herzog"/>
    <s v="Feminino"/>
    <x v="4"/>
    <x v="22"/>
    <s v="31602185 - Estimulação Elétrica Transcutânea - Removido 13/04/2026 (R$ 40,00)"/>
    <s v="Fisioterapia"/>
    <n v="1708948484"/>
    <s v="Finalizado (5/5)"/>
    <n v="35.200000000000003"/>
    <n v="4.8"/>
    <n v="40"/>
    <s v="Sessão Faturada"/>
    <n v="810177500019010"/>
    <n v="52971"/>
    <s v="Unidade Vieiralves"/>
    <n v="1708948484"/>
    <m/>
  </r>
  <r>
    <x v="4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8/10)"/>
    <n v="23.803999999999998"/>
    <n v="3.246"/>
    <n v="27.05"/>
    <s v="Sessão Faturada"/>
    <n v="810177500019010"/>
    <n v="52971"/>
    <s v="Unidade Vieiralves"/>
    <n v="1706279020"/>
    <m/>
  </r>
  <r>
    <x v="4"/>
    <x v="37"/>
    <s v="Luciana Araujo Monteiro"/>
    <s v="Feminino"/>
    <x v="8"/>
    <x v="22"/>
    <s v="20103662 - Pos Operatorio Em Um Membro (R$ 14,99)"/>
    <s v="Fisioterapia"/>
    <n v="1711456550"/>
    <s v="Finalizado (4/5)"/>
    <n v="13.1912"/>
    <n v="1.7988"/>
    <n v="14.99"/>
    <s v="Sessão a Faturar"/>
    <n v="954600033103010"/>
    <n v="59400"/>
    <s v="Unidade Vieiralves"/>
    <n v="1711456550"/>
    <m/>
  </r>
  <r>
    <x v="4"/>
    <x v="37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4/10)"/>
    <n v="30.8"/>
    <n v="4.2"/>
    <n v="35"/>
    <s v="Sessão Faturada"/>
    <n v="1901013411030200"/>
    <n v="57093"/>
    <s v="Unidade Vieiralves"/>
    <n v="9181422"/>
    <s v="GUIA ASSINADA!"/>
  </r>
  <r>
    <x v="4"/>
    <x v="63"/>
    <s v="Raimunda Carvalho Caldas"/>
    <s v="Feminino"/>
    <x v="4"/>
    <x v="22"/>
    <s v="31602185 - Estimulação Elétrica Transcutânea - Removido 13/04/2026 (R$ 40,00)"/>
    <s v="Fisioterapia"/>
    <n v="1711413005"/>
    <s v="Finalizado (4/10)"/>
    <n v="35.200000000000003"/>
    <n v="4.8"/>
    <n v="40"/>
    <s v="Sessão a Faturar"/>
    <n v="952480013332000"/>
    <n v="14710"/>
    <s v="Unidade Vieiralves"/>
    <n v="1711413005"/>
    <m/>
  </r>
  <r>
    <x v="4"/>
    <x v="39"/>
    <s v="Amanda Campos Goes Bezerra"/>
    <s v="Feminino"/>
    <x v="1"/>
    <x v="22"/>
    <s v="50000160 - Fisioterapia Ortopédica (R$ 20,00), 98980327 - Taxa de Eletroterapia (Tens) (R$ 15,00)"/>
    <s v="Fisioterapia"/>
    <n v="9435670"/>
    <s v="Finalizado (2/10)"/>
    <n v="30.8"/>
    <n v="4.2"/>
    <n v="35"/>
    <s v="Sessão a Faturar"/>
    <s v="0901013300950004"/>
    <n v="59623"/>
    <s v="Unidade Vieiralves"/>
    <n v="9435670"/>
    <m/>
  </r>
  <r>
    <x v="24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9/10)"/>
    <n v="39.089599999999997"/>
    <n v="5.3304"/>
    <n v="44.42"/>
    <s v="Sessão a Faturar"/>
    <s v="55788888493194760120"/>
    <n v="43650"/>
    <s v="Unidade Vieiralves"/>
    <n v="171429"/>
    <m/>
  </r>
  <r>
    <x v="24"/>
    <x v="44"/>
    <s v="Maria Neuza Ribeiro de Matos Oliveira"/>
    <s v="Feminino"/>
    <x v="7"/>
    <x v="22"/>
    <s v="Vieiralves - 1 - Fisioterapia Ortopedica - Pacote (R$ 40,00)"/>
    <s v="Fisioterapia"/>
    <n v="171039"/>
    <s v="Finalizado (10/10)"/>
    <n v="31.2"/>
    <n v="8.8000000000000007"/>
    <n v="40"/>
    <s v="No Prazo"/>
    <s v="00"/>
    <n v="59588"/>
    <s v="Unidade Vieiralves"/>
    <n v="171039"/>
    <m/>
  </r>
  <r>
    <x v="24"/>
    <x v="44"/>
    <s v="Lauro Loureiro Yoshimura"/>
    <s v="Masculino"/>
    <x v="6"/>
    <x v="22"/>
    <s v="20103492 - Patologia Em Dois Ou Mais Membros (R$ 30,26)"/>
    <s v="Fisioterapia"/>
    <n v="170033"/>
    <s v="Finalizado (4/10)"/>
    <n v="26.628799999999998"/>
    <n v="3.6312000000000002"/>
    <n v="30.26"/>
    <s v="Sessão a Faturar"/>
    <s v="58200789998000620040"/>
    <n v="44324"/>
    <s v="Unidade Vieiralves"/>
    <n v="170033"/>
    <m/>
  </r>
  <r>
    <x v="24"/>
    <x v="44"/>
    <s v="Bruna Lucianne dos Santos Galate"/>
    <s v="Feminino"/>
    <x v="6"/>
    <x v="22"/>
    <s v="31602185 - Estimulação Elétrica Transcutanea (Tens) (R$ 40,00)"/>
    <s v="Fisioterapia"/>
    <n v="171430"/>
    <s v="Finalizado (9/10)"/>
    <n v="35.200000000000003"/>
    <n v="4.8"/>
    <n v="40"/>
    <s v="Sessão a Faturar"/>
    <s v="55788888493194760120"/>
    <n v="43650"/>
    <s v="Unidade Vieiralves"/>
    <n v="171430"/>
    <m/>
  </r>
  <r>
    <x v="24"/>
    <x v="44"/>
    <s v="Lauro Loureiro Yoshimura"/>
    <s v="Masculino"/>
    <x v="6"/>
    <x v="22"/>
    <s v="31602185 - Estimulação Elétrica Transcutanea (Tens) (R$ 40,00)"/>
    <s v="Fisioterapia"/>
    <n v="170036"/>
    <s v="Finalizado (4/10)"/>
    <n v="35.200000000000003"/>
    <n v="4.8"/>
    <n v="40"/>
    <s v="Sessão a Faturar"/>
    <s v="58200789998000620040"/>
    <n v="44324"/>
    <s v="Unidade Vieiralves"/>
    <n v="170036"/>
    <m/>
  </r>
  <r>
    <x v="24"/>
    <x v="41"/>
    <s v="Iris da Silva Costa"/>
    <s v="Feminino"/>
    <x v="6"/>
    <x v="22"/>
    <s v="20103484 - Patologia Em Um Membro (R$ 14,16)"/>
    <s v="Fisioterapia"/>
    <n v="171916"/>
    <s v="Finalizado (4/6)"/>
    <n v="12.460800000000001"/>
    <n v="1.6992"/>
    <n v="14.16"/>
    <s v="Sessão a Faturar"/>
    <s v="55788888492927780014"/>
    <n v="50671"/>
    <s v="Unidade Vieiralves"/>
    <n v="171916"/>
    <m/>
  </r>
  <r>
    <x v="24"/>
    <x v="41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4/10)"/>
    <n v="30.8"/>
    <n v="4.2"/>
    <n v="35"/>
    <s v="Sessão Faturada"/>
    <n v="1901013246260100"/>
    <n v="53193"/>
    <s v="Unidade Vieiralves"/>
    <n v="9350764"/>
    <m/>
  </r>
  <r>
    <x v="24"/>
    <x v="41"/>
    <s v="Junio Costa de Almeida"/>
    <s v="Masculino"/>
    <x v="2"/>
    <x v="22"/>
    <s v="20103492 - Fisioterapia - Patologia Em Dois Ou Mais Membros (R$ 14,83)"/>
    <s v="Fisioterapia"/>
    <n v="1715418583"/>
    <s v="Finalizado (1/10)"/>
    <n v="13.0504"/>
    <n v="1.7796000000000001"/>
    <n v="14.83"/>
    <s v="Sessão a Faturar"/>
    <n v="773709045322000"/>
    <n v="59013"/>
    <s v="Unidade Vieiralves"/>
    <n v="1715418583"/>
    <m/>
  </r>
  <r>
    <x v="24"/>
    <x v="65"/>
    <s v="Iris da Silva Costa"/>
    <s v="Feminino"/>
    <x v="6"/>
    <x v="22"/>
    <s v="31602185 - Estimulação Elétrica Transcutanea (Tens) (R$ 40,00)"/>
    <s v="Fisioterapia"/>
    <n v="855833"/>
    <s v="Finalizado (4/6)"/>
    <n v="35.200000000000003"/>
    <n v="4.8"/>
    <n v="40"/>
    <s v="Sessão a Faturar"/>
    <s v="55788888492927780014"/>
    <n v="50671"/>
    <s v="Unidade Vieiralves"/>
    <n v="855833"/>
    <m/>
  </r>
  <r>
    <x v="24"/>
    <x v="36"/>
    <s v="Carlos Juliano Prado"/>
    <s v="Masculino"/>
    <x v="4"/>
    <x v="22"/>
    <s v="31602185 - Estimulação Elétrica Transcutânea - Removido 13/04/2026 (R$ 40,00)"/>
    <s v="Fisioterapia"/>
    <n v="1714918693"/>
    <s v="Finalizado (2/10)"/>
    <n v="35.200000000000003"/>
    <n v="4.8"/>
    <n v="40"/>
    <s v="Sessão a Faturar"/>
    <n v="774981010073010"/>
    <n v="55509"/>
    <s v="Unidade Vieiralves"/>
    <n v="1714918693"/>
    <m/>
  </r>
  <r>
    <x v="24"/>
    <x v="36"/>
    <s v="Jordânia Maria Napoliao Cabo de Vasconcelos"/>
    <m/>
    <x v="2"/>
    <x v="22"/>
    <s v="50000144 - Avaliação de Fisioterapia (R$ 51,42)"/>
    <s v="Fisioterapia"/>
    <n v="1715426437"/>
    <s v="Finalizado (1/1)"/>
    <n v="46.277999999999999"/>
    <n v="5.1420000000000003"/>
    <n v="51.42"/>
    <s v="Sessão Faturada"/>
    <n v="890729700019010"/>
    <n v="59678"/>
    <s v="Unidade Vieiralves"/>
    <n v="1715426437"/>
    <m/>
  </r>
  <r>
    <x v="24"/>
    <x v="36"/>
    <s v="Carlos Juliano Prado"/>
    <s v="Masculino"/>
    <x v="2"/>
    <x v="22"/>
    <s v="20103506 - Fisioterapia - Patologia Em Um Segmento da Coluna (R$ 12,22)"/>
    <s v="Fisioterapia"/>
    <n v="1713864619"/>
    <s v="Finalizado (3/10)"/>
    <n v="10.7536"/>
    <n v="1.4663999999999999"/>
    <n v="12.22"/>
    <s v="Sessão a Faturar"/>
    <n v="774981010073010"/>
    <n v="55509"/>
    <s v="Unidade Vieiralves"/>
    <n v="1713864619"/>
    <m/>
  </r>
  <r>
    <x v="24"/>
    <x v="61"/>
    <s v="Jordânia Maria Napoliao Cabo de Vasconcelos"/>
    <m/>
    <x v="2"/>
    <x v="22"/>
    <s v="20103514 - Fisioterapia - Patologia Em Diferentes Segmentos da Coluna (R$ 14,83)"/>
    <s v="Fisioterapia"/>
    <n v="1715427512"/>
    <s v="Finalizado (1/10)"/>
    <n v="13.0504"/>
    <n v="1.7796000000000001"/>
    <n v="14.83"/>
    <s v="Sessão a Faturar"/>
    <n v="890729700019010"/>
    <n v="59678"/>
    <s v="Unidade Vieiralves"/>
    <n v="1715427512"/>
    <m/>
  </r>
  <r>
    <x v="24"/>
    <x v="40"/>
    <s v="Lucia Ferreira Viana"/>
    <s v="Feminino"/>
    <x v="0"/>
    <x v="22"/>
    <s v="50000160 - Fisioterapia Ortopedica (R$ 49,72)"/>
    <s v="Fisioterapia"/>
    <s v="42263120260305416369"/>
    <s v="Finalizado (6/10)"/>
    <n v="43.753599999999999"/>
    <n v="5.9664000000000001"/>
    <n v="49.72"/>
    <s v="Sessão a Faturar"/>
    <s v="010650248904"/>
    <n v="10197"/>
    <s v="Unidade Vieiralves"/>
    <s v="42263120260305416369"/>
    <m/>
  </r>
  <r>
    <x v="24"/>
    <x v="40"/>
    <s v="Gabriele Nogueira de Oliveira"/>
    <s v="Feminino"/>
    <x v="2"/>
    <x v="22"/>
    <s v="20103662 - Fisioterapia - Pos Operatorio Em Um Membro (R$ 14,99)"/>
    <s v="Fisioterapia"/>
    <n v="1709193478"/>
    <s v="Finalizado (6/10)"/>
    <n v="13.1912"/>
    <n v="1.7988"/>
    <n v="14.99"/>
    <s v="Sessão a Faturar"/>
    <n v="894937200604000"/>
    <n v="51083"/>
    <s v="Unidade Vieiralves"/>
    <n v="1709193478"/>
    <m/>
  </r>
  <r>
    <x v="24"/>
    <x v="40"/>
    <s v="Lucia Ferreira Viana"/>
    <s v="Feminino"/>
    <x v="0"/>
    <x v="22"/>
    <s v="31602185 - Estimulação Elétrica Transcutânea Fisioterapia (Novo - 01/12) (R$ 54,13)"/>
    <s v="Fisioterapia"/>
    <s v="42263120260305416626"/>
    <s v="Finalizado (6/10)"/>
    <n v="47.634399999999999"/>
    <n v="6.4955999999999996"/>
    <n v="54.13"/>
    <s v="Sessão a Faturar"/>
    <s v="010650248904"/>
    <n v="10197"/>
    <s v="Unidade Vieiralves"/>
    <s v="42263120260305416626"/>
    <m/>
  </r>
  <r>
    <x v="24"/>
    <x v="35"/>
    <s v="Ormandina Martins Leão"/>
    <s v="Feminino"/>
    <x v="5"/>
    <x v="22"/>
    <s v="31602185 - Estimulação Elétrica Transcutânea (Tens) (R$ 125,40)"/>
    <s v="Fisioterapia"/>
    <n v="78069600"/>
    <s v="Finalizado (2/10)"/>
    <n v="110.352"/>
    <n v="15.048"/>
    <n v="125.4"/>
    <s v="Sessão a Faturar"/>
    <s v="0100865562010408"/>
    <n v="275"/>
    <s v="Unidade Vieiralves"/>
    <n v="78069600"/>
    <m/>
  </r>
  <r>
    <x v="24"/>
    <x v="35"/>
    <s v="Ormandina Martins Leão"/>
    <s v="Feminino"/>
    <x v="5"/>
    <x v="22"/>
    <s v="98860020 - Fisioterapia Complexidade 2 - 04/03/2026 (R$ 70,79)"/>
    <s v="Fisioterapia"/>
    <n v="77123200"/>
    <s v="Finalizado (5/10)"/>
    <n v="62.295200000000001"/>
    <n v="8.4947999999999997"/>
    <n v="70.790000000000006"/>
    <s v="Sessão Faturada"/>
    <s v="0100865562010408"/>
    <n v="275"/>
    <s v="Unidade Vieiralves"/>
    <n v="77123200"/>
    <m/>
  </r>
  <r>
    <x v="24"/>
    <x v="38"/>
    <s v="Ana Paula Alves Cruz"/>
    <s v="Feminino"/>
    <x v="7"/>
    <x v="22"/>
    <s v="Vieiralves - 1 - Fisioterapia Ortopedica - Pacote (R$ 80,00)"/>
    <s v="Fisioterapia"/>
    <n v="171735"/>
    <s v="Finalizado (3/10)"/>
    <n v="62.4"/>
    <n v="17.600000000000001"/>
    <n v="80"/>
    <s v="No Prazo"/>
    <n v="0"/>
    <n v="8820"/>
    <s v="Unidade Vieiralves"/>
    <n v="171735"/>
    <m/>
  </r>
  <r>
    <x v="24"/>
    <x v="37"/>
    <s v="Henrique Douglas Macedo Mendes Júnior"/>
    <s v="Masculino"/>
    <x v="2"/>
    <x v="22"/>
    <s v="20103484 - Fisioterapia - Patologia Em Um Membro (R$ 12,22)"/>
    <s v="Fisioterapia"/>
    <n v="1708321359"/>
    <s v="Finalizado (5/5)"/>
    <n v="10.7536"/>
    <n v="1.4663999999999999"/>
    <n v="12.22"/>
    <s v="Sessão Faturada"/>
    <n v="897702200019010"/>
    <n v="56664"/>
    <s v="Unidade Vieiralves"/>
    <n v="1708321359"/>
    <m/>
  </r>
  <r>
    <x v="24"/>
    <x v="63"/>
    <s v="Henrique Douglas Macedo Mendes Júnior"/>
    <s v="Masculino"/>
    <x v="4"/>
    <x v="22"/>
    <s v="31602185 - Estimulação Elétrica Transcutânea - Removido 13/04/2026 (R$ 40,00)"/>
    <s v="Fisioterapia"/>
    <n v="1715484785"/>
    <s v="Finalizado (1/10)"/>
    <n v="35.200000000000003"/>
    <n v="4.8"/>
    <n v="40"/>
    <s v="Sessão a Faturar"/>
    <n v="897702200019010"/>
    <n v="56664"/>
    <s v="Unidade Vieiralves"/>
    <n v="1715484785"/>
    <m/>
  </r>
  <r>
    <x v="24"/>
    <x v="39"/>
    <s v="Edla de Araujo Silva"/>
    <s v="Feminino"/>
    <x v="13"/>
    <x v="22"/>
    <s v="20103492 - Patologia Em Dois Ou Mais Membros (R$ 32,28)"/>
    <s v="Fisioterapia"/>
    <n v="13101142"/>
    <s v="Finalizado (9/10)"/>
    <n v="28.406400000000001"/>
    <n v="3.8736000000000002"/>
    <n v="32.28"/>
    <s v="Sessão Faturada"/>
    <s v="00010300011877026"/>
    <n v="50914"/>
    <s v="Unidade Vieiralves"/>
    <n v="13101142"/>
    <m/>
  </r>
  <r>
    <x v="24"/>
    <x v="39"/>
    <s v="Eunice Emanuele Soares Martins"/>
    <s v="Feminino"/>
    <x v="1"/>
    <x v="22"/>
    <s v="50000160 - Fisioterapia Ortopédica (R$ 20,00), 98980327 - Taxa de Eletroterapia (Tens) (R$ 15,00)"/>
    <s v="Fisioterapia"/>
    <n v="8886344"/>
    <s v="Finalizado (5/10)"/>
    <n v="30.8"/>
    <n v="4.2"/>
    <n v="35"/>
    <s v="Sessão Faturada"/>
    <n v="1202011460120100"/>
    <n v="56253"/>
    <s v="Unidade Vieiralves"/>
    <n v="8886344"/>
    <m/>
  </r>
  <r>
    <x v="5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1429"/>
    <s v="Finalizado (10/10)"/>
    <n v="39.089599999999997"/>
    <n v="5.3304"/>
    <n v="44.42"/>
    <s v="Sessão a Faturar"/>
    <s v="55788888493194760120"/>
    <n v="43650"/>
    <s v="Unidade Vieiralves"/>
    <n v="171429"/>
    <m/>
  </r>
  <r>
    <x v="5"/>
    <x v="44"/>
    <s v="Carlos Juliano Prado"/>
    <s v="Masculino"/>
    <x v="2"/>
    <x v="22"/>
    <s v="20103506 - Fisioterapia - Patologia Em Um Segmento da Coluna (R$ 12,22)"/>
    <s v="Fisioterapia"/>
    <n v="1713864619"/>
    <s v="Finalizado (4/10)"/>
    <n v="10.7536"/>
    <n v="1.4663999999999999"/>
    <n v="12.22"/>
    <s v="Sessão a Faturar"/>
    <n v="774981010073010"/>
    <n v="55509"/>
    <s v="Unidade Vieiralves"/>
    <n v="1713864619"/>
    <m/>
  </r>
  <r>
    <x v="5"/>
    <x v="44"/>
    <s v="Ruth Vania Duarte Ramos"/>
    <m/>
    <x v="6"/>
    <x v="22"/>
    <s v="20103662 - Pos Operatorio Em Um Membro (R$ 22,53)"/>
    <s v="Fisioterapia"/>
    <n v="170395"/>
    <s v="Finalizado (4/10)"/>
    <n v="19.8264"/>
    <n v="2.7035999999999998"/>
    <n v="22.53"/>
    <s v="Sessão a Faturar"/>
    <s v="55788888489432510020"/>
    <n v="58616"/>
    <s v="Unidade Vieiralves"/>
    <n v="170395"/>
    <s v="guia assinada"/>
  </r>
  <r>
    <x v="5"/>
    <x v="44"/>
    <s v="Maria Jose Pinto da Mota"/>
    <m/>
    <x v="2"/>
    <x v="22"/>
    <s v="20103514 - Fisioterapia - Patologia Em Diferentes Segmentos da Coluna (R$ 14,83)"/>
    <s v="Fisioterapia"/>
    <n v="1707148878"/>
    <s v="Finalizado (4/4)"/>
    <n v="13.0504"/>
    <n v="1.7796000000000001"/>
    <n v="14.83"/>
    <s v="Sessão Faturada"/>
    <n v="771015052531020"/>
    <n v="59060"/>
    <s v="Unidade Vieiralves"/>
    <n v="1707148878"/>
    <m/>
  </r>
  <r>
    <x v="5"/>
    <x v="60"/>
    <s v="Maria Jose Pinto da Mota"/>
    <m/>
    <x v="4"/>
    <x v="22"/>
    <s v="31602185 - Estimulação Elétrica Transcutânea - Removido 13/04/2026 (R$ 40,00)"/>
    <s v="Fisioterapia"/>
    <n v="1709407506"/>
    <s v="Finalizado (3/3)"/>
    <n v="35.200000000000003"/>
    <n v="4.8"/>
    <n v="40"/>
    <s v="Sessão Faturada"/>
    <n v="771015052531020"/>
    <n v="59060"/>
    <s v="Unidade Vieiralves"/>
    <n v="1709407506"/>
    <m/>
  </r>
  <r>
    <x v="5"/>
    <x v="60"/>
    <s v="Bruna Lucianne dos Santos Galate"/>
    <s v="Feminino"/>
    <x v="6"/>
    <x v="22"/>
    <s v="31602185 - Estimulação Elétrica Transcutanea (Tens) (R$ 40,00)"/>
    <s v="Fisioterapia"/>
    <n v="171430"/>
    <s v="Finalizado (10/10)"/>
    <n v="35.200000000000003"/>
    <n v="4.8"/>
    <n v="40"/>
    <s v="Sessão a Faturar"/>
    <s v="55788888493194760120"/>
    <n v="43650"/>
    <s v="Unidade Vieiralves"/>
    <n v="171430"/>
    <m/>
  </r>
  <r>
    <x v="5"/>
    <x v="60"/>
    <s v="Ruth Vania Duarte Ramos"/>
    <m/>
    <x v="6"/>
    <x v="22"/>
    <s v="31602185 - Estimulação Elétrica Transcutanea (Tens) (R$ 40,00)"/>
    <s v="Fisioterapia"/>
    <n v="168577"/>
    <s v="Finalizado (9/10)"/>
    <n v="35.200000000000003"/>
    <n v="4.8"/>
    <n v="40"/>
    <s v="Sessão a Faturar"/>
    <s v="55788888489432510020"/>
    <n v="58616"/>
    <s v="Unidade Vieiralves"/>
    <n v="168577"/>
    <m/>
  </r>
  <r>
    <x v="5"/>
    <x v="60"/>
    <s v="Carlos Juliano Prado"/>
    <s v="Masculino"/>
    <x v="4"/>
    <x v="22"/>
    <s v="31602185 - Estimulação Elétrica Transcutânea - Removido 13/04/2026 (R$ 40,00)"/>
    <s v="Fisioterapia"/>
    <n v="1714918693"/>
    <s v="Finalizado (3/10)"/>
    <n v="35.200000000000003"/>
    <n v="4.8"/>
    <n v="40"/>
    <s v="Sessão a Faturar"/>
    <n v="774981010073010"/>
    <n v="55509"/>
    <s v="Unidade Vieiralves"/>
    <n v="1714918693"/>
    <m/>
  </r>
  <r>
    <x v="5"/>
    <x v="41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2/10)"/>
    <n v="21.507200000000001"/>
    <n v="2.9327999999999999"/>
    <n v="24.44"/>
    <s v="Sessão a Faturar"/>
    <n v="771015041750020"/>
    <n v="37973"/>
    <s v="Unidade Vieiralves"/>
    <n v="1714893972"/>
    <m/>
  </r>
  <r>
    <x v="5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9/10)"/>
    <n v="26.1008"/>
    <n v="3.5592000000000001"/>
    <n v="29.66"/>
    <s v="Sessão Faturada"/>
    <n v="830425500043000"/>
    <n v="7701"/>
    <s v="Unidade Vieiralves"/>
    <n v="1706683478"/>
    <m/>
  </r>
  <r>
    <x v="5"/>
    <x v="41"/>
    <s v="Carlos Jose Cavalcante Martins"/>
    <s v="Masculino"/>
    <x v="2"/>
    <x v="22"/>
    <s v="20103492 - Fisioterapia - Patologia Em Dois Ou Mais Membros (R$ 14,83)"/>
    <s v="Fisioterapia"/>
    <n v="1707732828"/>
    <s v="Finalizado (6/8)"/>
    <n v="13.0504"/>
    <n v="1.7796000000000001"/>
    <n v="14.83"/>
    <s v="Sessão a Faturar"/>
    <n v="830425500051000"/>
    <n v="59320"/>
    <s v="Unidade Vieiralves"/>
    <n v="1707732828"/>
    <m/>
  </r>
  <r>
    <x v="5"/>
    <x v="36"/>
    <s v="Ana Maria Barros Martins"/>
    <s v="Feminino"/>
    <x v="1"/>
    <x v="22"/>
    <s v="50000160 - Fisioterapia Ortopédica (R$ 20,00), 98980327 - Taxa de Eletroterapia (Tens) (R$ 15,00)"/>
    <s v="Fisioterapia"/>
    <n v="9431265"/>
    <s v="Finalizado (2/10)"/>
    <n v="30.8"/>
    <n v="4.2"/>
    <n v="35"/>
    <s v="Sessão a Faturar"/>
    <s v="0201005329570033"/>
    <n v="55774"/>
    <s v="Unidade Vieiralves"/>
    <n v="9431265"/>
    <m/>
  </r>
  <r>
    <x v="5"/>
    <x v="36"/>
    <s v="Sandrea Flores Ferreira"/>
    <s v="Feminino"/>
    <x v="2"/>
    <x v="22"/>
    <s v="20103484 - Fisioterapia - Patologia Em Um Membro (R$ 12,22)"/>
    <s v="Fisioterapia"/>
    <n v="1714659755"/>
    <s v="Finalizado (2/10)"/>
    <n v="10.7536"/>
    <n v="1.4663999999999999"/>
    <n v="12.22"/>
    <s v="Sessão a Faturar"/>
    <n v="960016290663000"/>
    <n v="55592"/>
    <s v="Unidade Vieiralves"/>
    <n v="1714659755"/>
    <m/>
  </r>
  <r>
    <x v="5"/>
    <x v="40"/>
    <s v="Maria Eduarda Menezes"/>
    <s v="Feminino"/>
    <x v="0"/>
    <x v="22"/>
    <s v="50000160 - Fisioterapia Ortopedica (R$ 49,72)"/>
    <s v="Fisioterapia"/>
    <s v="42263120260310446258"/>
    <s v="Finalizado (6/10)"/>
    <n v="43.753599999999999"/>
    <n v="5.9664000000000001"/>
    <n v="49.72"/>
    <s v="Sessão a Faturar"/>
    <s v="010650678953"/>
    <n v="59554"/>
    <s v="Unidade Vieiralves"/>
    <s v="42263120260310446258"/>
    <m/>
  </r>
  <r>
    <x v="5"/>
    <x v="40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6/10)"/>
    <n v="39.089599999999997"/>
    <n v="5.3304"/>
    <n v="44.42"/>
    <s v="Sessão a Faturar"/>
    <s v="55788888483387380020"/>
    <n v="20265"/>
    <s v="Unidade Vieiralves"/>
    <n v="168228"/>
    <m/>
  </r>
  <r>
    <x v="5"/>
    <x v="45"/>
    <s v="Maria Nazira Tomaz Pereira"/>
    <s v="Feminino"/>
    <x v="6"/>
    <x v="22"/>
    <s v="31602185 - Estimulação Elétrica Transcutanea (Tens) (R$ 40,00)"/>
    <s v="Fisioterapia"/>
    <n v="170935"/>
    <s v="Finalizado (6/10)"/>
    <n v="35.200000000000003"/>
    <n v="4.8"/>
    <n v="40"/>
    <s v="Sessão a Faturar"/>
    <s v="55788888483387380020"/>
    <n v="20265"/>
    <s v="Unidade Vieiralves"/>
    <n v="170935"/>
    <m/>
  </r>
  <r>
    <x v="5"/>
    <x v="45"/>
    <s v="Maria Eduarda Menezes"/>
    <s v="Feminino"/>
    <x v="0"/>
    <x v="22"/>
    <s v="31602185 - Estimulação Elétrica Transcutânea Fisioterapia (Novo - 01/12) (R$ 54,13)"/>
    <s v="Fisioterapia"/>
    <s v="42263120260310446304"/>
    <s v="Finalizado (6/10)"/>
    <n v="47.634399999999999"/>
    <n v="6.4955999999999996"/>
    <n v="54.13"/>
    <s v="Sessão a Faturar"/>
    <s v="010650678953"/>
    <n v="59554"/>
    <s v="Unidade Vieiralves"/>
    <s v="42263120260310446304"/>
    <m/>
  </r>
  <r>
    <x v="5"/>
    <x v="35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15032669"/>
    <s v="Finalizado (2/10)"/>
    <n v="23.803999999999998"/>
    <n v="3.246"/>
    <n v="27.05"/>
    <s v="Sessão a Faturar"/>
    <n v="952480013332000"/>
    <n v="14710"/>
    <s v="Unidade Vieiralves"/>
    <n v="1715032669"/>
    <m/>
  </r>
  <r>
    <x v="5"/>
    <x v="35"/>
    <s v="Lucas Rodrigues de Oliveira"/>
    <s v="Masculino"/>
    <x v="17"/>
    <x v="22"/>
    <s v="50000160 - Fisioterapia Ortopedica (R$ 45,00)"/>
    <s v="Fisioterapia"/>
    <n v="3988705"/>
    <s v="Finalizado (3/4)"/>
    <n v="39.6"/>
    <n v="5.4"/>
    <n v="45"/>
    <s v="Sessão a Faturar"/>
    <s v="000915777874300"/>
    <n v="46907"/>
    <s v="Unidade Vieiralves"/>
    <n v="3988705"/>
    <m/>
  </r>
  <r>
    <x v="5"/>
    <x v="35"/>
    <s v="Marta Barbosa de Oliveira"/>
    <s v="Feminino"/>
    <x v="0"/>
    <x v="22"/>
    <s v="50000160 - Fisioterapia Ortopedica (R$ 49,72)"/>
    <s v="Fisioterapia"/>
    <s v="42263120260318509090"/>
    <s v="Finalizado (3/10)"/>
    <n v="43.753599999999999"/>
    <n v="5.9664000000000001"/>
    <n v="49.72"/>
    <s v="Sessão a Faturar"/>
    <s v="010650689402"/>
    <n v="59659"/>
    <s v="Unidade Vieiralves"/>
    <s v="42263120260318509090"/>
    <m/>
  </r>
  <r>
    <x v="5"/>
    <x v="42"/>
    <s v="Marta Barbosa de Oliveira"/>
    <s v="Feminino"/>
    <x v="0"/>
    <x v="22"/>
    <s v="31602185 - Estimulação Elétrica Transcutânea Fisioterapia (Novo - 01/12) (R$ 54,13)"/>
    <s v="Fisioterapia"/>
    <s v="42263120260318510326"/>
    <s v="Finalizado (3/10)"/>
    <n v="47.634399999999999"/>
    <n v="6.4955999999999996"/>
    <n v="54.13"/>
    <s v="Sessão a Faturar"/>
    <s v="010650689402"/>
    <n v="59659"/>
    <s v="Unidade Vieiralves"/>
    <s v="42263120260318510326"/>
    <m/>
  </r>
  <r>
    <x v="5"/>
    <x v="42"/>
    <s v="Raimunda Carvalho Caldas"/>
    <s v="Feminino"/>
    <x v="4"/>
    <x v="22"/>
    <s v="31602185 - Estimulação Elétrica Transcutânea - Removido 13/04/2026 (R$ 40,00)"/>
    <s v="Fisioterapia"/>
    <n v="1711413005"/>
    <s v="Finalizado (5/10)"/>
    <n v="35.200000000000003"/>
    <n v="4.8"/>
    <n v="40"/>
    <s v="Sessão a Faturar"/>
    <n v="952480013332000"/>
    <n v="14710"/>
    <s v="Unidade Vieiralves"/>
    <n v="1711413005"/>
    <m/>
  </r>
  <r>
    <x v="5"/>
    <x v="38"/>
    <s v="Rose Mayre Vieira Barreto"/>
    <s v="Feminino"/>
    <x v="2"/>
    <x v="22"/>
    <s v="20103492 - Fisioterapia - Patologia Em Dois Ou Mais Membros (R$ 14,83), 20103506 - Fisioterapia - Patologia Em Um Segmento da Coluna (R$ 12,22)"/>
    <s v="Fisioterapia"/>
    <n v="1713968993"/>
    <s v="Finalizado (4/5)"/>
    <n v="23.803999999999998"/>
    <n v="3.246"/>
    <n v="27.05"/>
    <s v="Sessão Faturada"/>
    <n v="813312700027000"/>
    <n v="17029"/>
    <s v="Unidade Vieiralves"/>
    <n v="1713968993"/>
    <m/>
  </r>
  <r>
    <x v="5"/>
    <x v="37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5/10)"/>
    <n v="30.8"/>
    <n v="4.2"/>
    <n v="35"/>
    <s v="Sessão Faturada"/>
    <n v="1901013411030200"/>
    <n v="57093"/>
    <s v="Unidade Vieiralves"/>
    <n v="9181422"/>
    <s v="GUIA ASSINADA!"/>
  </r>
  <r>
    <x v="5"/>
    <x v="37"/>
    <s v="Ana Luiza Santa Cruz de Matos dos Santos"/>
    <s v="Feminino"/>
    <x v="2"/>
    <x v="22"/>
    <s v="50000144 - Avaliação de Fisioterapia (R$ 51,42)"/>
    <s v="Fisioterapia"/>
    <n v="1716018681"/>
    <s v="Finalizado (1/1)"/>
    <n v="46.277999999999999"/>
    <n v="5.1420000000000003"/>
    <n v="51.42"/>
    <s v="Sessão Faturada"/>
    <n v="774642020680020"/>
    <n v="39569"/>
    <s v="Unidade Vieiralves"/>
    <n v="1716018681"/>
    <m/>
  </r>
  <r>
    <x v="5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9/10)"/>
    <n v="23.803999999999998"/>
    <n v="3.246"/>
    <n v="27.05"/>
    <s v="Sessão Faturada"/>
    <n v="810177500019010"/>
    <n v="52971"/>
    <s v="Unidade Vieiralves"/>
    <n v="1706279020"/>
    <m/>
  </r>
  <r>
    <x v="5"/>
    <x v="37"/>
    <s v="Ana Luiza Santa Cruz de Matos dos Santos"/>
    <s v="Feminino"/>
    <x v="2"/>
    <x v="22"/>
    <s v="20103662 - Fisioterapia - Pos Operatorio Em Um Membro (R$ 14,99)"/>
    <s v="Fisioterapia"/>
    <n v="1716021753"/>
    <s v="Finalizado (1/10)"/>
    <n v="13.1912"/>
    <n v="1.7988"/>
    <n v="14.99"/>
    <s v="Sessão a Faturar"/>
    <n v="774642020680020"/>
    <n v="39569"/>
    <s v="Unidade Vieiralves"/>
    <n v="1716021753"/>
    <m/>
  </r>
  <r>
    <x v="5"/>
    <x v="39"/>
    <s v="Luciana Araujo Monteiro"/>
    <s v="Feminino"/>
    <x v="8"/>
    <x v="22"/>
    <s v="20103662 - Pos Operatorio Em Um Membro (R$ 14,99)"/>
    <s v="Fisioterapia"/>
    <n v="1711456550"/>
    <s v="Finalizado (5/5)"/>
    <n v="13.1912"/>
    <n v="1.7988"/>
    <n v="14.99"/>
    <s v="Sessão a Faturar"/>
    <n v="954600033103010"/>
    <n v="59400"/>
    <s v="Unidade Vieiralves"/>
    <n v="1711456550"/>
    <m/>
  </r>
  <r>
    <x v="5"/>
    <x v="39"/>
    <s v="Amanda Campos Goes Bezerra"/>
    <s v="Feminino"/>
    <x v="1"/>
    <x v="22"/>
    <s v="50000160 - Fisioterapia Ortopédica (R$ 20,00), 98980327 - Taxa de Eletroterapia (Tens) (R$ 15,00)"/>
    <s v="Fisioterapia"/>
    <n v="9435670"/>
    <s v="Finalizado (3/10)"/>
    <n v="30.8"/>
    <n v="4.2"/>
    <n v="35"/>
    <s v="Sessão a Faturar"/>
    <s v="0901013300950004"/>
    <n v="59623"/>
    <s v="Unidade Vieiralves"/>
    <n v="9435670"/>
    <m/>
  </r>
  <r>
    <x v="5"/>
    <x v="43"/>
    <s v="Wandercleia Martins Pontes"/>
    <s v="Feminino"/>
    <x v="1"/>
    <x v="22"/>
    <s v="50000160 - Fisioterapia Ortopédica (R$ 20,00), 98980327 - Taxa de Eletroterapia (Tens) (R$ 15,00)"/>
    <s v="Fisioterapia"/>
    <n v="9390057"/>
    <s v="Finalizado (1/10)"/>
    <n v="30.8"/>
    <n v="4.2"/>
    <n v="35"/>
    <s v="Sessão Faturada"/>
    <s v="0201013323070030"/>
    <n v="19693"/>
    <s v="Unidade Vieiralves"/>
    <n v="9390057"/>
    <s v="guia assinada "/>
  </r>
  <r>
    <x v="6"/>
    <x v="44"/>
    <s v="Yasmin Guedes Lima"/>
    <s v="Feminino"/>
    <x v="4"/>
    <x v="22"/>
    <s v="31602185 - Estimulação Elétrica Transcutânea - Removido 13/04/2026 (R$ 40,00)"/>
    <s v="Fisioterapia"/>
    <n v="1709414822"/>
    <s v="Finalizado (5/5)"/>
    <n v="35.200000000000003"/>
    <n v="4.8"/>
    <n v="40"/>
    <s v="Sessão Faturada"/>
    <n v="960016575471020"/>
    <n v="35978"/>
    <s v="Unidade Vieiralves"/>
    <n v="1709414822"/>
    <m/>
  </r>
  <r>
    <x v="6"/>
    <x v="44"/>
    <s v="Ruth Vania Duarte Ramos"/>
    <m/>
    <x v="6"/>
    <x v="22"/>
    <s v="31602185 - Estimulação Elétrica Transcutanea (Tens) (R$ 40,00)"/>
    <s v="Fisioterapia"/>
    <n v="168577"/>
    <s v="Finalizado (10/10)"/>
    <n v="35.200000000000003"/>
    <n v="4.8"/>
    <n v="40"/>
    <s v="Sessão a Faturar"/>
    <s v="55788888489432510020"/>
    <n v="58616"/>
    <s v="Unidade Vieiralves"/>
    <n v="168577"/>
    <m/>
  </r>
  <r>
    <x v="6"/>
    <x v="44"/>
    <s v="Yasmin Guedes Lima"/>
    <s v="Feminino"/>
    <x v="2"/>
    <x v="22"/>
    <s v="20103506 - Fisioterapia - Patologia Em Um Segmento da Coluna (R$ 12,22)"/>
    <s v="Fisioterapia"/>
    <n v="1713905300"/>
    <s v="Finalizado (3/10)"/>
    <n v="10.7536"/>
    <n v="1.4663999999999999"/>
    <n v="12.22"/>
    <s v="Sessão a Faturar"/>
    <n v="960016575471020"/>
    <n v="35978"/>
    <s v="Unidade Vieiralves"/>
    <n v="1713905300"/>
    <m/>
  </r>
  <r>
    <x v="6"/>
    <x v="44"/>
    <s v="Diego Nobuyoshi de Souza Tsuji"/>
    <s v="Masculino"/>
    <x v="2"/>
    <x v="22"/>
    <s v="20103492 - Fisioterapia - Patologia Em Dois Ou Mais Membros (R$ 14,83)"/>
    <s v="Fisioterapia"/>
    <n v="1714395186"/>
    <s v="Finalizado (2/10)"/>
    <n v="13.0504"/>
    <n v="1.7796000000000001"/>
    <n v="14.83"/>
    <s v="Sessão a Faturar"/>
    <n v="774981009148000"/>
    <n v="11130"/>
    <s v="Unidade Vieiralves"/>
    <n v="1714395186"/>
    <m/>
  </r>
  <r>
    <x v="6"/>
    <x v="44"/>
    <s v="Ruth Vania Duarte Ramos"/>
    <m/>
    <x v="6"/>
    <x v="22"/>
    <s v="20103662 - Pos Operatorio Em Um Membro (R$ 22,53)"/>
    <s v="Fisioterapia"/>
    <n v="170395"/>
    <s v="Finalizado (5/10)"/>
    <n v="19.8264"/>
    <n v="2.7035999999999998"/>
    <n v="22.53"/>
    <s v="Sessão a Faturar"/>
    <s v="55788888489432510020"/>
    <n v="58616"/>
    <s v="Unidade Vieiralves"/>
    <n v="170395"/>
    <s v="guia assinada"/>
  </r>
  <r>
    <x v="6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4/10)"/>
    <n v="30.8"/>
    <n v="4.2"/>
    <n v="35"/>
    <s v="Sessão Faturada"/>
    <s v="01301012922220002"/>
    <n v="14923"/>
    <s v="Unidade Vieiralves"/>
    <n v="9337474"/>
    <m/>
  </r>
  <r>
    <x v="6"/>
    <x v="36"/>
    <s v="Vivianne Cristina Canavarro Fernandes Rocha"/>
    <s v="Feminino"/>
    <x v="6"/>
    <x v="22"/>
    <s v="20103514 - Patologia Em Dois Ou Mais Segmentos da Coluna (R$ 32,82)"/>
    <s v="Fisioterapia"/>
    <n v="171150"/>
    <s v="Finalizado (5/10)"/>
    <n v="28.881599999999999"/>
    <n v="3.9384000000000001"/>
    <n v="32.82"/>
    <s v="Sessão a Faturar"/>
    <s v="54588888491549250012"/>
    <n v="59548"/>
    <s v="Unidade Vieiralves"/>
    <n v="171150"/>
    <m/>
  </r>
  <r>
    <x v="6"/>
    <x v="36"/>
    <s v="Karoline Lima de Oliveira"/>
    <s v="Feminino"/>
    <x v="2"/>
    <x v="22"/>
    <s v="20103484 - Fisioterapia - Patologia Em Um Membro (R$ 12,22)"/>
    <s v="Fisioterapia"/>
    <n v="1716472998"/>
    <s v="Finalizado (1/10)"/>
    <n v="10.7536"/>
    <n v="1.4663999999999999"/>
    <n v="12.22"/>
    <s v="Sessão a Faturar"/>
    <n v="954600003484010"/>
    <n v="59690"/>
    <s v="Unidade Vieiralves"/>
    <n v="1716472998"/>
    <m/>
  </r>
  <r>
    <x v="6"/>
    <x v="36"/>
    <s v="Sandrea Flores Ferreira"/>
    <s v="Feminino"/>
    <x v="2"/>
    <x v="22"/>
    <s v="20103484 - Fisioterapia - Patologia Em Um Membro (R$ 12,22)"/>
    <s v="Fisioterapia"/>
    <n v="1714659755"/>
    <s v="Finalizado (3/10)"/>
    <n v="10.7536"/>
    <n v="1.4663999999999999"/>
    <n v="12.22"/>
    <s v="Sessão a Faturar"/>
    <n v="960016290663000"/>
    <n v="55592"/>
    <s v="Unidade Vieiralves"/>
    <n v="1714659755"/>
    <m/>
  </r>
  <r>
    <x v="6"/>
    <x v="36"/>
    <s v="Lucia Ferreira Viana"/>
    <s v="Feminino"/>
    <x v="0"/>
    <x v="22"/>
    <s v="50000160 - Fisioterapia Ortopedica (R$ 49,72)"/>
    <s v="Fisioterapia"/>
    <s v="42263120260305416369"/>
    <s v="Finalizado (7/10)"/>
    <n v="43.753599999999999"/>
    <n v="5.9664000000000001"/>
    <n v="49.72"/>
    <s v="Sessão a Faturar"/>
    <s v="010650248904"/>
    <n v="10197"/>
    <s v="Unidade Vieiralves"/>
    <s v="42263120260305416369"/>
    <m/>
  </r>
  <r>
    <x v="6"/>
    <x v="61"/>
    <s v="Lucia Ferreira Viana"/>
    <s v="Feminino"/>
    <x v="0"/>
    <x v="22"/>
    <s v="31602185 - Estimulação Elétrica Transcutânea Fisioterapia (Novo - 01/12) (R$ 54,13)"/>
    <s v="Fisioterapia"/>
    <s v="42263120260305416626"/>
    <s v="Finalizado (7/10)"/>
    <n v="47.634399999999999"/>
    <n v="6.4955999999999996"/>
    <n v="54.13"/>
    <s v="Sessão a Faturar"/>
    <s v="010650248904"/>
    <n v="10197"/>
    <s v="Unidade Vieiralves"/>
    <s v="42263120260305416626"/>
    <m/>
  </r>
  <r>
    <x v="6"/>
    <x v="61"/>
    <s v="Vivianne Cristina Canavarro Fernandes Rocha"/>
    <s v="Feminino"/>
    <x v="6"/>
    <x v="22"/>
    <s v="31602185 - Estimulação Elétrica Transcutanea (Tens) (R$ 40,00)"/>
    <s v="Fisioterapia"/>
    <n v="171151"/>
    <s v="Finalizado (5/10)"/>
    <n v="35.200000000000003"/>
    <n v="4.8"/>
    <n v="40"/>
    <s v="Sessão a Faturar"/>
    <s v="54588888491549250012"/>
    <n v="59548"/>
    <s v="Unidade Vieiralves"/>
    <n v="171151"/>
    <m/>
  </r>
  <r>
    <x v="6"/>
    <x v="61"/>
    <s v="Karoline Lima de Oliveira"/>
    <s v="Feminino"/>
    <x v="8"/>
    <x v="22"/>
    <s v="50000144 - Consulta de Fisioterapia (R$ 51,42)"/>
    <s v="Fisioterapia"/>
    <n v="1716471762"/>
    <s v="Finalizado (1/1)"/>
    <n v="46.277999999999999"/>
    <n v="5.1420000000000003"/>
    <n v="51.42"/>
    <s v="Sessão Faturada"/>
    <n v="954600003484010"/>
    <n v="59690"/>
    <s v="Unidade Vieiralves"/>
    <n v="1716471762"/>
    <m/>
  </r>
  <r>
    <x v="6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7/10)"/>
    <n v="30.8"/>
    <n v="4.2"/>
    <n v="35"/>
    <s v="Sessão Faturada"/>
    <s v="0701013978710030"/>
    <n v="59447"/>
    <s v="Unidade Vieiralves"/>
    <n v="9071007"/>
    <m/>
  </r>
  <r>
    <x v="6"/>
    <x v="40"/>
    <s v="Rejane Costa Freire"/>
    <m/>
    <x v="1"/>
    <x v="22"/>
    <s v="50000160 - Fisioterapia Ortopédica (R$ 20,00), 98980327 - Taxa de Eletroterapia (Tens) (R$ 15,00)"/>
    <s v="Fisioterapia"/>
    <n v="9010622"/>
    <s v="Finalizado (8/10)"/>
    <n v="30.8"/>
    <n v="4.2"/>
    <n v="35"/>
    <s v="Sessão Faturada"/>
    <s v="0901013326530193"/>
    <n v="57964"/>
    <s v="Unidade Vieiralves"/>
    <n v="9010622"/>
    <m/>
  </r>
  <r>
    <x v="6"/>
    <x v="40"/>
    <s v="Maria de Lourdes Ferreira"/>
    <s v="Feminino"/>
    <x v="1"/>
    <x v="22"/>
    <s v="50000160 - Fisioterapia Ortopédica (R$ 20,00), 98980327 - Taxa de Eletroterapia (Tens) (R$ 15,00)"/>
    <s v="Fisioterapia"/>
    <n v="9517911"/>
    <s v="Finalizado (1/10)"/>
    <n v="30.8"/>
    <n v="4.2"/>
    <n v="35"/>
    <s v="Sessão a Faturar"/>
    <s v="0802010939500016"/>
    <n v="58440"/>
    <s v="Unidade Vieiralves"/>
    <n v="9517911"/>
    <m/>
  </r>
  <r>
    <x v="6"/>
    <x v="40"/>
    <s v="Aldair Oliveira de Andrade"/>
    <s v="Masculino"/>
    <x v="1"/>
    <x v="22"/>
    <s v="50000160 - Fisioterapia Ortopédica (R$ 20,00), 98980327 - Taxa de Eletroterapia (Tens) (R$ 15,00)"/>
    <s v="Fisioterapia"/>
    <n v="8936322"/>
    <s v="Finalizado (6/10)"/>
    <n v="30.8"/>
    <n v="4.2"/>
    <n v="35"/>
    <s v="Sessão Faturada"/>
    <s v="0702007029320058"/>
    <n v="58351"/>
    <s v="Unidade Vieiralves"/>
    <n v="8936322"/>
    <s v="GUIA ASSINADA!"/>
  </r>
  <r>
    <x v="6"/>
    <x v="35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5/10)"/>
    <n v="30.8"/>
    <n v="4.2"/>
    <n v="35"/>
    <s v="Sessão Faturada"/>
    <n v="1901013246260100"/>
    <n v="53193"/>
    <s v="Unidade Vieiralves"/>
    <n v="9350764"/>
    <m/>
  </r>
  <r>
    <x v="6"/>
    <x v="35"/>
    <s v="Serafim Pereira de Sousa"/>
    <m/>
    <x v="17"/>
    <x v="22"/>
    <s v="50000160 - Fisioterapia Ortopedica (R$ 45,00)"/>
    <s v="Fisioterapia"/>
    <n v="3970200"/>
    <s v="Finalizado (5/10)"/>
    <n v="39.6"/>
    <n v="5.4"/>
    <n v="45"/>
    <s v="Sessão Faturada"/>
    <s v="000915899766100"/>
    <n v="58192"/>
    <s v="Unidade Vieiralves"/>
    <n v="3970200"/>
    <m/>
  </r>
  <r>
    <x v="6"/>
    <x v="35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15032669"/>
    <s v="Finalizado (3/10)"/>
    <n v="23.803999999999998"/>
    <n v="3.246"/>
    <n v="27.05"/>
    <s v="Sessão a Faturar"/>
    <n v="952480013332000"/>
    <n v="14710"/>
    <s v="Unidade Vieiralves"/>
    <n v="1715032669"/>
    <m/>
  </r>
  <r>
    <x v="6"/>
    <x v="42"/>
    <s v="Raimunda Carvalho Caldas"/>
    <s v="Feminino"/>
    <x v="4"/>
    <x v="22"/>
    <s v="31602185 - Estimulação Elétrica Transcutânea - Removido 13/04/2026 (R$ 40,00)"/>
    <s v="Fisioterapia"/>
    <n v="1711413005"/>
    <s v="Finalizado (6/10)"/>
    <n v="35.200000000000003"/>
    <n v="4.8"/>
    <n v="40"/>
    <s v="Sessão a Faturar"/>
    <n v="952480013332000"/>
    <n v="14710"/>
    <s v="Unidade Vieiralves"/>
    <n v="1711413005"/>
    <m/>
  </r>
  <r>
    <x v="6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4/6)"/>
    <n v="23.803999999999998"/>
    <n v="3.246"/>
    <n v="27.05"/>
    <s v="Sessão a Faturar"/>
    <n v="952650062103000"/>
    <n v="59353"/>
    <s v="Unidade Vieiralves"/>
    <n v="1707840911"/>
    <m/>
  </r>
  <r>
    <x v="6"/>
    <x v="38"/>
    <s v="Roberta Ferreira Coelho de Andrade"/>
    <s v="Feminino"/>
    <x v="1"/>
    <x v="22"/>
    <s v="50000160 - Fisioterapia Ortopédica (R$ 20,00), 98980327 - Taxa de Eletroterapia (Tens) (R$ 15,00)"/>
    <s v="Fisioterapia"/>
    <n v="9458241"/>
    <s v="Finalizado (1/10)"/>
    <n v="30.8"/>
    <n v="4.2"/>
    <n v="35"/>
    <s v="Sessão a Faturar"/>
    <s v="0701010939440006"/>
    <n v="58292"/>
    <s v="Unidade Vieiralves"/>
    <n v="9458241"/>
    <m/>
  </r>
  <r>
    <x v="6"/>
    <x v="62"/>
    <s v="Daniele Guimarães Alves"/>
    <s v="Feminino"/>
    <x v="4"/>
    <x v="22"/>
    <s v="31602185 - Estimulação Elétrica Transcutânea - Removido 13/04/2026 (R$ 40,00)"/>
    <s v="Fisioterapia"/>
    <n v="1716550667"/>
    <s v="Finalizado (1/2)"/>
    <n v="35.200000000000003"/>
    <n v="4.8"/>
    <n v="40"/>
    <s v="Sessão Faturada"/>
    <n v="952650062103000"/>
    <n v="59353"/>
    <s v="Unidade Vieiralves"/>
    <n v="1716550667"/>
    <m/>
  </r>
  <r>
    <x v="6"/>
    <x v="39"/>
    <s v="Anna Danielle Oliveira dos Santos Cardozo"/>
    <s v="Feminino"/>
    <x v="2"/>
    <x v="22"/>
    <s v="20103492 - Fisioterapia - Patologia Em Dois Ou Mais Membros (R$ 14,83)"/>
    <s v="Fisioterapia"/>
    <n v="1706457872"/>
    <s v="Finalizado (9/10)"/>
    <n v="13.0504"/>
    <n v="1.7796000000000001"/>
    <n v="14.83"/>
    <s v="Sessão a Faturar"/>
    <n v="830416700230010"/>
    <n v="57193"/>
    <s v="Unidade Vieiralves"/>
    <n v="1706457872"/>
    <m/>
  </r>
  <r>
    <x v="6"/>
    <x v="64"/>
    <s v="Anna Danielle Oliveira dos Santos Cardozo"/>
    <s v="Feminino"/>
    <x v="4"/>
    <x v="22"/>
    <s v="31602185 - Estimulação Elétrica Transcutânea - Removido 13/04/2026 (R$ 40,00)"/>
    <s v="Fisioterapia"/>
    <n v="1716230123"/>
    <s v="Finalizado (2/3)"/>
    <n v="35.200000000000003"/>
    <n v="4.8"/>
    <n v="40"/>
    <s v="Sessão a Faturar"/>
    <n v="830416700230010"/>
    <n v="57193"/>
    <s v="Unidade Vieiralves"/>
    <n v="1716230123"/>
    <m/>
  </r>
  <r>
    <x v="7"/>
    <x v="44"/>
    <s v="Bruna Lucianne dos Santos Galate"/>
    <s v="Feminino"/>
    <x v="6"/>
    <x v="22"/>
    <s v="31602185 - Estimulação Elétrica Transcutanea (Tens) (R$ 40,00)"/>
    <s v="Fisioterapia"/>
    <n v="172825"/>
    <s v="Finalizado (1/6)"/>
    <n v="35.200000000000003"/>
    <n v="4.8"/>
    <n v="40"/>
    <s v="Sessão a Faturar"/>
    <s v="55788888493194760120"/>
    <n v="43650"/>
    <s v="Unidade Vieiralves"/>
    <n v="172825"/>
    <s v="guia assinada"/>
  </r>
  <r>
    <x v="7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1/7)"/>
    <n v="39.089599999999997"/>
    <n v="5.3304"/>
    <n v="44.42"/>
    <s v="Sessão a Faturar"/>
    <s v="55788888493194760120"/>
    <n v="43650"/>
    <s v="Unidade Vieiralves"/>
    <n v="172824"/>
    <s v="guia assinada"/>
  </r>
  <r>
    <x v="7"/>
    <x v="44"/>
    <s v="Ruth Vania Duarte Ramos"/>
    <m/>
    <x v="6"/>
    <x v="22"/>
    <s v="20103662 - Pos Operatorio Em Um Membro (R$ 22,53)"/>
    <s v="Fisioterapia"/>
    <n v="170395"/>
    <s v="Finalizado (6/10)"/>
    <n v="19.8264"/>
    <n v="2.7035999999999998"/>
    <n v="22.53"/>
    <s v="Sessão a Faturar"/>
    <s v="55788888489432510020"/>
    <n v="58616"/>
    <s v="Unidade Vieiralves"/>
    <n v="170395"/>
    <s v="guia assinada"/>
  </r>
  <r>
    <x v="7"/>
    <x v="41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3/10)"/>
    <n v="21.507200000000001"/>
    <n v="2.9327999999999999"/>
    <n v="24.44"/>
    <s v="Sessão a Faturar"/>
    <n v="771015041750020"/>
    <n v="37973"/>
    <s v="Unidade Vieiralves"/>
    <n v="1714893972"/>
    <m/>
  </r>
  <r>
    <x v="7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5/10)"/>
    <n v="30.8"/>
    <n v="4.2"/>
    <n v="35"/>
    <s v="Sessão Faturada"/>
    <s v="01301012922220002"/>
    <n v="14923"/>
    <s v="Unidade Vieiralves"/>
    <n v="9337474"/>
    <m/>
  </r>
  <r>
    <x v="7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06683478"/>
    <s v="Finalizado (10/10)"/>
    <n v="26.1008"/>
    <n v="3.5592000000000001"/>
    <n v="29.66"/>
    <s v="Sessão Faturada"/>
    <n v="830425500043000"/>
    <n v="7701"/>
    <s v="Unidade Vieiralves"/>
    <n v="1706683478"/>
    <m/>
  </r>
  <r>
    <x v="7"/>
    <x v="36"/>
    <s v="Ana Maria Barros Martins"/>
    <s v="Feminino"/>
    <x v="1"/>
    <x v="22"/>
    <s v="50000160 - Fisioterapia Ortopédica (R$ 20,00), 98980327 - Taxa de Eletroterapia (Tens) (R$ 15,00)"/>
    <s v="Fisioterapia"/>
    <n v="9431265"/>
    <s v="Finalizado (3/10)"/>
    <n v="30.8"/>
    <n v="4.2"/>
    <n v="35"/>
    <s v="Sessão a Faturar"/>
    <s v="0201005329570033"/>
    <n v="55774"/>
    <s v="Unidade Vieiralves"/>
    <n v="9431265"/>
    <m/>
  </r>
  <r>
    <x v="7"/>
    <x v="36"/>
    <s v="Vivianne Cristina Canavarro Fernandes Rocha"/>
    <s v="Feminino"/>
    <x v="6"/>
    <x v="22"/>
    <s v="20103514 - Patologia Em Dois Ou Mais Segmentos da Coluna (R$ 32,82)"/>
    <s v="Fisioterapia"/>
    <n v="171150"/>
    <s v="Finalizado (6/10)"/>
    <n v="28.881599999999999"/>
    <n v="3.9384000000000001"/>
    <n v="32.82"/>
    <s v="Sessão a Faturar"/>
    <s v="54588888491549250012"/>
    <n v="59548"/>
    <s v="Unidade Vieiralves"/>
    <n v="171150"/>
    <m/>
  </r>
  <r>
    <x v="7"/>
    <x v="61"/>
    <s v="Vivianne Cristina Canavarro Fernandes Rocha"/>
    <s v="Feminino"/>
    <x v="6"/>
    <x v="22"/>
    <s v="31602185 - Estimulação Elétrica Transcutanea (Tens) (R$ 40,00)"/>
    <s v="Fisioterapia"/>
    <n v="171151"/>
    <s v="Finalizado (6/10)"/>
    <n v="35.200000000000003"/>
    <n v="4.8"/>
    <n v="40"/>
    <s v="Sessão a Faturar"/>
    <s v="54588888491549250012"/>
    <n v="59548"/>
    <s v="Unidade Vieiralves"/>
    <n v="171151"/>
    <m/>
  </r>
  <r>
    <x v="7"/>
    <x v="40"/>
    <s v="Andre Luiz da Rocha Moura"/>
    <s v="Masculino"/>
    <x v="2"/>
    <x v="22"/>
    <s v="50000144 - Avaliação de Fisioterapia (R$ 51,42)"/>
    <s v="Fisioterapia"/>
    <n v="1716997991"/>
    <s v="Finalizado (1/1)"/>
    <n v="46.277999999999999"/>
    <n v="5.1420000000000003"/>
    <n v="51.42"/>
    <s v="Sessão Faturada"/>
    <n v="771015054119000"/>
    <n v="52042"/>
    <s v="Unidade Vieiralves"/>
    <n v="1716997991"/>
    <m/>
  </r>
  <r>
    <x v="7"/>
    <x v="40"/>
    <s v="Maria Eduarda Menezes"/>
    <s v="Feminino"/>
    <x v="0"/>
    <x v="22"/>
    <s v="50000160 - Fisioterapia Ortopedica (R$ 49,72)"/>
    <s v="Fisioterapia"/>
    <s v="42263120260310446258"/>
    <s v="Finalizado (7/10)"/>
    <n v="43.753599999999999"/>
    <n v="5.9664000000000001"/>
    <n v="49.72"/>
    <s v="Sessão a Faturar"/>
    <s v="010650678953"/>
    <n v="59554"/>
    <s v="Unidade Vieiralves"/>
    <s v="42263120260310446258"/>
    <m/>
  </r>
  <r>
    <x v="7"/>
    <x v="40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7/10)"/>
    <n v="39.089599999999997"/>
    <n v="5.3304"/>
    <n v="44.42"/>
    <s v="Sessão a Faturar"/>
    <s v="55788888483387380020"/>
    <n v="20265"/>
    <s v="Unidade Vieiralves"/>
    <n v="168228"/>
    <m/>
  </r>
  <r>
    <x v="7"/>
    <x v="40"/>
    <s v="Rair Silva e Souza de Moura"/>
    <s v="Feminino"/>
    <x v="1"/>
    <x v="22"/>
    <s v="50000160 - Fisioterapia Ortopédica (R$ 20,00), 98980327 - Taxa de Eletroterapia (Tens) (R$ 15,00)"/>
    <s v="Fisioterapia"/>
    <n v="8824742"/>
    <s v="Finalizado (10/10)"/>
    <n v="30.8"/>
    <n v="4.2"/>
    <n v="35"/>
    <s v="Sessão Faturada"/>
    <n v="201013748740040"/>
    <n v="54729"/>
    <s v="Unidade Vieiralves"/>
    <n v="8824742"/>
    <m/>
  </r>
  <r>
    <x v="7"/>
    <x v="45"/>
    <s v="Andre Luiz da Rocha Moura"/>
    <s v="Masculino"/>
    <x v="2"/>
    <x v="22"/>
    <s v="20103484 - Fisioterapia - Patologia Em Um Membro (R$ 12,22), 20103506 - Fisioterapia - Patologia Em Um Segmento da Coluna (R$ 12,22)"/>
    <s v="Fisioterapia"/>
    <n v="1716999064"/>
    <s v="Finalizado (1/10)"/>
    <n v="21.507200000000001"/>
    <n v="2.9327999999999999"/>
    <n v="24.44"/>
    <s v="Sessão a Faturar"/>
    <n v="771015054119000"/>
    <n v="52042"/>
    <s v="Unidade Vieiralves"/>
    <n v="1716999064"/>
    <m/>
  </r>
  <r>
    <x v="7"/>
    <x v="45"/>
    <s v="Maria Nazira Tomaz Pereira"/>
    <s v="Feminino"/>
    <x v="6"/>
    <x v="22"/>
    <s v="31602185 - Estimulação Elétrica Transcutanea (Tens) (R$ 40,00)"/>
    <s v="Fisioterapia"/>
    <n v="170935"/>
    <s v="Finalizado (7/10)"/>
    <n v="35.200000000000003"/>
    <n v="4.8"/>
    <n v="40"/>
    <s v="Sessão a Faturar"/>
    <s v="55788888483387380020"/>
    <n v="20265"/>
    <s v="Unidade Vieiralves"/>
    <n v="170935"/>
    <m/>
  </r>
  <r>
    <x v="7"/>
    <x v="45"/>
    <s v="Maria Eduarda Menezes"/>
    <s v="Feminino"/>
    <x v="0"/>
    <x v="22"/>
    <s v="31602185 - Estimulação Elétrica Transcutânea Fisioterapia (Novo - 01/12) (R$ 54,13)"/>
    <s v="Fisioterapia"/>
    <s v="42263120260310446304"/>
    <s v="Finalizado (7/10)"/>
    <n v="47.634399999999999"/>
    <n v="6.4955999999999996"/>
    <n v="54.13"/>
    <s v="Sessão a Faturar"/>
    <s v="010650678953"/>
    <n v="59554"/>
    <s v="Unidade Vieiralves"/>
    <s v="42263120260310446304"/>
    <m/>
  </r>
  <r>
    <x v="7"/>
    <x v="35"/>
    <s v="Serafim Pereira de Sousa"/>
    <m/>
    <x v="17"/>
    <x v="22"/>
    <s v="50000160 - Fisioterapia Ortopedica (R$ 45,00)"/>
    <s v="Fisioterapia"/>
    <n v="3970200"/>
    <s v="Finalizado (6/10)"/>
    <n v="39.6"/>
    <n v="5.4"/>
    <n v="45"/>
    <s v="Sessão Faturada"/>
    <s v="000915899766100"/>
    <n v="58192"/>
    <s v="Unidade Vieiralves"/>
    <n v="3970200"/>
    <m/>
  </r>
  <r>
    <x v="7"/>
    <x v="35"/>
    <s v="Marta Barbosa de Oliveira"/>
    <s v="Feminino"/>
    <x v="0"/>
    <x v="22"/>
    <s v="50000160 - Fisioterapia Ortopedica (R$ 49,72)"/>
    <s v="Fisioterapia"/>
    <s v="42263120260318509090"/>
    <s v="Finalizado (4/10)"/>
    <n v="43.753599999999999"/>
    <n v="5.9664000000000001"/>
    <n v="49.72"/>
    <s v="Sessão a Faturar"/>
    <s v="010650689402"/>
    <n v="59659"/>
    <s v="Unidade Vieiralves"/>
    <s v="42263120260318509090"/>
    <m/>
  </r>
  <r>
    <x v="7"/>
    <x v="35"/>
    <s v="Guaracy Silva da Cunha"/>
    <s v="Feminino"/>
    <x v="1"/>
    <x v="22"/>
    <s v="50000160 - Fisioterapia Ortopédica (R$ 20,00), 98980327 - Taxa de Eletroterapia (Tens) (R$ 15,00)"/>
    <s v="Fisioterapia"/>
    <n v="9313898"/>
    <s v="Finalizado (5/10)"/>
    <n v="30.8"/>
    <n v="4.2"/>
    <n v="35"/>
    <s v="Sessão Faturada"/>
    <s v="0901013070050252"/>
    <n v="21742"/>
    <s v="Unidade Vieiralves"/>
    <n v="9313898"/>
    <s v="GUIA ASSINADA!"/>
  </r>
  <r>
    <x v="7"/>
    <x v="42"/>
    <s v="Marta Barbosa de Oliveira"/>
    <s v="Feminino"/>
    <x v="0"/>
    <x v="22"/>
    <s v="31602185 - Estimulação Elétrica Transcutânea Fisioterapia (Novo - 01/12) (R$ 54,13)"/>
    <s v="Fisioterapia"/>
    <s v="42263120260318510326"/>
    <s v="Finalizado (4/10)"/>
    <n v="47.634399999999999"/>
    <n v="6.4955999999999996"/>
    <n v="54.13"/>
    <s v="Sessão a Faturar"/>
    <s v="010650689402"/>
    <n v="59659"/>
    <s v="Unidade Vieiralves"/>
    <s v="42263120260318510326"/>
    <m/>
  </r>
  <r>
    <x v="7"/>
    <x v="38"/>
    <s v="Raimunda Carvalho Caldas"/>
    <s v="Feminino"/>
    <x v="2"/>
    <x v="22"/>
    <s v="20103484 - Fisioterapia - Patologia Em Um Membro (R$ 12,22), 20103514 - Fisioterapia - Patologia Em Diferentes Segmentos da Coluna (R$ 14,83)"/>
    <s v="Fisioterapia"/>
    <n v="1715032669"/>
    <s v="Finalizado (4/10)"/>
    <n v="23.803999999999998"/>
    <n v="3.246"/>
    <n v="27.05"/>
    <s v="Sessão a Faturar"/>
    <n v="952480013332000"/>
    <n v="14710"/>
    <s v="Unidade Vieiralves"/>
    <n v="1715032669"/>
    <m/>
  </r>
  <r>
    <x v="7"/>
    <x v="38"/>
    <s v="Leonice Soares Lira"/>
    <s v="Feminino"/>
    <x v="8"/>
    <x v="22"/>
    <s v="20103492 - Patologia Em Dois Ou Mais Membros (R$ 14,83)"/>
    <s v="Fisioterapia"/>
    <n v="1715036003"/>
    <s v="Finalizado (2/10)"/>
    <n v="13.0504"/>
    <n v="1.7796000000000001"/>
    <n v="14.83"/>
    <s v="Sessão a Faturar"/>
    <n v="954600008907000"/>
    <n v="59695"/>
    <s v="Unidade Vieiralves"/>
    <n v="1715036003"/>
    <m/>
  </r>
  <r>
    <x v="7"/>
    <x v="38"/>
    <s v="Marcus da Costa Tribuzi"/>
    <s v="Masculino"/>
    <x v="1"/>
    <x v="22"/>
    <s v="50000160 - Fisioterapia Ortopédica (R$ 20,00), 98980327 - Taxa de Eletroterapia (Tens) (R$ 15,00)"/>
    <s v="Fisioterapia"/>
    <n v="9414324"/>
    <s v="Finalizado (2/10)"/>
    <n v="30.8"/>
    <n v="4.2"/>
    <n v="35"/>
    <s v="Sessão Faturada"/>
    <s v="0203006692690088"/>
    <n v="54705"/>
    <s v="Unidade Vieiralves"/>
    <n v="9414324"/>
    <s v="guia assinada "/>
  </r>
  <r>
    <x v="7"/>
    <x v="62"/>
    <s v="Raimunda Carvalho Caldas"/>
    <s v="Feminino"/>
    <x v="4"/>
    <x v="22"/>
    <s v="31602185 - Estimulação Elétrica Transcutânea - Removido 13/04/2026 (R$ 40,00)"/>
    <s v="Fisioterapia"/>
    <n v="1711413005"/>
    <s v="Finalizado (7/10)"/>
    <n v="35.200000000000003"/>
    <n v="4.8"/>
    <n v="40"/>
    <s v="Sessão a Faturar"/>
    <n v="952480013332000"/>
    <n v="14710"/>
    <s v="Unidade Vieiralves"/>
    <n v="1711413005"/>
    <m/>
  </r>
  <r>
    <x v="7"/>
    <x v="37"/>
    <s v="Julliana Gadelha de Medeiros"/>
    <s v="Feminino"/>
    <x v="8"/>
    <x v="22"/>
    <s v="20103484 - Patologia Em Um Membro (R$ 12,22)"/>
    <s v="Fisioterapia"/>
    <n v="1711444434"/>
    <s v="Finalizado (5/7)"/>
    <n v="10.7536"/>
    <n v="1.4663999999999999"/>
    <n v="12.22"/>
    <s v="Sessão a Faturar"/>
    <n v="954600002968020"/>
    <n v="20663"/>
    <s v="Unidade Vieiralves"/>
    <n v="1711444434"/>
    <m/>
  </r>
  <r>
    <x v="7"/>
    <x v="37"/>
    <s v="Denise de Souza Lima Herzog"/>
    <s v="Feminino"/>
    <x v="2"/>
    <x v="22"/>
    <s v="20103492 - Fisioterapia - Patologia Em Dois Ou Mais Membros (R$ 14,83), 20103506 - Fisioterapia - Patologia Em Um Segmento da Coluna (R$ 12,22)"/>
    <s v="Fisioterapia"/>
    <n v="1706279020"/>
    <s v="Finalizado (10/10)"/>
    <n v="23.803999999999998"/>
    <n v="3.246"/>
    <n v="27.05"/>
    <s v="Sessão Faturada"/>
    <n v="810177500019010"/>
    <n v="52971"/>
    <s v="Unidade Vieiralves"/>
    <n v="1706279020"/>
    <m/>
  </r>
  <r>
    <x v="7"/>
    <x v="37"/>
    <s v="Wandercleia Martins Pontes"/>
    <s v="Feminino"/>
    <x v="1"/>
    <x v="22"/>
    <s v="50000160 - Fisioterapia Ortopédica (R$ 20,00), 98980327 - Taxa de Eletroterapia (Tens) (R$ 15,00)"/>
    <s v="Fisioterapia"/>
    <n v="9390057"/>
    <s v="Finalizado (2/10)"/>
    <n v="30.8"/>
    <n v="4.2"/>
    <n v="35"/>
    <s v="Sessão Faturada"/>
    <s v="0201013323070030"/>
    <n v="19693"/>
    <s v="Unidade Vieiralves"/>
    <n v="9390057"/>
    <s v="guia assinada "/>
  </r>
  <r>
    <x v="7"/>
    <x v="37"/>
    <s v="Ana Luiza Santa Cruz de Matos dos Santos"/>
    <s v="Feminino"/>
    <x v="2"/>
    <x v="22"/>
    <s v="20103662 - Fisioterapia - Pos Operatorio Em Um Membro (R$ 14,99)"/>
    <s v="Fisioterapia"/>
    <n v="1716021753"/>
    <s v="Finalizado (2/10)"/>
    <n v="13.1912"/>
    <n v="1.7988"/>
    <n v="14.99"/>
    <s v="Sessão a Faturar"/>
    <n v="774642020680020"/>
    <n v="39569"/>
    <s v="Unidade Vieiralves"/>
    <n v="1716021753"/>
    <m/>
  </r>
  <r>
    <x v="7"/>
    <x v="39"/>
    <s v="Henrique Douglas Macedo Mendes Júnior"/>
    <s v="Masculino"/>
    <x v="2"/>
    <x v="22"/>
    <s v="20103484 - Fisioterapia - Patologia Em Um Membro (R$ 12,22)"/>
    <s v="Fisioterapia"/>
    <n v="1718089613"/>
    <s v="Finalizado (1/5)"/>
    <n v="10.7536"/>
    <n v="1.4663999999999999"/>
    <n v="12.22"/>
    <s v="Sessão a Faturar"/>
    <n v="897702200019010"/>
    <n v="56664"/>
    <s v="Unidade Vieiralves"/>
    <n v="1718089613"/>
    <m/>
  </r>
  <r>
    <x v="7"/>
    <x v="39"/>
    <s v="Vania Mara Aguiar Barcellos"/>
    <s v="Feminino"/>
    <x v="1"/>
    <x v="22"/>
    <s v="50000144 - Consulta de Fisioterapia (R$ 16,00)"/>
    <s v="Fisioterapia"/>
    <n v="9667034"/>
    <s v="Finalizado (1/1)"/>
    <n v="14.4"/>
    <n v="1.6"/>
    <n v="16"/>
    <s v="Sessão Faturada"/>
    <s v="0201013975240093"/>
    <n v="59762"/>
    <s v="Unidade Vieiralves"/>
    <n v="9667034"/>
    <m/>
  </r>
  <r>
    <x v="7"/>
    <x v="39"/>
    <s v="Amanda Campos Goes Bezerra"/>
    <s v="Feminino"/>
    <x v="1"/>
    <x v="22"/>
    <s v="50000160 - Fisioterapia Ortopédica (R$ 20,00), 98980327 - Taxa de Eletroterapia (Tens) (R$ 15,00)"/>
    <s v="Fisioterapia"/>
    <n v="9435670"/>
    <s v="Finalizado (4/10)"/>
    <n v="30.8"/>
    <n v="4.2"/>
    <n v="35"/>
    <s v="Sessão a Faturar"/>
    <s v="0901013300950004"/>
    <n v="59623"/>
    <s v="Unidade Vieiralves"/>
    <n v="9435670"/>
    <m/>
  </r>
  <r>
    <x v="7"/>
    <x v="64"/>
    <s v="Vania Mara Aguiar Barcellos"/>
    <s v="Feminino"/>
    <x v="1"/>
    <x v="22"/>
    <s v="50000160 - Fisioterapia Ortopédica (R$ 20,00), 98980327 - Taxa de Eletroterapia (Tens) (R$ 15,00)"/>
    <s v="Fisioterapia"/>
    <n v="9536435"/>
    <s v="Finalizado (1/10)"/>
    <n v="30.8"/>
    <n v="4.2"/>
    <n v="35"/>
    <s v="Sessão a Faturar"/>
    <s v="0201013975240093"/>
    <n v="59762"/>
    <s v="Unidade Vieiralves"/>
    <n v="9536435"/>
    <m/>
  </r>
  <r>
    <x v="7"/>
    <x v="64"/>
    <s v="Henrique Douglas Macedo Mendes Júnior"/>
    <s v="Masculino"/>
    <x v="4"/>
    <x v="22"/>
    <s v="31602185 - Estimulação Elétrica Transcutânea - Removido 13/04/2026 (R$ 40,00)"/>
    <s v="Fisioterapia"/>
    <n v="1715484785"/>
    <s v="Finalizado (2/10)"/>
    <n v="35.200000000000003"/>
    <n v="4.8"/>
    <n v="40"/>
    <s v="Sessão a Faturar"/>
    <n v="897702200019010"/>
    <n v="56664"/>
    <s v="Unidade Vieiralves"/>
    <n v="1715484785"/>
    <m/>
  </r>
  <r>
    <x v="8"/>
    <x v="44"/>
    <s v="Diego Nobuyoshi de Souza Tsuji"/>
    <s v="Masculino"/>
    <x v="2"/>
    <x v="22"/>
    <s v="20103492 - Fisioterapia - Patologia Em Dois Ou Mais Membros (R$ 14,83)"/>
    <s v="Fisioterapia"/>
    <n v="1714395186"/>
    <s v="Finalizado (3/10)"/>
    <n v="13.0504"/>
    <n v="1.7796000000000001"/>
    <n v="14.83"/>
    <s v="Sessão a Faturar"/>
    <n v="774981009148000"/>
    <n v="11130"/>
    <s v="Unidade Vieiralves"/>
    <n v="1714395186"/>
    <m/>
  </r>
  <r>
    <x v="8"/>
    <x v="44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4/10)"/>
    <n v="21.507200000000001"/>
    <n v="2.9327999999999999"/>
    <n v="24.44"/>
    <s v="Sessão a Faturar"/>
    <n v="771015041750020"/>
    <n v="37973"/>
    <s v="Unidade Vieiralves"/>
    <n v="1714893972"/>
    <m/>
  </r>
  <r>
    <x v="8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2/7)"/>
    <n v="39.089599999999997"/>
    <n v="5.3304"/>
    <n v="44.42"/>
    <s v="Sessão a Faturar"/>
    <s v="55788888493194760120"/>
    <n v="43650"/>
    <s v="Unidade Vieiralves"/>
    <n v="172824"/>
    <s v="guia assinada"/>
  </r>
  <r>
    <x v="8"/>
    <x v="60"/>
    <s v="Bruna Lucianne dos Santos Galate"/>
    <s v="Feminino"/>
    <x v="6"/>
    <x v="22"/>
    <s v="31602185 - Estimulação Elétrica Transcutanea (Tens) (R$ 40,00)"/>
    <s v="Fisioterapia"/>
    <n v="172825"/>
    <s v="Finalizado (2/6)"/>
    <n v="35.200000000000003"/>
    <n v="4.8"/>
    <n v="40"/>
    <s v="Sessão a Faturar"/>
    <s v="55788888493194760120"/>
    <n v="43650"/>
    <s v="Unidade Vieiralves"/>
    <n v="172825"/>
    <s v="guia assinada"/>
  </r>
  <r>
    <x v="8"/>
    <x v="41"/>
    <s v="Alberson Nascimento da Silva"/>
    <s v="Masculino"/>
    <x v="2"/>
    <x v="22"/>
    <s v="20103484 - Fisioterapia - Patologia Em Um Membro (R$ 12,22)"/>
    <s v="Fisioterapia"/>
    <n v="1717477875"/>
    <s v="Finalizado (1/10)"/>
    <n v="10.7536"/>
    <n v="1.4663999999999999"/>
    <n v="12.22"/>
    <s v="Sessão a Faturar"/>
    <n v="847586402151000"/>
    <n v="58240"/>
    <s v="Unidade Vieiralves"/>
    <n v="1717477875"/>
    <m/>
  </r>
  <r>
    <x v="8"/>
    <x v="41"/>
    <s v="Ana Paula Alves Cruz"/>
    <s v="Feminino"/>
    <x v="7"/>
    <x v="22"/>
    <s v="Vieiralves - 1 - Fisioterapia Ortopedica - Pacote (R$ 80,00)"/>
    <s v="Fisioterapia"/>
    <n v="171735"/>
    <s v="Finalizado (5/10)"/>
    <n v="62.4"/>
    <n v="17.600000000000001"/>
    <n v="80"/>
    <s v="No Prazo"/>
    <n v="0"/>
    <n v="8820"/>
    <s v="Unidade Vieiralves"/>
    <n v="171735"/>
    <m/>
  </r>
  <r>
    <x v="8"/>
    <x v="36"/>
    <s v="Edenilson Gomes Bezerra"/>
    <s v="Masculino"/>
    <x v="2"/>
    <x v="22"/>
    <s v="20103514 - Fisioterapia - Patologia Em Diferentes Segmentos da Coluna (R$ 14,83)"/>
    <s v="Fisioterapia"/>
    <n v="1717497820"/>
    <s v="Finalizado (1/10)"/>
    <n v="13.0504"/>
    <n v="1.7796000000000001"/>
    <n v="14.83"/>
    <s v="Sessão a Faturar"/>
    <n v="837081300442010"/>
    <n v="58804"/>
    <s v="Unidade Vieiralves"/>
    <n v="1717497820"/>
    <m/>
  </r>
  <r>
    <x v="8"/>
    <x v="36"/>
    <s v="Miguel Ângelo Cabral Moreira"/>
    <m/>
    <x v="5"/>
    <x v="22"/>
    <s v="98860020 - Fisioterapia Complexidade 2 (R$ 73,81)"/>
    <s v="Fisioterapia"/>
    <n v="78992040"/>
    <s v="Finalizado (2/10)"/>
    <n v="64.952799999999996"/>
    <n v="8.8572000000000006"/>
    <n v="73.81"/>
    <s v="Sessão a Faturar"/>
    <n v="5500000889750200"/>
    <n v="59526"/>
    <s v="Unidade Vieiralves"/>
    <n v="78992040"/>
    <m/>
  </r>
  <r>
    <x v="8"/>
    <x v="61"/>
    <s v="Miguel Ângelo Cabral Moreira"/>
    <m/>
    <x v="5"/>
    <x v="22"/>
    <s v="31602185 - Estimulação Elétrica Transcutânea (Tens) (R$ 125,40)"/>
    <s v="Fisioterapia"/>
    <n v="79137090"/>
    <s v="Finalizado (1/10)"/>
    <n v="110.352"/>
    <n v="15.048"/>
    <n v="125.4"/>
    <s v="Sessão a Faturar"/>
    <n v="5500000889750200"/>
    <n v="59526"/>
    <s v="Unidade Vieiralves"/>
    <n v="79137090"/>
    <m/>
  </r>
  <r>
    <x v="8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Finalizado (8/10)"/>
    <n v="30.8"/>
    <n v="4.2"/>
    <n v="35"/>
    <s v="Sessão Faturada"/>
    <s v="0701013978710030"/>
    <n v="59447"/>
    <s v="Unidade Vieiralves"/>
    <n v="9071007"/>
    <m/>
  </r>
  <r>
    <x v="8"/>
    <x v="40"/>
    <s v="Lucia Ferreira Viana"/>
    <s v="Feminino"/>
    <x v="0"/>
    <x v="22"/>
    <s v="50000160 - Fisioterapia Ortopedica (R$ 49,72)"/>
    <s v="Fisioterapia"/>
    <s v="42263120260305416369"/>
    <s v="Finalizado (8/10)"/>
    <n v="43.753599999999999"/>
    <n v="5.9664000000000001"/>
    <n v="49.72"/>
    <s v="Sessão a Faturar"/>
    <s v="010650248904"/>
    <n v="10197"/>
    <s v="Unidade Vieiralves"/>
    <s v="42263120260305416369"/>
    <m/>
  </r>
  <r>
    <x v="8"/>
    <x v="40"/>
    <s v="Andre Luiz da Rocha Moura"/>
    <s v="Masculino"/>
    <x v="2"/>
    <x v="22"/>
    <s v="20103484 - Fisioterapia - Patologia Em Um Membro (R$ 12,22), 20103506 - Fisioterapia - Patologia Em Um Segmento da Coluna (R$ 12,22)"/>
    <s v="Fisioterapia"/>
    <n v="1716999064"/>
    <s v="Finalizado (2/10)"/>
    <n v="21.507200000000001"/>
    <n v="2.9327999999999999"/>
    <n v="24.44"/>
    <s v="Sessão a Faturar"/>
    <n v="771015054119000"/>
    <n v="52042"/>
    <s v="Unidade Vieiralves"/>
    <n v="1716999064"/>
    <m/>
  </r>
  <r>
    <x v="8"/>
    <x v="40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6/10)"/>
    <n v="30.8"/>
    <n v="4.2"/>
    <n v="35"/>
    <s v="Sessão Faturada"/>
    <n v="1901013246260100"/>
    <n v="53193"/>
    <s v="Unidade Vieiralves"/>
    <n v="9350764"/>
    <m/>
  </r>
  <r>
    <x v="8"/>
    <x v="45"/>
    <s v="Lucia Ferreira Viana"/>
    <s v="Feminino"/>
    <x v="0"/>
    <x v="22"/>
    <s v="31602185 - Estimulação Elétrica Transcutânea Fisioterapia (Novo - 01/12) (R$ 54,13)"/>
    <s v="Fisioterapia"/>
    <s v="42263120260305416626"/>
    <s v="Finalizado (8/10)"/>
    <n v="47.634399999999999"/>
    <n v="6.4955999999999996"/>
    <n v="54.13"/>
    <s v="Sessão a Faturar"/>
    <s v="010650248904"/>
    <n v="10197"/>
    <s v="Unidade Vieiralves"/>
    <s v="42263120260305416626"/>
    <m/>
  </r>
  <r>
    <x v="8"/>
    <x v="45"/>
    <s v="Andre Luiz da Rocha Moura"/>
    <s v="Masculino"/>
    <x v="4"/>
    <x v="22"/>
    <s v="31602185 - Estimulação Elétrica Transcutânea - Removido 13/04/2026 (R$ 40,00)"/>
    <s v="Fisioterapia"/>
    <n v="1717537834"/>
    <s v="Finalizado (1/5)"/>
    <n v="35.200000000000003"/>
    <n v="4.8"/>
    <n v="40"/>
    <s v="Sessão a Faturar"/>
    <n v="771015054119000"/>
    <n v="52042"/>
    <s v="Unidade Vieiralves"/>
    <n v="1717537834"/>
    <m/>
  </r>
  <r>
    <x v="8"/>
    <x v="35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6/10)"/>
    <n v="30.8"/>
    <n v="4.2"/>
    <n v="35"/>
    <s v="Sessão Faturada"/>
    <n v="1901013411030200"/>
    <n v="57093"/>
    <s v="Unidade Vieiralves"/>
    <n v="9181422"/>
    <s v="GUIA ASSINADA!"/>
  </r>
  <r>
    <x v="8"/>
    <x v="35"/>
    <s v="Noemi Rebecca Ramos Macedo"/>
    <s v="Feminino"/>
    <x v="1"/>
    <x v="22"/>
    <s v="50000160 - Fisioterapia Ortopédica (R$ 20,00), 98980327 - Taxa de Eletroterapia (Tens) (R$ 15,00)"/>
    <s v="Fisioterapia"/>
    <n v="9634947"/>
    <s v="Finalizado (1/10)"/>
    <n v="30.8"/>
    <n v="4.2"/>
    <n v="35"/>
    <s v="Sessão a Faturar"/>
    <n v="1901013411030100"/>
    <n v="57780"/>
    <s v="Unidade Vieiralves"/>
    <n v="9634947"/>
    <m/>
  </r>
  <r>
    <x v="8"/>
    <x v="35"/>
    <s v="Wanderleia Salmazo França"/>
    <m/>
    <x v="1"/>
    <x v="22"/>
    <s v="50000144 - Consulta de Fisioterapia (R$ 16,00)"/>
    <s v="Fisioterapia"/>
    <n v="9505371"/>
    <s v="Finalizado (1/1)"/>
    <n v="14.4"/>
    <n v="1.6"/>
    <n v="16"/>
    <s v="Sessão Faturada"/>
    <n v="1901005732480400"/>
    <n v="59247"/>
    <s v="Unidade Vieiralves"/>
    <n v="9505371"/>
    <m/>
  </r>
  <r>
    <x v="8"/>
    <x v="35"/>
    <s v="Rejane Costa Freire"/>
    <m/>
    <x v="1"/>
    <x v="22"/>
    <s v="50000160 - Fisioterapia Ortopédica (R$ 20,00), 98980327 - Taxa de Eletroterapia (Tens) (R$ 15,00)"/>
    <s v="Fisioterapia"/>
    <n v="9010622"/>
    <s v="Finalizado (9/10)"/>
    <n v="30.8"/>
    <n v="4.2"/>
    <n v="35"/>
    <s v="Sessão Faturada"/>
    <s v="0901013326530193"/>
    <n v="57964"/>
    <s v="Unidade Vieiralves"/>
    <n v="9010622"/>
    <m/>
  </r>
  <r>
    <x v="8"/>
    <x v="42"/>
    <s v="Wanderleia Salmazo França"/>
    <m/>
    <x v="1"/>
    <x v="22"/>
    <s v="50000160 - Fisioterapia Ortopédica (R$ 20,00), 98980327 - Taxa de Eletroterapia (Tens) (R$ 15,00)"/>
    <s v="Fisioterapia"/>
    <n v="9505245"/>
    <s v="Finalizado (1/10)"/>
    <n v="30.8"/>
    <n v="4.2"/>
    <n v="35"/>
    <s v="Sessão a Faturar"/>
    <n v="1901005732480400"/>
    <n v="59247"/>
    <s v="Unidade Vieiralves"/>
    <n v="9505245"/>
    <m/>
  </r>
  <r>
    <x v="8"/>
    <x v="38"/>
    <s v="Vivianne Cristina Canavarro Fernandes Rocha"/>
    <s v="Feminino"/>
    <x v="6"/>
    <x v="22"/>
    <s v="20103514 - Patologia Em Dois Ou Mais Segmentos da Coluna (R$ 32,82)"/>
    <s v="Fisioterapia"/>
    <n v="171150"/>
    <s v="Finalizado (7/10)"/>
    <n v="28.881599999999999"/>
    <n v="3.9384000000000001"/>
    <n v="32.82"/>
    <s v="Sessão a Faturar"/>
    <s v="54588888491549250012"/>
    <n v="59548"/>
    <s v="Unidade Vieiralves"/>
    <n v="171150"/>
    <m/>
  </r>
  <r>
    <x v="8"/>
    <x v="38"/>
    <s v="Sandrea Flores Ferreira"/>
    <s v="Feminino"/>
    <x v="2"/>
    <x v="22"/>
    <s v="20103484 - Fisioterapia - Patologia Em Um Membro (R$ 12,22)"/>
    <s v="Fisioterapia"/>
    <n v="1714659755"/>
    <s v="Finalizado (4/10)"/>
    <n v="10.7536"/>
    <n v="1.4663999999999999"/>
    <n v="12.22"/>
    <s v="Sessão a Faturar"/>
    <n v="960016290663000"/>
    <n v="55592"/>
    <s v="Unidade Vieiralves"/>
    <n v="1714659755"/>
    <m/>
  </r>
  <r>
    <x v="8"/>
    <x v="62"/>
    <s v="Vivianne Cristina Canavarro Fernandes Rocha"/>
    <s v="Feminino"/>
    <x v="6"/>
    <x v="22"/>
    <s v="31602185 - Estimulação Elétrica Transcutanea (Tens) (R$ 40,00)"/>
    <s v="Fisioterapia"/>
    <n v="171151"/>
    <s v="Finalizado (7/10)"/>
    <n v="35.200000000000003"/>
    <n v="4.8"/>
    <n v="40"/>
    <s v="Sessão a Faturar"/>
    <s v="54588888491549250012"/>
    <n v="59548"/>
    <s v="Unidade Vieiralves"/>
    <n v="171151"/>
    <m/>
  </r>
  <r>
    <x v="8"/>
    <x v="37"/>
    <s v="Vania Mara Aguiar Barcellos"/>
    <s v="Feminino"/>
    <x v="1"/>
    <x v="22"/>
    <s v="50000160 - Fisioterapia Ortopédica (R$ 20,00), 98980327 - Taxa de Eletroterapia (Tens) (R$ 15,00)"/>
    <s v="Fisioterapia"/>
    <n v="9536435"/>
    <s v="Finalizado (2/10)"/>
    <n v="30.8"/>
    <n v="4.2"/>
    <n v="35"/>
    <s v="Sessão a Faturar"/>
    <s v="0201013975240093"/>
    <n v="59762"/>
    <s v="Unidade Vieiralves"/>
    <n v="9536435"/>
    <m/>
  </r>
  <r>
    <x v="8"/>
    <x v="37"/>
    <s v="Ana Luiza Santa Cruz de Matos dos Santos"/>
    <s v="Feminino"/>
    <x v="2"/>
    <x v="22"/>
    <s v="20103662 - Fisioterapia - Pos Operatorio Em Um Membro (R$ 14,99)"/>
    <s v="Fisioterapia"/>
    <n v="1716021753"/>
    <s v="Finalizado (3/10)"/>
    <n v="13.1912"/>
    <n v="1.7988"/>
    <n v="14.99"/>
    <s v="Sessão a Faturar"/>
    <n v="774642020680020"/>
    <n v="39569"/>
    <s v="Unidade Vieiralves"/>
    <n v="1716021753"/>
    <m/>
  </r>
  <r>
    <x v="8"/>
    <x v="43"/>
    <s v="Marcia Maria de Souza Miranda"/>
    <s v="Feminino"/>
    <x v="2"/>
    <x v="22"/>
    <s v="50000144 - Avaliação de Fisioterapia (R$ 51,42)"/>
    <s v="Fisioterapia"/>
    <n v="1717612894"/>
    <s v="Finalizado (1/1)"/>
    <n v="46.277999999999999"/>
    <n v="5.1420000000000003"/>
    <n v="51.42"/>
    <s v="Sessão Faturada"/>
    <n v="884774402038000"/>
    <n v="59779"/>
    <s v="Unidade Vieiralves"/>
    <n v="1717612894"/>
    <m/>
  </r>
  <r>
    <x v="8"/>
    <x v="66"/>
    <s v="Marcia Maria de Souza Miranda"/>
    <s v="Feminino"/>
    <x v="2"/>
    <x v="22"/>
    <s v="20103506 - Fisioterapia - Patologia Em Um Segmento da Coluna (R$ 12,22)"/>
    <s v="Fisioterapia"/>
    <n v="1717613566"/>
    <s v="Finalizado (1/10)"/>
    <n v="10.7536"/>
    <n v="1.4663999999999999"/>
    <n v="12.22"/>
    <s v="Sessão a Faturar"/>
    <n v="884774402038000"/>
    <n v="59779"/>
    <s v="Unidade Vieiralves"/>
    <n v="1717613566"/>
    <m/>
  </r>
  <r>
    <x v="9"/>
    <x v="44"/>
    <s v="Carlos Juliano Prado"/>
    <s v="Masculino"/>
    <x v="4"/>
    <x v="22"/>
    <s v="31602185 - Estimulação Elétrica Transcutânea - Removido 13/04/2026 (R$ 40,00)"/>
    <s v="Fisioterapia"/>
    <n v="1714918693"/>
    <s v="Finalizado (4/10)"/>
    <n v="35.200000000000003"/>
    <n v="4.8"/>
    <n v="40"/>
    <s v="Sessão a Faturar"/>
    <n v="774981010073010"/>
    <n v="55509"/>
    <s v="Unidade Vieiralves"/>
    <n v="1714918693"/>
    <m/>
  </r>
  <r>
    <x v="9"/>
    <x v="44"/>
    <s v="Bruna Lucianne dos Santos Galate"/>
    <s v="Feminino"/>
    <x v="6"/>
    <x v="22"/>
    <s v="31602185 - Estimulação Elétrica Transcutanea (Tens) (R$ 40,00)"/>
    <s v="Fisioterapia"/>
    <n v="172825"/>
    <s v="Finalizado (3/6)"/>
    <n v="35.200000000000003"/>
    <n v="4.8"/>
    <n v="40"/>
    <s v="Sessão a Faturar"/>
    <s v="55788888493194760120"/>
    <n v="43650"/>
    <s v="Unidade Vieiralves"/>
    <n v="172825"/>
    <s v="guia assinada"/>
  </r>
  <r>
    <x v="9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3/7)"/>
    <n v="39.089599999999997"/>
    <n v="5.3304"/>
    <n v="44.42"/>
    <s v="Sessão a Faturar"/>
    <s v="55788888493194760120"/>
    <n v="43650"/>
    <s v="Unidade Vieiralves"/>
    <n v="172824"/>
    <s v="guia assinada"/>
  </r>
  <r>
    <x v="9"/>
    <x v="44"/>
    <s v="Carlos Juliano Prado"/>
    <s v="Masculino"/>
    <x v="2"/>
    <x v="22"/>
    <s v="20103506 - Fisioterapia - Patologia Em Um Segmento da Coluna (R$ 12,22)"/>
    <s v="Fisioterapia"/>
    <n v="1713864619"/>
    <s v="Finalizado (5/10)"/>
    <n v="10.7536"/>
    <n v="1.4663999999999999"/>
    <n v="12.22"/>
    <s v="Sessão a Faturar"/>
    <n v="774981010073010"/>
    <n v="55509"/>
    <s v="Unidade Vieiralves"/>
    <n v="1713864619"/>
    <m/>
  </r>
  <r>
    <x v="9"/>
    <x v="44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5/10)"/>
    <n v="21.507200000000001"/>
    <n v="2.9327999999999999"/>
    <n v="24.44"/>
    <s v="Sessão a Faturar"/>
    <n v="771015041750020"/>
    <n v="37973"/>
    <s v="Unidade Vieiralves"/>
    <n v="1714893972"/>
    <m/>
  </r>
  <r>
    <x v="9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6/10)"/>
    <n v="30.8"/>
    <n v="4.2"/>
    <n v="35"/>
    <s v="Sessão Faturada"/>
    <s v="01301012922220002"/>
    <n v="14923"/>
    <s v="Unidade Vieiralves"/>
    <n v="9337474"/>
    <m/>
  </r>
  <r>
    <x v="9"/>
    <x v="41"/>
    <s v="Carlos Jose Cavalcante Martins"/>
    <s v="Masculino"/>
    <x v="2"/>
    <x v="22"/>
    <s v="20103492 - Fisioterapia - Patologia Em Dois Ou Mais Membros (R$ 14,83)"/>
    <s v="Fisioterapia"/>
    <n v="1707732828"/>
    <s v="Finalizado (7/8)"/>
    <n v="13.0504"/>
    <n v="1.7796000000000001"/>
    <n v="14.83"/>
    <s v="Sessão a Faturar"/>
    <n v="830425500051000"/>
    <n v="59320"/>
    <s v="Unidade Vieiralves"/>
    <n v="1707732828"/>
    <m/>
  </r>
  <r>
    <x v="9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17990208"/>
    <s v="Finalizado (1/10)"/>
    <n v="26.1008"/>
    <n v="3.5592000000000001"/>
    <n v="29.66"/>
    <s v="Sessão a Faturar"/>
    <n v="830425500043000"/>
    <n v="7701"/>
    <s v="Unidade Vieiralves"/>
    <n v="1717990208"/>
    <m/>
  </r>
  <r>
    <x v="9"/>
    <x v="41"/>
    <s v="Alberson Nascimento da Silva"/>
    <s v="Masculino"/>
    <x v="2"/>
    <x v="22"/>
    <s v="20103484 - Fisioterapia - Patologia Em Um Membro (R$ 12,22)"/>
    <s v="Fisioterapia"/>
    <n v="1717477875"/>
    <s v="Finalizado (2/10)"/>
    <n v="10.7536"/>
    <n v="1.4663999999999999"/>
    <n v="12.22"/>
    <s v="Sessão a Faturar"/>
    <n v="847586402151000"/>
    <n v="58240"/>
    <s v="Unidade Vieiralves"/>
    <n v="1717477875"/>
    <m/>
  </r>
  <r>
    <x v="9"/>
    <x v="36"/>
    <s v="Sandrea Flores Ferreira"/>
    <s v="Feminino"/>
    <x v="2"/>
    <x v="22"/>
    <s v="20103484 - Fisioterapia - Patologia Em Um Membro (R$ 12,22)"/>
    <s v="Fisioterapia"/>
    <n v="1714659755"/>
    <s v="Finalizado (5/10)"/>
    <n v="10.7536"/>
    <n v="1.4663999999999999"/>
    <n v="12.22"/>
    <s v="Sessão a Faturar"/>
    <n v="960016290663000"/>
    <n v="55592"/>
    <s v="Unidade Vieiralves"/>
    <n v="1714659755"/>
    <m/>
  </r>
  <r>
    <x v="9"/>
    <x v="36"/>
    <s v="Marcos Andre de Noronha Bezerra"/>
    <s v="Masculino"/>
    <x v="24"/>
    <x v="22"/>
    <s v="06 - Fisioterapia Ortopédica - Pacote Com 10 Sessões (R$ 40,00)"/>
    <s v="Fisioterapia"/>
    <n v="172782"/>
    <s v="Finalizado (1/10)"/>
    <n v="35.200000000000003"/>
    <n v="4.8"/>
    <n v="40"/>
    <s v="Sessão a Faturar"/>
    <n v="42296"/>
    <n v="42296"/>
    <s v="Unidade Vieiralves"/>
    <n v="172782"/>
    <m/>
  </r>
  <r>
    <x v="9"/>
    <x v="36"/>
    <s v="Vivianne Cristina Canavarro Fernandes Rocha"/>
    <s v="Feminino"/>
    <x v="6"/>
    <x v="22"/>
    <s v="20103514 - Patologia Em Dois Ou Mais Segmentos da Coluna (R$ 32,82)"/>
    <s v="Fisioterapia"/>
    <n v="171150"/>
    <s v="Finalizado (8/10)"/>
    <n v="28.881599999999999"/>
    <n v="3.9384000000000001"/>
    <n v="32.82"/>
    <s v="Sessão a Faturar"/>
    <s v="54588888491549250012"/>
    <n v="59548"/>
    <s v="Unidade Vieiralves"/>
    <n v="171150"/>
    <m/>
  </r>
  <r>
    <x v="9"/>
    <x v="36"/>
    <s v="Leonice Soares Lira"/>
    <s v="Feminino"/>
    <x v="8"/>
    <x v="22"/>
    <s v="20103492 - Patologia Em Dois Ou Mais Membros (R$ 14,83)"/>
    <s v="Fisioterapia"/>
    <n v="1715036003"/>
    <s v="Finalizado (3/10)"/>
    <n v="13.0504"/>
    <n v="1.7796000000000001"/>
    <n v="14.83"/>
    <s v="Sessão a Faturar"/>
    <n v="954600008907000"/>
    <n v="59695"/>
    <s v="Unidade Vieiralves"/>
    <n v="1715036003"/>
    <m/>
  </r>
  <r>
    <x v="9"/>
    <x v="61"/>
    <s v="Vivianne Cristina Canavarro Fernandes Rocha"/>
    <s v="Feminino"/>
    <x v="6"/>
    <x v="22"/>
    <s v="31602185 - Estimulação Elétrica Transcutanea (Tens) (R$ 40,00)"/>
    <s v="Fisioterapia"/>
    <n v="171151"/>
    <s v="Finalizado (8/10)"/>
    <n v="35.200000000000003"/>
    <n v="4.8"/>
    <n v="40"/>
    <s v="Sessão a Faturar"/>
    <s v="54588888491549250012"/>
    <n v="59548"/>
    <s v="Unidade Vieiralves"/>
    <n v="171151"/>
    <m/>
  </r>
  <r>
    <x v="9"/>
    <x v="40"/>
    <s v="Aldair Oliveira de Andrade"/>
    <s v="Masculino"/>
    <x v="1"/>
    <x v="22"/>
    <s v="50000160 - Fisioterapia Ortopédica (R$ 20,00), 98980327 - Taxa de Eletroterapia (Tens) (R$ 15,00)"/>
    <s v="Fisioterapia"/>
    <n v="8936322"/>
    <s v="Finalizado (7/10)"/>
    <n v="30.8"/>
    <n v="4.2"/>
    <n v="35"/>
    <s v="Sessão Faturada"/>
    <s v="0702007029320058"/>
    <n v="58351"/>
    <s v="Unidade Vieiralves"/>
    <n v="8936322"/>
    <s v="GUIA ASSINADA!"/>
  </r>
  <r>
    <x v="9"/>
    <x v="35"/>
    <s v="Marta Barbosa de Oliveira"/>
    <s v="Feminino"/>
    <x v="0"/>
    <x v="22"/>
    <s v="50000160 - Fisioterapia Ortopedica (R$ 49,72)"/>
    <s v="Fisioterapia"/>
    <s v="42263120260318509090"/>
    <s v="Finalizado (5/10)"/>
    <n v="43.753599999999999"/>
    <n v="5.9664000000000001"/>
    <n v="49.72"/>
    <s v="Sessão a Faturar"/>
    <s v="010650689402"/>
    <n v="59659"/>
    <s v="Unidade Vieiralves"/>
    <s v="42263120260318509090"/>
    <m/>
  </r>
  <r>
    <x v="9"/>
    <x v="35"/>
    <s v="Lucas Rodrigues de Oliveira"/>
    <s v="Masculino"/>
    <x v="17"/>
    <x v="22"/>
    <s v="50000160 - Fisioterapia Ortopedica (R$ 45,00)"/>
    <s v="Fisioterapia"/>
    <n v="3988705"/>
    <s v="Finalizado (4/4)"/>
    <n v="39.6"/>
    <n v="5.4"/>
    <n v="45"/>
    <s v="Sessão a Faturar"/>
    <s v="000915777874300"/>
    <n v="46907"/>
    <s v="Unidade Vieiralves"/>
    <n v="3988705"/>
    <m/>
  </r>
  <r>
    <x v="9"/>
    <x v="42"/>
    <s v="Marta Barbosa de Oliveira"/>
    <s v="Feminino"/>
    <x v="0"/>
    <x v="22"/>
    <s v="31602185 - Estimulação Elétrica Transcutânea Fisioterapia (Novo - 01/12) (R$ 54,13)"/>
    <s v="Fisioterapia"/>
    <s v="42263120260318510326"/>
    <s v="Finalizado (5/10)"/>
    <n v="47.634399999999999"/>
    <n v="6.4955999999999996"/>
    <n v="54.13"/>
    <s v="Sessão a Faturar"/>
    <s v="010650689402"/>
    <n v="59659"/>
    <s v="Unidade Vieiralves"/>
    <s v="42263120260318510326"/>
    <m/>
  </r>
  <r>
    <x v="9"/>
    <x v="38"/>
    <s v="Roberta Ferreira Coelho de Andrade"/>
    <s v="Feminino"/>
    <x v="1"/>
    <x v="22"/>
    <s v="50000160 - Fisioterapia Ortopédica (R$ 20,00), 98980327 - Taxa de Eletroterapia (Tens) (R$ 15,00)"/>
    <s v="Fisioterapia"/>
    <n v="9458241"/>
    <s v="Finalizado (2/10)"/>
    <n v="30.8"/>
    <n v="4.2"/>
    <n v="35"/>
    <s v="Sessão a Faturar"/>
    <s v="0701010939440006"/>
    <n v="58292"/>
    <s v="Unidade Vieiralves"/>
    <n v="9458241"/>
    <m/>
  </r>
  <r>
    <x v="9"/>
    <x v="38"/>
    <s v="Rose Mayre Vieira Barreto"/>
    <s v="Feminino"/>
    <x v="2"/>
    <x v="22"/>
    <s v="20103492 - Fisioterapia - Patologia Em Dois Ou Mais Membros (R$ 14,83), 20103506 - Fisioterapia - Patologia Em Um Segmento da Coluna (R$ 12,22)"/>
    <s v="Fisioterapia"/>
    <n v="1713968993"/>
    <s v="Finalizado (5/5)"/>
    <n v="23.803999999999998"/>
    <n v="3.246"/>
    <n v="27.05"/>
    <s v="Sessão Faturada"/>
    <n v="813312700027000"/>
    <n v="17029"/>
    <s v="Unidade Vieiralves"/>
    <n v="1713968993"/>
    <m/>
  </r>
  <r>
    <x v="9"/>
    <x v="38"/>
    <s v="Daniele Guimarães Alves"/>
    <s v="Feminino"/>
    <x v="4"/>
    <x v="22"/>
    <s v="31602185 - Estimulação Elétrica Transcutânea - Removido 13/04/2026 (R$ 40,00)"/>
    <s v="Fisioterapia"/>
    <n v="1716550667"/>
    <s v="Finalizado (2/2)"/>
    <n v="35.200000000000003"/>
    <n v="4.8"/>
    <n v="40"/>
    <s v="Sessão Faturada"/>
    <n v="952650062103000"/>
    <n v="59353"/>
    <s v="Unidade Vieiralves"/>
    <n v="1716550667"/>
    <m/>
  </r>
  <r>
    <x v="9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5/6)"/>
    <n v="23.803999999999998"/>
    <n v="3.246"/>
    <n v="27.05"/>
    <s v="Sessão a Faturar"/>
    <n v="952650062103000"/>
    <n v="59353"/>
    <s v="Unidade Vieiralves"/>
    <n v="1707840911"/>
    <m/>
  </r>
  <r>
    <x v="9"/>
    <x v="37"/>
    <s v="Julliana Gadelha de Medeiros"/>
    <s v="Feminino"/>
    <x v="8"/>
    <x v="22"/>
    <s v="20103484 - Patologia Em Um Membro (R$ 12,22)"/>
    <s v="Fisioterapia"/>
    <n v="1711444434"/>
    <s v="Finalizado (6/7)"/>
    <n v="10.7536"/>
    <n v="1.4663999999999999"/>
    <n v="12.22"/>
    <s v="Sessão a Faturar"/>
    <n v="954600002968020"/>
    <n v="20663"/>
    <s v="Unidade Vieiralves"/>
    <n v="1711444434"/>
    <m/>
  </r>
  <r>
    <x v="9"/>
    <x v="39"/>
    <s v="Henrique Douglas Macedo Mendes Júnior"/>
    <s v="Masculino"/>
    <x v="4"/>
    <x v="22"/>
    <s v="31602185 - Estimulação Elétrica Transcutânea - Removido 13/04/2026 (R$ 40,00)"/>
    <s v="Fisioterapia"/>
    <n v="1715484785"/>
    <s v="Finalizado (3/10)"/>
    <n v="35.200000000000003"/>
    <n v="4.8"/>
    <n v="40"/>
    <s v="Sessão a Faturar"/>
    <n v="897702200019010"/>
    <n v="56664"/>
    <s v="Unidade Vieiralves"/>
    <n v="1715484785"/>
    <m/>
  </r>
  <r>
    <x v="9"/>
    <x v="39"/>
    <s v="Vania Mara Aguiar Barcellos"/>
    <s v="Feminino"/>
    <x v="1"/>
    <x v="22"/>
    <s v="50000160 - Fisioterapia Ortopédica (R$ 20,00), 98980327 - Taxa de Eletroterapia (Tens) (R$ 15,00)"/>
    <s v="Fisioterapia"/>
    <n v="9536435"/>
    <s v="Finalizado (3/10)"/>
    <n v="30.8"/>
    <n v="4.2"/>
    <n v="35"/>
    <s v="Sessão a Faturar"/>
    <s v="0201013975240093"/>
    <n v="59762"/>
    <s v="Unidade Vieiralves"/>
    <n v="9536435"/>
    <m/>
  </r>
  <r>
    <x v="9"/>
    <x v="64"/>
    <s v="Henrique Douglas Macedo Mendes Júnior"/>
    <s v="Masculino"/>
    <x v="2"/>
    <x v="22"/>
    <s v="20103484 - Fisioterapia - Patologia Em Um Membro (R$ 12,22)"/>
    <s v="Fisioterapia"/>
    <n v="1718089613"/>
    <s v="Finalizado (2/5)"/>
    <n v="10.7536"/>
    <n v="1.4663999999999999"/>
    <n v="12.22"/>
    <s v="Sessão a Faturar"/>
    <n v="897702200019010"/>
    <n v="56664"/>
    <s v="Unidade Vieiralves"/>
    <n v="1718089613"/>
    <m/>
  </r>
  <r>
    <x v="9"/>
    <x v="43"/>
    <s v="Marcia Maria de Souza Miranda"/>
    <s v="Feminino"/>
    <x v="2"/>
    <x v="22"/>
    <s v="20103506 - Fisioterapia - Patologia Em Um Segmento da Coluna (R$ 12,22)"/>
    <s v="Fisioterapia"/>
    <n v="1717613566"/>
    <s v="Finalizado (2/10)"/>
    <n v="10.7536"/>
    <n v="1.4663999999999999"/>
    <n v="12.22"/>
    <s v="Sessão a Faturar"/>
    <n v="884774402038000"/>
    <n v="59779"/>
    <s v="Unidade Vieiralves"/>
    <n v="1717613566"/>
    <m/>
  </r>
  <r>
    <x v="25"/>
    <x v="44"/>
    <s v="Bruna Lucianne dos Santos Galate"/>
    <s v="Feminino"/>
    <x v="6"/>
    <x v="22"/>
    <s v="31602185 - Estimulação Elétrica Transcutanea (Tens) (R$ 40,00)"/>
    <s v="Fisioterapia"/>
    <n v="172825"/>
    <s v="Finalizado (4/6)"/>
    <n v="35.200000000000003"/>
    <n v="4.8"/>
    <n v="40"/>
    <s v="Sessão a Faturar"/>
    <s v="55788888493194760120"/>
    <n v="43650"/>
    <s v="Unidade Vieiralves"/>
    <n v="172825"/>
    <s v="guia assinada"/>
  </r>
  <r>
    <x v="25"/>
    <x v="44"/>
    <s v="Carlos Juliano Prado"/>
    <s v="Masculino"/>
    <x v="4"/>
    <x v="22"/>
    <s v="31602185 - Estimulação Elétrica Transcutânea - Removido 13/04/2026 (R$ 40,00)"/>
    <s v="Fisioterapia"/>
    <n v="1714918693"/>
    <s v="Finalizado (5/10)"/>
    <n v="35.200000000000003"/>
    <n v="4.8"/>
    <n v="40"/>
    <s v="Sessão a Faturar"/>
    <n v="774981010073010"/>
    <n v="55509"/>
    <s v="Unidade Vieiralves"/>
    <n v="1714918693"/>
    <m/>
  </r>
  <r>
    <x v="25"/>
    <x v="44"/>
    <s v="Lauro Loureiro Yoshimura"/>
    <s v="Masculino"/>
    <x v="6"/>
    <x v="22"/>
    <s v="20103492 - Patologia Em Dois Ou Mais Membros (R$ 30,26)"/>
    <s v="Fisioterapia"/>
    <n v="170033"/>
    <s v="Finalizado (5/10)"/>
    <n v="26.628799999999998"/>
    <n v="3.6312000000000002"/>
    <n v="30.26"/>
    <s v="Sessão a Faturar"/>
    <s v="58200789998000620040"/>
    <n v="44324"/>
    <s v="Unidade Vieiralves"/>
    <n v="170033"/>
    <m/>
  </r>
  <r>
    <x v="25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4/7)"/>
    <n v="39.089599999999997"/>
    <n v="5.3304"/>
    <n v="44.42"/>
    <s v="Sessão a Faturar"/>
    <s v="55788888493194760120"/>
    <n v="43650"/>
    <s v="Unidade Vieiralves"/>
    <n v="172824"/>
    <s v="guia assinada"/>
  </r>
  <r>
    <x v="25"/>
    <x v="44"/>
    <s v="Carlos Juliano Prado"/>
    <s v="Masculino"/>
    <x v="2"/>
    <x v="22"/>
    <s v="20103506 - Fisioterapia - Patologia Em Um Segmento da Coluna (R$ 12,22)"/>
    <s v="Fisioterapia"/>
    <n v="1713864619"/>
    <s v="Finalizado (6/10)"/>
    <n v="10.7536"/>
    <n v="1.4663999999999999"/>
    <n v="12.22"/>
    <s v="Sessão a Faturar"/>
    <n v="774981010073010"/>
    <n v="55509"/>
    <s v="Unidade Vieiralves"/>
    <n v="1713864619"/>
    <m/>
  </r>
  <r>
    <x v="25"/>
    <x v="60"/>
    <s v="Lauro Loureiro Yoshimura"/>
    <s v="Masculino"/>
    <x v="6"/>
    <x v="22"/>
    <s v="31602185 - Estimulação Elétrica Transcutanea (Tens) (R$ 40,00)"/>
    <s v="Fisioterapia"/>
    <n v="170036"/>
    <s v="Finalizado (5/10)"/>
    <n v="35.200000000000003"/>
    <n v="4.8"/>
    <n v="40"/>
    <s v="Sessão a Faturar"/>
    <s v="58200789998000620040"/>
    <n v="44324"/>
    <s v="Unidade Vieiralves"/>
    <n v="170036"/>
    <m/>
  </r>
  <r>
    <x v="25"/>
    <x v="41"/>
    <s v="Junio Costa de Almeida"/>
    <s v="Masculino"/>
    <x v="2"/>
    <x v="22"/>
    <s v="20103492 - Fisioterapia - Patologia Em Dois Ou Mais Membros (R$ 14,83)"/>
    <s v="Fisioterapia"/>
    <n v="1715418583"/>
    <s v="Finalizado (3/10)"/>
    <n v="13.0504"/>
    <n v="1.7796000000000001"/>
    <n v="14.83"/>
    <s v="Sessão a Faturar"/>
    <n v="773709045322000"/>
    <n v="59013"/>
    <s v="Unidade Vieiralves"/>
    <n v="1715418583"/>
    <m/>
  </r>
  <r>
    <x v="25"/>
    <x v="41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7/10)"/>
    <n v="30.8"/>
    <n v="4.2"/>
    <n v="35"/>
    <s v="Sessão Faturada"/>
    <n v="1901013246260100"/>
    <n v="53193"/>
    <s v="Unidade Vieiralves"/>
    <n v="9350764"/>
    <m/>
  </r>
  <r>
    <x v="25"/>
    <x v="36"/>
    <s v="Leonice Soares Lira"/>
    <s v="Feminino"/>
    <x v="8"/>
    <x v="22"/>
    <s v="20103492 - Patologia Em Dois Ou Mais Membros (R$ 14,83)"/>
    <s v="Fisioterapia"/>
    <n v="1715036003"/>
    <s v="Finalizado (4/10)"/>
    <n v="13.0504"/>
    <n v="1.7796000000000001"/>
    <n v="14.83"/>
    <s v="Sessão a Faturar"/>
    <n v="954600008907000"/>
    <n v="59695"/>
    <s v="Unidade Vieiralves"/>
    <n v="1715036003"/>
    <m/>
  </r>
  <r>
    <x v="25"/>
    <x v="36"/>
    <s v="Andre Luiz da Rocha Moura"/>
    <s v="Masculino"/>
    <x v="4"/>
    <x v="22"/>
    <s v="31602185 - Estimulação Elétrica Transcutânea - Removido 13/04/2026 (R$ 40,00)"/>
    <s v="Fisioterapia"/>
    <n v="1717537834"/>
    <s v="Finalizado (2/5)"/>
    <n v="35.200000000000003"/>
    <n v="4.8"/>
    <n v="40"/>
    <s v="Sessão a Faturar"/>
    <n v="771015054119000"/>
    <n v="52042"/>
    <s v="Unidade Vieiralves"/>
    <n v="1717537834"/>
    <m/>
  </r>
  <r>
    <x v="25"/>
    <x v="36"/>
    <s v="Andre Luiz da Rocha Moura"/>
    <s v="Masculino"/>
    <x v="2"/>
    <x v="22"/>
    <s v="20103484 - Fisioterapia - Patologia Em Um Membro (R$ 12,22), 20103506 - Fisioterapia - Patologia Em Um Segmento da Coluna (R$ 12,22)"/>
    <s v="Fisioterapia"/>
    <n v="1716999064"/>
    <s v="Finalizado (3/10)"/>
    <n v="21.507200000000001"/>
    <n v="2.9327999999999999"/>
    <n v="24.44"/>
    <s v="Sessão a Faturar"/>
    <n v="771015054119000"/>
    <n v="52042"/>
    <s v="Unidade Vieiralves"/>
    <n v="1716999064"/>
    <m/>
  </r>
  <r>
    <x v="25"/>
    <x v="40"/>
    <s v="Lucia Ferreira Viana"/>
    <s v="Feminino"/>
    <x v="0"/>
    <x v="22"/>
    <s v="31602185 - Estimulação Elétrica Transcutânea Fisioterapia (Novo - 01/12) (R$ 54,13)"/>
    <s v="Fisioterapia"/>
    <s v="42263120260305416626"/>
    <s v="Finalizado (9/10)"/>
    <n v="47.634399999999999"/>
    <n v="6.4955999999999996"/>
    <n v="54.13"/>
    <s v="Sessão a Faturar"/>
    <s v="010650248904"/>
    <n v="10197"/>
    <s v="Unidade Vieiralves"/>
    <s v="42263120260305416626"/>
    <m/>
  </r>
  <r>
    <x v="25"/>
    <x v="40"/>
    <s v="Maria Eduarda Menezes"/>
    <s v="Feminino"/>
    <x v="0"/>
    <x v="22"/>
    <s v="31602185 - Estimulação Elétrica Transcutânea Fisioterapia (Novo - 01/12) (R$ 54,13)"/>
    <s v="Fisioterapia"/>
    <s v="42263120260310446304"/>
    <s v="Finalizado (8/10)"/>
    <n v="47.634399999999999"/>
    <n v="6.4955999999999996"/>
    <n v="54.13"/>
    <s v="Sessão a Faturar"/>
    <s v="010650678953"/>
    <n v="59554"/>
    <s v="Unidade Vieiralves"/>
    <s v="42263120260310446304"/>
    <m/>
  </r>
  <r>
    <x v="25"/>
    <x v="40"/>
    <s v="Viviane Paes Barreto da Silva"/>
    <s v="Feminino"/>
    <x v="4"/>
    <x v="22"/>
    <s v="31602185 - Estimulação Elétrica Transcutânea - Removido 13/04/2026 (R$ 40,00)"/>
    <s v="Fisioterapia"/>
    <n v="1714252033"/>
    <s v="Finalizado (4/10)"/>
    <n v="35.200000000000003"/>
    <n v="4.8"/>
    <n v="40"/>
    <s v="Sessão a Faturar"/>
    <n v="853503800205040"/>
    <n v="59636"/>
    <s v="Unidade Vieiralves"/>
    <n v="1714252033"/>
    <m/>
  </r>
  <r>
    <x v="25"/>
    <x v="40"/>
    <s v="Ormandina Martins Leão"/>
    <s v="Feminino"/>
    <x v="5"/>
    <x v="22"/>
    <s v="31602185 - Estimulação Elétrica Transcutânea (Tens) (R$ 125,40)"/>
    <s v="Fisioterapia"/>
    <n v="78069600"/>
    <s v="Finalizado (3/10)"/>
    <n v="110.352"/>
    <n v="15.048"/>
    <n v="125.4"/>
    <s v="Sessão a Faturar"/>
    <s v="0100865562010408"/>
    <n v="275"/>
    <s v="Unidade Vieiralves"/>
    <n v="78069600"/>
    <m/>
  </r>
  <r>
    <x v="25"/>
    <x v="40"/>
    <s v="Ormandina Martins Leão"/>
    <s v="Feminino"/>
    <x v="5"/>
    <x v="22"/>
    <s v="98860020 - Fisioterapia Complexidade 2 - 04/03/2026 (R$ 70,79)"/>
    <s v="Fisioterapia"/>
    <n v="77123200"/>
    <s v="Finalizado (6/10)"/>
    <n v="62.295200000000001"/>
    <n v="8.4947999999999997"/>
    <n v="70.790000000000006"/>
    <s v="Sessão Faturada"/>
    <s v="0100865562010408"/>
    <n v="275"/>
    <s v="Unidade Vieiralves"/>
    <n v="77123200"/>
    <m/>
  </r>
  <r>
    <x v="25"/>
    <x v="40"/>
    <s v="Lucia Ferreira Viana"/>
    <s v="Feminino"/>
    <x v="0"/>
    <x v="22"/>
    <s v="50000160 - Fisioterapia Ortopedica (R$ 49,72)"/>
    <s v="Fisioterapia"/>
    <s v="42263120260305416369"/>
    <s v="Finalizado (9/10)"/>
    <n v="43.753599999999999"/>
    <n v="5.9664000000000001"/>
    <n v="49.72"/>
    <s v="Sessão a Faturar"/>
    <s v="010650248904"/>
    <n v="10197"/>
    <s v="Unidade Vieiralves"/>
    <s v="42263120260305416369"/>
    <m/>
  </r>
  <r>
    <x v="25"/>
    <x v="40"/>
    <s v="Viviane Paes Barreto da Silva"/>
    <s v="Feminino"/>
    <x v="2"/>
    <x v="22"/>
    <s v="20103484 - Fisioterapia - Patologia Em Um Membro (R$ 12,22)"/>
    <s v="Fisioterapia"/>
    <n v="1713637483"/>
    <s v="Finalizado (5/10)"/>
    <n v="10.7536"/>
    <n v="1.4663999999999999"/>
    <n v="12.22"/>
    <s v="Sessão a Faturar"/>
    <n v="853503800205040"/>
    <n v="59636"/>
    <s v="Unidade Vieiralves"/>
    <n v="1713637483"/>
    <m/>
  </r>
  <r>
    <x v="25"/>
    <x v="40"/>
    <s v="Maria Eduarda Menezes"/>
    <s v="Feminino"/>
    <x v="0"/>
    <x v="22"/>
    <s v="50000160 - Fisioterapia Ortopedica (R$ 49,72)"/>
    <s v="Fisioterapia"/>
    <s v="42263120260310446258"/>
    <s v="Finalizado (8/10)"/>
    <n v="43.753599999999999"/>
    <n v="5.9664000000000001"/>
    <n v="49.72"/>
    <s v="Sessão a Faturar"/>
    <s v="010650678953"/>
    <n v="59554"/>
    <s v="Unidade Vieiralves"/>
    <s v="42263120260310446258"/>
    <m/>
  </r>
  <r>
    <x v="25"/>
    <x v="35"/>
    <s v="Elem Poliana Carvalho de Brito"/>
    <s v="Feminino"/>
    <x v="2"/>
    <x v="22"/>
    <s v="20103484 - Fisioterapia - Patologia Em Um Membro (R$ 12,22)"/>
    <s v="Fisioterapia"/>
    <n v="1718474979"/>
    <s v="Finalizado (1/10)"/>
    <n v="10.7536"/>
    <n v="1.4663999999999999"/>
    <n v="12.22"/>
    <s v="Sessão a Faturar"/>
    <n v="960019332171040"/>
    <n v="11880"/>
    <s v="Unidade Vieiralves"/>
    <n v="1718474979"/>
    <m/>
  </r>
  <r>
    <x v="25"/>
    <x v="35"/>
    <s v="Elem Poliana Carvalho de Brito"/>
    <s v="Feminino"/>
    <x v="2"/>
    <x v="22"/>
    <s v="50000144 - Avaliação de Fisioterapia (R$ 51,42)"/>
    <s v="Fisioterapia"/>
    <n v="1718474466"/>
    <s v="Finalizado (1/1)"/>
    <n v="46.277999999999999"/>
    <n v="5.1420000000000003"/>
    <n v="51.42"/>
    <s v="Sessão Faturada"/>
    <n v="960019332171040"/>
    <n v="11880"/>
    <s v="Unidade Vieiralves"/>
    <n v="1718474466"/>
    <m/>
  </r>
  <r>
    <x v="25"/>
    <x v="35"/>
    <s v="Icaro de Melo Amorim"/>
    <s v="Masculino"/>
    <x v="2"/>
    <x v="22"/>
    <s v="20103662 - Fisioterapia - Pos Operatorio Em Um Membro (R$ 14,99)"/>
    <s v="Fisioterapia"/>
    <n v="1710497689"/>
    <s v="Finalizado (2/10)"/>
    <n v="13.1912"/>
    <n v="1.7988"/>
    <n v="14.99"/>
    <s v="Sessão a Faturar"/>
    <n v="960019332171000"/>
    <n v="30492"/>
    <s v="Unidade Vieiralves"/>
    <n v="1710497689"/>
    <m/>
  </r>
  <r>
    <x v="25"/>
    <x v="38"/>
    <s v="Marcia Maria de Souza Miranda"/>
    <s v="Feminino"/>
    <x v="2"/>
    <x v="22"/>
    <s v="20103506 - Fisioterapia - Patologia Em Um Segmento da Coluna (R$ 12,22)"/>
    <s v="Fisioterapia"/>
    <n v="1717613566"/>
    <s v="Finalizado (3/10)"/>
    <n v="10.7536"/>
    <n v="1.4663999999999999"/>
    <n v="12.22"/>
    <s v="Sessão a Faturar"/>
    <n v="884774402038000"/>
    <n v="59779"/>
    <s v="Unidade Vieiralves"/>
    <n v="1717613566"/>
    <m/>
  </r>
  <r>
    <x v="25"/>
    <x v="38"/>
    <s v="Daniele Guimarães Alves"/>
    <s v="Feminino"/>
    <x v="2"/>
    <x v="22"/>
    <s v="20103492 - Fisioterapia - Patologia Em Dois Ou Mais Membros (R$ 14,83), 20103506 - Fisioterapia - Patologia Em Um Segmento da Coluna (R$ 12,22)"/>
    <s v="Fisioterapia"/>
    <n v="1707840911"/>
    <s v="Finalizado (6/6)"/>
    <n v="23.803999999999998"/>
    <n v="3.246"/>
    <n v="27.05"/>
    <s v="Sessão a Faturar"/>
    <n v="952650062103000"/>
    <n v="59353"/>
    <s v="Unidade Vieiralves"/>
    <n v="1707840911"/>
    <m/>
  </r>
  <r>
    <x v="25"/>
    <x v="37"/>
    <s v="Andrea Nogueira Rodrigues"/>
    <s v="Masculino"/>
    <x v="2"/>
    <x v="22"/>
    <s v="20103484 - Fisioterapia - Patologia Em Um Membro (R$ 12,22)"/>
    <s v="Fisioterapia"/>
    <n v="1707287810"/>
    <s v="Finalizado (4/4)"/>
    <n v="10.7536"/>
    <n v="1.4663999999999999"/>
    <n v="12.22"/>
    <s v="Sessão Faturada"/>
    <n v="773268005452020"/>
    <n v="59385"/>
    <s v="Unidade Vieiralves"/>
    <n v="1707287810"/>
    <m/>
  </r>
  <r>
    <x v="25"/>
    <x v="37"/>
    <s v="Ananda Priscila Gomes Fernandes"/>
    <s v="Feminino"/>
    <x v="2"/>
    <x v="22"/>
    <s v="50000144 - Avaliação de Fisioterapia (R$ 51,42)"/>
    <s v="Fisioterapia"/>
    <n v="1718495956"/>
    <s v="Finalizado (1/1)"/>
    <n v="46.277999999999999"/>
    <n v="5.1420000000000003"/>
    <n v="51.42"/>
    <s v="Sessão Faturada"/>
    <n v="770179019054020"/>
    <n v="49838"/>
    <s v="Unidade Vieiralves"/>
    <n v="1718495956"/>
    <m/>
  </r>
  <r>
    <x v="25"/>
    <x v="37"/>
    <s v="Ananda Priscila Gomes Fernandes"/>
    <s v="Feminino"/>
    <x v="2"/>
    <x v="22"/>
    <s v="20103492 - Fisioterapia - Patologia Em Dois Ou Mais Membros (R$ 14,83), 20103514 - Fisioterapia - Patologia Em Diferentes Segmentos da Coluna (R$ 14,83)"/>
    <s v="Fisioterapia"/>
    <n v="1718496830"/>
    <s v="Finalizado (1/10)"/>
    <n v="26.1008"/>
    <n v="3.5592000000000001"/>
    <n v="29.66"/>
    <s v="Sessão a Faturar"/>
    <n v="770179019054020"/>
    <n v="49838"/>
    <s v="Unidade Vieiralves"/>
    <n v="1718496830"/>
    <m/>
  </r>
  <r>
    <x v="10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5/7)"/>
    <n v="39.089599999999997"/>
    <n v="5.3304"/>
    <n v="44.42"/>
    <s v="Sessão a Faturar"/>
    <s v="55788888493194760120"/>
    <n v="43650"/>
    <s v="Unidade Vieiralves"/>
    <n v="172824"/>
    <s v="guia assinada"/>
  </r>
  <r>
    <x v="10"/>
    <x v="44"/>
    <s v="Franciane de Souza Gomes"/>
    <s v="Feminino"/>
    <x v="2"/>
    <x v="22"/>
    <s v="20103492 - Fisioterapia - Patologia Em Dois Ou Mais Membros (R$ 14,83)"/>
    <s v="Fisioterapia"/>
    <n v="1718769275"/>
    <s v="Finalizado (1/10)"/>
    <n v="13.0504"/>
    <n v="1.7796000000000001"/>
    <n v="14.83"/>
    <s v="Sessão a Faturar"/>
    <n v="973700009598000"/>
    <n v="16642"/>
    <s v="Unidade Vieiralves"/>
    <n v="1718769275"/>
    <m/>
  </r>
  <r>
    <x v="10"/>
    <x v="44"/>
    <s v="Bruna Lucianne dos Santos Galate"/>
    <s v="Feminino"/>
    <x v="6"/>
    <x v="22"/>
    <s v="31602185 - Estimulação Elétrica Transcutanea (Tens) (R$ 40,00)"/>
    <s v="Fisioterapia"/>
    <n v="172825"/>
    <s v="Finalizado (5/6)"/>
    <n v="35.200000000000003"/>
    <n v="4.8"/>
    <n v="40"/>
    <s v="Sessão a Faturar"/>
    <s v="55788888493194760120"/>
    <n v="43650"/>
    <s v="Unidade Vieiralves"/>
    <n v="172825"/>
    <s v="guia assinada"/>
  </r>
  <r>
    <x v="10"/>
    <x v="44"/>
    <s v="Diego Nobuyoshi de Souza Tsuji"/>
    <s v="Masculino"/>
    <x v="2"/>
    <x v="22"/>
    <s v="20103492 - Fisioterapia - Patologia Em Dois Ou Mais Membros (R$ 14,83)"/>
    <s v="Fisioterapia"/>
    <n v="1714395186"/>
    <s v="Finalizado (4/10)"/>
    <n v="13.0504"/>
    <n v="1.7796000000000001"/>
    <n v="14.83"/>
    <s v="Sessão a Faturar"/>
    <n v="774981009148000"/>
    <n v="11130"/>
    <s v="Unidade Vieiralves"/>
    <n v="1714395186"/>
    <m/>
  </r>
  <r>
    <x v="10"/>
    <x v="41"/>
    <s v="Mario Alves Sobral Junior"/>
    <s v="Masculino"/>
    <x v="1"/>
    <x v="22"/>
    <s v="50000160 - Fisioterapia Ortopédica (R$ 20,00), 98980327 - Taxa de Eletroterapia (Tens) (R$ 15,00)"/>
    <s v="Fisioterapia"/>
    <n v="9337474"/>
    <s v="Finalizado (7/10)"/>
    <n v="30.8"/>
    <n v="4.2"/>
    <n v="35"/>
    <s v="Sessão Faturada"/>
    <s v="01301012922220002"/>
    <n v="14923"/>
    <s v="Unidade Vieiralves"/>
    <n v="9337474"/>
    <m/>
  </r>
  <r>
    <x v="10"/>
    <x v="41"/>
    <s v="Karoline Lima de Oliveira"/>
    <s v="Feminino"/>
    <x v="2"/>
    <x v="22"/>
    <s v="20103484 - Fisioterapia - Patologia Em Um Membro (R$ 12,22)"/>
    <s v="Fisioterapia"/>
    <n v="1716472998"/>
    <s v="Finalizado (3/10)"/>
    <n v="10.7536"/>
    <n v="1.4663999999999999"/>
    <n v="12.22"/>
    <s v="Sessão a Faturar"/>
    <n v="954600003484010"/>
    <n v="59690"/>
    <s v="Unidade Vieiralves"/>
    <n v="1716472998"/>
    <m/>
  </r>
  <r>
    <x v="10"/>
    <x v="41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6/10)"/>
    <n v="21.507200000000001"/>
    <n v="2.9327999999999999"/>
    <n v="24.44"/>
    <s v="Sessão a Faturar"/>
    <n v="771015041750020"/>
    <n v="37973"/>
    <s v="Unidade Vieiralves"/>
    <n v="1714893972"/>
    <m/>
  </r>
  <r>
    <x v="10"/>
    <x v="41"/>
    <s v="Greice Ribeiro Siqueira"/>
    <s v="Feminino"/>
    <x v="10"/>
    <x v="22"/>
    <s v="50000160 - Fisioterapia Ortopédica (R$ 15,00)"/>
    <s v="Fisioterapia"/>
    <n v="23002894"/>
    <s v="Finalizado (1/10)"/>
    <n v="13.2"/>
    <n v="1.8"/>
    <n v="15"/>
    <s v="Sessão a Faturar"/>
    <s v="00010064268117005"/>
    <n v="58505"/>
    <s v="Unidade Vieiralves"/>
    <n v="23002894"/>
    <s v="Guia Assinada"/>
  </r>
  <r>
    <x v="10"/>
    <x v="36"/>
    <s v="Marcos Andre de Noronha Bezerra"/>
    <s v="Masculino"/>
    <x v="24"/>
    <x v="22"/>
    <s v="06 - Fisioterapia Ortopédica - Pacote Com 10 Sessões (R$ 40,00)"/>
    <s v="Fisioterapia"/>
    <n v="172782"/>
    <s v="Finalizado (2/10)"/>
    <n v="35.200000000000003"/>
    <n v="4.8"/>
    <n v="40"/>
    <s v="Sessão a Faturar"/>
    <n v="42296"/>
    <n v="42296"/>
    <s v="Unidade Vieiralves"/>
    <n v="172782"/>
    <m/>
  </r>
  <r>
    <x v="10"/>
    <x v="36"/>
    <s v="Leonice Soares Lira"/>
    <s v="Feminino"/>
    <x v="8"/>
    <x v="22"/>
    <s v="20103492 - Patologia Em Dois Ou Mais Membros (R$ 14,83)"/>
    <s v="Fisioterapia"/>
    <n v="1715036003"/>
    <s v="Finalizado (5/10)"/>
    <n v="13.0504"/>
    <n v="1.7796000000000001"/>
    <n v="14.83"/>
    <s v="Sessão a Faturar"/>
    <n v="954600008907000"/>
    <n v="59695"/>
    <s v="Unidade Vieiralves"/>
    <n v="1715036003"/>
    <m/>
  </r>
  <r>
    <x v="10"/>
    <x v="36"/>
    <s v="Ana Maria Barros Martins"/>
    <s v="Feminino"/>
    <x v="1"/>
    <x v="22"/>
    <s v="50000160 - Fisioterapia Ortopédica (R$ 20,00), 98980327 - Taxa de Eletroterapia (Tens) (R$ 15,00)"/>
    <s v="Fisioterapia"/>
    <n v="9431265"/>
    <s v="Finalizado (4/10)"/>
    <n v="30.8"/>
    <n v="4.2"/>
    <n v="35"/>
    <s v="Sessão a Faturar"/>
    <s v="0201005329570033"/>
    <n v="55774"/>
    <s v="Unidade Vieiralves"/>
    <n v="9431265"/>
    <m/>
  </r>
  <r>
    <x v="10"/>
    <x v="40"/>
    <s v="Maria Nazira Tomaz Pereira"/>
    <s v="Feminino"/>
    <x v="6"/>
    <x v="22"/>
    <s v="20103492 - Patologia Em Dois Ou Mais Membros (R$ 30,26), 20103506 - Patologia Em Um Segmento da Coluna (R$ 14,16)"/>
    <s v="Fisioterapia"/>
    <n v="168228"/>
    <s v="Finalizado (8/10)"/>
    <n v="39.089599999999997"/>
    <n v="5.3304"/>
    <n v="44.42"/>
    <s v="Sessão a Faturar"/>
    <s v="55788888483387380020"/>
    <n v="20265"/>
    <s v="Unidade Vieiralves"/>
    <n v="168228"/>
    <m/>
  </r>
  <r>
    <x v="10"/>
    <x v="40"/>
    <s v="Maria Eduarda Menezes"/>
    <s v="Feminino"/>
    <x v="0"/>
    <x v="22"/>
    <s v="50000160 - Fisioterapia Ortopedica (R$ 49,72)"/>
    <s v="Fisioterapia"/>
    <s v="42263120260310446258"/>
    <s v="Finalizado (9/10)"/>
    <n v="43.753599999999999"/>
    <n v="5.9664000000000001"/>
    <n v="49.72"/>
    <s v="Sessão a Faturar"/>
    <s v="010650678953"/>
    <n v="59554"/>
    <s v="Unidade Vieiralves"/>
    <s v="42263120260310446258"/>
    <m/>
  </r>
  <r>
    <x v="10"/>
    <x v="40"/>
    <s v="Andre Luiz da Rocha Moura"/>
    <s v="Masculino"/>
    <x v="2"/>
    <x v="22"/>
    <s v="20103484 - Fisioterapia - Patologia Em Um Membro (R$ 12,22), 20103506 - Fisioterapia - Patologia Em Um Segmento da Coluna (R$ 12,22)"/>
    <s v="Fisioterapia"/>
    <n v="1716999064"/>
    <s v="Finalizado (4/10)"/>
    <n v="21.507200000000001"/>
    <n v="2.9327999999999999"/>
    <n v="24.44"/>
    <s v="Sessão a Faturar"/>
    <n v="771015054119000"/>
    <n v="52042"/>
    <s v="Unidade Vieiralves"/>
    <n v="1716999064"/>
    <m/>
  </r>
  <r>
    <x v="10"/>
    <x v="40"/>
    <s v="Rair Silva e Souza de Moura"/>
    <s v="Feminino"/>
    <x v="1"/>
    <x v="22"/>
    <s v="50000160 - Fisioterapia Ortopédica (R$ 20,00), 98980327 - Taxa de Eletroterapia (Tens) (R$ 15,00)"/>
    <s v="Fisioterapia"/>
    <n v="9532731"/>
    <s v="Finalizado (1/10)"/>
    <n v="30.8"/>
    <n v="4.2"/>
    <n v="35"/>
    <s v="Sessão a Faturar"/>
    <n v="201013748740040"/>
    <n v="54729"/>
    <s v="Unidade Vieiralves"/>
    <n v="9532731"/>
    <m/>
  </r>
  <r>
    <x v="10"/>
    <x v="45"/>
    <s v="Maria Eduarda Menezes"/>
    <s v="Feminino"/>
    <x v="0"/>
    <x v="22"/>
    <s v="31602185 - Estimulação Elétrica Transcutânea Fisioterapia (Novo - 01/12) (R$ 54,13)"/>
    <s v="Fisioterapia"/>
    <s v="42263120260310446304"/>
    <s v="Finalizado (9/10)"/>
    <n v="47.634399999999999"/>
    <n v="6.4955999999999996"/>
    <n v="54.13"/>
    <s v="Sessão a Faturar"/>
    <s v="010650678953"/>
    <n v="59554"/>
    <s v="Unidade Vieiralves"/>
    <s v="42263120260310446304"/>
    <m/>
  </r>
  <r>
    <x v="10"/>
    <x v="45"/>
    <s v="Andre Luiz da Rocha Moura"/>
    <s v="Masculino"/>
    <x v="4"/>
    <x v="22"/>
    <s v="31602185 - Estimulação Elétrica Transcutânea - Removido 13/04/2026 (R$ 40,00)"/>
    <s v="Fisioterapia"/>
    <n v="1717537834"/>
    <s v="Finalizado (3/5)"/>
    <n v="35.200000000000003"/>
    <n v="4.8"/>
    <n v="40"/>
    <s v="Sessão a Faturar"/>
    <n v="771015054119000"/>
    <n v="52042"/>
    <s v="Unidade Vieiralves"/>
    <n v="1717537834"/>
    <m/>
  </r>
  <r>
    <x v="10"/>
    <x v="45"/>
    <s v="Maria Nazira Tomaz Pereira"/>
    <s v="Feminino"/>
    <x v="6"/>
    <x v="22"/>
    <s v="31602185 - Estimulação Elétrica Transcutanea (Tens) (R$ 40,00)"/>
    <s v="Fisioterapia"/>
    <n v="170935"/>
    <s v="Finalizado (8/10)"/>
    <n v="35.200000000000003"/>
    <n v="4.8"/>
    <n v="40"/>
    <s v="Sessão a Faturar"/>
    <s v="55788888483387380020"/>
    <n v="20265"/>
    <s v="Unidade Vieiralves"/>
    <n v="170935"/>
    <m/>
  </r>
  <r>
    <x v="10"/>
    <x v="35"/>
    <s v="Rose Mayre Vieira Barreto"/>
    <s v="Feminino"/>
    <x v="2"/>
    <x v="22"/>
    <s v="20103492 - Fisioterapia - Patologia Em Dois Ou Mais Membros (R$ 14,83), 20103514 - Fisioterapia - Patologia Em Diferentes Segmentos da Coluna (R$ 14,83)"/>
    <s v="Fisioterapia"/>
    <n v="1718890362"/>
    <s v="Finalizado (1/10)"/>
    <n v="26.1008"/>
    <n v="3.5592000000000001"/>
    <n v="29.66"/>
    <s v="Sessão a Faturar"/>
    <n v="813312700027000"/>
    <n v="17029"/>
    <s v="Unidade Vieiralves"/>
    <n v="1718890362"/>
    <m/>
  </r>
  <r>
    <x v="10"/>
    <x v="35"/>
    <s v="Marta Barbosa de Oliveira"/>
    <s v="Feminino"/>
    <x v="0"/>
    <x v="22"/>
    <s v="50000160 - Fisioterapia Ortopedica (R$ 49,72)"/>
    <s v="Fisioterapia"/>
    <s v="42263120260318509090"/>
    <s v="Finalizado (6/10)"/>
    <n v="43.753599999999999"/>
    <n v="5.9664000000000001"/>
    <n v="49.72"/>
    <s v="Sessão a Faturar"/>
    <s v="010650689402"/>
    <n v="59659"/>
    <s v="Unidade Vieiralves"/>
    <s v="42263120260318509090"/>
    <m/>
  </r>
  <r>
    <x v="10"/>
    <x v="35"/>
    <s v="Franciane de Souza Gomes"/>
    <s v="Feminino"/>
    <x v="7"/>
    <x v="22"/>
    <s v="Part Convenio - 9 - Fisioterapia Ortopédica- Sessão (R$ 60,00)"/>
    <s v="Fisioterapia"/>
    <n v="173333"/>
    <s v="Finalizado (1/6)"/>
    <n v="46.8"/>
    <n v="13.2"/>
    <n v="60"/>
    <s v="Pago"/>
    <n v="973700009598000"/>
    <n v="16642"/>
    <s v="Unidade Vieiralves"/>
    <n v="173333"/>
    <m/>
  </r>
  <r>
    <x v="10"/>
    <x v="42"/>
    <s v="Marta Barbosa de Oliveira"/>
    <s v="Feminino"/>
    <x v="0"/>
    <x v="22"/>
    <s v="31602185 - Estimulação Elétrica Transcutânea Fisioterapia (Novo - 01/12) (R$ 54,13)"/>
    <s v="Fisioterapia"/>
    <s v="42263120260318510326"/>
    <s v="Finalizado (6/10)"/>
    <n v="47.634399999999999"/>
    <n v="6.4955999999999996"/>
    <n v="54.13"/>
    <s v="Sessão a Faturar"/>
    <s v="010650689402"/>
    <n v="59659"/>
    <s v="Unidade Vieiralves"/>
    <s v="42263120260318510326"/>
    <m/>
  </r>
  <r>
    <x v="10"/>
    <x v="38"/>
    <s v="Vivianne Cristina Canavarro Fernandes Rocha"/>
    <s v="Feminino"/>
    <x v="6"/>
    <x v="22"/>
    <s v="20103514 - Patologia Em Dois Ou Mais Segmentos da Coluna (R$ 32,82)"/>
    <s v="Fisioterapia"/>
    <n v="171150"/>
    <s v="Finalizado (9/10)"/>
    <n v="28.881599999999999"/>
    <n v="3.9384000000000001"/>
    <n v="32.82"/>
    <s v="Sessão a Faturar"/>
    <s v="54588888491549250012"/>
    <n v="59548"/>
    <s v="Unidade Vieiralves"/>
    <n v="171150"/>
    <m/>
  </r>
  <r>
    <x v="10"/>
    <x v="62"/>
    <s v="Vivianne Cristina Canavarro Fernandes Rocha"/>
    <s v="Feminino"/>
    <x v="6"/>
    <x v="22"/>
    <s v="31602185 - Estimulação Elétrica Transcutanea (Tens) (R$ 40,00)"/>
    <s v="Fisioterapia"/>
    <n v="171151"/>
    <s v="Finalizado (9/10)"/>
    <n v="35.200000000000003"/>
    <n v="4.8"/>
    <n v="40"/>
    <s v="Sessão a Faturar"/>
    <s v="54588888491549250012"/>
    <n v="59548"/>
    <s v="Unidade Vieiralves"/>
    <n v="171151"/>
    <m/>
  </r>
  <r>
    <x v="10"/>
    <x v="37"/>
    <s v="Lauridece da Silva Souza"/>
    <s v="Feminino"/>
    <x v="12"/>
    <x v="22"/>
    <s v="20103484 - Patologia Em Um Membro (R$ 12,22)"/>
    <s v="Fisioterapia"/>
    <n v="173344"/>
    <s v="Finalizado (1/10)"/>
    <n v="10.7536"/>
    <n v="1.4663999999999999"/>
    <n v="12.22"/>
    <s v="Sessão a Faturar"/>
    <s v="000435792574640202"/>
    <n v="58312"/>
    <s v="Unidade Vieiralves"/>
    <n v="173344"/>
    <m/>
  </r>
  <r>
    <x v="10"/>
    <x v="37"/>
    <s v="Wandercleia Martins Pontes"/>
    <s v="Feminino"/>
    <x v="1"/>
    <x v="22"/>
    <s v="50000160 - Fisioterapia Ortopédica (R$ 20,00), 98980327 - Taxa de Eletroterapia (Tens) (R$ 15,00)"/>
    <s v="Fisioterapia"/>
    <n v="9390057"/>
    <s v="Finalizado (3/10)"/>
    <n v="30.8"/>
    <n v="4.2"/>
    <n v="35"/>
    <s v="Sessão Faturada"/>
    <s v="0201013323070030"/>
    <n v="19693"/>
    <s v="Unidade Vieiralves"/>
    <n v="9390057"/>
    <s v="guia assinada "/>
  </r>
  <r>
    <x v="10"/>
    <x v="63"/>
    <s v="Lauridece da Silva Souza"/>
    <s v="Feminino"/>
    <x v="12"/>
    <x v="22"/>
    <s v="50000144 - Consulta Fisioterapia (R$ 51,42)"/>
    <s v="Fisioterapia"/>
    <n v="10362321"/>
    <s v="Finalizado (1/1)"/>
    <n v="46.277999999999999"/>
    <n v="5.1420000000000003"/>
    <n v="51.42"/>
    <s v="Sessão a Faturar"/>
    <s v="000435792574640202"/>
    <n v="58312"/>
    <s v="Unidade Vieiralves"/>
    <n v="10362321"/>
    <m/>
  </r>
  <r>
    <x v="10"/>
    <x v="43"/>
    <s v="Guaracy Silva da Cunha"/>
    <s v="Feminino"/>
    <x v="1"/>
    <x v="22"/>
    <s v="50000160 - Fisioterapia Ortopédica (R$ 20,00), 98980327 - Taxa de Eletroterapia (Tens) (R$ 15,00)"/>
    <s v="Fisioterapia"/>
    <n v="9313898"/>
    <s v="Finalizado (6/10)"/>
    <n v="30.8"/>
    <n v="4.2"/>
    <n v="35"/>
    <s v="Sessão Faturada"/>
    <s v="0901013070050252"/>
    <n v="21742"/>
    <s v="Unidade Vieiralves"/>
    <n v="9313898"/>
    <s v="GUIA ASSINADA!"/>
  </r>
  <r>
    <x v="11"/>
    <x v="44"/>
    <s v="Bruna Lucianne dos Santos Galate"/>
    <s v="Feminino"/>
    <x v="6"/>
    <x v="22"/>
    <s v="31602185 - Estimulação Elétrica Transcutanea (Tens) (R$ 40,00)"/>
    <s v="Fisioterapia"/>
    <n v="172825"/>
    <s v="Finalizado (6/6)"/>
    <n v="35.200000000000003"/>
    <n v="4.8"/>
    <n v="40"/>
    <s v="Sessão a Faturar"/>
    <s v="55788888493194760120"/>
    <n v="43650"/>
    <s v="Unidade Vieiralves"/>
    <n v="172825"/>
    <s v="guia assinada"/>
  </r>
  <r>
    <x v="11"/>
    <x v="44"/>
    <s v="Carlos Juliano Prado"/>
    <s v="Masculino"/>
    <x v="4"/>
    <x v="22"/>
    <s v="31602185 - Estimulação Elétrica Transcutânea - Removido 13/04/2026 (R$ 40,00)"/>
    <s v="Fisioterapia"/>
    <n v="1714918693"/>
    <s v="Finalizado (6/10)"/>
    <n v="35.200000000000003"/>
    <n v="4.8"/>
    <n v="40"/>
    <s v="Sessão a Faturar"/>
    <n v="774981010073010"/>
    <n v="55509"/>
    <s v="Unidade Vieiralves"/>
    <n v="1714918693"/>
    <m/>
  </r>
  <r>
    <x v="11"/>
    <x v="44"/>
    <s v="Bruna Lucianne dos Santos Galate"/>
    <s v="Feminino"/>
    <x v="6"/>
    <x v="22"/>
    <s v="20103492 - Patologia Em Dois Ou Mais Membros (R$ 30,26), 20103506 - Patologia Em Um Segmento da Coluna (R$ 14,16)"/>
    <s v="Fisioterapia"/>
    <n v="172824"/>
    <s v="Finalizado (6/7)"/>
    <n v="39.089599999999997"/>
    <n v="5.3304"/>
    <n v="44.42"/>
    <s v="Sessão a Faturar"/>
    <s v="55788888493194760120"/>
    <n v="43650"/>
    <s v="Unidade Vieiralves"/>
    <n v="172824"/>
    <s v="guia assinada"/>
  </r>
  <r>
    <x v="11"/>
    <x v="44"/>
    <s v="Carlos Juliano Prado"/>
    <s v="Masculino"/>
    <x v="2"/>
    <x v="22"/>
    <s v="20103506 - Fisioterapia - Patologia Em Um Segmento da Coluna (R$ 12,22)"/>
    <s v="Fisioterapia"/>
    <n v="1713864619"/>
    <s v="Finalizado (7/10)"/>
    <n v="10.7536"/>
    <n v="1.4663999999999999"/>
    <n v="12.22"/>
    <s v="Sessão a Faturar"/>
    <n v="774981010073010"/>
    <n v="55509"/>
    <s v="Unidade Vieiralves"/>
    <n v="1713864619"/>
    <m/>
  </r>
  <r>
    <x v="11"/>
    <x v="44"/>
    <s v="Ruth Vania Duarte Ramos"/>
    <m/>
    <x v="6"/>
    <x v="22"/>
    <s v="20103662 - Pos Operatorio Em Um Membro (R$ 22,53)"/>
    <s v="Fisioterapia"/>
    <n v="170395"/>
    <s v="Não compareceu (7/10)"/>
    <n v="22.53"/>
    <n v="0"/>
    <n v="22.53"/>
    <s v="Sessão a Faturar"/>
    <s v="55788888489432510020"/>
    <n v="58616"/>
    <s v="Unidade Vieiralves"/>
    <n v="170395"/>
    <s v="guia assinada"/>
  </r>
  <r>
    <x v="11"/>
    <x v="44"/>
    <s v="Yasmin Guedes Lima"/>
    <s v="Feminino"/>
    <x v="2"/>
    <x v="22"/>
    <s v="20103506 - Fisioterapia - Patologia Em Um Segmento da Coluna (R$ 12,22)"/>
    <s v="Fisioterapia"/>
    <n v="1713905300"/>
    <s v="Finalizado (4/10)"/>
    <n v="10.7536"/>
    <n v="1.4663999999999999"/>
    <n v="12.22"/>
    <s v="Sessão a Faturar"/>
    <n v="960016575471020"/>
    <n v="35978"/>
    <s v="Unidade Vieiralves"/>
    <n v="1713905300"/>
    <m/>
  </r>
  <r>
    <x v="11"/>
    <x v="41"/>
    <s v="Maria Ercilia Cavalcante Martins"/>
    <s v="Feminino"/>
    <x v="2"/>
    <x v="22"/>
    <s v="20103492 - Fisioterapia - Patologia Em Dois Ou Mais Membros (R$ 14,83), 20103514 - Fisioterapia - Patologia Em Diferentes Segmentos da Coluna (R$ 14,83)"/>
    <s v="Fisioterapia"/>
    <n v="1717990208"/>
    <s v="Finalizado (2/10)"/>
    <n v="26.1008"/>
    <n v="3.5592000000000001"/>
    <n v="29.66"/>
    <s v="Sessão a Faturar"/>
    <n v="830425500043000"/>
    <n v="7701"/>
    <s v="Unidade Vieiralves"/>
    <n v="1717990208"/>
    <m/>
  </r>
  <r>
    <x v="11"/>
    <x v="41"/>
    <s v="Carlos Jose Cavalcante Martins"/>
    <s v="Masculino"/>
    <x v="2"/>
    <x v="22"/>
    <s v="20103492 - Fisioterapia - Patologia Em Dois Ou Mais Membros (R$ 14,83)"/>
    <s v="Fisioterapia"/>
    <n v="1707732828"/>
    <s v="Finalizado (8/8)"/>
    <n v="13.0504"/>
    <n v="1.7796000000000001"/>
    <n v="14.83"/>
    <s v="Sessão a Faturar"/>
    <n v="830425500051000"/>
    <n v="59320"/>
    <s v="Unidade Vieiralves"/>
    <n v="1707732828"/>
    <m/>
  </r>
  <r>
    <x v="11"/>
    <x v="41"/>
    <s v="Greice Ribeiro Siqueira"/>
    <s v="Feminino"/>
    <x v="10"/>
    <x v="22"/>
    <s v="50000160 - Fisioterapia Ortopédica (R$ 15,00)"/>
    <s v="Fisioterapia"/>
    <n v="23002894"/>
    <s v="Finalizado (2/10)"/>
    <n v="13.2"/>
    <n v="1.8"/>
    <n v="15"/>
    <s v="Sessão a Faturar"/>
    <s v="00010064268117005"/>
    <n v="58505"/>
    <s v="Unidade Vieiralves"/>
    <n v="23002894"/>
    <s v="Guia Assinada"/>
  </r>
  <r>
    <x v="11"/>
    <x v="36"/>
    <s v="Katia Cilene Jardim da Costa"/>
    <s v="Feminino"/>
    <x v="2"/>
    <x v="22"/>
    <s v="20103484 - Fisioterapia - Patologia Em Um Membro (R$ 12,22), 20103506 - Fisioterapia - Patologia Em Um Segmento da Coluna (R$ 12,22)"/>
    <s v="Fisioterapia"/>
    <n v="1714893972"/>
    <s v="Finalizado (7/10)"/>
    <n v="21.507200000000001"/>
    <n v="2.9327999999999999"/>
    <n v="24.44"/>
    <s v="Sessão a Faturar"/>
    <n v="771015041750020"/>
    <n v="37973"/>
    <s v="Unidade Vieiralves"/>
    <n v="1714893972"/>
    <m/>
  </r>
  <r>
    <x v="11"/>
    <x v="36"/>
    <s v="Rair Silva e Souza de Moura"/>
    <s v="Feminino"/>
    <x v="1"/>
    <x v="22"/>
    <s v="50000160 - Fisioterapia Ortopédica (R$ 20,00), 98980327 - Taxa de Eletroterapia (Tens) (R$ 15,00)"/>
    <s v="Fisioterapia"/>
    <n v="9532731"/>
    <s v="Finalizado (2/10)"/>
    <n v="30.8"/>
    <n v="4.2"/>
    <n v="35"/>
    <s v="Sessão a Faturar"/>
    <n v="201013748740040"/>
    <n v="54729"/>
    <s v="Unidade Vieiralves"/>
    <n v="9532731"/>
    <m/>
  </r>
  <r>
    <x v="11"/>
    <x v="36"/>
    <s v="Lucia Ferreira Viana"/>
    <s v="Feminino"/>
    <x v="0"/>
    <x v="22"/>
    <s v="50000160 - Fisioterapia Ortopedica (R$ 49,72)"/>
    <s v="Fisioterapia"/>
    <s v="42263120260305416369"/>
    <s v="Finalizado (10/10)"/>
    <n v="43.753599999999999"/>
    <n v="5.9664000000000001"/>
    <n v="49.72"/>
    <s v="Sessão a Faturar"/>
    <s v="010650248904"/>
    <n v="10197"/>
    <s v="Unidade Vieiralves"/>
    <s v="42263120260305416369"/>
    <m/>
  </r>
  <r>
    <x v="11"/>
    <x v="36"/>
    <s v="Miguel Ângelo Cabral Moreira"/>
    <m/>
    <x v="5"/>
    <x v="22"/>
    <s v="98860020 - Fisioterapia Complexidade 2 (R$ 73,81)"/>
    <s v="Fisioterapia"/>
    <n v="78992040"/>
    <s v="Finalizado (3/10)"/>
    <n v="64.952799999999996"/>
    <n v="8.8572000000000006"/>
    <n v="73.81"/>
    <s v="Sessão a Faturar"/>
    <n v="5500000889750200"/>
    <n v="59526"/>
    <s v="Unidade Vieiralves"/>
    <n v="78992040"/>
    <m/>
  </r>
  <r>
    <x v="11"/>
    <x v="61"/>
    <s v="Miguel Ângelo Cabral Moreira"/>
    <m/>
    <x v="5"/>
    <x v="22"/>
    <s v="31602185 - Estimulação Elétrica Transcutânea (Tens) (R$ 125,40)"/>
    <s v="Fisioterapia"/>
    <n v="79137090"/>
    <s v="Finalizado (2/10)"/>
    <n v="110.352"/>
    <n v="15.048"/>
    <n v="125.4"/>
    <s v="Sessão a Faturar"/>
    <n v="5500000889750200"/>
    <n v="59526"/>
    <s v="Unidade Vieiralves"/>
    <n v="79137090"/>
    <m/>
  </r>
  <r>
    <x v="11"/>
    <x v="61"/>
    <s v="Lucia Ferreira Viana"/>
    <s v="Feminino"/>
    <x v="0"/>
    <x v="22"/>
    <s v="31602185 - Estimulação Elétrica Transcutânea Fisioterapia (Novo - 01/12) (R$ 54,13)"/>
    <s v="Fisioterapia"/>
    <s v="42263120260305416626"/>
    <s v="Finalizado (10/10)"/>
    <n v="47.634399999999999"/>
    <n v="6.4955999999999996"/>
    <n v="54.13"/>
    <s v="Sessão a Faturar"/>
    <s v="010650248904"/>
    <n v="10197"/>
    <s v="Unidade Vieiralves"/>
    <s v="42263120260305416626"/>
    <m/>
  </r>
  <r>
    <x v="11"/>
    <x v="40"/>
    <s v="Vivianne Cristina Canavarro Fernandes Rocha"/>
    <s v="Feminino"/>
    <x v="6"/>
    <x v="22"/>
    <s v="20103514 - Patologia Em Dois Ou Mais Segmentos da Coluna (R$ 32,82)"/>
    <s v="Fisioterapia"/>
    <n v="171150"/>
    <s v="Finalizado (10/10)"/>
    <n v="28.881599999999999"/>
    <n v="3.9384000000000001"/>
    <n v="32.82"/>
    <s v="Sessão a Faturar"/>
    <s v="54588888491549250012"/>
    <n v="59548"/>
    <s v="Unidade Vieiralves"/>
    <n v="171150"/>
    <m/>
  </r>
  <r>
    <x v="11"/>
    <x v="40"/>
    <s v="Rejane Costa Freire"/>
    <m/>
    <x v="1"/>
    <x v="22"/>
    <s v="50000160 - Fisioterapia Ortopédica (R$ 20,00), 98980327 - Taxa de Eletroterapia (Tens) (R$ 15,00)"/>
    <s v="Fisioterapia"/>
    <n v="9010622"/>
    <s v="Finalizado (10/10)"/>
    <n v="30.8"/>
    <n v="4.2"/>
    <n v="35"/>
    <s v="Sessão Faturada"/>
    <s v="0901013326530193"/>
    <n v="57964"/>
    <s v="Unidade Vieiralves"/>
    <n v="9010622"/>
    <m/>
  </r>
  <r>
    <x v="11"/>
    <x v="40"/>
    <s v="Rui Heliandro Sa Valente"/>
    <s v="Masculino"/>
    <x v="1"/>
    <x v="22"/>
    <s v="50000160 - Fisioterapia Ortopédica (R$ 20,00), 98980327 - Taxa de Eletroterapia (Tens) (R$ 15,00)"/>
    <s v="Fisioterapia"/>
    <n v="9071007"/>
    <s v="Não compareceu (9/10)"/>
    <n v="35"/>
    <n v="0"/>
    <n v="35"/>
    <s v="Sessão Faturada"/>
    <s v="0701013978710030"/>
    <n v="59447"/>
    <s v="Unidade Vieiralves"/>
    <n v="9071007"/>
    <m/>
  </r>
  <r>
    <x v="11"/>
    <x v="45"/>
    <s v="Vivianne Cristina Canavarro Fernandes Rocha"/>
    <s v="Feminino"/>
    <x v="6"/>
    <x v="22"/>
    <s v="31602185 - Estimulação Elétrica Transcutanea (Tens) (R$ 40,00)"/>
    <s v="Fisioterapia"/>
    <n v="171151"/>
    <s v="Finalizado (10/10)"/>
    <n v="35.200000000000003"/>
    <n v="4.8"/>
    <n v="40"/>
    <s v="Sessão a Faturar"/>
    <s v="54588888491549250012"/>
    <n v="59548"/>
    <s v="Unidade Vieiralves"/>
    <n v="171151"/>
    <m/>
  </r>
  <r>
    <x v="11"/>
    <x v="35"/>
    <s v="Aldair Oliveira de Andrade"/>
    <s v="Masculino"/>
    <x v="1"/>
    <x v="22"/>
    <s v="50000160 - Fisioterapia Ortopédica (R$ 20,00), 98980327 - Taxa de Eletroterapia (Tens) (R$ 15,00)"/>
    <s v="Fisioterapia"/>
    <n v="8936322"/>
    <s v="Finalizado (8/10)"/>
    <n v="30.8"/>
    <n v="4.2"/>
    <n v="35"/>
    <s v="Sessão Faturada"/>
    <s v="0702007029320058"/>
    <n v="58351"/>
    <s v="Unidade Vieiralves"/>
    <n v="8936322"/>
    <s v="GUIA ASSINADA!"/>
  </r>
  <r>
    <x v="11"/>
    <x v="35"/>
    <s v="Wanderleia Salmazo França"/>
    <m/>
    <x v="1"/>
    <x v="22"/>
    <s v="50000160 - Fisioterapia Ortopédica (R$ 20,00), 98980327 - Taxa de Eletroterapia (Tens) (R$ 15,00)"/>
    <s v="Fisioterapia"/>
    <n v="9505245"/>
    <s v="Finalizado (2/10)"/>
    <n v="30.8"/>
    <n v="4.2"/>
    <n v="35"/>
    <s v="Sessão a Faturar"/>
    <n v="1901005732480400"/>
    <n v="59247"/>
    <s v="Unidade Vieiralves"/>
    <n v="9505245"/>
    <m/>
  </r>
  <r>
    <x v="11"/>
    <x v="35"/>
    <s v="Serafim Pereira de Sousa"/>
    <m/>
    <x v="17"/>
    <x v="22"/>
    <s v="50000160 - Fisioterapia Ortopedica (R$ 45,00)"/>
    <s v="Fisioterapia"/>
    <n v="3970200"/>
    <s v="Finalizado (7/10)"/>
    <n v="39.6"/>
    <n v="5.4"/>
    <n v="45"/>
    <s v="Sessão Faturada"/>
    <s v="000915899766100"/>
    <n v="58192"/>
    <s v="Unidade Vieiralves"/>
    <n v="3970200"/>
    <m/>
  </r>
  <r>
    <x v="11"/>
    <x v="35"/>
    <s v="Marilena Ferreira Brasil Correia Puga Barbosa"/>
    <m/>
    <x v="1"/>
    <x v="22"/>
    <s v="50000160 - Fisioterapia Ortopédica (R$ 20,00), 98980327 - Taxa de Eletroterapia (Tens) (R$ 15,00)"/>
    <s v="Fisioterapia"/>
    <n v="9350764"/>
    <s v="Finalizado (8/10)"/>
    <n v="30.8"/>
    <n v="4.2"/>
    <n v="35"/>
    <s v="Sessão Faturada"/>
    <n v="1901013246260100"/>
    <n v="53193"/>
    <s v="Unidade Vieiralves"/>
    <n v="9350764"/>
    <m/>
  </r>
  <r>
    <x v="11"/>
    <x v="38"/>
    <s v="Roberta Ferreira Coelho de Andrade"/>
    <s v="Feminino"/>
    <x v="1"/>
    <x v="22"/>
    <s v="50000160 - Fisioterapia Ortopédica (R$ 20,00), 98980327 - Taxa de Eletroterapia (Tens) (R$ 15,00)"/>
    <s v="Fisioterapia"/>
    <n v="9458241"/>
    <s v="Finalizado (3/10)"/>
    <n v="30.8"/>
    <n v="4.2"/>
    <n v="35"/>
    <s v="Sessão a Faturar"/>
    <s v="0701010939440006"/>
    <n v="58292"/>
    <s v="Unidade Vieiralves"/>
    <n v="9458241"/>
    <m/>
  </r>
  <r>
    <x v="11"/>
    <x v="38"/>
    <s v="Cláudia Maria Ramos da Silva"/>
    <s v="Feminino"/>
    <x v="1"/>
    <x v="22"/>
    <s v="50000160 - Fisioterapia Ortopédica (R$ 20,00), 98980327 - Taxa de Eletroterapia (Tens) (R$ 15,00)"/>
    <s v="Fisioterapia"/>
    <n v="9181422"/>
    <s v="Finalizado (7/10)"/>
    <n v="30.8"/>
    <n v="4.2"/>
    <n v="35"/>
    <s v="Sessão Faturada"/>
    <n v="1901013411030200"/>
    <n v="57093"/>
    <s v="Unidade Vieiralves"/>
    <n v="9181422"/>
    <s v="GUIA ASSINADA!"/>
  </r>
  <r>
    <x v="11"/>
    <x v="37"/>
    <s v="Lauridece da Silva Souza"/>
    <s v="Feminino"/>
    <x v="12"/>
    <x v="22"/>
    <s v="20103484 - Patologia Em Um Membro (R$ 12,22)"/>
    <s v="Fisioterapia"/>
    <n v="173344"/>
    <s v="Finalizado (2/10)"/>
    <n v="10.7536"/>
    <n v="1.4663999999999999"/>
    <n v="12.22"/>
    <s v="Sessão a Faturar"/>
    <s v="000435792574640202"/>
    <n v="58312"/>
    <s v="Unidade Vieiralves"/>
    <n v="173344"/>
    <m/>
  </r>
  <r>
    <x v="11"/>
    <x v="37"/>
    <s v="Noemi Rebecca Ramos Macedo"/>
    <s v="Feminino"/>
    <x v="1"/>
    <x v="22"/>
    <s v="50000160 - Fisioterapia Ortopédica (R$ 20,00), 98980327 - Taxa de Eletroterapia (Tens) (R$ 15,00)"/>
    <s v="Fisioterapia"/>
    <n v="9634947"/>
    <s v="Finalizado (2/10)"/>
    <n v="30.8"/>
    <n v="4.2"/>
    <n v="35"/>
    <s v="Sessão a Faturar"/>
    <n v="1901013411030100"/>
    <n v="57780"/>
    <s v="Unidade Vieiralves"/>
    <n v="9634947"/>
    <m/>
  </r>
  <r>
    <x v="11"/>
    <x v="37"/>
    <s v="Lauridece da Silva Souza"/>
    <s v="Feminino"/>
    <x v="12"/>
    <x v="22"/>
    <s v="31602185 - Estimulação Elétrica Transcutânea (Tens) (R$ 49,00)"/>
    <s v="Fisioterapia"/>
    <n v="10364646"/>
    <s v="Finalizado (1/10)"/>
    <n v="43.12"/>
    <n v="5.88"/>
    <n v="49"/>
    <s v="Sessão a Faturar"/>
    <s v="000435792574640202"/>
    <n v="58312"/>
    <s v="Unidade Vieiralves"/>
    <n v="10364646"/>
    <m/>
  </r>
  <r>
    <x v="11"/>
    <x v="37"/>
    <s v="Julliana Gadelha de Medeiros"/>
    <s v="Feminino"/>
    <x v="8"/>
    <x v="22"/>
    <s v="20103484 - Patologia Em Um Membro (R$ 12,22)"/>
    <s v="Fisioterapia"/>
    <n v="1711444434"/>
    <s v="Finalizado (7/7)"/>
    <n v="10.7536"/>
    <n v="1.4663999999999999"/>
    <n v="12.22"/>
    <s v="Sessão a Faturar"/>
    <n v="954600002968020"/>
    <n v="20663"/>
    <s v="Unidade Vieiralves"/>
    <n v="1711444434"/>
    <m/>
  </r>
  <r>
    <x v="12"/>
    <x v="22"/>
    <s v="Tiago Godoy Lopes"/>
    <s v="Masculino"/>
    <x v="2"/>
    <x v="23"/>
    <s v="20103484 - Fisioterapia - Patologia Em Um Membro (R$ 12,22)"/>
    <s v="Fisioterapia"/>
    <n v="1702819658"/>
    <s v="Finalizado (4/5)"/>
    <n v="10.7536"/>
    <n v="1.4663999999999999"/>
    <n v="12.22"/>
    <s v="Sessão Faturada"/>
    <n v="611265590001020"/>
    <n v="58056"/>
    <s v="Unidade Vieralves (ANEXO)"/>
    <n v="1702819658"/>
    <m/>
  </r>
  <r>
    <x v="12"/>
    <x v="22"/>
    <s v="Alziane Lima da Silva"/>
    <s v="Feminino"/>
    <x v="1"/>
    <x v="23"/>
    <s v="50000160 - Fisioterapia Ortopédica (R$ 20,00), 98980327 - Taxa de Eletroterapia (Tens) (R$ 15,00)"/>
    <s v="Fisioterapia"/>
    <n v="8868917"/>
    <s v="Finalizado (8/10)"/>
    <n v="30.8"/>
    <n v="4.2"/>
    <n v="35"/>
    <s v="Sessão Faturada"/>
    <s v="0901012961870097"/>
    <n v="57558"/>
    <s v="Unidade Vieralves (ANEXO)"/>
    <n v="8868917"/>
    <m/>
  </r>
  <r>
    <x v="12"/>
    <x v="22"/>
    <s v="Ricardo Takashi Yamashita"/>
    <s v="Masculino"/>
    <x v="2"/>
    <x v="23"/>
    <s v="20103506 - Fisioterapia - Patologia Em Um Segmento da Coluna (R$ 12,22)"/>
    <s v="Fisioterapia"/>
    <n v="1704848270"/>
    <s v="Finalizado (2/5)"/>
    <n v="10.7536"/>
    <n v="1.4663999999999999"/>
    <n v="12.22"/>
    <s v="Sessão Faturada"/>
    <n v="891007000019000"/>
    <n v="52119"/>
    <s v="Unidade Vieralves (ANEXO)"/>
    <n v="1704848270"/>
    <m/>
  </r>
  <r>
    <x v="12"/>
    <x v="23"/>
    <s v="Tiago Godoy Lopes"/>
    <s v="Masculino"/>
    <x v="2"/>
    <x v="23"/>
    <s v="20103115 - Atividade Reflexa Cinesioterápica (R$ 20,81)"/>
    <s v="Fisioterapia"/>
    <n v="1702821160"/>
    <s v="Finalizado (4/5)"/>
    <n v="18.312799999999999"/>
    <n v="2.4971999999999999"/>
    <n v="20.81"/>
    <s v="Sessão Faturada"/>
    <n v="611265590001020"/>
    <n v="58056"/>
    <s v="Unidade Vieralves (ANEXO)"/>
    <n v="1702821160"/>
    <m/>
  </r>
  <r>
    <x v="12"/>
    <x v="23"/>
    <s v="Ricardo Takashi Yamashita"/>
    <s v="Masculino"/>
    <x v="2"/>
    <x v="23"/>
    <s v="20103115 - Atividade Reflexa Cinesioterápica (R$ 20,81)"/>
    <s v="Fisioterapia"/>
    <n v="1704848829"/>
    <s v="Finalizado (2/5)"/>
    <n v="18.312799999999999"/>
    <n v="2.4971999999999999"/>
    <n v="20.81"/>
    <s v="Sessão Faturada"/>
    <n v="891007000019000"/>
    <n v="52119"/>
    <s v="Unidade Vieralves (ANEXO)"/>
    <n v="1704848829"/>
    <m/>
  </r>
  <r>
    <x v="12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2631"/>
    <s v="Finalizado (5/10)"/>
    <n v="174.91759999999999"/>
    <n v="23.852399999999999"/>
    <n v="198.77"/>
    <s v="Sessão a Faturar"/>
    <n v="2301648"/>
    <n v="7982"/>
    <s v="Unidade Vieralves (ANEXO)"/>
    <n v="2631"/>
    <m/>
  </r>
  <r>
    <x v="12"/>
    <x v="0"/>
    <s v="Augusto Sérgio dos Santos Cardoso"/>
    <s v="Masculino"/>
    <x v="7"/>
    <x v="23"/>
    <s v="Vieiralves - 1 - Fisioterapia Ortopedica - Pacote (R$ 80,00)"/>
    <s v="Fisioterapia"/>
    <n v="166244"/>
    <s v="Finalizado (10/10)"/>
    <n v="62.4"/>
    <n v="17.600000000000001"/>
    <n v="80"/>
    <s v="Pago"/>
    <n v="0"/>
    <n v="59068"/>
    <s v="Unidade Vieralves (ANEXO)"/>
    <n v="166244"/>
    <m/>
  </r>
  <r>
    <x v="12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1/10)"/>
    <n v="30.8"/>
    <n v="4.2"/>
    <n v="35"/>
    <s v="Sessão Faturada"/>
    <n v="1901013317720400"/>
    <n v="58938"/>
    <s v="Unidade Vieralves (ANEXO)"/>
    <n v="9123050"/>
    <m/>
  </r>
  <r>
    <x v="12"/>
    <x v="2"/>
    <s v="Sonia Pereira de Oliveira"/>
    <s v="Feminino"/>
    <x v="26"/>
    <x v="23"/>
    <s v="20103492 - Fisioterapia - Patologia Em Dois Ou Mais Membros (R$ 23,85)"/>
    <s v="Fisioterapia"/>
    <n v="275539188"/>
    <s v="Finalizado (1/10)"/>
    <n v="20.988"/>
    <n v="2.8620000000000001"/>
    <n v="23.85"/>
    <s v="Sessão Faturada"/>
    <s v="TWXUA000427004"/>
    <n v="59313"/>
    <s v="Unidade Vieralves (ANEXO)"/>
    <n v="275539188"/>
    <s v="Guia assinada!"/>
  </r>
  <r>
    <x v="12"/>
    <x v="2"/>
    <s v="Jo Pereira dos Santos"/>
    <s v="Feminino"/>
    <x v="2"/>
    <x v="23"/>
    <s v="20103484 - Fisioterapia - Patologia Em Um Membro (R$ 12,22)"/>
    <s v="Fisioterapia"/>
    <n v="1703906670"/>
    <s v="Finalizado (3/5)"/>
    <n v="10.7536"/>
    <n v="1.4663999999999999"/>
    <n v="12.22"/>
    <s v="Sessão Faturada"/>
    <n v="774642029599000"/>
    <n v="59380"/>
    <s v="Unidade Vieralves (ANEXO)"/>
    <n v="1703906670"/>
    <m/>
  </r>
  <r>
    <x v="12"/>
    <x v="2"/>
    <s v="Sophia Rodrigues Dias Leão"/>
    <s v="Feminino"/>
    <x v="6"/>
    <x v="23"/>
    <s v="20103514 - Patologia Em Dois Ou Mais Segmentos da Coluna (R$ 32,82)"/>
    <s v="Fisioterapia"/>
    <n v="169728"/>
    <s v="Finalizado (3/4)"/>
    <n v="28.881599999999999"/>
    <n v="3.9384000000000001"/>
    <n v="32.82"/>
    <s v="Sessão a Faturar"/>
    <s v="59200277003273040105"/>
    <n v="10002"/>
    <s v="Unidade Vieralves (ANEXO)"/>
    <n v="169728"/>
    <m/>
  </r>
  <r>
    <x v="12"/>
    <x v="3"/>
    <s v="Jo Pereira dos Santos"/>
    <s v="Feminino"/>
    <x v="2"/>
    <x v="23"/>
    <s v="20103115 - Atividade Reflexa Cinesioterápica (R$ 20,81)"/>
    <s v="Fisioterapia"/>
    <n v="1703907540"/>
    <s v="Finalizado (3/5)"/>
    <n v="18.312799999999999"/>
    <n v="2.4971999999999999"/>
    <n v="20.81"/>
    <s v="Sessão Faturada"/>
    <n v="774642029599000"/>
    <n v="59380"/>
    <s v="Unidade Vieralves (ANEXO)"/>
    <n v="1703907540"/>
    <m/>
  </r>
  <r>
    <x v="12"/>
    <x v="3"/>
    <s v="Sophia Rodrigues Dias Leão"/>
    <s v="Feminino"/>
    <x v="6"/>
    <x v="23"/>
    <s v="31602185 - Estimulação Elétrica Transcutanea (Tens) (R$ 40,00)"/>
    <s v="Fisioterapia"/>
    <n v="169729"/>
    <s v="Finalizado (3/4)"/>
    <n v="35.200000000000003"/>
    <n v="4.8"/>
    <n v="40"/>
    <s v="Sessão a Faturar"/>
    <s v="59200277003273040105"/>
    <n v="10002"/>
    <s v="Unidade Vieralves (ANEXO)"/>
    <n v="169729"/>
    <m/>
  </r>
  <r>
    <x v="12"/>
    <x v="4"/>
    <s v="Rui Jorge Rodrigues Fialho"/>
    <s v="Masculino"/>
    <x v="2"/>
    <x v="23"/>
    <s v="20103115 - Atividade Reflexa Cinesioterápica (R$ 20,81)"/>
    <s v="Fisioterapia"/>
    <n v="1705831877"/>
    <s v="Finalizado (1/3)"/>
    <n v="18.312799999999999"/>
    <n v="2.4971999999999999"/>
    <n v="20.81"/>
    <s v="Sessão Faturada"/>
    <n v="771015043265010"/>
    <n v="35722"/>
    <s v="Unidade Vieralves (ANEXO)"/>
    <n v="1705831877"/>
    <m/>
  </r>
  <r>
    <x v="12"/>
    <x v="4"/>
    <s v="Paulo André Assis de Moura"/>
    <s v="Masculino"/>
    <x v="6"/>
    <x v="23"/>
    <s v="20103484 - Patologia Em Um Membro (R$ 14,16)"/>
    <s v="Fisioterapia"/>
    <n v="169855"/>
    <s v="Finalizado (3/5)"/>
    <n v="12.460800000000001"/>
    <n v="1.6992"/>
    <n v="14.16"/>
    <s v="Sessão a Faturar"/>
    <s v="54588888488043100010"/>
    <n v="59356"/>
    <s v="Unidade Vieralves (ANEXO)"/>
    <n v="169855"/>
    <m/>
  </r>
  <r>
    <x v="12"/>
    <x v="5"/>
    <s v="Rui Jorge Rodrigues Fialho"/>
    <s v="Masculino"/>
    <x v="2"/>
    <x v="23"/>
    <s v="20103506 - Fisioterapia - Patologia Em Um Segmento da Coluna (R$ 12,22)"/>
    <s v="Fisioterapia"/>
    <n v="1705830636"/>
    <s v="Finalizado (1/5)"/>
    <n v="10.7536"/>
    <n v="1.4663999999999999"/>
    <n v="12.22"/>
    <s v="Sessão Faturada"/>
    <n v="771015043265010"/>
    <n v="35722"/>
    <s v="Unidade Vieralves (ANEXO)"/>
    <n v="1705830636"/>
    <m/>
  </r>
  <r>
    <x v="12"/>
    <x v="5"/>
    <s v="Paulo André Assis de Moura"/>
    <s v="Masculino"/>
    <x v="6"/>
    <x v="23"/>
    <s v="31602185 - Estimulação Elétrica Transcutanea (Tens) (R$ 40,00)"/>
    <s v="Fisioterapia"/>
    <n v="169856"/>
    <s v="Finalizado (1/5)"/>
    <n v="35.200000000000003"/>
    <n v="4.8"/>
    <n v="40"/>
    <s v="Sessão a Faturar"/>
    <s v="54588888488043100010"/>
    <n v="59356"/>
    <s v="Unidade Vieralves (ANEXO)"/>
    <n v="169856"/>
    <m/>
  </r>
  <r>
    <x v="12"/>
    <x v="6"/>
    <s v="Ladyane Moreno Rosa de Almeida"/>
    <s v="Feminino"/>
    <x v="6"/>
    <x v="23"/>
    <s v="50000144 - Avaliação de Fisioterapia (R$ 56,52)"/>
    <s v="Fisioterapia"/>
    <n v="7700047065"/>
    <s v="Finalizado (1/1)"/>
    <n v="50.868000000000002"/>
    <n v="5.6520000000000001"/>
    <n v="56.52"/>
    <s v="Sessão Faturada"/>
    <s v="56788888487957080014"/>
    <n v="56246"/>
    <s v="Unidade Vieralves (ANEXO)"/>
    <n v="7700047065"/>
    <m/>
  </r>
  <r>
    <x v="12"/>
    <x v="6"/>
    <s v="Ana Alice da Silva Araujo"/>
    <s v="Feminino"/>
    <x v="6"/>
    <x v="23"/>
    <s v="20103484 - Patologia Em Um Membro (R$ 14,16)"/>
    <s v="Fisioterapia"/>
    <n v="169725"/>
    <s v="Finalizado (2/5)"/>
    <n v="12.460800000000001"/>
    <n v="1.6992"/>
    <n v="14.16"/>
    <s v="Sessão a Faturar"/>
    <s v="54588888004872900019"/>
    <n v="13030"/>
    <s v="Unidade Vieralves (ANEXO)"/>
    <n v="169725"/>
    <m/>
  </r>
  <r>
    <x v="12"/>
    <x v="26"/>
    <s v="Ladyane Moreno Rosa de Almeida"/>
    <s v="Feminino"/>
    <x v="6"/>
    <x v="23"/>
    <s v="20103484 - Patologia Em Um Membro (R$ 14,16)"/>
    <s v="Fisioterapia"/>
    <n v="170200"/>
    <s v="Finalizado (1/5)"/>
    <n v="12.460800000000001"/>
    <n v="1.6992"/>
    <n v="14.16"/>
    <s v="Sessão a Faturar"/>
    <s v="56788888487957080014"/>
    <n v="56246"/>
    <s v="Unidade Vieralves (ANEXO)"/>
    <n v="170200"/>
    <m/>
  </r>
  <r>
    <x v="12"/>
    <x v="7"/>
    <s v="Ana Alice da Silva Araujo"/>
    <s v="Feminino"/>
    <x v="6"/>
    <x v="23"/>
    <s v="31602185 - Estimulação Elétrica Transcutanea (Tens) (R$ 40,00)"/>
    <s v="Fisioterapia"/>
    <n v="169726"/>
    <s v="Finalizado (2/5)"/>
    <n v="35.200000000000003"/>
    <n v="4.8"/>
    <n v="40"/>
    <s v="Sessão a Faturar"/>
    <s v="54588888004872900019"/>
    <n v="13030"/>
    <s v="Unidade Vieralves (ANEXO)"/>
    <n v="169726"/>
    <m/>
  </r>
  <r>
    <x v="12"/>
    <x v="27"/>
    <s v="Ladyane Moreno Rosa de Almeida"/>
    <s v="Feminino"/>
    <x v="6"/>
    <x v="23"/>
    <s v="31602185 - Estimulação Elétrica Transcutanea (Tens) (R$ 40,00)"/>
    <s v="Fisioterapia"/>
    <n v="170201"/>
    <s v="Finalizado (1/5)"/>
    <n v="35.200000000000003"/>
    <n v="4.8"/>
    <n v="40"/>
    <s v="Sessão a Faturar"/>
    <s v="56788888487957080014"/>
    <n v="56246"/>
    <s v="Unidade Vieralves (ANEXO)"/>
    <n v="170201"/>
    <m/>
  </r>
  <r>
    <x v="12"/>
    <x v="15"/>
    <s v="André Luís Moreira de Araújo"/>
    <m/>
    <x v="2"/>
    <x v="23"/>
    <s v="20103484 - Fisioterapia - Patologia Em Um Membro (R$ 12,22)"/>
    <s v="Fisioterapia"/>
    <n v="1701974500"/>
    <s v="Finalizado (5/5)"/>
    <n v="10.7536"/>
    <n v="1.4663999999999999"/>
    <n v="12.22"/>
    <s v="Sessão Faturada"/>
    <n v="856201100027010"/>
    <n v="55381"/>
    <s v="Unidade Vieralves (ANEXO)"/>
    <n v="1701974500"/>
    <m/>
  </r>
  <r>
    <x v="12"/>
    <x v="15"/>
    <s v="Ronaldo Pereira Santos"/>
    <s v="Masculino"/>
    <x v="1"/>
    <x v="23"/>
    <s v="50000160 - Fisioterapia Ortopédica (R$ 20,00), 98980327 - Taxa de Eletroterapia (Tens) (R$ 15,00)"/>
    <s v="Fisioterapia"/>
    <n v="8923073"/>
    <s v="Finalizado (6/10)"/>
    <n v="30.8"/>
    <n v="4.2"/>
    <n v="35"/>
    <s v="Sessão Faturada"/>
    <n v="1901011231270100"/>
    <n v="45793"/>
    <s v="Unidade Vieralves (ANEXO)"/>
    <n v="8923073"/>
    <m/>
  </r>
  <r>
    <x v="12"/>
    <x v="15"/>
    <s v="Mell Lenigia Oliveira da Cruz"/>
    <s v="Feminino"/>
    <x v="6"/>
    <x v="23"/>
    <s v="20103514 - Patologia Em Dois Ou Mais Segmentos da Coluna (R$ 32,82)"/>
    <s v="Fisioterapia"/>
    <n v="170019"/>
    <s v="Finalizado (3/5)"/>
    <n v="28.881599999999999"/>
    <n v="3.9384000000000001"/>
    <n v="32.82"/>
    <s v="Sessão a Faturar"/>
    <s v="55788888485414000013"/>
    <n v="21643"/>
    <s v="Unidade Vieralves (ANEXO)"/>
    <n v="170019"/>
    <m/>
  </r>
  <r>
    <x v="12"/>
    <x v="16"/>
    <s v="André Luís Moreira de Araújo"/>
    <m/>
    <x v="2"/>
    <x v="23"/>
    <s v="20103115 - Atividade Reflexa Cinesioterápica (R$ 20,81)"/>
    <s v="Fisioterapia"/>
    <n v="1701975108"/>
    <s v="Finalizado (5/5)"/>
    <n v="18.312799999999999"/>
    <n v="2.4971999999999999"/>
    <n v="20.81"/>
    <s v="Sessão Faturada"/>
    <n v="856201100027010"/>
    <n v="55381"/>
    <s v="Unidade Vieralves (ANEXO)"/>
    <n v="1701975108"/>
    <m/>
  </r>
  <r>
    <x v="12"/>
    <x v="16"/>
    <s v="Mell Lenigia Oliveira da Cruz"/>
    <s v="Feminino"/>
    <x v="6"/>
    <x v="23"/>
    <s v="31602185 - Estimulação Elétrica Transcutanea (Tens) (R$ 40,00)"/>
    <s v="Fisioterapia"/>
    <n v="170020"/>
    <s v="Finalizado (3/5)"/>
    <n v="35.200000000000003"/>
    <n v="4.8"/>
    <n v="40"/>
    <s v="Sessão a Faturar"/>
    <s v="55788888485414000013"/>
    <n v="21643"/>
    <s v="Unidade Vieralves (ANEXO)"/>
    <n v="170020"/>
    <m/>
  </r>
  <r>
    <x v="12"/>
    <x v="17"/>
    <s v="Nayara Talassa Damasceno Inácio"/>
    <s v="Feminino"/>
    <x v="2"/>
    <x v="23"/>
    <s v="20103484 - Fisioterapia - Patologia Em Um Membro (R$ 12,22)"/>
    <s v="Fisioterapia"/>
    <n v="1703901527"/>
    <s v="Finalizado (4/5)"/>
    <n v="10.7536"/>
    <n v="1.4663999999999999"/>
    <n v="12.22"/>
    <s v="Sessão Faturada"/>
    <n v="774981007498010"/>
    <n v="55360"/>
    <s v="Unidade Vieralves (ANEXO)"/>
    <n v="1703901527"/>
    <m/>
  </r>
  <r>
    <x v="12"/>
    <x v="17"/>
    <s v="Maria Fernanda Cabral Ribeiro"/>
    <s v="Feminino"/>
    <x v="2"/>
    <x v="23"/>
    <s v="20103484 - Fisioterapia - Patologia Em Um Membro (R$ 12,22)"/>
    <s v="Fisioterapia"/>
    <n v="1703499026"/>
    <s v="Finalizado (3/5)"/>
    <n v="10.7536"/>
    <n v="1.4663999999999999"/>
    <n v="12.22"/>
    <s v="Sessão Faturada"/>
    <n v="774981007498000"/>
    <n v="55356"/>
    <s v="Unidade Vieralves (ANEXO)"/>
    <n v="1703499026"/>
    <m/>
  </r>
  <r>
    <x v="12"/>
    <x v="17"/>
    <s v="Marcus Vinicius da Costa Corrêa"/>
    <s v="Masculino"/>
    <x v="2"/>
    <x v="23"/>
    <s v="20103514 - Fisioterapia - Patologia Em Diferentes Segmentos da Coluna (R$ 14,83)"/>
    <s v="Fisioterapia"/>
    <n v="1703981715"/>
    <s v="Finalizado (3/5)"/>
    <n v="13.0504"/>
    <n v="1.7796000000000001"/>
    <n v="14.83"/>
    <s v="Sessão Faturada"/>
    <n v="774981007188010"/>
    <n v="59433"/>
    <s v="Unidade Vieralves (ANEXO)"/>
    <n v="1703981715"/>
    <m/>
  </r>
  <r>
    <x v="12"/>
    <x v="17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1/10)"/>
    <n v="30.8"/>
    <n v="4.2"/>
    <n v="35"/>
    <s v="Sessão Faturada"/>
    <n v="1101014113820300"/>
    <n v="59487"/>
    <s v="Unidade Vieralves (ANEXO)"/>
    <n v="9122845"/>
    <m/>
  </r>
  <r>
    <x v="12"/>
    <x v="18"/>
    <s v="Marcus Vinicius da Costa Corrêa"/>
    <s v="Masculino"/>
    <x v="2"/>
    <x v="23"/>
    <s v="20103115 - Atividade Reflexa Cinesioterápica (R$ 20,81)"/>
    <s v="Fisioterapia"/>
    <n v="1703982295"/>
    <s v="Finalizado (3/5)"/>
    <n v="18.312799999999999"/>
    <n v="2.4971999999999999"/>
    <n v="20.81"/>
    <s v="Sessão Faturada"/>
    <n v="774981007188010"/>
    <n v="59433"/>
    <s v="Unidade Vieralves (ANEXO)"/>
    <n v="1703982295"/>
    <m/>
  </r>
  <r>
    <x v="12"/>
    <x v="18"/>
    <s v="Maykel Célio Costa de Souza"/>
    <s v="Masculino"/>
    <x v="1"/>
    <x v="23"/>
    <s v="50000144 - Consulta de Fisioterapia (R$ 16,00)"/>
    <s v="Fisioterapia"/>
    <n v="9118128"/>
    <s v="Finalizado (1/1)"/>
    <n v="14.4"/>
    <n v="1.6"/>
    <n v="16"/>
    <s v="Sessão Faturada"/>
    <n v="1101014113820300"/>
    <n v="59487"/>
    <s v="Unidade Vieralves (ANEXO)"/>
    <n v="9118128"/>
    <m/>
  </r>
  <r>
    <x v="12"/>
    <x v="18"/>
    <s v="Maria Fernanda Cabral Ribeiro"/>
    <s v="Feminino"/>
    <x v="2"/>
    <x v="23"/>
    <s v="20103115 - Atividade Reflexa Cinesioterápica (R$ 20,81)"/>
    <s v="Fisioterapia"/>
    <n v="1703499493"/>
    <s v="Finalizado (3/5)"/>
    <n v="18.312799999999999"/>
    <n v="2.4971999999999999"/>
    <n v="20.81"/>
    <s v="Sessão Faturada"/>
    <n v="774981007498000"/>
    <n v="55356"/>
    <s v="Unidade Vieralves (ANEXO)"/>
    <n v="1703499493"/>
    <m/>
  </r>
  <r>
    <x v="12"/>
    <x v="18"/>
    <s v="Nayara Talassa Damasceno Inácio"/>
    <s v="Feminino"/>
    <x v="2"/>
    <x v="23"/>
    <s v="20103115 - Atividade Reflexa Cinesioterápica (R$ 20,81)"/>
    <s v="Fisioterapia"/>
    <n v="1703902550"/>
    <s v="Finalizado (4/5)"/>
    <n v="18.312799999999999"/>
    <n v="2.4971999999999999"/>
    <n v="20.81"/>
    <s v="Sessão Faturada"/>
    <n v="774981007498010"/>
    <n v="55360"/>
    <s v="Unidade Vieralves (ANEXO)"/>
    <n v="1703902550"/>
    <m/>
  </r>
  <r>
    <x v="12"/>
    <x v="8"/>
    <s v="Pedro Lucas Aloise"/>
    <s v="Masculino"/>
    <x v="0"/>
    <x v="23"/>
    <s v="31602185 - Estimulação Elétrica Transcutânea Fisioterapia (Novo - 01/12) (R$ 54,13)"/>
    <s v="Fisioterapia"/>
    <s v="42263120260205239164"/>
    <s v="Finalizado (10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2"/>
    <x v="8"/>
    <s v="Carlos Cristiano Felix"/>
    <s v="Masculino"/>
    <x v="6"/>
    <x v="23"/>
    <s v="20103506 - Patologia Em Um Segmento da Coluna (R$ 14,16)"/>
    <s v="Fisioterapia"/>
    <n v="169411"/>
    <s v="Finalizado (4/5)"/>
    <n v="12.460800000000001"/>
    <n v="1.6992"/>
    <n v="14.16"/>
    <s v="Sessão a Faturar"/>
    <s v="55788888486887820113"/>
    <n v="58849"/>
    <s v="Unidade Vieralves (ANEXO)"/>
    <n v="169411"/>
    <m/>
  </r>
  <r>
    <x v="12"/>
    <x v="9"/>
    <s v="Pedro Lucas Aloise"/>
    <s v="Masculino"/>
    <x v="0"/>
    <x v="23"/>
    <s v="50000160 - Fisioterapia Ortopedica (R$ 49,72)"/>
    <s v="Fisioterapia"/>
    <s v="42263120260205238757"/>
    <s v="Finalizado (10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2"/>
    <x v="9"/>
    <s v="Carlos Cristiano Felix"/>
    <s v="Masculino"/>
    <x v="6"/>
    <x v="23"/>
    <s v="31602185 - Estimulação Elétrica Transcutanea (Tens) (R$ 40,00)"/>
    <s v="Fisioterapia"/>
    <n v="169412"/>
    <s v="Finalizado (4/5)"/>
    <n v="35.200000000000003"/>
    <n v="4.8"/>
    <n v="40"/>
    <s v="Sessão a Faturar"/>
    <s v="55788888486887820113"/>
    <n v="58849"/>
    <s v="Unidade Vieralves (ANEXO)"/>
    <n v="169412"/>
    <m/>
  </r>
  <r>
    <x v="12"/>
    <x v="10"/>
    <s v="Ademir Landim Calegari"/>
    <s v="Masculino"/>
    <x v="7"/>
    <x v="23"/>
    <s v="Vieiralves - 1 - Fisioterapia Ortopedica - Pacote (R$ 40,00)"/>
    <s v="Fisioterapia"/>
    <m/>
    <s v="Finalizado (3/20)"/>
    <n v="31.2"/>
    <n v="8.8000000000000007"/>
    <n v="40"/>
    <s v="Pago"/>
    <n v="0"/>
    <n v="59456"/>
    <s v="Unidade Vieralves (ANEXO)"/>
    <m/>
    <m/>
  </r>
  <r>
    <x v="12"/>
    <x v="10"/>
    <s v="Leandro Guimaraes dos Santos"/>
    <m/>
    <x v="1"/>
    <x v="23"/>
    <s v="50000160 - Fisioterapia Ortopédica (R$ 20,00), 98980327 - Taxa de Eletroterapia (Tens) (R$ 15,00)"/>
    <s v="Fisioterapia"/>
    <n v="8713472"/>
    <s v="Finalizado (8/10)"/>
    <n v="30.8"/>
    <n v="4.2"/>
    <n v="35"/>
    <s v="Sessão Faturada"/>
    <n v="1901013998000200"/>
    <n v="59051"/>
    <s v="Unidade Vieralves (ANEXO)"/>
    <n v="8713472"/>
    <m/>
  </r>
  <r>
    <x v="12"/>
    <x v="10"/>
    <s v="Simone Carvalho da Silva Grijo"/>
    <s v="Feminino"/>
    <x v="5"/>
    <x v="23"/>
    <s v="98860020 - Fisioterapia Complexidade 2 - 04/03/2026 (R$ 70,79)"/>
    <s v="Fisioterapia"/>
    <n v="76803750"/>
    <s v="Finalizado (2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12"/>
    <x v="10"/>
    <s v="Felipe da Silva Abreu"/>
    <s v="Masculino"/>
    <x v="7"/>
    <x v="23"/>
    <s v="Vieiralves - 1 - Fisioterapia Ortopedica - Pacote (R$ 40,00)"/>
    <s v="Fisioterapia"/>
    <n v="168040"/>
    <s v="Finalizado (6/10)"/>
    <n v="31.2"/>
    <n v="8.8000000000000007"/>
    <n v="40"/>
    <s v="Pago"/>
    <n v="0"/>
    <n v="9285"/>
    <s v="Unidade Vieralves (ANEXO)"/>
    <n v="168040"/>
    <m/>
  </r>
  <r>
    <x v="12"/>
    <x v="11"/>
    <s v="Simone Carvalho da Silva Grijo"/>
    <s v="Feminino"/>
    <x v="5"/>
    <x v="23"/>
    <s v="31602185 - Estimulação Elétrica Transcutânea (Tens) (R$ 125,40)"/>
    <s v="Fisioterapia"/>
    <n v="79227650"/>
    <s v="Finalizado (1/10)"/>
    <n v="110.352"/>
    <n v="15.048"/>
    <n v="125.4"/>
    <s v="Sessão a Faturar"/>
    <s v="0101072415010378"/>
    <n v="11558"/>
    <s v="Unidade Vieralves (ANEXO)"/>
    <n v="79227650"/>
    <m/>
  </r>
  <r>
    <x v="12"/>
    <x v="12"/>
    <s v="Hyggor da Silva Medeiros"/>
    <s v="Masculino"/>
    <x v="2"/>
    <x v="23"/>
    <s v="20103484 - Fisioterapia - Patologia Em Um Membro (R$ 12,22)"/>
    <s v="Fisioterapia"/>
    <n v="1704503696"/>
    <s v="Finalizado (2/5)"/>
    <n v="10.7536"/>
    <n v="1.4663999999999999"/>
    <n v="12.22"/>
    <s v="Sessão Faturada"/>
    <n v="774642025895010"/>
    <n v="59368"/>
    <s v="Unidade Vieralves (ANEXO)"/>
    <n v="1704503696"/>
    <m/>
  </r>
  <r>
    <x v="12"/>
    <x v="12"/>
    <s v="Hyggor da Silva Medeiros"/>
    <s v="Masculino"/>
    <x v="2"/>
    <x v="23"/>
    <s v="20103115 - Atividade Reflexa Cinesioterápica (R$ 20,81)"/>
    <s v="Fisioterapia"/>
    <n v="1704503963"/>
    <s v="Finalizado (2/5)"/>
    <n v="18.312799999999999"/>
    <n v="2.4971999999999999"/>
    <n v="20.81"/>
    <s v="Sessão Faturada"/>
    <n v="774642025895010"/>
    <n v="59368"/>
    <s v="Unidade Vieralves (ANEXO)"/>
    <n v="1704503963"/>
    <m/>
  </r>
  <r>
    <x v="13"/>
    <x v="22"/>
    <s v="Erika da Silva Guedes"/>
    <s v="Feminino"/>
    <x v="6"/>
    <x v="23"/>
    <s v="31602185 - Estimulação Elétrica Transcutanea (Tens) (R$ 40,00)"/>
    <s v="Fisioterapia"/>
    <n v="169521"/>
    <s v="Finalizado (5/5)"/>
    <n v="35.200000000000003"/>
    <n v="4.8"/>
    <n v="40"/>
    <s v="Sessão a Faturar"/>
    <s v="58200789998086170014"/>
    <n v="59434"/>
    <s v="Unidade Vieralves (ANEXO)"/>
    <n v="169521"/>
    <m/>
  </r>
  <r>
    <x v="13"/>
    <x v="22"/>
    <s v="Ana Alice da Silva Araujo"/>
    <s v="Feminino"/>
    <x v="6"/>
    <x v="23"/>
    <s v="20103484 - Patologia Em Um Membro (R$ 14,16)"/>
    <s v="Fisioterapia"/>
    <n v="169725"/>
    <s v="Finalizado (3/5)"/>
    <n v="12.460800000000001"/>
    <n v="1.6992"/>
    <n v="14.16"/>
    <s v="Sessão a Faturar"/>
    <s v="54588888004872900019"/>
    <n v="13030"/>
    <s v="Unidade Vieralves (ANEXO)"/>
    <n v="169725"/>
    <m/>
  </r>
  <r>
    <x v="13"/>
    <x v="22"/>
    <s v="Ricardo Takashi Yamashita"/>
    <s v="Masculino"/>
    <x v="2"/>
    <x v="23"/>
    <s v="20103506 - Fisioterapia - Patologia Em Um Segmento da Coluna (R$ 12,22)"/>
    <s v="Fisioterapia"/>
    <n v="1704848270"/>
    <s v="Finalizado (3/5)"/>
    <n v="10.7536"/>
    <n v="1.4663999999999999"/>
    <n v="12.22"/>
    <s v="Sessão Faturada"/>
    <n v="891007000019000"/>
    <n v="52119"/>
    <s v="Unidade Vieralves (ANEXO)"/>
    <n v="1704848270"/>
    <m/>
  </r>
  <r>
    <x v="13"/>
    <x v="23"/>
    <s v="Ricardo Takashi Yamashita"/>
    <s v="Masculino"/>
    <x v="2"/>
    <x v="23"/>
    <s v="20103115 - Atividade Reflexa Cinesioterápica (R$ 20,81)"/>
    <s v="Fisioterapia"/>
    <n v="1704848829"/>
    <s v="Finalizado (3/5)"/>
    <n v="18.312799999999999"/>
    <n v="2.4971999999999999"/>
    <n v="20.81"/>
    <s v="Sessão Faturada"/>
    <n v="891007000019000"/>
    <n v="52119"/>
    <s v="Unidade Vieralves (ANEXO)"/>
    <n v="1704848829"/>
    <m/>
  </r>
  <r>
    <x v="13"/>
    <x v="23"/>
    <s v="Erika da Silva Guedes"/>
    <s v="Feminino"/>
    <x v="6"/>
    <x v="23"/>
    <s v="20103492 - Patologia Em Dois Ou Mais Membros (R$ 30,26)"/>
    <s v="Fisioterapia"/>
    <n v="169520"/>
    <s v="Finalizado (5/5)"/>
    <n v="26.628799999999998"/>
    <n v="3.6312000000000002"/>
    <n v="30.26"/>
    <s v="Sessão a Faturar"/>
    <s v="58200789998086170014"/>
    <n v="59434"/>
    <s v="Unidade Vieralves (ANEXO)"/>
    <n v="169520"/>
    <m/>
  </r>
  <r>
    <x v="13"/>
    <x v="23"/>
    <s v="Ana Alice da Silva Araujo"/>
    <s v="Feminino"/>
    <x v="6"/>
    <x v="23"/>
    <s v="31602185 - Estimulação Elétrica Transcutanea (Tens) (R$ 40,00)"/>
    <s v="Fisioterapia"/>
    <n v="169726"/>
    <s v="Finalizado (3/5)"/>
    <n v="35.200000000000003"/>
    <n v="4.8"/>
    <n v="40"/>
    <s v="Sessão a Faturar"/>
    <s v="54588888004872900019"/>
    <n v="13030"/>
    <s v="Unidade Vieralves (ANEXO)"/>
    <n v="169726"/>
    <m/>
  </r>
  <r>
    <x v="13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2/10)"/>
    <n v="30.8"/>
    <n v="4.2"/>
    <n v="35"/>
    <s v="Sessão Faturada"/>
    <n v="1901013317720400"/>
    <n v="58938"/>
    <s v="Unidade Vieralves (ANEXO)"/>
    <n v="9123050"/>
    <m/>
  </r>
  <r>
    <x v="13"/>
    <x v="2"/>
    <s v="Amanda Cecília Lins El-Amme"/>
    <s v="Feminino"/>
    <x v="1"/>
    <x v="23"/>
    <s v="50000217 - Fisioterapia Pré e Pós Operatória (R$ 25,00)"/>
    <s v="Fisioterapia"/>
    <n v="8845518"/>
    <s v="Finalizado (7/10)"/>
    <n v="22"/>
    <n v="3"/>
    <n v="25"/>
    <s v="Sessão Faturada"/>
    <s v="0901012580480056"/>
    <n v="58946"/>
    <s v="Unidade Vieralves (ANEXO)"/>
    <n v="8845518"/>
    <m/>
  </r>
  <r>
    <x v="13"/>
    <x v="2"/>
    <s v="Jo Pereira dos Santos"/>
    <s v="Feminino"/>
    <x v="2"/>
    <x v="23"/>
    <s v="20103484 - Fisioterapia - Patologia Em Um Membro (R$ 12,22)"/>
    <s v="Fisioterapia"/>
    <n v="1703906670"/>
    <s v="Finalizado (4/5)"/>
    <n v="10.7536"/>
    <n v="1.4663999999999999"/>
    <n v="12.22"/>
    <s v="Sessão Faturada"/>
    <n v="774642029599000"/>
    <n v="59380"/>
    <s v="Unidade Vieralves (ANEXO)"/>
    <n v="1703906670"/>
    <m/>
  </r>
  <r>
    <x v="13"/>
    <x v="3"/>
    <s v="Jo Pereira dos Santos"/>
    <s v="Feminino"/>
    <x v="2"/>
    <x v="23"/>
    <s v="20103115 - Atividade Reflexa Cinesioterápica (R$ 20,81)"/>
    <s v="Fisioterapia"/>
    <n v="1703907540"/>
    <s v="Finalizado (4/5)"/>
    <n v="18.312799999999999"/>
    <n v="2.4971999999999999"/>
    <n v="20.81"/>
    <s v="Sessão Faturada"/>
    <n v="774642029599000"/>
    <n v="59380"/>
    <s v="Unidade Vieralves (ANEXO)"/>
    <n v="1703907540"/>
    <m/>
  </r>
  <r>
    <x v="13"/>
    <x v="4"/>
    <s v="Paulo André Assis de Moura"/>
    <s v="Masculino"/>
    <x v="6"/>
    <x v="23"/>
    <s v="31602185 - Estimulação Elétrica Transcutanea (Tens) (R$ 40,00)"/>
    <s v="Fisioterapia"/>
    <n v="169856"/>
    <s v="Finalizado (2/5)"/>
    <n v="35.200000000000003"/>
    <n v="4.8"/>
    <n v="40"/>
    <s v="Sessão a Faturar"/>
    <s v="54588888488043100010"/>
    <n v="59356"/>
    <s v="Unidade Vieralves (ANEXO)"/>
    <n v="169856"/>
    <m/>
  </r>
  <r>
    <x v="13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1/10)"/>
    <n v="30.8"/>
    <n v="4.2"/>
    <n v="35"/>
    <s v="Sessão Faturada"/>
    <s v="0901013217840019"/>
    <n v="10185"/>
    <s v="Unidade Vieralves (ANEXO)"/>
    <n v="9146437"/>
    <m/>
  </r>
  <r>
    <x v="13"/>
    <x v="4"/>
    <s v="Edivaldo Soares de Brito"/>
    <s v="Masculino"/>
    <x v="1"/>
    <x v="23"/>
    <s v="50000160 - Fisioterapia Ortopédica (R$ 20,00), 98980327 - Taxa de Eletroterapia (Tens) (R$ 15,00)"/>
    <s v="Fisioterapia"/>
    <n v="9141416"/>
    <s v="Finalizado (1/5)"/>
    <n v="30.8"/>
    <n v="4.2"/>
    <n v="35"/>
    <s v="Sessão Faturada"/>
    <s v="0901012950880070"/>
    <n v="57955"/>
    <s v="Unidade Vieralves (ANEXO)"/>
    <n v="9141416"/>
    <m/>
  </r>
  <r>
    <x v="13"/>
    <x v="5"/>
    <s v="Paulo André Assis de Moura"/>
    <s v="Masculino"/>
    <x v="6"/>
    <x v="23"/>
    <s v="20103484 - Patologia Em Um Membro (R$ 14,16)"/>
    <s v="Fisioterapia"/>
    <n v="169855"/>
    <s v="Finalizado (4/5)"/>
    <n v="12.460800000000001"/>
    <n v="1.6992"/>
    <n v="14.16"/>
    <s v="Sessão a Faturar"/>
    <s v="54588888488043100010"/>
    <n v="59356"/>
    <s v="Unidade Vieralves (ANEXO)"/>
    <n v="169855"/>
    <m/>
  </r>
  <r>
    <x v="13"/>
    <x v="5"/>
    <s v="Sonia Braga Perfeito"/>
    <s v="Feminino"/>
    <x v="1"/>
    <x v="23"/>
    <s v="50000144 - Consulta de Fisioterapia (R$ 16,00)"/>
    <s v="Fisioterapia"/>
    <n v="9140618"/>
    <s v="Finalizado (1/1)"/>
    <n v="14.4"/>
    <n v="1.6"/>
    <n v="16"/>
    <s v="Sessão Faturada"/>
    <s v="0901013217840019"/>
    <n v="10185"/>
    <s v="Unidade Vieralves (ANEXO)"/>
    <n v="9140618"/>
    <m/>
  </r>
  <r>
    <x v="13"/>
    <x v="6"/>
    <s v="Suellem Cristian Oliveira Epifânio"/>
    <s v="Feminino"/>
    <x v="2"/>
    <x v="23"/>
    <s v="20103492 - Fisioterapia - Patologia Em Dois Ou Mais Membros (R$ 14,83)"/>
    <s v="Fisioterapia"/>
    <n v="1705672340"/>
    <s v="Finalizado (2/4)"/>
    <n v="13.0504"/>
    <n v="1.7796000000000001"/>
    <n v="14.83"/>
    <s v="Sessão Faturada"/>
    <n v="775340003336000"/>
    <n v="55780"/>
    <s v="Unidade Vieralves (ANEXO)"/>
    <n v="1705672340"/>
    <m/>
  </r>
  <r>
    <x v="13"/>
    <x v="7"/>
    <s v="Suellem Cristian Oliveira Epifânio"/>
    <s v="Feminino"/>
    <x v="2"/>
    <x v="23"/>
    <s v="20103115 - Atividade Reflexa Cinesioterápica (R$ 20,81)"/>
    <s v="Fisioterapia"/>
    <n v="1705673222"/>
    <s v="Finalizado (2/3)"/>
    <n v="18.312799999999999"/>
    <n v="2.4971999999999999"/>
    <n v="20.81"/>
    <s v="Sessão Faturada"/>
    <n v="775340003336000"/>
    <n v="55780"/>
    <s v="Unidade Vieralves (ANEXO)"/>
    <n v="1705673222"/>
    <m/>
  </r>
  <r>
    <x v="13"/>
    <x v="17"/>
    <s v="Williams Valerio do Nascimento"/>
    <s v="Masculino"/>
    <x v="2"/>
    <x v="23"/>
    <s v="20103484 - Fisioterapia - Patologia Em Um Membro (R$ 12,22)"/>
    <s v="Fisioterapia"/>
    <n v="1706497332"/>
    <s v="Finalizado (1/4)"/>
    <n v="10.7536"/>
    <n v="1.4663999999999999"/>
    <n v="12.22"/>
    <s v="Sessão Faturada"/>
    <n v="774438016047000"/>
    <n v="18013"/>
    <s v="Unidade Vieralves (ANEXO)"/>
    <n v="1706497332"/>
    <m/>
  </r>
  <r>
    <x v="13"/>
    <x v="17"/>
    <s v="Nayara Talassa Damasceno Inácio"/>
    <s v="Feminino"/>
    <x v="2"/>
    <x v="23"/>
    <s v="20103484 - Fisioterapia - Patologia Em Um Membro (R$ 12,22)"/>
    <s v="Fisioterapia"/>
    <n v="1703901527"/>
    <s v="Finalizado (5/5)"/>
    <n v="10.7536"/>
    <n v="1.4663999999999999"/>
    <n v="12.22"/>
    <s v="Sessão Faturada"/>
    <n v="774981007498010"/>
    <n v="55360"/>
    <s v="Unidade Vieralves (ANEXO)"/>
    <n v="1703901527"/>
    <m/>
  </r>
  <r>
    <x v="13"/>
    <x v="17"/>
    <s v="Karina Souza de Melo"/>
    <s v="Feminino"/>
    <x v="0"/>
    <x v="23"/>
    <s v="50000160 - Fisioterapia Ortopedica (R$ 49,72)"/>
    <s v="Fisioterapia"/>
    <s v="42263120260214298025"/>
    <s v="Finalizado (9/10)"/>
    <n v="43.753599999999999"/>
    <n v="5.9664000000000001"/>
    <n v="49.72"/>
    <s v="Sessão Faturada"/>
    <s v="010244003701"/>
    <n v="58854"/>
    <s v="Unidade Vieralves (ANEXO)"/>
    <s v="42263120260214298025"/>
    <m/>
  </r>
  <r>
    <x v="13"/>
    <x v="18"/>
    <s v="Williams Valerio do Nascimento"/>
    <s v="Masculino"/>
    <x v="2"/>
    <x v="23"/>
    <s v="20103115 - Atividade Reflexa Cinesioterápica (R$ 20,81)"/>
    <s v="Fisioterapia"/>
    <n v="1706498049"/>
    <s v="Finalizado (1/4)"/>
    <n v="18.312799999999999"/>
    <n v="2.4971999999999999"/>
    <n v="20.81"/>
    <s v="Sessão Faturada"/>
    <n v="774438016047000"/>
    <n v="18013"/>
    <s v="Unidade Vieralves (ANEXO)"/>
    <n v="1706498049"/>
    <m/>
  </r>
  <r>
    <x v="13"/>
    <x v="18"/>
    <s v="Nayara Talassa Damasceno Inácio"/>
    <s v="Feminino"/>
    <x v="2"/>
    <x v="23"/>
    <s v="20103115 - Atividade Reflexa Cinesioterápica (R$ 20,81)"/>
    <s v="Fisioterapia"/>
    <n v="1703902550"/>
    <s v="Finalizado (5/5)"/>
    <n v="18.312799999999999"/>
    <n v="2.4971999999999999"/>
    <n v="20.81"/>
    <s v="Sessão Faturada"/>
    <n v="774981007498010"/>
    <n v="55360"/>
    <s v="Unidade Vieralves (ANEXO)"/>
    <n v="1703902550"/>
    <m/>
  </r>
  <r>
    <x v="13"/>
    <x v="18"/>
    <s v="Karina Souza de Melo"/>
    <s v="Feminino"/>
    <x v="0"/>
    <x v="23"/>
    <s v="31602185 - Estimulação Elétrica Transcutânea Fisioterapia (Novo - 01/12) (R$ 54,13)"/>
    <s v="Fisioterapia"/>
    <s v="42263120260214298048"/>
    <s v="Finalizado (9/10)"/>
    <n v="47.634399999999999"/>
    <n v="6.4955999999999996"/>
    <n v="54.13"/>
    <s v="Sessão Faturada"/>
    <s v="010244003701"/>
    <n v="58854"/>
    <s v="Unidade Vieralves (ANEXO)"/>
    <s v="42263120260214298048"/>
    <m/>
  </r>
  <r>
    <x v="13"/>
    <x v="12"/>
    <s v="Yago Amaral Ferreira"/>
    <s v="Masculino"/>
    <x v="2"/>
    <x v="23"/>
    <s v="20103484 - Fisioterapia - Patologia Em Um Membro (R$ 12,22)"/>
    <s v="Fisioterapia"/>
    <n v="1702981085"/>
    <s v="Finalizado (4/5)"/>
    <n v="10.7536"/>
    <n v="1.4663999999999999"/>
    <n v="12.22"/>
    <s v="Sessão Faturada"/>
    <n v="773626008052010"/>
    <n v="33956"/>
    <s v="Unidade Vieralves (ANEXO)"/>
    <n v="1702981085"/>
    <m/>
  </r>
  <r>
    <x v="13"/>
    <x v="12"/>
    <s v="Yago Amaral Ferreira"/>
    <s v="Masculino"/>
    <x v="2"/>
    <x v="23"/>
    <s v="20103115 - Atividade Reflexa Cinesioterápica (R$ 20,81)"/>
    <s v="Fisioterapia"/>
    <n v="1702981402"/>
    <s v="Finalizado (4/5)"/>
    <n v="18.312799999999999"/>
    <n v="2.4971999999999999"/>
    <n v="20.81"/>
    <s v="Sessão Faturada"/>
    <n v="773626008052010"/>
    <n v="33956"/>
    <s v="Unidade Vieralves (ANEXO)"/>
    <n v="1702981402"/>
    <m/>
  </r>
  <r>
    <x v="15"/>
    <x v="22"/>
    <s v="Conceição Andrade Viana"/>
    <s v="Feminino"/>
    <x v="6"/>
    <x v="23"/>
    <s v="20103484 - Patologia Em Um Membro (R$ 14,16)"/>
    <s v="Fisioterapia"/>
    <n v="170495"/>
    <s v="Finalizado (2/4)"/>
    <n v="12.460800000000001"/>
    <n v="1.6992"/>
    <n v="14.16"/>
    <s v="Sessão a Faturar"/>
    <s v="54588888003485490021"/>
    <n v="59381"/>
    <s v="Unidade Vieralves (ANEXO)"/>
    <n v="170495"/>
    <m/>
  </r>
  <r>
    <x v="15"/>
    <x v="23"/>
    <s v="Conceição Andrade Viana"/>
    <s v="Feminino"/>
    <x v="6"/>
    <x v="23"/>
    <s v="31602185 - Estimulação Elétrica Transcutanea (Tens) (R$ 40,00)"/>
    <s v="Fisioterapia"/>
    <n v="170496"/>
    <s v="Finalizado (2/4)"/>
    <n v="35.200000000000003"/>
    <n v="4.8"/>
    <n v="40"/>
    <s v="Sessão a Faturar"/>
    <s v="54588888003485490021"/>
    <n v="59381"/>
    <s v="Unidade Vieralves (ANEXO)"/>
    <n v="170496"/>
    <m/>
  </r>
  <r>
    <x v="15"/>
    <x v="0"/>
    <s v="Laercio Pereira Sarmento Júnior"/>
    <s v="Masculino"/>
    <x v="2"/>
    <x v="23"/>
    <s v="20103115 - Atividade Reflexa Cinesioterápica (R$ 20,81)"/>
    <s v="Fisioterapia"/>
    <n v="1707408154"/>
    <s v="Finalizado (1/2)"/>
    <n v="18.312799999999999"/>
    <n v="2.4971999999999999"/>
    <n v="20.81"/>
    <s v="Sessão Faturada"/>
    <n v="774981007145010"/>
    <n v="54312"/>
    <s v="Unidade Vieralves (ANEXO)"/>
    <n v="1707408154"/>
    <m/>
  </r>
  <r>
    <x v="15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3/10)"/>
    <n v="30.8"/>
    <n v="4.2"/>
    <n v="35"/>
    <s v="Sessão Faturada"/>
    <n v="1901013317720400"/>
    <n v="58938"/>
    <s v="Unidade Vieralves (ANEXO)"/>
    <n v="9123050"/>
    <m/>
  </r>
  <r>
    <x v="15"/>
    <x v="0"/>
    <s v="Maria do Socorro Sena Albuquerque"/>
    <s v="Feminino"/>
    <x v="1"/>
    <x v="23"/>
    <s v="50000144 - Consulta de Fisioterapia (R$ 16,00)"/>
    <s v="Fisioterapia"/>
    <n v="9186968"/>
    <s v="Finalizado (1/1)"/>
    <n v="14.4"/>
    <n v="1.6"/>
    <n v="16"/>
    <s v="Sessão Faturada"/>
    <n v="1401013803670100"/>
    <n v="57417"/>
    <s v="Unidade Vieralves (ANEXO)"/>
    <n v="9186968"/>
    <m/>
  </r>
  <r>
    <x v="15"/>
    <x v="0"/>
    <s v="Sonia Braga Perfeito"/>
    <s v="Feminino"/>
    <x v="1"/>
    <x v="23"/>
    <s v="50000160 - Fisioterapia Ortopédica (R$ 20,00), 98980327 - Taxa de Eletroterapia (Tens) (R$ 15,00)"/>
    <s v="Fisioterapia"/>
    <n v="9146437"/>
    <s v="Finalizado (2/10)"/>
    <n v="30.8"/>
    <n v="4.2"/>
    <n v="35"/>
    <s v="Sessão Faturada"/>
    <s v="0901013217840019"/>
    <n v="10185"/>
    <s v="Unidade Vieralves (ANEXO)"/>
    <n v="9146437"/>
    <m/>
  </r>
  <r>
    <x v="15"/>
    <x v="1"/>
    <s v="Laercio Pereira Sarmento Júnior"/>
    <s v="Masculino"/>
    <x v="2"/>
    <x v="23"/>
    <s v="20103484 - Fisioterapia - Patologia Em Um Membro (R$ 12,22)"/>
    <s v="Fisioterapia"/>
    <n v="1707407269"/>
    <s v="Finalizado (1/2)"/>
    <n v="10.7536"/>
    <n v="1.4663999999999999"/>
    <n v="12.22"/>
    <s v="Sessão Faturada"/>
    <n v="774981007145010"/>
    <n v="54312"/>
    <s v="Unidade Vieralves (ANEXO)"/>
    <n v="1707407269"/>
    <m/>
  </r>
  <r>
    <x v="15"/>
    <x v="1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1/8)"/>
    <n v="30.8"/>
    <n v="4.2"/>
    <n v="35"/>
    <s v="Sessão Faturada"/>
    <n v="1401013803670100"/>
    <n v="57417"/>
    <s v="Unidade Vieralves (ANEXO)"/>
    <n v="9187587"/>
    <m/>
  </r>
  <r>
    <x v="15"/>
    <x v="2"/>
    <s v="Amanda Cecília Lins El-Amme"/>
    <s v="Feminino"/>
    <x v="1"/>
    <x v="23"/>
    <s v="50000217 - Fisioterapia Pré e Pós Operatória (R$ 25,00)"/>
    <s v="Fisioterapia"/>
    <n v="8845518"/>
    <s v="Finalizado (8/10)"/>
    <n v="22"/>
    <n v="3"/>
    <n v="25"/>
    <s v="Sessão Faturada"/>
    <s v="0901012580480056"/>
    <n v="58946"/>
    <s v="Unidade Vieralves (ANEXO)"/>
    <n v="8845518"/>
    <m/>
  </r>
  <r>
    <x v="15"/>
    <x v="2"/>
    <s v="Jo Pereira dos Santos"/>
    <s v="Feminino"/>
    <x v="2"/>
    <x v="23"/>
    <s v="20103115 - Atividade Reflexa Cinesioterápica (R$ 20,81)"/>
    <s v="Fisioterapia"/>
    <n v="1703907540"/>
    <s v="Finalizado (5/5)"/>
    <n v="18.312799999999999"/>
    <n v="2.4971999999999999"/>
    <n v="20.81"/>
    <s v="Sessão Faturada"/>
    <n v="774642029599000"/>
    <n v="59380"/>
    <s v="Unidade Vieralves (ANEXO)"/>
    <n v="1703907540"/>
    <m/>
  </r>
  <r>
    <x v="15"/>
    <x v="3"/>
    <s v="Jo Pereira dos Santos"/>
    <s v="Feminino"/>
    <x v="2"/>
    <x v="23"/>
    <s v="20103484 - Fisioterapia - Patologia Em Um Membro (R$ 12,22)"/>
    <s v="Fisioterapia"/>
    <n v="1703906670"/>
    <s v="Finalizado (5/5)"/>
    <n v="10.7536"/>
    <n v="1.4663999999999999"/>
    <n v="12.22"/>
    <s v="Sessão Faturada"/>
    <n v="774642029599000"/>
    <n v="59380"/>
    <s v="Unidade Vieralves (ANEXO)"/>
    <n v="1703906670"/>
    <m/>
  </r>
  <r>
    <x v="15"/>
    <x v="4"/>
    <s v="Luciana Nascimento da Silva"/>
    <s v="Feminino"/>
    <x v="7"/>
    <x v="23"/>
    <s v="Vieiralves - 1 - Fisioterapia Ortopedica - Pacote (R$ 40,00)"/>
    <s v="Fisioterapia"/>
    <m/>
    <s v="Finalizado (10/10)"/>
    <n v="31.2"/>
    <n v="8.8000000000000007"/>
    <n v="40"/>
    <s v="Pago"/>
    <s v="00"/>
    <n v="31909"/>
    <s v="Unidade Vieralves (ANEXO)"/>
    <m/>
    <m/>
  </r>
  <r>
    <x v="15"/>
    <x v="4"/>
    <s v="Paulo André Assis de Moura"/>
    <s v="Masculino"/>
    <x v="6"/>
    <x v="23"/>
    <s v="20103484 - Patologia Em Um Membro (R$ 14,16)"/>
    <s v="Fisioterapia"/>
    <n v="848817"/>
    <s v="Finalizado (1/4)"/>
    <n v="12.460800000000001"/>
    <n v="1.6992"/>
    <n v="14.16"/>
    <s v="Sessão a Faturar"/>
    <s v="54588888488043100010"/>
    <n v="59356"/>
    <s v="Unidade Vieralves (ANEXO)"/>
    <n v="848817"/>
    <m/>
  </r>
  <r>
    <x v="15"/>
    <x v="4"/>
    <s v="Erika da Silva Guedes"/>
    <s v="Feminino"/>
    <x v="6"/>
    <x v="23"/>
    <s v="20103492 - Patologia Em Dois Ou Mais Membros (R$ 30,26)"/>
    <s v="Fisioterapia"/>
    <n v="170311"/>
    <s v="Finalizado (3/5)"/>
    <n v="26.628799999999998"/>
    <n v="3.6312000000000002"/>
    <n v="30.26"/>
    <s v="Sessão a Faturar"/>
    <s v="58200789998086170014"/>
    <n v="59434"/>
    <s v="Unidade Vieralves (ANEXO)"/>
    <n v="170311"/>
    <m/>
  </r>
  <r>
    <x v="15"/>
    <x v="5"/>
    <s v="Erika da Silva Guedes"/>
    <s v="Feminino"/>
    <x v="6"/>
    <x v="23"/>
    <s v="31602185 - Estimulação Elétrica Transcutanea (Tens) (R$ 40,00)"/>
    <s v="Fisioterapia"/>
    <n v="170493"/>
    <s v="Finalizado (2/4)"/>
    <n v="35.200000000000003"/>
    <n v="4.8"/>
    <n v="40"/>
    <s v="Sessão a Faturar"/>
    <s v="58200789998086170014"/>
    <n v="59434"/>
    <s v="Unidade Vieralves (ANEXO)"/>
    <n v="170493"/>
    <m/>
  </r>
  <r>
    <x v="15"/>
    <x v="5"/>
    <s v="Paulo André Assis de Moura"/>
    <s v="Masculino"/>
    <x v="6"/>
    <x v="23"/>
    <s v="31602185 - Estimulação Elétrica Transcutanea (Tens) (R$ 40,00)"/>
    <s v="Fisioterapia"/>
    <n v="169856"/>
    <s v="Finalizado (4/5)"/>
    <n v="35.200000000000003"/>
    <n v="4.8"/>
    <n v="40"/>
    <s v="Sessão a Faturar"/>
    <s v="54588888488043100010"/>
    <n v="59356"/>
    <s v="Unidade Vieralves (ANEXO)"/>
    <n v="169856"/>
    <m/>
  </r>
  <r>
    <x v="15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3/10)"/>
    <n v="30.8"/>
    <n v="4.2"/>
    <n v="35"/>
    <s v="Sessão Faturada"/>
    <n v="1101014113820300"/>
    <n v="59487"/>
    <s v="Unidade Vieralves (ANEXO)"/>
    <n v="9122845"/>
    <m/>
  </r>
  <r>
    <x v="15"/>
    <x v="6"/>
    <s v="Rayana Santos Mendes"/>
    <s v="Feminino"/>
    <x v="6"/>
    <x v="23"/>
    <s v="20103514 - Patologia Em Dois Ou Mais Segmentos da Coluna (R$ 32,82)"/>
    <s v="Fisioterapia"/>
    <n v="169885"/>
    <s v="Finalizado (2/4)"/>
    <n v="28.881599999999999"/>
    <n v="3.9384000000000001"/>
    <n v="32.82"/>
    <s v="Sessão a Faturar"/>
    <s v="54588888013038380010"/>
    <n v="18466"/>
    <s v="Unidade Vieralves (ANEXO)"/>
    <n v="169885"/>
    <m/>
  </r>
  <r>
    <x v="15"/>
    <x v="6"/>
    <s v="Francisca Lima de Araújo"/>
    <s v="Feminino"/>
    <x v="1"/>
    <x v="23"/>
    <s v="50000144 - Consulta de Fisioterapia (R$ 16,00)"/>
    <s v="Fisioterapia"/>
    <n v="9191822"/>
    <s v="Finalizado (1/1)"/>
    <n v="14.4"/>
    <n v="1.6"/>
    <n v="16"/>
    <s v="Sessão Faturada"/>
    <n v="1901013081250400"/>
    <n v="59462"/>
    <s v="Unidade Vieralves (ANEXO)"/>
    <n v="9191822"/>
    <m/>
  </r>
  <r>
    <x v="15"/>
    <x v="7"/>
    <s v="Francisca Lima de Araújo"/>
    <s v="Feminino"/>
    <x v="1"/>
    <x v="23"/>
    <s v="50000160 - Fisioterapia Ortopédica (R$ 20,00), 98980327 - Taxa de Eletroterapia (Tens) (R$ 15,00)"/>
    <s v="Fisioterapia"/>
    <n v="9192147"/>
    <s v="Finalizado (1/7)"/>
    <n v="30.8"/>
    <n v="4.2"/>
    <n v="35"/>
    <s v="Sessão Faturada"/>
    <n v="1901013081250400"/>
    <n v="59462"/>
    <s v="Unidade Vieralves (ANEXO)"/>
    <n v="9192147"/>
    <m/>
  </r>
  <r>
    <x v="15"/>
    <x v="7"/>
    <s v="Rayana Santos Mendes"/>
    <s v="Feminino"/>
    <x v="6"/>
    <x v="23"/>
    <s v="31602185 - Estimulação Elétrica Transcutanea (Tens) (R$ 40,00)"/>
    <s v="Fisioterapia"/>
    <n v="170529"/>
    <s v="Finalizado (2/4)"/>
    <n v="35.200000000000003"/>
    <n v="4.8"/>
    <n v="40"/>
    <s v="Sessão a Faturar"/>
    <s v="54588888013038380010"/>
    <n v="18466"/>
    <s v="Unidade Vieralves (ANEXO)"/>
    <n v="170529"/>
    <m/>
  </r>
  <r>
    <x v="15"/>
    <x v="15"/>
    <s v="Pedro Lucas Aloise"/>
    <s v="Masculino"/>
    <x v="0"/>
    <x v="23"/>
    <s v="31602185 - Estimulação Elétrica Transcutânea Fisioterapia (Novo - 01/12) (R$ 54,13)"/>
    <s v="Fisioterapia"/>
    <s v="42263120260306427070"/>
    <s v="Finalizado (1/10)"/>
    <n v="47.634399999999999"/>
    <n v="6.4955999999999996"/>
    <n v="54.13"/>
    <s v="Sessão a Faturar"/>
    <s v="070006652300"/>
    <n v="59259"/>
    <s v="Unidade Vieralves (ANEXO)"/>
    <s v="42263120260306427070"/>
    <m/>
  </r>
  <r>
    <x v="15"/>
    <x v="15"/>
    <s v="Massuello da Silva Quaresma Junior"/>
    <s v="Masculino"/>
    <x v="2"/>
    <x v="23"/>
    <s v="20103115 - Atividade Reflexa Cinesioterápica (R$ 20,81)"/>
    <s v="Fisioterapia"/>
    <n v="1703473072"/>
    <s v="Finalizado (3/3)"/>
    <n v="18.312799999999999"/>
    <n v="2.4971999999999999"/>
    <n v="20.81"/>
    <s v="Sessão Faturada"/>
    <n v="810861400019010"/>
    <n v="56496"/>
    <s v="Unidade Vieralves (ANEXO)"/>
    <n v="1703473072"/>
    <m/>
  </r>
  <r>
    <x v="15"/>
    <x v="15"/>
    <s v="Rosana Silva dos Santos"/>
    <s v="Feminino"/>
    <x v="1"/>
    <x v="23"/>
    <s v="50000160 - Fisioterapia Ortopédica (R$ 20,00), 98980327 - Taxa de Eletroterapia (Tens) (R$ 15,00)"/>
    <s v="Fisioterapia"/>
    <n v="9036802"/>
    <s v="Finalizado (8/10)"/>
    <n v="30.8"/>
    <n v="4.2"/>
    <n v="35"/>
    <s v="Sessão Faturada"/>
    <n v="1101006073830400"/>
    <n v="58800"/>
    <s v="Unidade Vieralves (ANEXO)"/>
    <n v="9036802"/>
    <m/>
  </r>
  <r>
    <x v="15"/>
    <x v="15"/>
    <s v="Massuello da Silva Quaresma Junior"/>
    <s v="Masculino"/>
    <x v="2"/>
    <x v="23"/>
    <s v="20103484 - Fisioterapia - Patologia Em Um Membro (R$ 12,22)"/>
    <s v="Fisioterapia"/>
    <n v="1703472625"/>
    <s v="Finalizado (3/3)"/>
    <n v="10.7536"/>
    <n v="1.4663999999999999"/>
    <n v="12.22"/>
    <s v="Sessão Faturada"/>
    <n v="810861400019010"/>
    <n v="56496"/>
    <s v="Unidade Vieralves (ANEXO)"/>
    <n v="1703472625"/>
    <m/>
  </r>
  <r>
    <x v="15"/>
    <x v="15"/>
    <s v="Rosineide Vieira Lima"/>
    <s v="Feminino"/>
    <x v="1"/>
    <x v="23"/>
    <s v="50000160 - Fisioterapia Ortopédica (R$ 20,00), 98980327 - Taxa de Eletroterapia (Tens) (R$ 15,00)"/>
    <s v="Fisioterapia"/>
    <n v="8807546"/>
    <s v="Finalizado (9/10)"/>
    <n v="30.8"/>
    <n v="4.2"/>
    <n v="35"/>
    <s v="Sessão Faturada"/>
    <s v="0902002479470014"/>
    <n v="59297"/>
    <s v="Unidade Vieralves (ANEXO)"/>
    <n v="8807546"/>
    <m/>
  </r>
  <r>
    <x v="15"/>
    <x v="16"/>
    <s v="Pedro Lucas Aloise"/>
    <s v="Masculino"/>
    <x v="0"/>
    <x v="23"/>
    <s v="50000160 - Fisioterapia Ortopedica (R$ 49,72)"/>
    <s v="Fisioterapia"/>
    <s v="42263120260306427047"/>
    <s v="Finalizado (1/10)"/>
    <n v="43.753599999999999"/>
    <n v="5.9664000000000001"/>
    <n v="49.72"/>
    <s v="Sessão a Faturar"/>
    <s v="070006652300"/>
    <n v="59259"/>
    <s v="Unidade Vieralves (ANEXO)"/>
    <s v="42263120260306427047"/>
    <m/>
  </r>
  <r>
    <x v="15"/>
    <x v="17"/>
    <s v="Nayara Talassa Damasceno Inácio"/>
    <s v="Feminino"/>
    <x v="2"/>
    <x v="23"/>
    <s v="20103484 - Fisioterapia - Patologia Em Um Membro (R$ 12,22)"/>
    <s v="Fisioterapia"/>
    <n v="1707013645"/>
    <s v="Finalizado (2/5)"/>
    <n v="10.7536"/>
    <n v="1.4663999999999999"/>
    <n v="12.22"/>
    <s v="Sessão Faturada"/>
    <n v="774981007498010"/>
    <n v="55360"/>
    <s v="Unidade Vieralves (ANEXO)"/>
    <n v="1707013645"/>
    <m/>
  </r>
  <r>
    <x v="15"/>
    <x v="17"/>
    <s v="Karina Souza de Melo"/>
    <s v="Feminino"/>
    <x v="0"/>
    <x v="23"/>
    <s v="50000160 - Fisioterapia Ortopedica (R$ 49,72)"/>
    <s v="Fisioterapia"/>
    <s v="42263120260214298025"/>
    <s v="Finalizado (10/10)"/>
    <n v="43.753599999999999"/>
    <n v="5.9664000000000001"/>
    <n v="49.72"/>
    <s v="Sessão Faturada"/>
    <s v="010244003701"/>
    <n v="58854"/>
    <s v="Unidade Vieralves (ANEXO)"/>
    <s v="42263120260214298025"/>
    <m/>
  </r>
  <r>
    <x v="15"/>
    <x v="17"/>
    <s v="Williams Valerio do Nascimento"/>
    <s v="Masculino"/>
    <x v="2"/>
    <x v="23"/>
    <s v="20103484 - Fisioterapia - Patologia Em Um Membro (R$ 12,22)"/>
    <s v="Fisioterapia"/>
    <n v="1706497332"/>
    <s v="Finalizado (3/4)"/>
    <n v="10.7536"/>
    <n v="1.4663999999999999"/>
    <n v="12.22"/>
    <s v="Sessão Faturada"/>
    <n v="774438016047000"/>
    <n v="18013"/>
    <s v="Unidade Vieralves (ANEXO)"/>
    <n v="1706497332"/>
    <m/>
  </r>
  <r>
    <x v="15"/>
    <x v="18"/>
    <s v="Nayara Talassa Damasceno Inácio"/>
    <s v="Feminino"/>
    <x v="2"/>
    <x v="23"/>
    <s v="20103115 - Atividade Reflexa Cinesioterápica (R$ 20,81)"/>
    <s v="Fisioterapia"/>
    <n v="1707014451"/>
    <s v="Finalizado (2/4)"/>
    <n v="18.312799999999999"/>
    <n v="2.4971999999999999"/>
    <n v="20.81"/>
    <s v="Sessão Faturada"/>
    <n v="774981007498010"/>
    <n v="55360"/>
    <s v="Unidade Vieralves (ANEXO)"/>
    <n v="1707014451"/>
    <m/>
  </r>
  <r>
    <x v="15"/>
    <x v="18"/>
    <s v="Williams Valerio do Nascimento"/>
    <s v="Masculino"/>
    <x v="2"/>
    <x v="23"/>
    <s v="20103115 - Atividade Reflexa Cinesioterápica (R$ 20,81)"/>
    <s v="Fisioterapia"/>
    <n v="1706498049"/>
    <s v="Finalizado (3/4)"/>
    <n v="18.312799999999999"/>
    <n v="2.4971999999999999"/>
    <n v="20.81"/>
    <s v="Sessão Faturada"/>
    <n v="774438016047000"/>
    <n v="18013"/>
    <s v="Unidade Vieralves (ANEXO)"/>
    <n v="1706498049"/>
    <m/>
  </r>
  <r>
    <x v="15"/>
    <x v="18"/>
    <s v="Karina Souza de Melo"/>
    <s v="Feminino"/>
    <x v="0"/>
    <x v="23"/>
    <s v="31602185 - Estimulação Elétrica Transcutânea Fisioterapia (Novo - 01/12) (R$ 54,13)"/>
    <s v="Fisioterapia"/>
    <s v="42263120260214298048"/>
    <s v="Finalizado (10/10)"/>
    <n v="47.634399999999999"/>
    <n v="6.4955999999999996"/>
    <n v="54.13"/>
    <s v="Sessão Faturada"/>
    <s v="010244003701"/>
    <n v="58854"/>
    <s v="Unidade Vieralves (ANEXO)"/>
    <s v="42263120260214298048"/>
    <m/>
  </r>
  <r>
    <x v="15"/>
    <x v="10"/>
    <s v="Leandro Guimaraes dos Santos"/>
    <m/>
    <x v="1"/>
    <x v="23"/>
    <s v="50000160 - Fisioterapia Ortopédica (R$ 20,00), 98980327 - Taxa de Eletroterapia (Tens) (R$ 15,00)"/>
    <s v="Fisioterapia"/>
    <n v="8713472"/>
    <s v="Finalizado (10/10)"/>
    <n v="30.8"/>
    <n v="4.2"/>
    <n v="35"/>
    <s v="Sessão Faturada"/>
    <n v="1901013998000200"/>
    <n v="59051"/>
    <s v="Unidade Vieralves (ANEXO)"/>
    <n v="8713472"/>
    <m/>
  </r>
  <r>
    <x v="15"/>
    <x v="10"/>
    <s v="Edineia de Medeiros Castro"/>
    <s v="Feminino"/>
    <x v="2"/>
    <x v="23"/>
    <s v="20103484 - Fisioterapia - Patologia Em Um Membro (R$ 12,22)"/>
    <s v="Fisioterapia"/>
    <n v="1707039271"/>
    <s v="Finalizado (2/5)"/>
    <n v="10.7536"/>
    <n v="1.4663999999999999"/>
    <n v="12.22"/>
    <s v="Sessão Faturada"/>
    <n v="960016147526000"/>
    <n v="59383"/>
    <s v="Unidade Vieralves (ANEXO)"/>
    <n v="1707039271"/>
    <m/>
  </r>
  <r>
    <x v="15"/>
    <x v="11"/>
    <s v="Edineia de Medeiros Castro"/>
    <s v="Feminino"/>
    <x v="2"/>
    <x v="23"/>
    <s v="20103115 - Atividade Reflexa Cinesioterápica (R$ 20,81)"/>
    <s v="Fisioterapia"/>
    <n v="1707039578"/>
    <s v="Finalizado (2/4)"/>
    <n v="18.312799999999999"/>
    <n v="2.4971999999999999"/>
    <n v="20.81"/>
    <s v="Sessão Faturada"/>
    <n v="960016147526000"/>
    <n v="59383"/>
    <s v="Unidade Vieralves (ANEXO)"/>
    <n v="1707039578"/>
    <m/>
  </r>
  <r>
    <x v="15"/>
    <x v="12"/>
    <s v="Yago Amaral Ferreira"/>
    <s v="Masculino"/>
    <x v="2"/>
    <x v="23"/>
    <s v="20103484 - Fisioterapia - Patologia Em Um Membro (R$ 12,22)"/>
    <s v="Fisioterapia"/>
    <n v="1702981085"/>
    <s v="Finalizado (5/5)"/>
    <n v="10.7536"/>
    <n v="1.4663999999999999"/>
    <n v="12.22"/>
    <s v="Sessão Faturada"/>
    <n v="773626008052010"/>
    <n v="33956"/>
    <s v="Unidade Vieralves (ANEXO)"/>
    <n v="1702981085"/>
    <m/>
  </r>
  <r>
    <x v="15"/>
    <x v="19"/>
    <s v="Yago Amaral Ferreira"/>
    <s v="Masculino"/>
    <x v="2"/>
    <x v="23"/>
    <s v="20103115 - Atividade Reflexa Cinesioterápica (R$ 20,81)"/>
    <s v="Fisioterapia"/>
    <n v="1702981402"/>
    <s v="Finalizado (5/5)"/>
    <n v="18.312799999999999"/>
    <n v="2.4971999999999999"/>
    <n v="20.81"/>
    <s v="Sessão Faturada"/>
    <n v="773626008052010"/>
    <n v="33956"/>
    <s v="Unidade Vieralves (ANEXO)"/>
    <n v="1702981402"/>
    <m/>
  </r>
  <r>
    <x v="16"/>
    <x v="22"/>
    <s v="Laercio Pereira Sarmento Júnior"/>
    <s v="Masculino"/>
    <x v="2"/>
    <x v="23"/>
    <s v="20103484 - Fisioterapia - Patologia Em Um Membro (R$ 12,22)"/>
    <s v="Fisioterapia"/>
    <n v="1707407269"/>
    <s v="Finalizado (2/2)"/>
    <n v="10.7536"/>
    <n v="1.4663999999999999"/>
    <n v="12.22"/>
    <s v="Sessão Faturada"/>
    <n v="774981007145010"/>
    <n v="54312"/>
    <s v="Unidade Vieralves (ANEXO)"/>
    <n v="1707407269"/>
    <m/>
  </r>
  <r>
    <x v="16"/>
    <x v="22"/>
    <s v="Tiago Godoy Lopes"/>
    <s v="Masculino"/>
    <x v="2"/>
    <x v="23"/>
    <s v="20103484 - Fisioterapia - Patologia Em Um Membro (R$ 12,22)"/>
    <s v="Fisioterapia"/>
    <n v="1707941095"/>
    <s v="Finalizado (1/5)"/>
    <n v="10.7536"/>
    <n v="1.4663999999999999"/>
    <n v="12.22"/>
    <s v="Sessão Faturada"/>
    <n v="611265590001020"/>
    <n v="58056"/>
    <s v="Unidade Vieralves (ANEXO)"/>
    <n v="1707941095"/>
    <m/>
  </r>
  <r>
    <x v="16"/>
    <x v="22"/>
    <s v="Alziane Lima da Silva"/>
    <s v="Feminino"/>
    <x v="1"/>
    <x v="23"/>
    <s v="50000160 - Fisioterapia Ortopédica (R$ 20,00), 98980327 - Taxa de Eletroterapia (Tens) (R$ 15,00)"/>
    <s v="Fisioterapia"/>
    <n v="8868917"/>
    <s v="Finalizado (10/10)"/>
    <n v="30.8"/>
    <n v="4.2"/>
    <n v="35"/>
    <s v="Sessão Faturada"/>
    <s v="0901012961870097"/>
    <n v="57558"/>
    <s v="Unidade Vieralves (ANEXO)"/>
    <n v="8868917"/>
    <m/>
  </r>
  <r>
    <x v="16"/>
    <x v="22"/>
    <s v="Ricardo Takashi Yamashita"/>
    <s v="Masculino"/>
    <x v="2"/>
    <x v="23"/>
    <s v="20103506 - Fisioterapia - Patologia Em Um Segmento da Coluna (R$ 12,22)"/>
    <s v="Fisioterapia"/>
    <n v="1704848270"/>
    <s v="Finalizado (5/5)"/>
    <n v="10.7536"/>
    <n v="1.4663999999999999"/>
    <n v="12.22"/>
    <s v="Sessão Faturada"/>
    <n v="891007000019000"/>
    <n v="52119"/>
    <s v="Unidade Vieralves (ANEXO)"/>
    <n v="1704848270"/>
    <m/>
  </r>
  <r>
    <x v="16"/>
    <x v="23"/>
    <s v="Tiago Godoy Lopes"/>
    <s v="Masculino"/>
    <x v="2"/>
    <x v="23"/>
    <s v="20103115 - Atividade Reflexa Cinesioterápica (R$ 20,81)"/>
    <s v="Fisioterapia"/>
    <n v="1707942576"/>
    <s v="Finalizado (1/2)"/>
    <n v="18.312799999999999"/>
    <n v="2.4971999999999999"/>
    <n v="20.81"/>
    <s v="Sessão Faturada"/>
    <n v="611265590001020"/>
    <n v="58056"/>
    <s v="Unidade Vieralves (ANEXO)"/>
    <n v="1707942576"/>
    <m/>
  </r>
  <r>
    <x v="16"/>
    <x v="23"/>
    <s v="Ricardo Takashi Yamashita"/>
    <s v="Masculino"/>
    <x v="2"/>
    <x v="23"/>
    <s v="20103115 - Atividade Reflexa Cinesioterápica (R$ 20,81)"/>
    <s v="Fisioterapia"/>
    <n v="1704848829"/>
    <s v="Finalizado (5/5)"/>
    <n v="18.312799999999999"/>
    <n v="2.4971999999999999"/>
    <n v="20.81"/>
    <s v="Sessão Faturada"/>
    <n v="891007000019000"/>
    <n v="52119"/>
    <s v="Unidade Vieralves (ANEXO)"/>
    <n v="1704848829"/>
    <m/>
  </r>
  <r>
    <x v="16"/>
    <x v="23"/>
    <s v="Laercio Pereira Sarmento Júnior"/>
    <s v="Masculino"/>
    <x v="2"/>
    <x v="23"/>
    <s v="20103115 - Atividade Reflexa Cinesioterápica (R$ 20,81)"/>
    <s v="Fisioterapia"/>
    <n v="1707408154"/>
    <s v="Finalizado (2/2)"/>
    <n v="18.312799999999999"/>
    <n v="2.4971999999999999"/>
    <n v="20.81"/>
    <s v="Sessão Faturada"/>
    <n v="774981007145010"/>
    <n v="54312"/>
    <s v="Unidade Vieralves (ANEXO)"/>
    <n v="1707408154"/>
    <m/>
  </r>
  <r>
    <x v="16"/>
    <x v="0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2/8)"/>
    <n v="30.8"/>
    <n v="4.2"/>
    <n v="35"/>
    <s v="Sessão Faturada"/>
    <n v="1401013803670100"/>
    <n v="57417"/>
    <s v="Unidade Vieralves (ANEXO)"/>
    <n v="9187587"/>
    <m/>
  </r>
  <r>
    <x v="16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2631"/>
    <s v="Finalizado (7/10)"/>
    <n v="174.91759999999999"/>
    <n v="23.852399999999999"/>
    <n v="198.77"/>
    <s v="Sessão a Faturar"/>
    <n v="2301648"/>
    <n v="7982"/>
    <s v="Unidade Vieralves (ANEXO)"/>
    <n v="2631"/>
    <m/>
  </r>
  <r>
    <x v="16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4/10)"/>
    <n v="30.8"/>
    <n v="4.2"/>
    <n v="35"/>
    <s v="Sessão Faturada"/>
    <n v="1901013317720400"/>
    <n v="58938"/>
    <s v="Unidade Vieralves (ANEXO)"/>
    <n v="9123050"/>
    <m/>
  </r>
  <r>
    <x v="16"/>
    <x v="2"/>
    <s v="Élida Marinho de Souza"/>
    <s v="Feminino"/>
    <x v="6"/>
    <x v="23"/>
    <s v="20103484 - Patologia Em Um Membro (R$ 14,16)"/>
    <s v="Fisioterapia"/>
    <n v="170047"/>
    <s v="Finalizado (2/3)"/>
    <n v="12.460800000000001"/>
    <n v="1.6992"/>
    <n v="14.16"/>
    <s v="Sessão a Faturar"/>
    <s v="54588888013038110013"/>
    <n v="59459"/>
    <s v="Unidade Vieralves (ANEXO)"/>
    <n v="170047"/>
    <m/>
  </r>
  <r>
    <x v="16"/>
    <x v="3"/>
    <s v="Élida Marinho de Souza"/>
    <s v="Feminino"/>
    <x v="6"/>
    <x v="23"/>
    <s v="31602185 - Estimulação Elétrica Transcutanea (Tens) (R$ 40,00)"/>
    <s v="Fisioterapia"/>
    <n v="170048"/>
    <s v="Finalizado (2/3)"/>
    <n v="35.200000000000003"/>
    <n v="4.8"/>
    <n v="40"/>
    <s v="Sessão a Faturar"/>
    <s v="54588888013038110013"/>
    <n v="59459"/>
    <s v="Unidade Vieralves (ANEXO)"/>
    <n v="170048"/>
    <m/>
  </r>
  <r>
    <x v="16"/>
    <x v="4"/>
    <s v="Paulo André Assis de Moura"/>
    <s v="Masculino"/>
    <x v="6"/>
    <x v="23"/>
    <s v="20103484 - Patologia Em Um Membro (R$ 14,16)"/>
    <s v="Fisioterapia"/>
    <n v="848817"/>
    <s v="Finalizado (2/4)"/>
    <n v="12.460800000000001"/>
    <n v="1.6992"/>
    <n v="14.16"/>
    <s v="Sessão a Faturar"/>
    <s v="54588888488043100010"/>
    <n v="59356"/>
    <s v="Unidade Vieralves (ANEXO)"/>
    <n v="848817"/>
    <m/>
  </r>
  <r>
    <x v="16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3/10)"/>
    <n v="30.8"/>
    <n v="4.2"/>
    <n v="35"/>
    <s v="Sessão Faturada"/>
    <s v="0901013217840019"/>
    <n v="10185"/>
    <s v="Unidade Vieralves (ANEXO)"/>
    <n v="9146437"/>
    <m/>
  </r>
  <r>
    <x v="16"/>
    <x v="4"/>
    <s v="Rosana Silva dos Santos"/>
    <s v="Feminino"/>
    <x v="1"/>
    <x v="23"/>
    <s v="50000160 - Fisioterapia Ortopédica (R$ 20,00), 98980327 - Taxa de Eletroterapia (Tens) (R$ 15,00)"/>
    <s v="Fisioterapia"/>
    <n v="9036802"/>
    <s v="Finalizado (9/10)"/>
    <n v="30.8"/>
    <n v="4.2"/>
    <n v="35"/>
    <s v="Sessão Faturada"/>
    <n v="1101006073830400"/>
    <n v="58800"/>
    <s v="Unidade Vieralves (ANEXO)"/>
    <n v="9036802"/>
    <m/>
  </r>
  <r>
    <x v="16"/>
    <x v="5"/>
    <s v="Paulo André Assis de Moura"/>
    <s v="Masculino"/>
    <x v="6"/>
    <x v="23"/>
    <s v="31602185 - Estimulação Elétrica Transcutanea (Tens) (R$ 40,00)"/>
    <s v="Fisioterapia"/>
    <n v="169856"/>
    <s v="Finalizado (5/5)"/>
    <n v="35.200000000000003"/>
    <n v="4.8"/>
    <n v="40"/>
    <s v="Sessão a Faturar"/>
    <s v="54588888488043100010"/>
    <n v="59356"/>
    <s v="Unidade Vieralves (ANEXO)"/>
    <n v="169856"/>
    <m/>
  </r>
  <r>
    <x v="16"/>
    <x v="14"/>
    <s v="Rayana Santos Mendes"/>
    <s v="Feminino"/>
    <x v="6"/>
    <x v="23"/>
    <s v="31602185 - Estimulação Elétrica Transcutanea (Tens) (R$ 40,00)"/>
    <s v="Fisioterapia"/>
    <n v="170529"/>
    <s v="Não compareceu (3/4)"/>
    <n v="40"/>
    <n v="0"/>
    <n v="40"/>
    <s v="Sessão a Faturar"/>
    <s v="54588888013038380010"/>
    <n v="18466"/>
    <s v="Unidade Vieralves (ANEXO)"/>
    <n v="170529"/>
    <m/>
  </r>
  <r>
    <x v="16"/>
    <x v="6"/>
    <s v="Erika da Silva Guedes"/>
    <s v="Feminino"/>
    <x v="6"/>
    <x v="23"/>
    <s v="20103492 - Patologia Em Dois Ou Mais Membros (R$ 30,26)"/>
    <s v="Fisioterapia"/>
    <n v="170311"/>
    <s v="Finalizado (4/5)"/>
    <n v="26.628799999999998"/>
    <n v="3.6312000000000002"/>
    <n v="30.26"/>
    <s v="Sessão a Faturar"/>
    <s v="58200789998086170014"/>
    <n v="59434"/>
    <s v="Unidade Vieralves (ANEXO)"/>
    <n v="170311"/>
    <m/>
  </r>
  <r>
    <x v="16"/>
    <x v="6"/>
    <s v="Ana Alice da Silva Araujo"/>
    <s v="Feminino"/>
    <x v="6"/>
    <x v="23"/>
    <s v="20103484 - Patologia Em Um Membro (R$ 14,16)"/>
    <s v="Fisioterapia"/>
    <n v="169725"/>
    <s v="Finalizado (4/5)"/>
    <n v="12.460800000000001"/>
    <n v="1.6992"/>
    <n v="14.16"/>
    <s v="Sessão a Faturar"/>
    <s v="54588888004872900019"/>
    <n v="13030"/>
    <s v="Unidade Vieralves (ANEXO)"/>
    <n v="169725"/>
    <m/>
  </r>
  <r>
    <x v="16"/>
    <x v="7"/>
    <s v="Ana Alice da Silva Araujo"/>
    <s v="Feminino"/>
    <x v="6"/>
    <x v="23"/>
    <s v="31602185 - Estimulação Elétrica Transcutanea (Tens) (R$ 40,00)"/>
    <s v="Fisioterapia"/>
    <n v="169726"/>
    <s v="Finalizado (4/5)"/>
    <n v="35.200000000000003"/>
    <n v="4.8"/>
    <n v="40"/>
    <s v="Sessão a Faturar"/>
    <s v="54588888004872900019"/>
    <n v="13030"/>
    <s v="Unidade Vieralves (ANEXO)"/>
    <n v="169726"/>
    <m/>
  </r>
  <r>
    <x v="16"/>
    <x v="15"/>
    <s v="André Luís Moreira de Araújo"/>
    <m/>
    <x v="2"/>
    <x v="23"/>
    <s v="20103115 - Atividade Reflexa Cinesioterápica (R$ 20,81)"/>
    <s v="Fisioterapia"/>
    <n v="1707009211"/>
    <s v="Finalizado (2/2)"/>
    <n v="18.312799999999999"/>
    <n v="2.4971999999999999"/>
    <n v="20.81"/>
    <s v="Sessão Faturada"/>
    <n v="856201100027010"/>
    <n v="55381"/>
    <s v="Unidade Vieralves (ANEXO)"/>
    <n v="1707009211"/>
    <m/>
  </r>
  <r>
    <x v="16"/>
    <x v="15"/>
    <s v="Maria Fernanda Cabral Ribeiro"/>
    <s v="Feminino"/>
    <x v="2"/>
    <x v="23"/>
    <s v="20103115 - Atividade Reflexa Cinesioterápica (R$ 20,81)"/>
    <s v="Fisioterapia"/>
    <n v="1703499493"/>
    <s v="Finalizado (5/5)"/>
    <n v="18.312799999999999"/>
    <n v="2.4971999999999999"/>
    <n v="20.81"/>
    <s v="Sessão Faturada"/>
    <n v="774981007498000"/>
    <n v="55356"/>
    <s v="Unidade Vieralves (ANEXO)"/>
    <n v="1703499493"/>
    <m/>
  </r>
  <r>
    <x v="16"/>
    <x v="15"/>
    <s v="Maria Fernanda Cabral Ribeiro"/>
    <s v="Feminino"/>
    <x v="2"/>
    <x v="23"/>
    <s v="20103484 - Fisioterapia - Patologia Em Um Membro (R$ 12,22)"/>
    <s v="Fisioterapia"/>
    <n v="1703499026"/>
    <s v="Finalizado (5/5)"/>
    <n v="10.7536"/>
    <n v="1.4663999999999999"/>
    <n v="12.22"/>
    <s v="Sessão Faturada"/>
    <n v="774981007498000"/>
    <n v="55356"/>
    <s v="Unidade Vieralves (ANEXO)"/>
    <n v="1703499026"/>
    <m/>
  </r>
  <r>
    <x v="16"/>
    <x v="15"/>
    <s v="Rosineide Vieira Lima"/>
    <s v="Feminino"/>
    <x v="1"/>
    <x v="23"/>
    <s v="50000160 - Fisioterapia Ortopédica (R$ 20,00), 98980327 - Taxa de Eletroterapia (Tens) (R$ 15,00)"/>
    <s v="Fisioterapia"/>
    <n v="8807546"/>
    <s v="Finalizado (10/10)"/>
    <n v="30.8"/>
    <n v="4.2"/>
    <n v="35"/>
    <s v="Sessão Faturada"/>
    <s v="0902002479470014"/>
    <n v="59297"/>
    <s v="Unidade Vieralves (ANEXO)"/>
    <n v="8807546"/>
    <m/>
  </r>
  <r>
    <x v="16"/>
    <x v="16"/>
    <s v="André Luís Moreira de Araújo"/>
    <m/>
    <x v="2"/>
    <x v="23"/>
    <s v="20103484 - Fisioterapia - Patologia Em Um Membro (R$ 12,22)"/>
    <s v="Fisioterapia"/>
    <n v="1707008292"/>
    <s v="Finalizado (2/5)"/>
    <n v="10.7536"/>
    <n v="1.4663999999999999"/>
    <n v="12.22"/>
    <s v="Sessão Faturada"/>
    <n v="856201100027010"/>
    <n v="55381"/>
    <s v="Unidade Vieralves (ANEXO)"/>
    <n v="1707008292"/>
    <m/>
  </r>
  <r>
    <x v="16"/>
    <x v="17"/>
    <s v="Nayara Talassa Damasceno Inácio"/>
    <s v="Feminino"/>
    <x v="2"/>
    <x v="23"/>
    <s v="20103115 - Atividade Reflexa Cinesioterápica (R$ 20,81)"/>
    <s v="Fisioterapia"/>
    <n v="1707014451"/>
    <s v="Finalizado (3/4)"/>
    <n v="18.312799999999999"/>
    <n v="2.4971999999999999"/>
    <n v="20.81"/>
    <s v="Sessão Faturada"/>
    <n v="774981007498010"/>
    <n v="55360"/>
    <s v="Unidade Vieralves (ANEXO)"/>
    <n v="1707014451"/>
    <m/>
  </r>
  <r>
    <x v="16"/>
    <x v="17"/>
    <s v="Nayara Talassa Damasceno Inácio"/>
    <s v="Feminino"/>
    <x v="2"/>
    <x v="23"/>
    <s v="20103484 - Fisioterapia - Patologia Em Um Membro (R$ 12,22)"/>
    <s v="Fisioterapia"/>
    <n v="1707013645"/>
    <s v="Finalizado (3/5)"/>
    <n v="10.7536"/>
    <n v="1.4663999999999999"/>
    <n v="12.22"/>
    <s v="Sessão Faturada"/>
    <n v="774981007498010"/>
    <n v="55360"/>
    <s v="Unidade Vieralves (ANEXO)"/>
    <n v="1707013645"/>
    <m/>
  </r>
  <r>
    <x v="16"/>
    <x v="17"/>
    <s v="Marcus Vinicius da Costa Corrêa"/>
    <s v="Masculino"/>
    <x v="2"/>
    <x v="23"/>
    <s v="20103514 - Fisioterapia - Patologia Em Diferentes Segmentos da Coluna (R$ 14,83)"/>
    <s v="Fisioterapia"/>
    <n v="1703981715"/>
    <s v="Finalizado (4/5)"/>
    <n v="13.0504"/>
    <n v="1.7796000000000001"/>
    <n v="14.83"/>
    <s v="Sessão Faturada"/>
    <n v="774981007188010"/>
    <n v="59433"/>
    <s v="Unidade Vieralves (ANEXO)"/>
    <n v="1703981715"/>
    <m/>
  </r>
  <r>
    <x v="16"/>
    <x v="17"/>
    <s v="Williams Valerio do Nascimento"/>
    <s v="Masculino"/>
    <x v="2"/>
    <x v="23"/>
    <s v="20103484 - Fisioterapia - Patologia Em Um Membro (R$ 12,22)"/>
    <s v="Fisioterapia"/>
    <n v="1706497332"/>
    <s v="Finalizado (4/4)"/>
    <n v="10.7536"/>
    <n v="1.4663999999999999"/>
    <n v="12.22"/>
    <s v="Sessão Faturada"/>
    <n v="774438016047000"/>
    <n v="18013"/>
    <s v="Unidade Vieralves (ANEXO)"/>
    <n v="1706497332"/>
    <m/>
  </r>
  <r>
    <x v="16"/>
    <x v="18"/>
    <s v="Williams Valerio do Nascimento"/>
    <s v="Masculino"/>
    <x v="2"/>
    <x v="23"/>
    <s v="20103115 - Atividade Reflexa Cinesioterápica (R$ 20,81)"/>
    <s v="Fisioterapia"/>
    <n v="1706498049"/>
    <s v="Finalizado (4/4)"/>
    <n v="18.312799999999999"/>
    <n v="2.4971999999999999"/>
    <n v="20.81"/>
    <s v="Sessão Faturada"/>
    <n v="774438016047000"/>
    <n v="18013"/>
    <s v="Unidade Vieralves (ANEXO)"/>
    <n v="1706498049"/>
    <m/>
  </r>
  <r>
    <x v="16"/>
    <x v="18"/>
    <s v="Marcus Vinicius da Costa Corrêa"/>
    <s v="Masculino"/>
    <x v="2"/>
    <x v="23"/>
    <s v="20103115 - Atividade Reflexa Cinesioterápica (R$ 20,81)"/>
    <s v="Fisioterapia"/>
    <n v="1703982295"/>
    <s v="Finalizado (4/5)"/>
    <n v="18.312799999999999"/>
    <n v="2.4971999999999999"/>
    <n v="20.81"/>
    <s v="Sessão Faturada"/>
    <n v="774981007188010"/>
    <n v="59433"/>
    <s v="Unidade Vieralves (ANEXO)"/>
    <n v="1703982295"/>
    <m/>
  </r>
  <r>
    <x v="16"/>
    <x v="8"/>
    <s v="Mell Lenigia Oliveira da Cruz"/>
    <s v="Feminino"/>
    <x v="6"/>
    <x v="23"/>
    <s v="20103514 - Patologia Em Dois Ou Mais Segmentos da Coluna (R$ 32,82)"/>
    <s v="Fisioterapia"/>
    <n v="170019"/>
    <s v="Finalizado (4/5)"/>
    <n v="28.881599999999999"/>
    <n v="3.9384000000000001"/>
    <n v="32.82"/>
    <s v="Sessão a Faturar"/>
    <s v="55788888485414000013"/>
    <n v="21643"/>
    <s v="Unidade Vieralves (ANEXO)"/>
    <n v="170019"/>
    <m/>
  </r>
  <r>
    <x v="16"/>
    <x v="9"/>
    <s v="Mell Lenigia Oliveira da Cruz"/>
    <s v="Feminino"/>
    <x v="6"/>
    <x v="23"/>
    <s v="31602185 - Estimulação Elétrica Transcutanea (Tens) (R$ 40,00)"/>
    <s v="Fisioterapia"/>
    <n v="170020"/>
    <s v="Finalizado (4/5)"/>
    <n v="35.200000000000003"/>
    <n v="4.8"/>
    <n v="40"/>
    <s v="Sessão a Faturar"/>
    <s v="55788888485414000013"/>
    <n v="21643"/>
    <s v="Unidade Vieralves (ANEXO)"/>
    <n v="170020"/>
    <m/>
  </r>
  <r>
    <x v="16"/>
    <x v="10"/>
    <s v="Dhijana Nobre de Almeida"/>
    <s v="Feminino"/>
    <x v="6"/>
    <x v="23"/>
    <s v="31602185 - Estimulação Elétrica Transcutanea (Tens) (R$ 40,00)"/>
    <s v="Fisioterapia"/>
    <n v="170864"/>
    <s v="Finalizado (1/5)"/>
    <n v="35.200000000000003"/>
    <n v="4.8"/>
    <n v="40"/>
    <s v="Sessão a Faturar"/>
    <s v="54588888004873450017"/>
    <n v="6422"/>
    <s v="Unidade Vieralves (ANEXO)"/>
    <n v="170864"/>
    <m/>
  </r>
  <r>
    <x v="16"/>
    <x v="10"/>
    <s v="Lucinete Viana da Cunha"/>
    <s v="Feminino"/>
    <x v="6"/>
    <x v="23"/>
    <s v="20103484 - Patologia Em Um Membro (R$ 14,16)"/>
    <s v="Fisioterapia"/>
    <n v="170866"/>
    <s v="Finalizado (1/5)"/>
    <n v="12.460800000000001"/>
    <n v="1.6992"/>
    <n v="14.16"/>
    <s v="Sessão a Faturar"/>
    <s v="56788888020819320013"/>
    <n v="59377"/>
    <s v="Unidade Vieralves (ANEXO)"/>
    <n v="170866"/>
    <m/>
  </r>
  <r>
    <x v="16"/>
    <x v="10"/>
    <s v="Edineia de Medeiros Castro"/>
    <s v="Feminino"/>
    <x v="2"/>
    <x v="23"/>
    <s v="20103484 - Fisioterapia - Patologia Em Um Membro (R$ 12,22)"/>
    <s v="Fisioterapia"/>
    <n v="1707039271"/>
    <s v="Finalizado (3/5)"/>
    <n v="10.7536"/>
    <n v="1.4663999999999999"/>
    <n v="12.22"/>
    <s v="Sessão Faturada"/>
    <n v="960016147526000"/>
    <n v="59383"/>
    <s v="Unidade Vieralves (ANEXO)"/>
    <n v="1707039271"/>
    <m/>
  </r>
  <r>
    <x v="16"/>
    <x v="83"/>
    <s v="Dhijana Nobre de Almeida"/>
    <s v="Feminino"/>
    <x v="6"/>
    <x v="23"/>
    <s v="20103506 - Patologia Em Um Segmento da Coluna (R$ 14,16)"/>
    <s v="Fisioterapia"/>
    <n v="170863"/>
    <s v="Finalizado (1/10)"/>
    <n v="12.460800000000001"/>
    <n v="1.6992"/>
    <n v="14.16"/>
    <s v="Sessão a Faturar"/>
    <s v="54588888004873450017"/>
    <n v="6422"/>
    <s v="Unidade Vieralves (ANEXO)"/>
    <n v="170863"/>
    <m/>
  </r>
  <r>
    <x v="16"/>
    <x v="11"/>
    <s v="Lucinete Viana da Cunha"/>
    <s v="Feminino"/>
    <x v="6"/>
    <x v="23"/>
    <s v="31602185 - Estimulação Elétrica Transcutanea (Tens) (R$ 40,00)"/>
    <s v="Fisioterapia"/>
    <n v="170867"/>
    <s v="Finalizado (1/5)"/>
    <n v="35.200000000000003"/>
    <n v="4.8"/>
    <n v="40"/>
    <s v="Sessão a Faturar"/>
    <s v="56788888020819320013"/>
    <n v="59377"/>
    <s v="Unidade Vieralves (ANEXO)"/>
    <n v="170867"/>
    <m/>
  </r>
  <r>
    <x v="16"/>
    <x v="11"/>
    <s v="Edineia de Medeiros Castro"/>
    <s v="Feminino"/>
    <x v="2"/>
    <x v="23"/>
    <s v="20103115 - Atividade Reflexa Cinesioterápica (R$ 20,81)"/>
    <s v="Fisioterapia"/>
    <n v="1707039578"/>
    <s v="Finalizado (3/4)"/>
    <n v="18.312799999999999"/>
    <n v="2.4971999999999999"/>
    <n v="20.81"/>
    <s v="Sessão Faturada"/>
    <n v="960016147526000"/>
    <n v="59383"/>
    <s v="Unidade Vieralves (ANEXO)"/>
    <n v="1707039578"/>
    <m/>
  </r>
  <r>
    <x v="16"/>
    <x v="54"/>
    <s v="Dhijana Nobre de Almeida"/>
    <s v="Feminino"/>
    <x v="6"/>
    <x v="23"/>
    <s v="50000144 - Avaliação de Fisioterapia (R$ 56,52)"/>
    <s v="Fisioterapia"/>
    <n v="7700047128"/>
    <s v="Finalizado (1/1)"/>
    <n v="50.868000000000002"/>
    <n v="5.6520000000000001"/>
    <n v="56.52"/>
    <s v="Sessão Faturada"/>
    <s v="54588888004873450017"/>
    <n v="6422"/>
    <s v="Unidade Vieralves (ANEXO)"/>
    <n v="7700047128"/>
    <m/>
  </r>
  <r>
    <x v="16"/>
    <x v="12"/>
    <s v="Hyggor da Silva Medeiros"/>
    <s v="Masculino"/>
    <x v="2"/>
    <x v="23"/>
    <s v="20103115 - Atividade Reflexa Cinesioterápica (R$ 20,81)"/>
    <s v="Fisioterapia"/>
    <n v="1704503963"/>
    <s v="Finalizado (4/5)"/>
    <n v="18.312799999999999"/>
    <n v="2.4971999999999999"/>
    <n v="20.81"/>
    <s v="Sessão Faturada"/>
    <n v="774642025895010"/>
    <n v="59368"/>
    <s v="Unidade Vieralves (ANEXO)"/>
    <n v="1704503963"/>
    <m/>
  </r>
  <r>
    <x v="16"/>
    <x v="12"/>
    <s v="Hyggor da Silva Medeiros"/>
    <s v="Masculino"/>
    <x v="2"/>
    <x v="23"/>
    <s v="20103484 - Fisioterapia - Patologia Em Um Membro (R$ 12,22)"/>
    <s v="Fisioterapia"/>
    <n v="1704503696"/>
    <s v="Finalizado (4/5)"/>
    <n v="10.7536"/>
    <n v="1.4663999999999999"/>
    <n v="12.22"/>
    <s v="Sessão Faturada"/>
    <n v="774642025895010"/>
    <n v="59368"/>
    <s v="Unidade Vieralves (ANEXO)"/>
    <n v="1704503696"/>
    <m/>
  </r>
  <r>
    <x v="17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1/10)"/>
    <n v="30.8"/>
    <n v="4.2"/>
    <n v="35"/>
    <s v="Sessão Faturada"/>
    <s v="0901012961870097"/>
    <n v="57558"/>
    <s v="Unidade Vieralves (ANEXO)"/>
    <n v="9209397"/>
    <m/>
  </r>
  <r>
    <x v="17"/>
    <x v="22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3/8)"/>
    <n v="30.8"/>
    <n v="4.2"/>
    <n v="35"/>
    <s v="Sessão Faturada"/>
    <n v="1401013803670100"/>
    <n v="57417"/>
    <s v="Unidade Vieralves (ANEXO)"/>
    <n v="9187587"/>
    <m/>
  </r>
  <r>
    <x v="17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2631"/>
    <s v="Finalizado (8/10)"/>
    <n v="174.91759999999999"/>
    <n v="23.852399999999999"/>
    <n v="198.77"/>
    <s v="Sessão a Faturar"/>
    <n v="2301648"/>
    <n v="7982"/>
    <s v="Unidade Vieralves (ANEXO)"/>
    <n v="2631"/>
    <m/>
  </r>
  <r>
    <x v="17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5/10)"/>
    <n v="30.8"/>
    <n v="4.2"/>
    <n v="35"/>
    <s v="Sessão Faturada"/>
    <n v="1901013317720400"/>
    <n v="58938"/>
    <s v="Unidade Vieralves (ANEXO)"/>
    <n v="9123050"/>
    <m/>
  </r>
  <r>
    <x v="17"/>
    <x v="2"/>
    <s v="Rui Jorge Rodrigues Fialho"/>
    <s v="Masculino"/>
    <x v="2"/>
    <x v="23"/>
    <s v="20103506 - Fisioterapia - Patologia Em Um Segmento da Coluna (R$ 12,22)"/>
    <s v="Fisioterapia"/>
    <n v="1705830636"/>
    <s v="Finalizado (3/5)"/>
    <n v="10.7536"/>
    <n v="1.4663999999999999"/>
    <n v="12.22"/>
    <s v="Sessão Faturada"/>
    <n v="771015043265010"/>
    <n v="35722"/>
    <s v="Unidade Vieralves (ANEXO)"/>
    <n v="1705830636"/>
    <m/>
  </r>
  <r>
    <x v="17"/>
    <x v="3"/>
    <s v="Rui Jorge Rodrigues Fialho"/>
    <s v="Masculino"/>
    <x v="2"/>
    <x v="23"/>
    <s v="20103115 - Atividade Reflexa Cinesioterápica (R$ 20,81)"/>
    <s v="Fisioterapia"/>
    <n v="1705831877"/>
    <s v="Finalizado (3/3)"/>
    <n v="18.312799999999999"/>
    <n v="2.4971999999999999"/>
    <n v="20.81"/>
    <s v="Sessão Faturada"/>
    <n v="771015043265010"/>
    <n v="35722"/>
    <s v="Unidade Vieralves (ANEXO)"/>
    <n v="1705831877"/>
    <m/>
  </r>
  <r>
    <x v="17"/>
    <x v="4"/>
    <s v="Sonia Pereira de Oliveira"/>
    <s v="Feminino"/>
    <x v="26"/>
    <x v="23"/>
    <s v="20103492 - Fisioterapia - Patologia Em Dois Ou Mais Membros (R$ 23,85)"/>
    <s v="Fisioterapia"/>
    <n v="275539188"/>
    <s v="Finalizado (3/10)"/>
    <n v="20.988"/>
    <n v="2.8620000000000001"/>
    <n v="23.85"/>
    <s v="Sessão Faturada"/>
    <s v="TWXUA000427004"/>
    <n v="59313"/>
    <s v="Unidade Vieralves (ANEXO)"/>
    <n v="275539188"/>
    <s v="Guia assinada!"/>
  </r>
  <r>
    <x v="17"/>
    <x v="4"/>
    <s v="Elinalva Cordovil Soubreira"/>
    <m/>
    <x v="2"/>
    <x v="23"/>
    <s v="50000144 - Avaliação de Fisioterapia (R$ 51,42)"/>
    <s v="Fisioterapia"/>
    <n v="1709164597"/>
    <s v="Finalizado (1/1)"/>
    <n v="46.277999999999999"/>
    <n v="5.1420000000000003"/>
    <n v="51.42"/>
    <s v="Sessão Faturada"/>
    <n v="771015064114020"/>
    <n v="59553"/>
    <s v="Unidade Vieralves (ANEXO)"/>
    <n v="1709164597"/>
    <m/>
  </r>
  <r>
    <x v="17"/>
    <x v="4"/>
    <s v="Paulo André Assis de Moura"/>
    <s v="Masculino"/>
    <x v="6"/>
    <x v="23"/>
    <s v="20103484 - Patologia Em Um Membro (R$ 14,16)"/>
    <s v="Fisioterapia"/>
    <n v="848817"/>
    <s v="Finalizado (3/4)"/>
    <n v="12.460800000000001"/>
    <n v="1.6992"/>
    <n v="14.16"/>
    <s v="Sessão a Faturar"/>
    <s v="54588888488043100010"/>
    <n v="59356"/>
    <s v="Unidade Vieralves (ANEXO)"/>
    <n v="848817"/>
    <m/>
  </r>
  <r>
    <x v="17"/>
    <x v="29"/>
    <s v="Elinalva Cordovil Soubreira"/>
    <m/>
    <x v="2"/>
    <x v="23"/>
    <s v="20103484 - Fisioterapia - Patologia Em Um Membro (R$ 12,22)"/>
    <s v="Fisioterapia"/>
    <n v="1709165941"/>
    <s v="Finalizado (1/1)"/>
    <n v="10.7536"/>
    <n v="1.4663999999999999"/>
    <n v="12.22"/>
    <s v="Sessão Faturada"/>
    <n v="771015064114020"/>
    <n v="59553"/>
    <s v="Unidade Vieralves (ANEXO)"/>
    <n v="1709165941"/>
    <m/>
  </r>
  <r>
    <x v="17"/>
    <x v="5"/>
    <s v="Paulo André Assis de Moura"/>
    <s v="Masculino"/>
    <x v="6"/>
    <x v="23"/>
    <s v="31602185 - Estimulação Elétrica Transcutanea (Tens) (R$ 40,00)"/>
    <s v="Fisioterapia"/>
    <n v="170679"/>
    <s v="Finalizado (1/4)"/>
    <n v="35.200000000000003"/>
    <n v="4.8"/>
    <n v="40"/>
    <s v="Sessão a Faturar"/>
    <s v="54588888488043100010"/>
    <n v="59356"/>
    <s v="Unidade Vieralves (ANEXO)"/>
    <n v="170679"/>
    <m/>
  </r>
  <r>
    <x v="17"/>
    <x v="30"/>
    <s v="Elinalva Cordovil Soubreira"/>
    <m/>
    <x v="2"/>
    <x v="23"/>
    <s v="20103115 - Atividade Reflexa Cinesioterápica (R$ 20,81)"/>
    <s v="Fisioterapia"/>
    <n v="1709167182"/>
    <s v="Finalizado (1/1)"/>
    <n v="18.312799999999999"/>
    <n v="2.4971999999999999"/>
    <n v="20.81"/>
    <s v="Sessão Faturada"/>
    <n v="771015064114020"/>
    <n v="59553"/>
    <s v="Unidade Vieralves (ANEXO)"/>
    <n v="1709167182"/>
    <m/>
  </r>
  <r>
    <x v="17"/>
    <x v="13"/>
    <s v="Ladyane Moreno Rosa de Almeida"/>
    <s v="Feminino"/>
    <x v="6"/>
    <x v="23"/>
    <s v="20103484 - Patologia Em Um Membro (R$ 14,16)"/>
    <s v="Fisioterapia"/>
    <n v="170200"/>
    <s v="Finalizado (3/5)"/>
    <n v="12.460800000000001"/>
    <n v="1.6992"/>
    <n v="14.16"/>
    <s v="Sessão a Faturar"/>
    <s v="56788888487957080014"/>
    <n v="56246"/>
    <s v="Unidade Vieralves (ANEXO)"/>
    <n v="170200"/>
    <m/>
  </r>
  <r>
    <x v="17"/>
    <x v="13"/>
    <s v="Ana Alice da Silva Araujo"/>
    <s v="Feminino"/>
    <x v="6"/>
    <x v="23"/>
    <s v="20103484 - Patologia Em Um Membro (R$ 14,16)"/>
    <s v="Fisioterapia"/>
    <n v="169725"/>
    <s v="Finalizado (5/5)"/>
    <n v="12.460800000000001"/>
    <n v="1.6992"/>
    <n v="14.16"/>
    <s v="Sessão a Faturar"/>
    <s v="54588888004872900019"/>
    <n v="13030"/>
    <s v="Unidade Vieralves (ANEXO)"/>
    <n v="169725"/>
    <m/>
  </r>
  <r>
    <x v="17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4/10)"/>
    <n v="30.8"/>
    <n v="4.2"/>
    <n v="35"/>
    <s v="Sessão Faturada"/>
    <n v="1101014113820300"/>
    <n v="59487"/>
    <s v="Unidade Vieralves (ANEXO)"/>
    <n v="9122845"/>
    <m/>
  </r>
  <r>
    <x v="17"/>
    <x v="13"/>
    <s v="Tiago Godoy Lopes"/>
    <s v="Masculino"/>
    <x v="2"/>
    <x v="23"/>
    <s v="20103484 - Fisioterapia - Patologia Em Um Membro (R$ 12,22)"/>
    <s v="Fisioterapia"/>
    <n v="1707941095"/>
    <s v="Finalizado (2/5)"/>
    <n v="10.7536"/>
    <n v="1.4663999999999999"/>
    <n v="12.22"/>
    <s v="Sessão Faturada"/>
    <n v="611265590001020"/>
    <n v="58056"/>
    <s v="Unidade Vieralves (ANEXO)"/>
    <n v="1707941095"/>
    <m/>
  </r>
  <r>
    <x v="17"/>
    <x v="14"/>
    <s v="Ana Alice da Silva Araujo"/>
    <s v="Feminino"/>
    <x v="6"/>
    <x v="23"/>
    <s v="31602185 - Estimulação Elétrica Transcutanea (Tens) (R$ 40,00)"/>
    <s v="Fisioterapia"/>
    <n v="169726"/>
    <s v="Finalizado (5/5)"/>
    <n v="35.200000000000003"/>
    <n v="4.8"/>
    <n v="40"/>
    <s v="Sessão a Faturar"/>
    <s v="54588888004872900019"/>
    <n v="13030"/>
    <s v="Unidade Vieralves (ANEXO)"/>
    <n v="169726"/>
    <m/>
  </r>
  <r>
    <x v="17"/>
    <x v="14"/>
    <s v="Ladyane Moreno Rosa de Almeida"/>
    <s v="Feminino"/>
    <x v="6"/>
    <x v="23"/>
    <s v="31602185 - Estimulação Elétrica Transcutanea (Tens) (R$ 40,00)"/>
    <s v="Fisioterapia"/>
    <n v="170201"/>
    <s v="Finalizado (3/5)"/>
    <n v="35.200000000000003"/>
    <n v="4.8"/>
    <n v="40"/>
    <s v="Sessão a Faturar"/>
    <s v="56788888487957080014"/>
    <n v="56246"/>
    <s v="Unidade Vieralves (ANEXO)"/>
    <n v="170201"/>
    <m/>
  </r>
  <r>
    <x v="17"/>
    <x v="14"/>
    <s v="Tiago Godoy Lopes"/>
    <s v="Masculino"/>
    <x v="2"/>
    <x v="23"/>
    <s v="20103115 - Atividade Reflexa Cinesioterápica (R$ 20,81)"/>
    <s v="Fisioterapia"/>
    <n v="1707942576"/>
    <s v="Finalizado (2/2)"/>
    <n v="18.312799999999999"/>
    <n v="2.4971999999999999"/>
    <n v="20.81"/>
    <s v="Sessão Faturada"/>
    <n v="611265590001020"/>
    <n v="58056"/>
    <s v="Unidade Vieralves (ANEXO)"/>
    <n v="1707942576"/>
    <m/>
  </r>
  <r>
    <x v="17"/>
    <x v="6"/>
    <s v="Sonia Braga Perfeito"/>
    <s v="Feminino"/>
    <x v="1"/>
    <x v="23"/>
    <s v="50000160 - Fisioterapia Ortopédica (R$ 20,00), 98980327 - Taxa de Eletroterapia (Tens) (R$ 15,00)"/>
    <s v="Fisioterapia"/>
    <n v="9146437"/>
    <s v="Finalizado (4/10)"/>
    <n v="30.8"/>
    <n v="4.2"/>
    <n v="35"/>
    <s v="Sessão Faturada"/>
    <s v="0901013217840019"/>
    <n v="10185"/>
    <s v="Unidade Vieralves (ANEXO)"/>
    <n v="9146437"/>
    <m/>
  </r>
  <r>
    <x v="17"/>
    <x v="15"/>
    <s v="Erika da Silva Guedes"/>
    <s v="Feminino"/>
    <x v="6"/>
    <x v="23"/>
    <s v="20103492 - Patologia Em Dois Ou Mais Membros (R$ 30,26)"/>
    <s v="Fisioterapia"/>
    <n v="170311"/>
    <s v="Finalizado (5/5)"/>
    <n v="26.628799999999998"/>
    <n v="3.6312000000000002"/>
    <n v="30.26"/>
    <s v="Sessão a Faturar"/>
    <s v="58200789998086170014"/>
    <n v="59434"/>
    <s v="Unidade Vieralves (ANEXO)"/>
    <n v="170311"/>
    <m/>
  </r>
  <r>
    <x v="17"/>
    <x v="15"/>
    <s v="Suellem Cristian Oliveira Epifânio"/>
    <s v="Feminino"/>
    <x v="2"/>
    <x v="23"/>
    <s v="20103492 - Fisioterapia - Patologia Em Dois Ou Mais Membros (R$ 14,83)"/>
    <s v="Fisioterapia"/>
    <n v="1705672340"/>
    <s v="Finalizado (3/4)"/>
    <n v="13.0504"/>
    <n v="1.7796000000000001"/>
    <n v="14.83"/>
    <s v="Sessão Faturada"/>
    <n v="775340003336000"/>
    <n v="55780"/>
    <s v="Unidade Vieralves (ANEXO)"/>
    <n v="1705672340"/>
    <m/>
  </r>
  <r>
    <x v="17"/>
    <x v="16"/>
    <s v="Suellem Cristian Oliveira Epifânio"/>
    <s v="Feminino"/>
    <x v="2"/>
    <x v="23"/>
    <s v="20103115 - Atividade Reflexa Cinesioterápica (R$ 20,81)"/>
    <s v="Fisioterapia"/>
    <n v="1705673222"/>
    <s v="Finalizado (3/3)"/>
    <n v="18.312799999999999"/>
    <n v="2.4971999999999999"/>
    <n v="20.81"/>
    <s v="Sessão Faturada"/>
    <n v="775340003336000"/>
    <n v="55780"/>
    <s v="Unidade Vieralves (ANEXO)"/>
    <n v="1705673222"/>
    <m/>
  </r>
  <r>
    <x v="17"/>
    <x v="16"/>
    <s v="Erika da Silva Guedes"/>
    <s v="Feminino"/>
    <x v="6"/>
    <x v="23"/>
    <s v="31602185 - Estimulação Elétrica Transcutanea (Tens) (R$ 40,00)"/>
    <s v="Fisioterapia"/>
    <n v="170493"/>
    <s v="Finalizado (3/4)"/>
    <n v="35.200000000000003"/>
    <n v="4.8"/>
    <n v="40"/>
    <s v="Sessão a Faturar"/>
    <s v="58200789998086170014"/>
    <n v="59434"/>
    <s v="Unidade Vieralves (ANEXO)"/>
    <n v="170493"/>
    <m/>
  </r>
  <r>
    <x v="17"/>
    <x v="17"/>
    <s v="Ronaldo Pereira Santos"/>
    <s v="Masculino"/>
    <x v="1"/>
    <x v="23"/>
    <s v="50000160 - Fisioterapia Ortopédica (R$ 20,00), 98980327 - Taxa de Eletroterapia (Tens) (R$ 15,00)"/>
    <s v="Fisioterapia"/>
    <n v="8923073"/>
    <s v="Finalizado (9/10)"/>
    <n v="30.8"/>
    <n v="4.2"/>
    <n v="35"/>
    <s v="Sessão Faturada"/>
    <n v="1901011231270100"/>
    <n v="45793"/>
    <s v="Unidade Vieralves (ANEXO)"/>
    <n v="8923073"/>
    <m/>
  </r>
  <r>
    <x v="17"/>
    <x v="17"/>
    <s v="Nayara Talassa Damasceno Inácio"/>
    <s v="Feminino"/>
    <x v="2"/>
    <x v="23"/>
    <s v="20103484 - Fisioterapia - Patologia Em Um Membro (R$ 12,22)"/>
    <s v="Fisioterapia"/>
    <n v="1707013645"/>
    <s v="Finalizado (4/5)"/>
    <n v="10.7536"/>
    <n v="1.4663999999999999"/>
    <n v="12.22"/>
    <s v="Sessão Faturada"/>
    <n v="774981007498010"/>
    <n v="55360"/>
    <s v="Unidade Vieralves (ANEXO)"/>
    <n v="1707013645"/>
    <m/>
  </r>
  <r>
    <x v="17"/>
    <x v="18"/>
    <s v="Nayara Talassa Damasceno Inácio"/>
    <s v="Feminino"/>
    <x v="2"/>
    <x v="23"/>
    <s v="20103115 - Atividade Reflexa Cinesioterápica (R$ 20,81)"/>
    <s v="Fisioterapia"/>
    <n v="1707014451"/>
    <s v="Finalizado (4/4)"/>
    <n v="18.312799999999999"/>
    <n v="2.4971999999999999"/>
    <n v="20.81"/>
    <s v="Sessão Faturada"/>
    <n v="774981007498010"/>
    <n v="55360"/>
    <s v="Unidade Vieralves (ANEXO)"/>
    <n v="1707014451"/>
    <m/>
  </r>
  <r>
    <x v="17"/>
    <x v="8"/>
    <s v="Carlos Cristiano Felix"/>
    <s v="Masculino"/>
    <x v="6"/>
    <x v="23"/>
    <s v="20103506 - Patologia Em Um Segmento da Coluna (R$ 14,16)"/>
    <s v="Fisioterapia"/>
    <n v="169411"/>
    <s v="Finalizado (5/5)"/>
    <n v="12.460800000000001"/>
    <n v="1.6992"/>
    <n v="14.16"/>
    <s v="Sessão a Faturar"/>
    <s v="55788888486887820113"/>
    <n v="58849"/>
    <s v="Unidade Vieralves (ANEXO)"/>
    <n v="169411"/>
    <m/>
  </r>
  <r>
    <x v="17"/>
    <x v="8"/>
    <s v="Amália Maria Félix"/>
    <s v="Feminino"/>
    <x v="2"/>
    <x v="23"/>
    <s v="20103662 - Fisioterapia - Pos Operatorio Em Um Membro (R$ 14,99)"/>
    <s v="Fisioterapia"/>
    <n v="1709229340"/>
    <s v="Finalizado (1/10)"/>
    <n v="13.1912"/>
    <n v="1.7988"/>
    <n v="14.99"/>
    <s v="Sessão a Faturar"/>
    <n v="610758850002010"/>
    <n v="58833"/>
    <s v="Unidade Vieralves (ANEXO)"/>
    <n v="1709229340"/>
    <m/>
  </r>
  <r>
    <x v="17"/>
    <x v="8"/>
    <s v="Carlos Cristiano Felix"/>
    <s v="Masculino"/>
    <x v="6"/>
    <x v="23"/>
    <s v="31602185 - Estimulação Elétrica Transcutanea (Tens) (R$ 40,00)"/>
    <s v="Fisioterapia"/>
    <n v="169412"/>
    <s v="Finalizado (5/5)"/>
    <n v="35.200000000000003"/>
    <n v="4.8"/>
    <n v="40"/>
    <s v="Sessão a Faturar"/>
    <s v="55788888486887820113"/>
    <n v="58849"/>
    <s v="Unidade Vieralves (ANEXO)"/>
    <n v="169412"/>
    <m/>
  </r>
  <r>
    <x v="17"/>
    <x v="10"/>
    <s v="Edineia de Medeiros Castro"/>
    <s v="Feminino"/>
    <x v="2"/>
    <x v="23"/>
    <s v="20103115 - Atividade Reflexa Cinesioterápica (R$ 20,81)"/>
    <s v="Fisioterapia"/>
    <n v="1707039578"/>
    <s v="Finalizado (4/4)"/>
    <n v="18.312799999999999"/>
    <n v="2.4971999999999999"/>
    <n v="20.81"/>
    <s v="Sessão Faturada"/>
    <n v="960016147526000"/>
    <n v="59383"/>
    <s v="Unidade Vieralves (ANEXO)"/>
    <n v="1707039578"/>
    <m/>
  </r>
  <r>
    <x v="17"/>
    <x v="10"/>
    <s v="Luciana Nascimento da Silva"/>
    <s v="Feminino"/>
    <x v="7"/>
    <x v="23"/>
    <s v="Vieiralves - 1 - Fisioterapia Ortopedica - Pacote (R$ 40,00)"/>
    <s v="Fisioterapia"/>
    <m/>
    <s v="Finalizado (1/10)"/>
    <n v="31.2"/>
    <n v="8.8000000000000007"/>
    <n v="40"/>
    <s v="No Prazo"/>
    <s v="00"/>
    <n v="31909"/>
    <s v="Unidade Vieralves (ANEXO)"/>
    <m/>
    <m/>
  </r>
  <r>
    <x v="17"/>
    <x v="10"/>
    <s v="Simone Carvalho da Silva Grijo"/>
    <s v="Feminino"/>
    <x v="5"/>
    <x v="23"/>
    <s v="98860020 - Fisioterapia Complexidade 2 - 04/03/2026 (R$ 70,79)"/>
    <s v="Fisioterapia"/>
    <n v="76803750"/>
    <s v="Finalizado (4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17"/>
    <x v="10"/>
    <s v="Edineia de Medeiros Castro"/>
    <s v="Feminino"/>
    <x v="2"/>
    <x v="23"/>
    <s v="20103484 - Fisioterapia - Patologia Em Um Membro (R$ 12,22)"/>
    <s v="Fisioterapia"/>
    <n v="1707039271"/>
    <s v="Finalizado (4/5)"/>
    <n v="10.7536"/>
    <n v="1.4663999999999999"/>
    <n v="12.22"/>
    <s v="Sessão Faturada"/>
    <n v="960016147526000"/>
    <n v="59383"/>
    <s v="Unidade Vieralves (ANEXO)"/>
    <n v="1707039271"/>
    <m/>
  </r>
  <r>
    <x v="17"/>
    <x v="11"/>
    <s v="Simone Carvalho da Silva Grijo"/>
    <s v="Feminino"/>
    <x v="5"/>
    <x v="23"/>
    <s v="31602185 - Estimulação Elétrica Transcutânea (Tens) (R$ 125,40)"/>
    <s v="Fisioterapia"/>
    <n v="79227650"/>
    <s v="Finalizado (3/10)"/>
    <n v="110.352"/>
    <n v="15.048"/>
    <n v="125.4"/>
    <s v="Sessão a Faturar"/>
    <s v="0101072415010378"/>
    <n v="11558"/>
    <s v="Unidade Vieralves (ANEXO)"/>
    <n v="79227650"/>
    <m/>
  </r>
  <r>
    <x v="17"/>
    <x v="12"/>
    <s v="Hyggor da Silva Medeiros"/>
    <s v="Masculino"/>
    <x v="2"/>
    <x v="23"/>
    <s v="20103484 - Fisioterapia - Patologia Em Um Membro (R$ 12,22)"/>
    <s v="Fisioterapia"/>
    <n v="1704503696"/>
    <s v="Finalizado (5/5)"/>
    <n v="10.7536"/>
    <n v="1.4663999999999999"/>
    <n v="12.22"/>
    <s v="Sessão Faturada"/>
    <n v="774642025895010"/>
    <n v="59368"/>
    <s v="Unidade Vieralves (ANEXO)"/>
    <n v="1704503696"/>
    <m/>
  </r>
  <r>
    <x v="17"/>
    <x v="12"/>
    <s v="Hyggor da Silva Medeiros"/>
    <s v="Masculino"/>
    <x v="2"/>
    <x v="23"/>
    <s v="20103115 - Atividade Reflexa Cinesioterápica (R$ 20,81)"/>
    <s v="Fisioterapia"/>
    <n v="1704503963"/>
    <s v="Finalizado (5/5)"/>
    <n v="18.312799999999999"/>
    <n v="2.4971999999999999"/>
    <n v="20.81"/>
    <s v="Sessão Faturada"/>
    <n v="774642025895010"/>
    <n v="59368"/>
    <s v="Unidade Vieralves (ANEXO)"/>
    <n v="1704503963"/>
    <m/>
  </r>
  <r>
    <x v="18"/>
    <x v="22"/>
    <s v="Samira Farias Costa de Souza"/>
    <s v="Feminino"/>
    <x v="2"/>
    <x v="23"/>
    <s v="20103484 - Fisioterapia - Patologia Em Um Membro (R$ 12,22)"/>
    <s v="Fisioterapia"/>
    <n v="1709716473"/>
    <s v="Finalizado (1/10)"/>
    <n v="10.7536"/>
    <n v="1.4663999999999999"/>
    <n v="12.22"/>
    <s v="Sessão Faturada"/>
    <n v="774981013048010"/>
    <n v="59585"/>
    <s v="Unidade Vieralves (ANEXO)"/>
    <n v="1709716473"/>
    <m/>
  </r>
  <r>
    <x v="18"/>
    <x v="23"/>
    <s v="Samira Farias Costa de Souza"/>
    <s v="Feminino"/>
    <x v="2"/>
    <x v="23"/>
    <s v="50000144 - Avaliação de Fisioterapia (R$ 51,42)"/>
    <s v="Fisioterapia"/>
    <n v="1709715080"/>
    <s v="Finalizado (1/1)"/>
    <n v="46.277999999999999"/>
    <n v="5.1420000000000003"/>
    <n v="51.42"/>
    <s v="Sessão Faturada"/>
    <n v="774981013048010"/>
    <n v="59585"/>
    <s v="Unidade Vieralves (ANEXO)"/>
    <n v="1709715080"/>
    <m/>
  </r>
  <r>
    <x v="18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6/10)"/>
    <n v="30.8"/>
    <n v="4.2"/>
    <n v="35"/>
    <s v="Sessão Faturada"/>
    <n v="1901013317720400"/>
    <n v="58938"/>
    <s v="Unidade Vieralves (ANEXO)"/>
    <n v="9123050"/>
    <m/>
  </r>
  <r>
    <x v="18"/>
    <x v="0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4/8)"/>
    <n v="30.8"/>
    <n v="4.2"/>
    <n v="35"/>
    <s v="Sessão Faturada"/>
    <n v="1401013803670100"/>
    <n v="57417"/>
    <s v="Unidade Vieralves (ANEXO)"/>
    <n v="9187587"/>
    <m/>
  </r>
  <r>
    <x v="18"/>
    <x v="2"/>
    <s v="Amanda Cecília Lins El-Amme"/>
    <s v="Feminino"/>
    <x v="1"/>
    <x v="23"/>
    <s v="50000217 - Fisioterapia Pré e Pós Operatória (R$ 25,00)"/>
    <s v="Fisioterapia"/>
    <n v="8845518"/>
    <s v="Finalizado (9/10)"/>
    <n v="22"/>
    <n v="3"/>
    <n v="25"/>
    <s v="Sessão Faturada"/>
    <s v="0901012580480056"/>
    <n v="58946"/>
    <s v="Unidade Vieralves (ANEXO)"/>
    <n v="8845518"/>
    <m/>
  </r>
  <r>
    <x v="18"/>
    <x v="2"/>
    <s v="Edivaldo Soares de Brito"/>
    <s v="Masculino"/>
    <x v="1"/>
    <x v="23"/>
    <s v="50000160 - Fisioterapia Ortopédica (R$ 20,00), 98980327 - Taxa de Eletroterapia (Tens) (R$ 15,00)"/>
    <s v="Fisioterapia"/>
    <n v="9141416"/>
    <s v="Finalizado (3/5)"/>
    <n v="30.8"/>
    <n v="4.2"/>
    <n v="35"/>
    <s v="Sessão Faturada"/>
    <s v="0901012950880070"/>
    <n v="57955"/>
    <s v="Unidade Vieralves (ANEXO)"/>
    <n v="9141416"/>
    <m/>
  </r>
  <r>
    <x v="18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5/10)"/>
    <n v="30.8"/>
    <n v="4.2"/>
    <n v="35"/>
    <s v="Sessão Faturada"/>
    <s v="0901013217840019"/>
    <n v="10185"/>
    <s v="Unidade Vieralves (ANEXO)"/>
    <n v="9146437"/>
    <m/>
  </r>
  <r>
    <x v="18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5/10)"/>
    <n v="30.8"/>
    <n v="4.2"/>
    <n v="35"/>
    <s v="Sessão Faturada"/>
    <n v="1101014113820300"/>
    <n v="59487"/>
    <s v="Unidade Vieralves (ANEXO)"/>
    <n v="9122845"/>
    <m/>
  </r>
  <r>
    <x v="18"/>
    <x v="13"/>
    <s v="Rosana Silva dos Santos"/>
    <s v="Feminino"/>
    <x v="1"/>
    <x v="23"/>
    <s v="50000160 - Fisioterapia Ortopédica (R$ 20,00), 98980327 - Taxa de Eletroterapia (Tens) (R$ 15,00)"/>
    <s v="Fisioterapia"/>
    <n v="9592647"/>
    <s v="Finalizado (2/10)"/>
    <n v="30.8"/>
    <n v="4.2"/>
    <n v="35"/>
    <s v="Sessão a Faturar"/>
    <n v="1101006073830400"/>
    <n v="58800"/>
    <s v="Unidade Vieralves (ANEXO)"/>
    <n v="9592647"/>
    <m/>
  </r>
  <r>
    <x v="18"/>
    <x v="13"/>
    <s v="Rayana Santos Mendes"/>
    <s v="Feminino"/>
    <x v="6"/>
    <x v="23"/>
    <s v="20103514 - Patologia Em Dois Ou Mais Segmentos da Coluna (R$ 32,82)"/>
    <s v="Fisioterapia"/>
    <n v="169885"/>
    <s v="Finalizado (3/4)"/>
    <n v="28.881599999999999"/>
    <n v="3.9384000000000001"/>
    <n v="32.82"/>
    <s v="Sessão a Faturar"/>
    <s v="54588888013038380010"/>
    <n v="18466"/>
    <s v="Unidade Vieralves (ANEXO)"/>
    <n v="169885"/>
    <m/>
  </r>
  <r>
    <x v="18"/>
    <x v="13"/>
    <s v="Augusto Sérgio dos Santos Cardoso"/>
    <s v="Masculino"/>
    <x v="7"/>
    <x v="23"/>
    <s v="Vieiralves - 1 - Fisioterapia Ortopedica - Pacote (R$ 40,00)"/>
    <s v="Fisioterapia"/>
    <n v="171220"/>
    <s v="Finalizado (1/10)"/>
    <n v="31.2"/>
    <n v="8.8000000000000007"/>
    <n v="40"/>
    <s v="Pago"/>
    <n v="0"/>
    <n v="59068"/>
    <s v="Unidade Vieralves (ANEXO)"/>
    <n v="171220"/>
    <m/>
  </r>
  <r>
    <x v="18"/>
    <x v="15"/>
    <s v="André Luís Moreira de Araújo"/>
    <m/>
    <x v="2"/>
    <x v="23"/>
    <s v="20103484 - Fisioterapia - Patologia Em Um Membro (R$ 12,22)"/>
    <s v="Fisioterapia"/>
    <n v="1707008292"/>
    <s v="Finalizado (3/5)"/>
    <n v="10.7536"/>
    <n v="1.4663999999999999"/>
    <n v="12.22"/>
    <s v="Sessão Faturada"/>
    <n v="856201100027010"/>
    <n v="55381"/>
    <s v="Unidade Vieralves (ANEXO)"/>
    <n v="1707008292"/>
    <m/>
  </r>
  <r>
    <x v="18"/>
    <x v="17"/>
    <s v="Antonio Gonzaga Brito Honorato Junior"/>
    <s v="Masculino"/>
    <x v="2"/>
    <x v="23"/>
    <s v="50000144 - Avaliação de Fisioterapia (R$ 51,42)"/>
    <s v="Fisioterapia"/>
    <n v="1709850180"/>
    <s v="Finalizado (1/1)"/>
    <n v="46.277999999999999"/>
    <n v="5.1420000000000003"/>
    <n v="51.42"/>
    <s v="Sessão Faturada"/>
    <n v="960019320397020"/>
    <n v="59461"/>
    <s v="Unidade Vieralves (ANEXO)"/>
    <n v="1709850180"/>
    <m/>
  </r>
  <r>
    <x v="18"/>
    <x v="17"/>
    <s v="Nayara Talassa Damasceno Inácio"/>
    <s v="Feminino"/>
    <x v="2"/>
    <x v="23"/>
    <s v="20103484 - Fisioterapia - Patologia Em Um Membro (R$ 12,22)"/>
    <s v="Fisioterapia"/>
    <n v="1707013645"/>
    <s v="Finalizado (5/5)"/>
    <n v="10.7536"/>
    <n v="1.4663999999999999"/>
    <n v="12.22"/>
    <s v="Sessão Faturada"/>
    <n v="774981007498010"/>
    <n v="55360"/>
    <s v="Unidade Vieralves (ANEXO)"/>
    <n v="1707013645"/>
    <m/>
  </r>
  <r>
    <x v="18"/>
    <x v="17"/>
    <s v="Marco Antonio Nobre Moura"/>
    <m/>
    <x v="0"/>
    <x v="23"/>
    <s v="50000160 - Fisioterapia Ortopedica (R$ 49,72)"/>
    <s v="Fisioterapia"/>
    <s v="42263120260130198406"/>
    <s v="Finalizado (8/10)"/>
    <n v="43.753599999999999"/>
    <n v="5.9664000000000001"/>
    <n v="49.72"/>
    <s v="Sessão Faturada"/>
    <s v="070004021800"/>
    <n v="58234"/>
    <s v="Unidade Vieralves (ANEXO)"/>
    <s v="42263120260130198406"/>
    <m/>
  </r>
  <r>
    <x v="18"/>
    <x v="18"/>
    <s v="Antonio Gonzaga Brito Honorato Junior"/>
    <s v="Masculino"/>
    <x v="2"/>
    <x v="23"/>
    <s v="20103484 - Fisioterapia - Patologia Em Um Membro (R$ 12,22)"/>
    <s v="Fisioterapia"/>
    <n v="1709850818"/>
    <s v="Finalizado (1/10)"/>
    <n v="10.7536"/>
    <n v="1.4663999999999999"/>
    <n v="12.22"/>
    <s v="Sessão Faturada"/>
    <n v="960019320397020"/>
    <n v="59461"/>
    <s v="Unidade Vieralves (ANEXO)"/>
    <n v="1709850818"/>
    <m/>
  </r>
  <r>
    <x v="18"/>
    <x v="18"/>
    <s v="Marco Antonio Nobre Moura"/>
    <m/>
    <x v="0"/>
    <x v="23"/>
    <s v="31602185 - Estimulação Elétrica Transcutânea Fisioterapia (Novo - 01/12) (R$ 54,13)"/>
    <s v="Fisioterapia"/>
    <s v="42263120260218304836"/>
    <s v="Finalizado (2/10)"/>
    <n v="47.634399999999999"/>
    <n v="6.4955999999999996"/>
    <n v="54.13"/>
    <s v="Sessão Faturada"/>
    <s v="070004021800"/>
    <n v="58234"/>
    <s v="Unidade Vieralves (ANEXO)"/>
    <s v="42263120260218304836"/>
    <m/>
  </r>
  <r>
    <x v="18"/>
    <x v="10"/>
    <s v="Luciana Nascimento da Silva"/>
    <s v="Feminino"/>
    <x v="7"/>
    <x v="23"/>
    <s v="Vieiralves - 1 - Fisioterapia Ortopedica - Pacote (R$ 40,00)"/>
    <s v="Fisioterapia"/>
    <m/>
    <s v="Finalizado (2/10)"/>
    <n v="31.2"/>
    <n v="8.8000000000000007"/>
    <n v="40"/>
    <s v="No Prazo"/>
    <s v="00"/>
    <n v="31909"/>
    <s v="Unidade Vieralves (ANEXO)"/>
    <m/>
    <m/>
  </r>
  <r>
    <x v="18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1/7)"/>
    <n v="30.8"/>
    <n v="4.2"/>
    <n v="35"/>
    <s v="Sessão Faturada"/>
    <n v="1901013998000200"/>
    <n v="59051"/>
    <s v="Unidade Vieralves (ANEXO)"/>
    <n v="9274123"/>
    <m/>
  </r>
  <r>
    <x v="18"/>
    <x v="10"/>
    <s v="Edineia de Medeiros Castro"/>
    <s v="Feminino"/>
    <x v="2"/>
    <x v="23"/>
    <s v="20103484 - Fisioterapia - Patologia Em Um Membro (R$ 12,22)"/>
    <s v="Fisioterapia"/>
    <n v="1707039271"/>
    <s v="Finalizado (5/5)"/>
    <n v="10.7536"/>
    <n v="1.4663999999999999"/>
    <n v="12.22"/>
    <s v="Sessão Faturada"/>
    <n v="960016147526000"/>
    <n v="59383"/>
    <s v="Unidade Vieralves (ANEXO)"/>
    <n v="1707039271"/>
    <m/>
  </r>
  <r>
    <x v="22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2/10)"/>
    <n v="30.8"/>
    <n v="4.2"/>
    <n v="35"/>
    <s v="Sessão Faturada"/>
    <s v="0901012961870097"/>
    <n v="57558"/>
    <s v="Unidade Vieralves (ANEXO)"/>
    <n v="9209397"/>
    <m/>
  </r>
  <r>
    <x v="22"/>
    <x v="22"/>
    <s v="Sonia dos Santos Pereira"/>
    <s v="Feminino"/>
    <x v="14"/>
    <x v="23"/>
    <s v="20103484 - Fisioterapia - Patologia Em Um Membro (R$ 12,22), 20103506 - Fisioterapia - Patologia Em Um Segmento da Coluna (R$ 12,22)"/>
    <s v="Fisioterapia"/>
    <n v="1704867371"/>
    <s v="Finalizado (3/4)"/>
    <n v="21.507200000000001"/>
    <n v="2.9327999999999999"/>
    <n v="24.44"/>
    <s v="Sessão a Faturar"/>
    <n v="775216009806030"/>
    <n v="56433"/>
    <s v="Unidade Vieralves (ANEXO)"/>
    <n v="1704867371"/>
    <m/>
  </r>
  <r>
    <x v="22"/>
    <x v="22"/>
    <s v="Ricardo Takashi Yamashita"/>
    <s v="Masculino"/>
    <x v="2"/>
    <x v="23"/>
    <s v="20103506 - Fisioterapia - Patologia Em Um Segmento da Coluna (R$ 12,22)"/>
    <s v="Fisioterapia"/>
    <n v="1710327500"/>
    <s v="Finalizado (1/2)"/>
    <n v="10.7536"/>
    <n v="1.4663999999999999"/>
    <n v="12.22"/>
    <s v="Sessão Faturada"/>
    <n v="891007000019000"/>
    <n v="52119"/>
    <s v="Unidade Vieralves (ANEXO)"/>
    <n v="1710327500"/>
    <m/>
  </r>
  <r>
    <x v="22"/>
    <x v="0"/>
    <s v="Conceição Andrade Viana"/>
    <s v="Feminino"/>
    <x v="6"/>
    <x v="23"/>
    <s v="20103484 - Patologia Em Um Membro (R$ 14,16)"/>
    <s v="Fisioterapia"/>
    <n v="170495"/>
    <s v="Finalizado (3/4)"/>
    <n v="12.460800000000001"/>
    <n v="1.6992"/>
    <n v="14.16"/>
    <s v="Sessão a Faturar"/>
    <s v="54588888003485490021"/>
    <n v="59381"/>
    <s v="Unidade Vieralves (ANEXO)"/>
    <n v="170495"/>
    <m/>
  </r>
  <r>
    <x v="22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2631"/>
    <s v="Finalizado (9/10)"/>
    <n v="174.91759999999999"/>
    <n v="23.852399999999999"/>
    <n v="198.77"/>
    <s v="Sessão a Faturar"/>
    <n v="2301648"/>
    <n v="7982"/>
    <s v="Unidade Vieralves (ANEXO)"/>
    <n v="2631"/>
    <m/>
  </r>
  <r>
    <x v="22"/>
    <x v="1"/>
    <s v="Conceição Andrade Viana"/>
    <s v="Feminino"/>
    <x v="6"/>
    <x v="23"/>
    <s v="31602185 - Estimulação Elétrica Transcutanea (Tens) (R$ 40,00)"/>
    <s v="Fisioterapia"/>
    <n v="170496"/>
    <s v="Finalizado (3/4)"/>
    <n v="35.200000000000003"/>
    <n v="4.8"/>
    <n v="40"/>
    <s v="Sessão a Faturar"/>
    <s v="54588888003485490021"/>
    <n v="59381"/>
    <s v="Unidade Vieralves (ANEXO)"/>
    <n v="170496"/>
    <m/>
  </r>
  <r>
    <x v="22"/>
    <x v="2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5/8)"/>
    <n v="30.8"/>
    <n v="4.2"/>
    <n v="35"/>
    <s v="Sessão Faturada"/>
    <n v="1401013803670100"/>
    <n v="57417"/>
    <s v="Unidade Vieralves (ANEXO)"/>
    <n v="9187587"/>
    <m/>
  </r>
  <r>
    <x v="22"/>
    <x v="2"/>
    <s v="Amanda Cecília Lins El-Amme"/>
    <s v="Feminino"/>
    <x v="1"/>
    <x v="23"/>
    <s v="50000217 - Fisioterapia Pré e Pós Operatória (R$ 25,00)"/>
    <s v="Fisioterapia"/>
    <n v="8845518"/>
    <s v="Finalizado (10/10)"/>
    <n v="22"/>
    <n v="3"/>
    <n v="25"/>
    <s v="Sessão Faturada"/>
    <s v="0901012580480056"/>
    <n v="58946"/>
    <s v="Unidade Vieralves (ANEXO)"/>
    <n v="8845518"/>
    <m/>
  </r>
  <r>
    <x v="22"/>
    <x v="2"/>
    <s v="Ladyane Moreno Rosa de Almeida"/>
    <s v="Feminino"/>
    <x v="6"/>
    <x v="23"/>
    <s v="20103484 - Patologia Em Um Membro (R$ 14,16)"/>
    <s v="Fisioterapia"/>
    <n v="170200"/>
    <s v="Finalizado (4/5)"/>
    <n v="12.460800000000001"/>
    <n v="1.6992"/>
    <n v="14.16"/>
    <s v="Sessão a Faturar"/>
    <s v="56788888487957080014"/>
    <n v="56246"/>
    <s v="Unidade Vieralves (ANEXO)"/>
    <n v="170200"/>
    <m/>
  </r>
  <r>
    <x v="22"/>
    <x v="2"/>
    <s v="Nayara Talassa Damasceno Inácio"/>
    <s v="Feminino"/>
    <x v="2"/>
    <x v="23"/>
    <s v="20103484 - Fisioterapia - Patologia Em Um Membro (R$ 12,22)"/>
    <s v="Fisioterapia"/>
    <n v="1710368917"/>
    <s v="Finalizado (1/5)"/>
    <n v="10.7536"/>
    <n v="1.4663999999999999"/>
    <n v="12.22"/>
    <s v="Sessão Faturada"/>
    <n v="774981007498010"/>
    <n v="55360"/>
    <s v="Unidade Vieralves (ANEXO)"/>
    <n v="1710368917"/>
    <m/>
  </r>
  <r>
    <x v="22"/>
    <x v="4"/>
    <s v="Rui Jorge Rodrigues Fialho"/>
    <s v="Masculino"/>
    <x v="2"/>
    <x v="23"/>
    <s v="20103506 - Fisioterapia - Patologia Em Um Segmento da Coluna (R$ 12,22)"/>
    <s v="Fisioterapia"/>
    <n v="1705830636"/>
    <s v="Finalizado (4/5)"/>
    <n v="10.7536"/>
    <n v="1.4663999999999999"/>
    <n v="12.22"/>
    <s v="Sessão Faturada"/>
    <n v="771015043265010"/>
    <n v="35722"/>
    <s v="Unidade Vieralves (ANEXO)"/>
    <n v="1705830636"/>
    <m/>
  </r>
  <r>
    <x v="22"/>
    <x v="4"/>
    <s v="Sonia Pereira de Oliveira"/>
    <s v="Feminino"/>
    <x v="26"/>
    <x v="23"/>
    <s v="20103492 - Fisioterapia - Patologia Em Dois Ou Mais Membros (R$ 23,85)"/>
    <s v="Fisioterapia"/>
    <n v="275539188"/>
    <s v="Finalizado (4/10)"/>
    <n v="20.988"/>
    <n v="2.8620000000000001"/>
    <n v="23.85"/>
    <s v="Sessão Faturada"/>
    <s v="TWXUA000427004"/>
    <n v="59313"/>
    <s v="Unidade Vieralves (ANEXO)"/>
    <n v="275539188"/>
    <s v="Guia assinada!"/>
  </r>
  <r>
    <x v="22"/>
    <x v="4"/>
    <s v="Ana Alice da Silva Araujo"/>
    <s v="Feminino"/>
    <x v="6"/>
    <x v="23"/>
    <s v="20103484 - Patologia Em Um Membro (R$ 14,16)"/>
    <s v="Fisioterapia"/>
    <n v="171201"/>
    <s v="Finalizado (1/10)"/>
    <n v="12.460800000000001"/>
    <n v="1.6992"/>
    <n v="14.16"/>
    <s v="Sessão a Faturar"/>
    <s v="54588888004872900019"/>
    <n v="13030"/>
    <s v="Unidade Vieralves (ANEXO)"/>
    <n v="171201"/>
    <m/>
  </r>
  <r>
    <x v="22"/>
    <x v="4"/>
    <s v="Edivaldo Soares de Brito"/>
    <s v="Masculino"/>
    <x v="1"/>
    <x v="23"/>
    <s v="50000160 - Fisioterapia Ortopédica (R$ 20,00), 98980327 - Taxa de Eletroterapia (Tens) (R$ 15,00)"/>
    <s v="Fisioterapia"/>
    <n v="9141416"/>
    <s v="Finalizado (4/5)"/>
    <n v="30.8"/>
    <n v="4.2"/>
    <n v="35"/>
    <s v="Sessão Faturada"/>
    <s v="0901012950880070"/>
    <n v="57955"/>
    <s v="Unidade Vieralves (ANEXO)"/>
    <n v="9141416"/>
    <m/>
  </r>
  <r>
    <x v="22"/>
    <x v="5"/>
    <s v="Ana Alice da Silva Araujo"/>
    <s v="Feminino"/>
    <x v="6"/>
    <x v="23"/>
    <s v="31602185 - Estimulação Elétrica Transcutanea (Tens) (R$ 40,00)"/>
    <s v="Fisioterapia"/>
    <n v="171358"/>
    <s v="Finalizado (1/7)"/>
    <n v="35.200000000000003"/>
    <n v="4.8"/>
    <n v="40"/>
    <s v="Sessão a Faturar"/>
    <s v="54588888004872900019"/>
    <n v="13030"/>
    <s v="Unidade Vieralves (ANEXO)"/>
    <n v="171358"/>
    <m/>
  </r>
  <r>
    <x v="22"/>
    <x v="13"/>
    <s v="Rayana Santos Mendes"/>
    <s v="Feminino"/>
    <x v="6"/>
    <x v="23"/>
    <s v="20103514 - Patologia Em Dois Ou Mais Segmentos da Coluna (R$ 32,82)"/>
    <s v="Fisioterapia"/>
    <n v="169885"/>
    <s v="Finalizado (4/4)"/>
    <n v="28.881599999999999"/>
    <n v="3.9384000000000001"/>
    <n v="32.82"/>
    <s v="Sessão a Faturar"/>
    <s v="54588888013038380010"/>
    <n v="18466"/>
    <s v="Unidade Vieralves (ANEXO)"/>
    <n v="169885"/>
    <m/>
  </r>
  <r>
    <x v="22"/>
    <x v="14"/>
    <s v="Rayana Santos Mendes"/>
    <s v="Feminino"/>
    <x v="6"/>
    <x v="23"/>
    <s v="31602185 - Estimulação Elétrica Transcutanea (Tens) (R$ 40,00)"/>
    <s v="Fisioterapia"/>
    <n v="170529"/>
    <s v="Finalizado (4/4)"/>
    <n v="35.200000000000003"/>
    <n v="4.8"/>
    <n v="40"/>
    <s v="Sessão a Faturar"/>
    <s v="54588888013038380010"/>
    <n v="18466"/>
    <s v="Unidade Vieralves (ANEXO)"/>
    <n v="170529"/>
    <m/>
  </r>
  <r>
    <x v="22"/>
    <x v="6"/>
    <s v="Rosana Silva dos Santos"/>
    <s v="Feminino"/>
    <x v="1"/>
    <x v="23"/>
    <s v="50000160 - Fisioterapia Ortopédica (R$ 20,00), 98980327 - Taxa de Eletroterapia (Tens) (R$ 15,00)"/>
    <s v="Fisioterapia"/>
    <n v="9592647"/>
    <s v="Finalizado (3/10)"/>
    <n v="30.8"/>
    <n v="4.2"/>
    <n v="35"/>
    <s v="Sessão a Faturar"/>
    <n v="1101006073830400"/>
    <n v="58800"/>
    <s v="Unidade Vieralves (ANEXO)"/>
    <n v="9592647"/>
    <m/>
  </r>
  <r>
    <x v="22"/>
    <x v="6"/>
    <s v="Erika da Silva Guedes"/>
    <s v="Feminino"/>
    <x v="6"/>
    <x v="23"/>
    <s v="31602185 - Estimulação Elétrica Transcutanea (Tens) (R$ 40,00)"/>
    <s v="Fisioterapia"/>
    <n v="170493"/>
    <s v="Não compareceu (4/4)"/>
    <n v="40"/>
    <n v="0"/>
    <n v="40"/>
    <s v="Sessão a Faturar"/>
    <s v="58200789998086170014"/>
    <n v="59434"/>
    <s v="Unidade Vieralves (ANEXO)"/>
    <n v="170493"/>
    <m/>
  </r>
  <r>
    <x v="22"/>
    <x v="6"/>
    <s v="Tiago Godoy Lopes"/>
    <s v="Masculino"/>
    <x v="2"/>
    <x v="23"/>
    <s v="20103484 - Fisioterapia - Patologia Em Um Membro (R$ 12,22)"/>
    <s v="Fisioterapia"/>
    <n v="1707941095"/>
    <s v="Finalizado (3/5)"/>
    <n v="10.7536"/>
    <n v="1.4663999999999999"/>
    <n v="12.22"/>
    <s v="Sessão Faturada"/>
    <n v="611265590001020"/>
    <n v="58056"/>
    <s v="Unidade Vieralves (ANEXO)"/>
    <n v="1707941095"/>
    <m/>
  </r>
  <r>
    <x v="22"/>
    <x v="15"/>
    <s v="André Luís Moreira de Araújo"/>
    <m/>
    <x v="2"/>
    <x v="23"/>
    <s v="20103484 - Fisioterapia - Patologia Em Um Membro (R$ 12,22)"/>
    <s v="Fisioterapia"/>
    <n v="1707008292"/>
    <s v="Finalizado (4/5)"/>
    <n v="10.7536"/>
    <n v="1.4663999999999999"/>
    <n v="12.22"/>
    <s v="Sessão Faturada"/>
    <n v="856201100027010"/>
    <n v="55381"/>
    <s v="Unidade Vieralves (ANEXO)"/>
    <n v="1707008292"/>
    <m/>
  </r>
  <r>
    <x v="22"/>
    <x v="15"/>
    <s v="Marco Antonio Nobre Moura"/>
    <m/>
    <x v="0"/>
    <x v="23"/>
    <s v="50000160 - Fisioterapia Ortopedica (R$ 49,72)"/>
    <s v="Fisioterapia"/>
    <s v="42263120260130198406"/>
    <s v="Finalizado (9/10)"/>
    <n v="43.753599999999999"/>
    <n v="5.9664000000000001"/>
    <n v="49.72"/>
    <s v="Sessão Faturada"/>
    <s v="070004021800"/>
    <n v="58234"/>
    <s v="Unidade Vieralves (ANEXO)"/>
    <s v="42263120260130198406"/>
    <m/>
  </r>
  <r>
    <x v="22"/>
    <x v="16"/>
    <s v="Marco Antonio Nobre Moura"/>
    <m/>
    <x v="0"/>
    <x v="23"/>
    <s v="31602185 - Estimulação Elétrica Transcutânea Fisioterapia (Novo - 01/12) (R$ 54,13)"/>
    <s v="Fisioterapia"/>
    <s v="42263120260218304836"/>
    <s v="Finalizado (3/10)"/>
    <n v="47.634399999999999"/>
    <n v="6.4955999999999996"/>
    <n v="54.13"/>
    <s v="Sessão Faturada"/>
    <s v="070004021800"/>
    <n v="58234"/>
    <s v="Unidade Vieralves (ANEXO)"/>
    <s v="42263120260218304836"/>
    <m/>
  </r>
  <r>
    <x v="22"/>
    <x v="17"/>
    <s v="Paulo André Assis de Moura"/>
    <s v="Masculino"/>
    <x v="6"/>
    <x v="23"/>
    <s v="20103484 - Patologia Em Um Membro (R$ 14,16)"/>
    <s v="Fisioterapia"/>
    <n v="848817"/>
    <s v="Finalizado (4/4)"/>
    <n v="12.460800000000001"/>
    <n v="1.6992"/>
    <n v="14.16"/>
    <s v="Sessão a Faturar"/>
    <s v="54588888488043100010"/>
    <n v="59356"/>
    <s v="Unidade Vieralves (ANEXO)"/>
    <n v="848817"/>
    <m/>
  </r>
  <r>
    <x v="22"/>
    <x v="17"/>
    <s v="Ronaldo Pereira Santos"/>
    <s v="Masculino"/>
    <x v="1"/>
    <x v="23"/>
    <s v="50000160 - Fisioterapia Ortopédica (R$ 20,00), 98980327 - Taxa de Eletroterapia (Tens) (R$ 15,00)"/>
    <s v="Fisioterapia"/>
    <n v="8923073"/>
    <s v="Não compareceu (10/10)"/>
    <n v="35"/>
    <n v="0"/>
    <n v="35"/>
    <s v="Sessão Faturada"/>
    <n v="1901011231270100"/>
    <n v="45793"/>
    <s v="Unidade Vieralves (ANEXO)"/>
    <n v="8923073"/>
    <m/>
  </r>
  <r>
    <x v="22"/>
    <x v="17"/>
    <s v="Marcus Vinicius da Costa Corrêa"/>
    <s v="Masculino"/>
    <x v="2"/>
    <x v="23"/>
    <s v="20103514 - Fisioterapia - Patologia Em Diferentes Segmentos da Coluna (R$ 14,83)"/>
    <s v="Fisioterapia"/>
    <n v="1710477354"/>
    <s v="Finalizado (1/5)"/>
    <n v="13.0504"/>
    <n v="1.7796000000000001"/>
    <n v="14.83"/>
    <s v="Sessão a Faturar"/>
    <n v="774981007188010"/>
    <n v="59433"/>
    <s v="Unidade Vieralves (ANEXO)"/>
    <n v="1710477354"/>
    <m/>
  </r>
  <r>
    <x v="22"/>
    <x v="18"/>
    <s v="Paulo André Assis de Moura"/>
    <s v="Masculino"/>
    <x v="6"/>
    <x v="23"/>
    <s v="31602185 - Estimulação Elétrica Transcutanea (Tens) (R$ 40,00)"/>
    <s v="Fisioterapia"/>
    <n v="170679"/>
    <s v="Finalizado (2/4)"/>
    <n v="35.200000000000003"/>
    <n v="4.8"/>
    <n v="40"/>
    <s v="Sessão a Faturar"/>
    <s v="54588888488043100010"/>
    <n v="59356"/>
    <s v="Unidade Vieralves (ANEXO)"/>
    <n v="170679"/>
    <m/>
  </r>
  <r>
    <x v="22"/>
    <x v="8"/>
    <s v="Amália Maria Félix"/>
    <s v="Feminino"/>
    <x v="2"/>
    <x v="23"/>
    <s v="20103662 - Fisioterapia - Pos Operatorio Em Um Membro (R$ 14,99)"/>
    <s v="Fisioterapia"/>
    <n v="1709229340"/>
    <s v="Finalizado (2/10)"/>
    <n v="13.1912"/>
    <n v="1.7988"/>
    <n v="14.99"/>
    <s v="Sessão a Faturar"/>
    <n v="610758850002010"/>
    <n v="58833"/>
    <s v="Unidade Vieralves (ANEXO)"/>
    <n v="1709229340"/>
    <m/>
  </r>
  <r>
    <x v="22"/>
    <x v="8"/>
    <s v="Luciana Nascimento da Silva"/>
    <s v="Feminino"/>
    <x v="7"/>
    <x v="23"/>
    <s v="Vieiralves - 1 - Fisioterapia Ortopedica - Pacote (R$ 40,00)"/>
    <s v="Fisioterapia"/>
    <m/>
    <s v="Finalizado (3/10)"/>
    <n v="31.2"/>
    <n v="8.8000000000000007"/>
    <n v="40"/>
    <s v="No Prazo"/>
    <s v="00"/>
    <n v="31909"/>
    <s v="Unidade Vieralves (ANEXO)"/>
    <m/>
    <m/>
  </r>
  <r>
    <x v="22"/>
    <x v="8"/>
    <s v="Josicleide Nunes Santos"/>
    <s v="Feminino"/>
    <x v="2"/>
    <x v="23"/>
    <s v="20103492 - Fisioterapia - Patologia Em Dois Ou Mais Membros (R$ 14,83)"/>
    <s v="Fisioterapia"/>
    <n v="1708238595"/>
    <s v="Finalizado (2/5)"/>
    <n v="13.0504"/>
    <n v="1.7796000000000001"/>
    <n v="14.83"/>
    <s v="Sessão Faturada"/>
    <n v="774981001279000"/>
    <n v="20120"/>
    <s v="Unidade Vieralves (ANEXO)"/>
    <n v="1708238595"/>
    <m/>
  </r>
  <r>
    <x v="22"/>
    <x v="9"/>
    <s v="Josicleide Nunes Santos"/>
    <s v="Feminino"/>
    <x v="4"/>
    <x v="23"/>
    <s v="31602185 - Estimulação Elétrica Transcutânea - Removido 13/04/2026 (R$ 40,00)"/>
    <s v="Fisioterapia"/>
    <n v="1710488005"/>
    <s v="Finalizado (1/5)"/>
    <n v="35.200000000000003"/>
    <n v="4.8"/>
    <n v="40"/>
    <s v="Sessão a Faturar"/>
    <n v="774981001279000"/>
    <n v="20120"/>
    <s v="Unidade Vieralves (ANEXO)"/>
    <n v="1710488005"/>
    <m/>
  </r>
  <r>
    <x v="22"/>
    <x v="9"/>
    <s v="Amália Maria Félix"/>
    <s v="Feminino"/>
    <x v="4"/>
    <x v="23"/>
    <s v="31602185 - Estimulação Elétrica Transcutânea - Removido 13/04/2026 (R$ 40,00)"/>
    <s v="Fisioterapia"/>
    <n v="1710489391"/>
    <s v="Finalizado (1/9)"/>
    <n v="35.200000000000003"/>
    <n v="4.8"/>
    <n v="40"/>
    <s v="Sessão a Faturar"/>
    <n v="610758850002010"/>
    <n v="58833"/>
    <s v="Unidade Vieralves (ANEXO)"/>
    <n v="1710489391"/>
    <m/>
  </r>
  <r>
    <x v="22"/>
    <x v="10"/>
    <s v="Dhijana Nobre de Almeida"/>
    <s v="Feminino"/>
    <x v="6"/>
    <x v="23"/>
    <s v="20103506 - Patologia Em Um Segmento da Coluna (R$ 14,16)"/>
    <s v="Fisioterapia"/>
    <n v="170863"/>
    <s v="Finalizado (2/10)"/>
    <n v="12.460800000000001"/>
    <n v="1.6992"/>
    <n v="14.16"/>
    <s v="Sessão a Faturar"/>
    <s v="54588888004873450017"/>
    <n v="6422"/>
    <s v="Unidade Vieralves (ANEXO)"/>
    <n v="170863"/>
    <m/>
  </r>
  <r>
    <x v="22"/>
    <x v="10"/>
    <s v="Edineia de Medeiros Castro"/>
    <s v="Feminino"/>
    <x v="2"/>
    <x v="23"/>
    <s v="20103484 - Fisioterapia - Patologia Em Um Membro (R$ 12,22)"/>
    <s v="Fisioterapia"/>
    <n v="1710503589"/>
    <s v="Finalizado (1/5)"/>
    <n v="10.7536"/>
    <n v="1.4663999999999999"/>
    <n v="12.22"/>
    <s v="Sessão Faturada"/>
    <n v="960016147526000"/>
    <n v="59383"/>
    <s v="Unidade Vieralves (ANEXO)"/>
    <n v="1710503589"/>
    <m/>
  </r>
  <r>
    <x v="22"/>
    <x v="10"/>
    <s v="Caio Felipe Soares da Cruz"/>
    <s v="Masculino"/>
    <x v="2"/>
    <x v="23"/>
    <s v="50000144 - Avaliação de Fisioterapia (R$ 51,42)"/>
    <s v="Fisioterapia"/>
    <n v="1710493702"/>
    <s v="Finalizado (1/1)"/>
    <n v="46.277999999999999"/>
    <n v="5.1420000000000003"/>
    <n v="51.42"/>
    <s v="Sessão Faturada"/>
    <n v="889414100973000"/>
    <n v="57595"/>
    <s v="Unidade Vieralves (ANEXO)"/>
    <n v="1710493702"/>
    <m/>
  </r>
  <r>
    <x v="22"/>
    <x v="11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1/10)"/>
    <n v="21.507200000000001"/>
    <n v="2.9327999999999999"/>
    <n v="24.44"/>
    <s v="Sessão Faturada"/>
    <n v="889414100973000"/>
    <n v="57595"/>
    <s v="Unidade Vieralves (ANEXO)"/>
    <n v="1710494057"/>
    <m/>
  </r>
  <r>
    <x v="22"/>
    <x v="11"/>
    <s v="Dhijana Nobre de Almeida"/>
    <s v="Feminino"/>
    <x v="6"/>
    <x v="23"/>
    <s v="31602185 - Estimulação Elétrica Transcutanea (Tens) (R$ 40,00)"/>
    <s v="Fisioterapia"/>
    <n v="170864"/>
    <s v="Finalizado (2/5)"/>
    <n v="35.200000000000003"/>
    <n v="4.8"/>
    <n v="40"/>
    <s v="Sessão a Faturar"/>
    <s v="54588888004873450017"/>
    <n v="6422"/>
    <s v="Unidade Vieralves (ANEXO)"/>
    <n v="170864"/>
    <m/>
  </r>
  <r>
    <x v="22"/>
    <x v="12"/>
    <s v="Antonio Gonzaga Brito Honorato Junior"/>
    <s v="Masculino"/>
    <x v="2"/>
    <x v="23"/>
    <s v="20103484 - Fisioterapia - Patologia Em Um Membro (R$ 12,22)"/>
    <s v="Fisioterapia"/>
    <n v="1709850818"/>
    <s v="Finalizado (2/10)"/>
    <n v="10.7536"/>
    <n v="1.4663999999999999"/>
    <n v="12.22"/>
    <s v="Sessão Faturada"/>
    <n v="960019320397020"/>
    <n v="59461"/>
    <s v="Unidade Vieralves (ANEXO)"/>
    <n v="1709850818"/>
    <m/>
  </r>
  <r>
    <x v="22"/>
    <x v="12"/>
    <s v="Hyggor da Silva Medeiros"/>
    <s v="Masculino"/>
    <x v="2"/>
    <x v="23"/>
    <s v="20103484 - Fisioterapia - Patologia Em Um Membro (R$ 12,22)"/>
    <s v="Fisioterapia"/>
    <n v="1710507497"/>
    <s v="Finalizado (1/5)"/>
    <n v="10.7536"/>
    <n v="1.4663999999999999"/>
    <n v="12.22"/>
    <s v="Sessão Faturada"/>
    <n v="774642025895010"/>
    <n v="59368"/>
    <s v="Unidade Vieralves (ANEXO)"/>
    <n v="1710507497"/>
    <m/>
  </r>
  <r>
    <x v="19"/>
    <x v="22"/>
    <s v="Samira Farias Costa de Souza"/>
    <s v="Feminino"/>
    <x v="2"/>
    <x v="23"/>
    <s v="20103484 - Fisioterapia - Patologia Em Um Membro (R$ 12,22)"/>
    <s v="Fisioterapia"/>
    <n v="1709716473"/>
    <s v="Finalizado (3/10)"/>
    <n v="10.7536"/>
    <n v="1.4663999999999999"/>
    <n v="12.22"/>
    <s v="Sessão Faturada"/>
    <n v="774981013048010"/>
    <n v="59585"/>
    <s v="Unidade Vieralves (ANEXO)"/>
    <n v="1709716473"/>
    <m/>
  </r>
  <r>
    <x v="19"/>
    <x v="0"/>
    <s v="Ana Alice da Silva Araujo"/>
    <s v="Feminino"/>
    <x v="6"/>
    <x v="23"/>
    <s v="20103484 - Patologia Em Um Membro (R$ 14,16)"/>
    <s v="Fisioterapia"/>
    <n v="171201"/>
    <s v="Finalizado (2/10)"/>
    <n v="12.460800000000001"/>
    <n v="1.6992"/>
    <n v="14.16"/>
    <s v="Sessão a Faturar"/>
    <s v="54588888004872900019"/>
    <n v="13030"/>
    <s v="Unidade Vieralves (ANEXO)"/>
    <n v="171201"/>
    <m/>
  </r>
  <r>
    <x v="19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7/10)"/>
    <n v="30.8"/>
    <n v="4.2"/>
    <n v="35"/>
    <s v="Sessão Faturada"/>
    <n v="1901013317720400"/>
    <n v="58938"/>
    <s v="Unidade Vieralves (ANEXO)"/>
    <n v="9123050"/>
    <m/>
  </r>
  <r>
    <x v="19"/>
    <x v="0"/>
    <s v="Conceição Andrade Viana"/>
    <s v="Feminino"/>
    <x v="6"/>
    <x v="23"/>
    <s v="20103484 - Patologia Em Um Membro (R$ 14,16)"/>
    <s v="Fisioterapia"/>
    <n v="170495"/>
    <s v="Finalizado (4/4)"/>
    <n v="12.460800000000001"/>
    <n v="1.6992"/>
    <n v="14.16"/>
    <s v="Sessão a Faturar"/>
    <s v="54588888003485490021"/>
    <n v="59381"/>
    <s v="Unidade Vieralves (ANEXO)"/>
    <n v="170495"/>
    <m/>
  </r>
  <r>
    <x v="19"/>
    <x v="1"/>
    <s v="Conceição Andrade Viana"/>
    <s v="Feminino"/>
    <x v="6"/>
    <x v="23"/>
    <s v="31602185 - Estimulação Elétrica Transcutanea (Tens) (R$ 40,00)"/>
    <s v="Fisioterapia"/>
    <n v="170496"/>
    <s v="Finalizado (4/4)"/>
    <n v="35.200000000000003"/>
    <n v="4.8"/>
    <n v="40"/>
    <s v="Sessão a Faturar"/>
    <s v="54588888003485490021"/>
    <n v="59381"/>
    <s v="Unidade Vieralves (ANEXO)"/>
    <n v="170496"/>
    <m/>
  </r>
  <r>
    <x v="19"/>
    <x v="1"/>
    <s v="Ana Alice da Silva Araujo"/>
    <s v="Feminino"/>
    <x v="6"/>
    <x v="23"/>
    <s v="31602185 - Estimulação Elétrica Transcutanea (Tens) (R$ 40,00)"/>
    <s v="Fisioterapia"/>
    <n v="171358"/>
    <s v="Finalizado (2/7)"/>
    <n v="35.200000000000003"/>
    <n v="4.8"/>
    <n v="40"/>
    <s v="Sessão a Faturar"/>
    <s v="54588888004872900019"/>
    <n v="13030"/>
    <s v="Unidade Vieralves (ANEXO)"/>
    <n v="171358"/>
    <m/>
  </r>
  <r>
    <x v="19"/>
    <x v="4"/>
    <s v="Edivaldo Soares de Brito"/>
    <s v="Masculino"/>
    <x v="1"/>
    <x v="23"/>
    <s v="50000160 - Fisioterapia Ortopédica (R$ 20,00), 98980327 - Taxa de Eletroterapia (Tens) (R$ 15,00)"/>
    <s v="Fisioterapia"/>
    <n v="9141416"/>
    <s v="Finalizado (5/5)"/>
    <n v="30.8"/>
    <n v="4.2"/>
    <n v="35"/>
    <s v="Sessão Faturada"/>
    <s v="0901012950880070"/>
    <n v="57955"/>
    <s v="Unidade Vieralves (ANEXO)"/>
    <n v="9141416"/>
    <m/>
  </r>
  <r>
    <x v="19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6/10)"/>
    <n v="30.8"/>
    <n v="4.2"/>
    <n v="35"/>
    <s v="Sessão Faturada"/>
    <s v="0901013217840019"/>
    <n v="10185"/>
    <s v="Unidade Vieralves (ANEXO)"/>
    <n v="9146437"/>
    <m/>
  </r>
  <r>
    <x v="19"/>
    <x v="13"/>
    <s v="Francisca Lima de Araújo"/>
    <s v="Feminino"/>
    <x v="1"/>
    <x v="23"/>
    <s v="50000160 - Fisioterapia Ortopédica (R$ 20,00), 98980327 - Taxa de Eletroterapia (Tens) (R$ 15,00)"/>
    <s v="Fisioterapia"/>
    <n v="9192147"/>
    <s v="Finalizado (2/7)"/>
    <n v="30.8"/>
    <n v="4.2"/>
    <n v="35"/>
    <s v="Sessão Faturada"/>
    <n v="1901013081250400"/>
    <n v="59462"/>
    <s v="Unidade Vieralves (ANEXO)"/>
    <n v="9192147"/>
    <m/>
  </r>
  <r>
    <x v="19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6/10)"/>
    <n v="30.8"/>
    <n v="4.2"/>
    <n v="35"/>
    <s v="Sessão Faturada"/>
    <n v="1101014113820300"/>
    <n v="59487"/>
    <s v="Unidade Vieralves (ANEXO)"/>
    <n v="9122845"/>
    <m/>
  </r>
  <r>
    <x v="19"/>
    <x v="13"/>
    <s v="Marcio da Silva Monteiro"/>
    <s v="Masculino"/>
    <x v="8"/>
    <x v="23"/>
    <s v="50000144 - Consulta de Fisioterapia (R$ 51,42)"/>
    <s v="Fisioterapia"/>
    <n v="1711003416"/>
    <s v="Finalizado (1/1)"/>
    <n v="46.277999999999999"/>
    <n v="5.1420000000000003"/>
    <n v="51.42"/>
    <s v="Sessão Faturada"/>
    <n v="954600033812020"/>
    <n v="59627"/>
    <s v="Unidade Vieralves (ANEXO)"/>
    <n v="1711003416"/>
    <m/>
  </r>
  <r>
    <x v="19"/>
    <x v="14"/>
    <s v="Marcio da Silva Monteiro"/>
    <s v="Masculino"/>
    <x v="8"/>
    <x v="23"/>
    <s v="20103662 - Pos Operatorio Em Um Membro (R$ 14,99)"/>
    <s v="Fisioterapia"/>
    <n v="1711004503"/>
    <s v="Finalizado (1/2)"/>
    <n v="13.1912"/>
    <n v="1.7988"/>
    <n v="14.99"/>
    <s v="Sessão a Faturar"/>
    <n v="954600033812020"/>
    <n v="59627"/>
    <s v="Unidade Vieralves (ANEXO)"/>
    <n v="1711004503"/>
    <m/>
  </r>
  <r>
    <x v="19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1/10)"/>
    <n v="30.8"/>
    <n v="4.2"/>
    <n v="35"/>
    <s v="Sessão Faturada"/>
    <s v="0902002479470014"/>
    <n v="59297"/>
    <s v="Unidade Vieralves (ANEXO)"/>
    <n v="9321749"/>
    <m/>
  </r>
  <r>
    <x v="19"/>
    <x v="17"/>
    <s v="Marco Antonio Nobre Moura"/>
    <m/>
    <x v="0"/>
    <x v="23"/>
    <s v="50000160 - Fisioterapia Ortopedica (R$ 49,72)"/>
    <s v="Fisioterapia"/>
    <s v="42263120260130198406"/>
    <s v="Finalizado (10/10)"/>
    <n v="43.753599999999999"/>
    <n v="5.9664000000000001"/>
    <n v="49.72"/>
    <s v="Sessão Faturada"/>
    <s v="070004021800"/>
    <n v="58234"/>
    <s v="Unidade Vieralves (ANEXO)"/>
    <s v="42263120260130198406"/>
    <m/>
  </r>
  <r>
    <x v="19"/>
    <x v="17"/>
    <s v="Nayara Talassa Damasceno Inácio"/>
    <s v="Feminino"/>
    <x v="2"/>
    <x v="23"/>
    <s v="20103484 - Fisioterapia - Patologia Em Um Membro (R$ 12,22)"/>
    <s v="Fisioterapia"/>
    <n v="1710368917"/>
    <s v="Finalizado (2/5)"/>
    <n v="10.7536"/>
    <n v="1.4663999999999999"/>
    <n v="12.22"/>
    <s v="Sessão Faturada"/>
    <n v="774981007498010"/>
    <n v="55360"/>
    <s v="Unidade Vieralves (ANEXO)"/>
    <n v="1710368917"/>
    <m/>
  </r>
  <r>
    <x v="19"/>
    <x v="18"/>
    <s v="Marco Antonio Nobre Moura"/>
    <m/>
    <x v="0"/>
    <x v="23"/>
    <s v="31602185 - Estimulação Elétrica Transcutânea Fisioterapia (Novo - 01/12) (R$ 54,13)"/>
    <s v="Fisioterapia"/>
    <s v="42263120260218304836"/>
    <s v="Finalizado (4/10)"/>
    <n v="47.634399999999999"/>
    <n v="6.4955999999999996"/>
    <n v="54.13"/>
    <s v="Sessão Faturada"/>
    <s v="070004021800"/>
    <n v="58234"/>
    <s v="Unidade Vieralves (ANEXO)"/>
    <s v="42263120260218304836"/>
    <m/>
  </r>
  <r>
    <x v="19"/>
    <x v="8"/>
    <s v="Felipe da Silva Abreu"/>
    <s v="Masculino"/>
    <x v="7"/>
    <x v="23"/>
    <s v="Vieiralves - 1 - Fisioterapia Ortopedica - Pacote (R$ 40,00)"/>
    <s v="Fisioterapia"/>
    <n v="168040"/>
    <s v="Finalizado (7/10)"/>
    <n v="31.2"/>
    <n v="8.8000000000000007"/>
    <n v="40"/>
    <s v="Pago"/>
    <n v="0"/>
    <n v="9285"/>
    <s v="Unidade Vieralves (ANEXO)"/>
    <n v="168040"/>
    <m/>
  </r>
  <r>
    <x v="19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2/7)"/>
    <n v="30.8"/>
    <n v="4.2"/>
    <n v="35"/>
    <s v="Sessão Faturada"/>
    <n v="1901013998000200"/>
    <n v="59051"/>
    <s v="Unidade Vieralves (ANEXO)"/>
    <n v="9274123"/>
    <m/>
  </r>
  <r>
    <x v="19"/>
    <x v="12"/>
    <s v="Willian da Silva Marques"/>
    <s v="Masculino"/>
    <x v="6"/>
    <x v="23"/>
    <s v="20103484 - Patologia Em Um Membro (R$ 14,16)"/>
    <s v="Fisioterapia"/>
    <n v="171333"/>
    <s v="Finalizado (1/10)"/>
    <n v="12.460800000000001"/>
    <n v="1.6992"/>
    <n v="14.16"/>
    <s v="Sessão a Faturar"/>
    <s v="58201065997798090011"/>
    <n v="58695"/>
    <s v="Unidade Vieralves (ANEXO)"/>
    <n v="171333"/>
    <m/>
  </r>
  <r>
    <x v="19"/>
    <x v="12"/>
    <s v="Willian da Silva Marques"/>
    <s v="Masculino"/>
    <x v="6"/>
    <x v="23"/>
    <s v="31602185 - Estimulação Elétrica Transcutanea (Tens) (R$ 40,00)"/>
    <s v="Fisioterapia"/>
    <n v="171562"/>
    <s v="Finalizado (1/10)"/>
    <n v="35.200000000000003"/>
    <n v="4.8"/>
    <n v="40"/>
    <s v="Sessão a Faturar"/>
    <s v="58201065997798090011"/>
    <n v="58695"/>
    <s v="Unidade Vieralves (ANEXO)"/>
    <n v="171562"/>
    <m/>
  </r>
  <r>
    <x v="20"/>
    <x v="22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6/8)"/>
    <n v="30.8"/>
    <n v="4.2"/>
    <n v="35"/>
    <s v="Sessão Faturada"/>
    <n v="1401013803670100"/>
    <n v="57417"/>
    <s v="Unidade Vieralves (ANEXO)"/>
    <n v="9187587"/>
    <m/>
  </r>
  <r>
    <x v="20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3/10)"/>
    <n v="30.8"/>
    <n v="4.2"/>
    <n v="35"/>
    <s v="Sessão Faturada"/>
    <s v="0901012961870097"/>
    <n v="57558"/>
    <s v="Unidade Vieralves (ANEXO)"/>
    <n v="9209397"/>
    <m/>
  </r>
  <r>
    <x v="20"/>
    <x v="22"/>
    <s v="Barbara Barros Jacob"/>
    <s v="Feminino"/>
    <x v="1"/>
    <x v="23"/>
    <s v="50000160 - Fisioterapia Ortopédica (R$ 20,00), 98980327 - Taxa de Eletroterapia (Tens) (R$ 15,00)"/>
    <s v="Fisioterapia"/>
    <n v="8280735"/>
    <s v="Finalizado (7/10)"/>
    <n v="30.8"/>
    <n v="4.2"/>
    <n v="35"/>
    <s v="Sessão Faturada"/>
    <s v="0201013029220011"/>
    <n v="41008"/>
    <s v="Unidade Vieralves (ANEXO)"/>
    <n v="8280735"/>
    <m/>
  </r>
  <r>
    <x v="20"/>
    <x v="22"/>
    <s v="Ricardo Takashi Yamashita"/>
    <s v="Masculino"/>
    <x v="2"/>
    <x v="23"/>
    <s v="20103506 - Fisioterapia - Patologia Em Um Segmento da Coluna (R$ 12,22)"/>
    <s v="Fisioterapia"/>
    <n v="1710327500"/>
    <s v="Finalizado (2/2)"/>
    <n v="10.7536"/>
    <n v="1.4663999999999999"/>
    <n v="12.22"/>
    <s v="Sessão Faturada"/>
    <n v="891007000019000"/>
    <n v="52119"/>
    <s v="Unidade Vieralves (ANEXO)"/>
    <n v="1710327500"/>
    <m/>
  </r>
  <r>
    <x v="20"/>
    <x v="23"/>
    <s v="Ricardo Takashi Yamashita"/>
    <s v="Masculino"/>
    <x v="4"/>
    <x v="23"/>
    <s v="31602185 - Estimulação Elétrica Transcutânea - Removido 13/04/2026 (R$ 40,00)"/>
    <s v="Fisioterapia"/>
    <n v="1711537535"/>
    <s v="Finalizado (1/1)"/>
    <n v="35.200000000000003"/>
    <n v="4.8"/>
    <n v="40"/>
    <s v="Sessão Faturada"/>
    <n v="891007000019000"/>
    <n v="52119"/>
    <s v="Unidade Vieralves (ANEXO)"/>
    <n v="1711537535"/>
    <m/>
  </r>
  <r>
    <x v="20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8/10)"/>
    <n v="30.8"/>
    <n v="4.2"/>
    <n v="35"/>
    <s v="Sessão Faturada"/>
    <n v="1901013317720400"/>
    <n v="58938"/>
    <s v="Unidade Vieralves (ANEXO)"/>
    <n v="9123050"/>
    <m/>
  </r>
  <r>
    <x v="20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2631"/>
    <s v="Finalizado (10/10)"/>
    <n v="174.91759999999999"/>
    <n v="23.852399999999999"/>
    <n v="198.77"/>
    <s v="Sessão a Faturar"/>
    <n v="2301648"/>
    <n v="7982"/>
    <s v="Unidade Vieralves (ANEXO)"/>
    <n v="2631"/>
    <m/>
  </r>
  <r>
    <x v="20"/>
    <x v="2"/>
    <s v="Nicole Kimie Kawakata Paz Nosse"/>
    <s v="Feminino"/>
    <x v="7"/>
    <x v="23"/>
    <s v="Vieiralves - 33 - Fisioterapia Ortopedica - Sessão Avulsa (R$ 90,00)"/>
    <s v="Fisioterapia"/>
    <m/>
    <s v="Finalizado (1/1)"/>
    <n v="70.2"/>
    <n v="19.8"/>
    <n v="90"/>
    <s v="Pago"/>
    <n v="960019426031000"/>
    <n v="52896"/>
    <s v="Unidade Vieralves (ANEXO)"/>
    <m/>
    <m/>
  </r>
  <r>
    <x v="20"/>
    <x v="4"/>
    <s v="Rui Jorge Rodrigues Fialho"/>
    <s v="Masculino"/>
    <x v="2"/>
    <x v="23"/>
    <s v="20103506 - Fisioterapia - Patologia Em Um Segmento da Coluna (R$ 12,22)"/>
    <s v="Fisioterapia"/>
    <n v="1705830636"/>
    <s v="Finalizado (5/5)"/>
    <n v="10.7536"/>
    <n v="1.4663999999999999"/>
    <n v="12.22"/>
    <s v="Sessão Faturada"/>
    <n v="771015043265010"/>
    <n v="35722"/>
    <s v="Unidade Vieralves (ANEXO)"/>
    <n v="1705830636"/>
    <m/>
  </r>
  <r>
    <x v="20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7/10)"/>
    <n v="30.8"/>
    <n v="4.2"/>
    <n v="35"/>
    <s v="Sessão Faturada"/>
    <s v="0901013217840019"/>
    <n v="10185"/>
    <s v="Unidade Vieralves (ANEXO)"/>
    <n v="9146437"/>
    <m/>
  </r>
  <r>
    <x v="20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7/10)"/>
    <n v="30.8"/>
    <n v="4.2"/>
    <n v="35"/>
    <s v="Sessão Faturada"/>
    <n v="1101014113820300"/>
    <n v="59487"/>
    <s v="Unidade Vieralves (ANEXO)"/>
    <n v="9122845"/>
    <m/>
  </r>
  <r>
    <x v="20"/>
    <x v="13"/>
    <s v="Augusto Sérgio dos Santos Cardoso"/>
    <s v="Masculino"/>
    <x v="7"/>
    <x v="23"/>
    <s v="Vieiralves - 1 - Fisioterapia Ortopedica - Pacote (R$ 40,00)"/>
    <s v="Fisioterapia"/>
    <n v="171220"/>
    <s v="Finalizado (2/10)"/>
    <n v="31.2"/>
    <n v="8.8000000000000007"/>
    <n v="40"/>
    <s v="Pago"/>
    <n v="0"/>
    <n v="59068"/>
    <s v="Unidade Vieralves (ANEXO)"/>
    <n v="171220"/>
    <m/>
  </r>
  <r>
    <x v="20"/>
    <x v="13"/>
    <s v="Amanda Cecília Lins El-Amme"/>
    <s v="Feminino"/>
    <x v="1"/>
    <x v="23"/>
    <s v="50000217 - Fisioterapia Pré e Pós Operatória (R$ 25,00)"/>
    <s v="Fisioterapia"/>
    <n v="9295941"/>
    <s v="Finalizado (1/3)"/>
    <n v="22"/>
    <n v="3"/>
    <n v="25"/>
    <s v="Sessão Faturada"/>
    <s v="0901012580480056"/>
    <n v="58946"/>
    <s v="Unidade Vieralves (ANEXO)"/>
    <n v="9295941"/>
    <m/>
  </r>
  <r>
    <x v="20"/>
    <x v="13"/>
    <s v="Débora Napoleão de Sena"/>
    <s v="Feminino"/>
    <x v="1"/>
    <x v="23"/>
    <s v="50000160 - Fisioterapia Ortopédica (R$ 20,00), 98980327 - Taxa de Eletroterapia (Tens) (R$ 15,00)"/>
    <s v="Fisioterapia"/>
    <n v="9341767"/>
    <s v="Finalizado (1/2)"/>
    <n v="30.8"/>
    <n v="4.2"/>
    <n v="35"/>
    <s v="Sessão Faturada"/>
    <s v="0901013601630122"/>
    <n v="58908"/>
    <s v="Unidade Vieralves (ANEXO)"/>
    <n v="9341767"/>
    <m/>
  </r>
  <r>
    <x v="20"/>
    <x v="6"/>
    <s v="Tiago Godoy Lopes"/>
    <s v="Masculino"/>
    <x v="2"/>
    <x v="23"/>
    <s v="20103484 - Fisioterapia - Patologia Em Um Membro (R$ 12,22)"/>
    <s v="Fisioterapia"/>
    <n v="1707941095"/>
    <s v="Finalizado (4/5)"/>
    <n v="10.7536"/>
    <n v="1.4663999999999999"/>
    <n v="12.22"/>
    <s v="Sessão Faturada"/>
    <n v="611265590001020"/>
    <n v="58056"/>
    <s v="Unidade Vieralves (ANEXO)"/>
    <n v="1707941095"/>
    <m/>
  </r>
  <r>
    <x v="20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2/10)"/>
    <n v="30.8"/>
    <n v="4.2"/>
    <n v="35"/>
    <s v="Sessão Faturada"/>
    <s v="0902002479470014"/>
    <n v="59297"/>
    <s v="Unidade Vieralves (ANEXO)"/>
    <n v="9321749"/>
    <m/>
  </r>
  <r>
    <x v="20"/>
    <x v="17"/>
    <s v="Ronaldo Pereira Santos"/>
    <s v="Masculino"/>
    <x v="1"/>
    <x v="23"/>
    <s v="50000160 - Fisioterapia Ortopédica (R$ 20,00), 98980327 - Taxa de Eletroterapia (Tens) (R$ 15,00)"/>
    <s v="Fisioterapia"/>
    <n v="9344890"/>
    <s v="Finalizado (1/3)"/>
    <n v="30.8"/>
    <n v="4.2"/>
    <n v="35"/>
    <s v="Sessão Faturada"/>
    <n v="1901011231270100"/>
    <n v="45793"/>
    <s v="Unidade Vieralves (ANEXO)"/>
    <n v="9344890"/>
    <m/>
  </r>
  <r>
    <x v="20"/>
    <x v="17"/>
    <s v="Nayara Talassa Damasceno Inácio"/>
    <s v="Feminino"/>
    <x v="2"/>
    <x v="23"/>
    <s v="20103484 - Fisioterapia - Patologia Em Um Membro (R$ 12,22)"/>
    <s v="Fisioterapia"/>
    <n v="1710368917"/>
    <s v="Finalizado (3/5)"/>
    <n v="10.7536"/>
    <n v="1.4663999999999999"/>
    <n v="12.22"/>
    <s v="Sessão Faturada"/>
    <n v="774981007498010"/>
    <n v="55360"/>
    <s v="Unidade Vieralves (ANEXO)"/>
    <n v="1710368917"/>
    <m/>
  </r>
  <r>
    <x v="20"/>
    <x v="8"/>
    <s v="Amália Maria Félix"/>
    <s v="Feminino"/>
    <x v="4"/>
    <x v="23"/>
    <s v="31602185 - Estimulação Elétrica Transcutânea - Removido 13/04/2026 (R$ 40,00)"/>
    <s v="Fisioterapia"/>
    <n v="1710489391"/>
    <s v="Finalizado (2/9)"/>
    <n v="35.200000000000003"/>
    <n v="4.8"/>
    <n v="40"/>
    <s v="Sessão a Faturar"/>
    <n v="610758850002010"/>
    <n v="58833"/>
    <s v="Unidade Vieralves (ANEXO)"/>
    <n v="1710489391"/>
    <m/>
  </r>
  <r>
    <x v="20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2/10)"/>
    <n v="21.507200000000001"/>
    <n v="2.9327999999999999"/>
    <n v="24.44"/>
    <s v="Sessão Faturada"/>
    <n v="889414100973000"/>
    <n v="57595"/>
    <s v="Unidade Vieralves (ANEXO)"/>
    <n v="1710494057"/>
    <m/>
  </r>
  <r>
    <x v="20"/>
    <x v="9"/>
    <s v="Amália Maria Félix"/>
    <s v="Feminino"/>
    <x v="2"/>
    <x v="23"/>
    <s v="20103662 - Fisioterapia - Pos Operatorio Em Um Membro (R$ 14,99)"/>
    <s v="Fisioterapia"/>
    <n v="1709229340"/>
    <s v="Finalizado (3/10)"/>
    <n v="13.1912"/>
    <n v="1.7988"/>
    <n v="14.99"/>
    <s v="Sessão a Faturar"/>
    <n v="610758850002010"/>
    <n v="58833"/>
    <s v="Unidade Vieralves (ANEXO)"/>
    <n v="1709229340"/>
    <m/>
  </r>
  <r>
    <x v="20"/>
    <x v="10"/>
    <s v="Dhijana Nobre de Almeida"/>
    <s v="Feminino"/>
    <x v="6"/>
    <x v="23"/>
    <s v="31602185 - Estimulação Elétrica Transcutanea (Tens) (R$ 40,00)"/>
    <s v="Fisioterapia"/>
    <n v="170864"/>
    <s v="Não compareceu (3/5)"/>
    <n v="40"/>
    <n v="0"/>
    <n v="40"/>
    <s v="Sessão a Faturar"/>
    <s v="54588888004873450017"/>
    <n v="6422"/>
    <s v="Unidade Vieralves (ANEXO)"/>
    <n v="170864"/>
    <m/>
  </r>
  <r>
    <x v="20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3/7)"/>
    <n v="30.8"/>
    <n v="4.2"/>
    <n v="35"/>
    <s v="Sessão Faturada"/>
    <n v="1901013998000200"/>
    <n v="59051"/>
    <s v="Unidade Vieralves (ANEXO)"/>
    <n v="9274123"/>
    <m/>
  </r>
  <r>
    <x v="20"/>
    <x v="11"/>
    <s v="Dhijana Nobre de Almeida"/>
    <s v="Feminino"/>
    <x v="6"/>
    <x v="23"/>
    <s v="20103506 - Patologia Em Um Segmento da Coluna (R$ 14,16)"/>
    <s v="Fisioterapia"/>
    <n v="170863"/>
    <s v="Não compareceu (3/10)"/>
    <n v="14.16"/>
    <n v="0"/>
    <n v="14.16"/>
    <s v="Sessão a Faturar"/>
    <s v="54588888004873450017"/>
    <n v="6422"/>
    <s v="Unidade Vieralves (ANEXO)"/>
    <n v="170863"/>
    <m/>
  </r>
  <r>
    <x v="20"/>
    <x v="12"/>
    <s v="Hyggor da Silva Medeiros"/>
    <s v="Masculino"/>
    <x v="2"/>
    <x v="23"/>
    <s v="20103484 - Fisioterapia - Patologia Em Um Membro (R$ 12,22)"/>
    <s v="Fisioterapia"/>
    <n v="1710507497"/>
    <s v="Finalizado (2/5)"/>
    <n v="10.7536"/>
    <n v="1.4663999999999999"/>
    <n v="12.22"/>
    <s v="Sessão Faturada"/>
    <n v="774642025895010"/>
    <n v="59368"/>
    <s v="Unidade Vieralves (ANEXO)"/>
    <n v="1710507497"/>
    <m/>
  </r>
  <r>
    <x v="20"/>
    <x v="12"/>
    <s v="Antonio Gonzaga Brito Honorato Junior"/>
    <s v="Masculino"/>
    <x v="2"/>
    <x v="23"/>
    <s v="20103484 - Fisioterapia - Patologia Em Um Membro (R$ 12,22)"/>
    <s v="Fisioterapia"/>
    <n v="1709850818"/>
    <s v="Finalizado (3/10)"/>
    <n v="10.7536"/>
    <n v="1.4663999999999999"/>
    <n v="12.22"/>
    <s v="Sessão Faturada"/>
    <n v="960019320397020"/>
    <n v="59461"/>
    <s v="Unidade Vieralves (ANEXO)"/>
    <n v="1709850818"/>
    <m/>
  </r>
  <r>
    <x v="20"/>
    <x v="12"/>
    <s v="Willian da Silva Marques"/>
    <s v="Masculino"/>
    <x v="6"/>
    <x v="23"/>
    <s v="20103484 - Patologia Em Um Membro (R$ 14,16)"/>
    <s v="Fisioterapia"/>
    <n v="171333"/>
    <s v="Finalizado (2/10)"/>
    <n v="12.460800000000001"/>
    <n v="1.6992"/>
    <n v="14.16"/>
    <s v="Sessão a Faturar"/>
    <s v="58201065997798090011"/>
    <n v="58695"/>
    <s v="Unidade Vieralves (ANEXO)"/>
    <n v="171333"/>
    <m/>
  </r>
  <r>
    <x v="20"/>
    <x v="19"/>
    <s v="Antonio Gonzaga Brito Honorato Junior"/>
    <s v="Masculino"/>
    <x v="4"/>
    <x v="23"/>
    <s v="31602185 - Estimulação Elétrica Transcutânea - Removido 13/04/2026 (R$ 40,00)"/>
    <s v="Fisioterapia"/>
    <n v="1711684896"/>
    <s v="Finalizado (1/4)"/>
    <n v="35.200000000000003"/>
    <n v="4.8"/>
    <n v="40"/>
    <s v="Sessão Faturada"/>
    <n v="960019320397020"/>
    <n v="59461"/>
    <s v="Unidade Vieralves (ANEXO)"/>
    <n v="1711684896"/>
    <m/>
  </r>
  <r>
    <x v="20"/>
    <x v="19"/>
    <s v="Hyggor da Silva Medeiros"/>
    <s v="Masculino"/>
    <x v="4"/>
    <x v="23"/>
    <s v="31602185 - Estimulação Elétrica Transcutânea - Removido 13/04/2026 (R$ 40,00)"/>
    <s v="Fisioterapia"/>
    <n v="1711684264"/>
    <s v="Finalizado (1/4)"/>
    <n v="35.200000000000003"/>
    <n v="4.8"/>
    <n v="40"/>
    <s v="Sessão Faturada"/>
    <n v="774642025895010"/>
    <n v="59368"/>
    <s v="Unidade Vieralves (ANEXO)"/>
    <n v="1711684264"/>
    <m/>
  </r>
  <r>
    <x v="20"/>
    <x v="19"/>
    <s v="Willian da Silva Marques"/>
    <s v="Masculino"/>
    <x v="6"/>
    <x v="23"/>
    <s v="31602185 - Estimulação Elétrica Transcutanea (Tens) (R$ 40,00)"/>
    <s v="Fisioterapia"/>
    <n v="171562"/>
    <s v="Finalizado (2/10)"/>
    <n v="35.200000000000003"/>
    <n v="4.8"/>
    <n v="40"/>
    <s v="Sessão a Faturar"/>
    <s v="58201065997798090011"/>
    <n v="58695"/>
    <s v="Unidade Vieralves (ANEXO)"/>
    <n v="171562"/>
    <m/>
  </r>
  <r>
    <x v="0"/>
    <x v="22"/>
    <s v="Elma Carla Luna Rodrigues de Sá"/>
    <s v="Feminino"/>
    <x v="1"/>
    <x v="23"/>
    <s v="50000144 - Consulta de Fisioterapia (R$ 16,00)"/>
    <s v="Fisioterapia"/>
    <n v="9369700"/>
    <s v="Finalizado (1/1)"/>
    <n v="14.4"/>
    <n v="1.6"/>
    <n v="16"/>
    <s v="Sessão Faturada"/>
    <n v="1301013792660000"/>
    <n v="59645"/>
    <s v="Unidade Vieralves (ANEXO)"/>
    <n v="9369700"/>
    <m/>
  </r>
  <r>
    <x v="0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4/10)"/>
    <n v="30.8"/>
    <n v="4.2"/>
    <n v="35"/>
    <s v="Sessão Faturada"/>
    <s v="0901012961870097"/>
    <n v="57558"/>
    <s v="Unidade Vieralves (ANEXO)"/>
    <n v="9209397"/>
    <m/>
  </r>
  <r>
    <x v="0"/>
    <x v="22"/>
    <s v="Claudia Ferreira de Souza Cutar"/>
    <s v="Feminino"/>
    <x v="6"/>
    <x v="23"/>
    <s v="20103484 - Patologia Em Um Membro (R$ 14,16), 20103506 - Patologia Em Um Segmento da Coluna (R$ 14,16)"/>
    <s v="Fisioterapia"/>
    <n v="170418"/>
    <s v="Finalizado (5/5)"/>
    <n v="24.921600000000002"/>
    <n v="3.3984000000000001"/>
    <n v="28.32"/>
    <s v="Sessão a Faturar"/>
    <s v="54588888010050710012"/>
    <n v="9658"/>
    <s v="Unidade Vieralves (ANEXO)"/>
    <n v="170418"/>
    <m/>
  </r>
  <r>
    <x v="0"/>
    <x v="22"/>
    <s v="Sonia dos Santos Pereira"/>
    <s v="Feminino"/>
    <x v="14"/>
    <x v="23"/>
    <s v="20103484 - Fisioterapia - Patologia Em Um Membro (R$ 12,22), 20103506 - Fisioterapia - Patologia Em Um Segmento da Coluna (R$ 12,22)"/>
    <s v="Fisioterapia"/>
    <n v="1704867371"/>
    <s v="Finalizado (4/4)"/>
    <n v="21.507200000000001"/>
    <n v="2.9327999999999999"/>
    <n v="24.44"/>
    <s v="Sessão a Faturar"/>
    <n v="775216009806030"/>
    <n v="56433"/>
    <s v="Unidade Vieralves (ANEXO)"/>
    <n v="1704867371"/>
    <m/>
  </r>
  <r>
    <x v="0"/>
    <x v="23"/>
    <s v="Sonia dos Santos Pereira"/>
    <s v="Feminino"/>
    <x v="9"/>
    <x v="23"/>
    <s v="31602185 - Estimulação Elétrica Transcutânea (Tens) - Removido 13/04/2026 (R$ 40,00)"/>
    <s v="Fisioterapia"/>
    <n v="1712816972"/>
    <s v="Finalizado (1/1)"/>
    <n v="35.200000000000003"/>
    <n v="4.8"/>
    <n v="40"/>
    <s v="Sessão Faturada"/>
    <n v="775216009806030"/>
    <n v="56433"/>
    <s v="Unidade Vieralves (ANEXO)"/>
    <n v="1712816972"/>
    <m/>
  </r>
  <r>
    <x v="0"/>
    <x v="23"/>
    <s v="Claudia Ferreira de Souza Cutar"/>
    <s v="Feminino"/>
    <x v="6"/>
    <x v="23"/>
    <s v="31602185 - Estimulação Elétrica Transcutanea (Tens) (R$ 40,00)"/>
    <s v="Fisioterapia"/>
    <n v="170419"/>
    <s v="Finalizado (5/5)"/>
    <n v="35.200000000000003"/>
    <n v="4.8"/>
    <n v="40"/>
    <s v="Sessão a Faturar"/>
    <s v="54588888010050710012"/>
    <n v="9658"/>
    <s v="Unidade Vieralves (ANEXO)"/>
    <n v="170419"/>
    <m/>
  </r>
  <r>
    <x v="0"/>
    <x v="23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1/10)"/>
    <n v="30.8"/>
    <n v="4.2"/>
    <n v="35"/>
    <s v="Sessão Faturada"/>
    <n v="1301013792660000"/>
    <n v="59645"/>
    <s v="Unidade Vieralves (ANEXO)"/>
    <n v="9369787"/>
    <m/>
  </r>
  <r>
    <x v="0"/>
    <x v="0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7/8)"/>
    <n v="30.8"/>
    <n v="4.2"/>
    <n v="35"/>
    <s v="Sessão Faturada"/>
    <n v="1401013803670100"/>
    <n v="57417"/>
    <s v="Unidade Vieralves (ANEXO)"/>
    <n v="9187587"/>
    <m/>
  </r>
  <r>
    <x v="0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9/10)"/>
    <n v="30.8"/>
    <n v="4.2"/>
    <n v="35"/>
    <s v="Sessão Faturada"/>
    <n v="1901013317720400"/>
    <n v="58938"/>
    <s v="Unidade Vieralves (ANEXO)"/>
    <n v="9123050"/>
    <m/>
  </r>
  <r>
    <x v="0"/>
    <x v="2"/>
    <s v="Suellem Cristian Oliveira Epifânio"/>
    <s v="Feminino"/>
    <x v="2"/>
    <x v="23"/>
    <s v="20103492 - Fisioterapia - Patologia Em Dois Ou Mais Membros (R$ 14,83)"/>
    <s v="Fisioterapia"/>
    <n v="1705672340"/>
    <s v="Finalizado (4/4)"/>
    <n v="13.0504"/>
    <n v="1.7796000000000001"/>
    <n v="14.83"/>
    <s v="Sessão Faturada"/>
    <n v="775340003336000"/>
    <n v="55780"/>
    <s v="Unidade Vieralves (ANEXO)"/>
    <n v="1705672340"/>
    <m/>
  </r>
  <r>
    <x v="0"/>
    <x v="3"/>
    <s v="Suellem Cristian Oliveira Epifânio"/>
    <s v="Feminino"/>
    <x v="4"/>
    <x v="23"/>
    <s v="31602185 - Estimulação Elétrica Transcutânea - Removido 13/04/2026 (R$ 40,00)"/>
    <s v="Fisioterapia"/>
    <n v="1712891206"/>
    <s v="Finalizado (1/5)"/>
    <n v="35.200000000000003"/>
    <n v="4.8"/>
    <n v="40"/>
    <s v="Sessão a Faturar"/>
    <n v="775340003336000"/>
    <n v="55780"/>
    <s v="Unidade Vieralves (ANEXO)"/>
    <n v="1712891206"/>
    <m/>
  </r>
  <r>
    <x v="0"/>
    <x v="4"/>
    <s v="Ana Alice da Silva Araujo"/>
    <s v="Feminino"/>
    <x v="6"/>
    <x v="23"/>
    <s v="20103484 - Patologia Em Um Membro (R$ 14,16)"/>
    <s v="Fisioterapia"/>
    <n v="171201"/>
    <s v="Finalizado (3/10)"/>
    <n v="12.460800000000001"/>
    <n v="1.6992"/>
    <n v="14.16"/>
    <s v="Sessão a Faturar"/>
    <s v="54588888004872900019"/>
    <n v="13030"/>
    <s v="Unidade Vieralves (ANEXO)"/>
    <n v="171201"/>
    <m/>
  </r>
  <r>
    <x v="0"/>
    <x v="4"/>
    <s v="Rui Jorge Rodrigues Fialho"/>
    <s v="Masculino"/>
    <x v="2"/>
    <x v="23"/>
    <s v="20103506 - Fisioterapia - Patologia Em Um Segmento da Coluna (R$ 12,22)"/>
    <s v="Fisioterapia"/>
    <n v="1712879810"/>
    <s v="Finalizado (1/10)"/>
    <n v="10.7536"/>
    <n v="1.4663999999999999"/>
    <n v="12.22"/>
    <s v="Sessão a Faturar"/>
    <n v="771015043265010"/>
    <n v="35722"/>
    <s v="Unidade Vieralves (ANEXO)"/>
    <n v="1712879810"/>
    <m/>
  </r>
  <r>
    <x v="0"/>
    <x v="5"/>
    <s v="Ana Alice da Silva Araujo"/>
    <s v="Feminino"/>
    <x v="6"/>
    <x v="23"/>
    <s v="31602185 - Estimulação Elétrica Transcutanea (Tens) (R$ 40,00)"/>
    <s v="Fisioterapia"/>
    <n v="171358"/>
    <s v="Finalizado (3/7)"/>
    <n v="35.200000000000003"/>
    <n v="4.8"/>
    <n v="40"/>
    <s v="Sessão a Faturar"/>
    <s v="54588888004872900019"/>
    <n v="13030"/>
    <s v="Unidade Vieralves (ANEXO)"/>
    <n v="171358"/>
    <m/>
  </r>
  <r>
    <x v="0"/>
    <x v="13"/>
    <s v="Francisca Lima de Araújo"/>
    <s v="Feminino"/>
    <x v="1"/>
    <x v="23"/>
    <s v="50000160 - Fisioterapia Ortopédica (R$ 20,00), 98980327 - Taxa de Eletroterapia (Tens) (R$ 15,00)"/>
    <s v="Fisioterapia"/>
    <n v="9192147"/>
    <s v="Finalizado (4/7)"/>
    <n v="30.8"/>
    <n v="4.2"/>
    <n v="35"/>
    <s v="Sessão Faturada"/>
    <n v="1901013081250400"/>
    <n v="59462"/>
    <s v="Unidade Vieralves (ANEXO)"/>
    <n v="9192147"/>
    <m/>
  </r>
  <r>
    <x v="0"/>
    <x v="13"/>
    <s v="Augusto Sérgio dos Santos Cardoso"/>
    <s v="Masculino"/>
    <x v="7"/>
    <x v="23"/>
    <s v="Vieiralves - 1 - Fisioterapia Ortopedica - Pacote (R$ 40,00)"/>
    <s v="Fisioterapia"/>
    <n v="171220"/>
    <s v="Finalizado (3/10)"/>
    <n v="31.2"/>
    <n v="8.8000000000000007"/>
    <n v="40"/>
    <s v="Pago"/>
    <n v="0"/>
    <n v="59068"/>
    <s v="Unidade Vieralves (ANEXO)"/>
    <n v="171220"/>
    <m/>
  </r>
  <r>
    <x v="0"/>
    <x v="13"/>
    <s v="Sonia Braga Perfeito"/>
    <s v="Feminino"/>
    <x v="1"/>
    <x v="23"/>
    <s v="50000160 - Fisioterapia Ortopédica (R$ 20,00), 98980327 - Taxa de Eletroterapia (Tens) (R$ 15,00)"/>
    <s v="Fisioterapia"/>
    <n v="9146437"/>
    <s v="Finalizado (8/10)"/>
    <n v="30.8"/>
    <n v="4.2"/>
    <n v="35"/>
    <s v="Sessão Faturada"/>
    <s v="0901013217840019"/>
    <n v="10185"/>
    <s v="Unidade Vieralves (ANEXO)"/>
    <n v="9146437"/>
    <m/>
  </r>
  <r>
    <x v="0"/>
    <x v="13"/>
    <s v="Willyan Dyeno Silva de Oliveira dos Santos"/>
    <s v="Masculino"/>
    <x v="2"/>
    <x v="23"/>
    <s v="50000144 - Avaliação de Fisioterapia (R$ 51,42)"/>
    <s v="Fisioterapia"/>
    <n v="1712928397"/>
    <s v="Finalizado (1/1)"/>
    <n v="46.277999999999999"/>
    <n v="5.1420000000000003"/>
    <n v="51.42"/>
    <s v="Sessão Faturada"/>
    <n v="610360710015010"/>
    <n v="59641"/>
    <s v="Unidade Vieralves (ANEXO)"/>
    <n v="1712928397"/>
    <m/>
  </r>
  <r>
    <x v="0"/>
    <x v="14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1/10)"/>
    <n v="13.0504"/>
    <n v="1.7796000000000001"/>
    <n v="14.83"/>
    <s v="Sessão a Faturar"/>
    <n v="610360710015010"/>
    <n v="59641"/>
    <s v="Unidade Vieralves (ANEXO)"/>
    <n v="1712929093"/>
    <m/>
  </r>
  <r>
    <x v="0"/>
    <x v="6"/>
    <s v="Rosana Silva dos Santos"/>
    <s v="Feminino"/>
    <x v="1"/>
    <x v="23"/>
    <s v="50000160 - Fisioterapia Ortopédica (R$ 20,00), 98980327 - Taxa de Eletroterapia (Tens) (R$ 15,00)"/>
    <s v="Fisioterapia"/>
    <n v="9592647"/>
    <s v="Finalizado (6/10)"/>
    <n v="30.8"/>
    <n v="4.2"/>
    <n v="35"/>
    <s v="Sessão a Faturar"/>
    <n v="1101006073830400"/>
    <n v="58800"/>
    <s v="Unidade Vieralves (ANEXO)"/>
    <n v="9592647"/>
    <m/>
  </r>
  <r>
    <x v="0"/>
    <x v="6"/>
    <s v="Tiago Godoy Lopes"/>
    <s v="Masculino"/>
    <x v="2"/>
    <x v="23"/>
    <s v="20103484 - Fisioterapia - Patologia Em Um Membro (R$ 12,22)"/>
    <s v="Fisioterapia"/>
    <n v="1707941095"/>
    <s v="Finalizado (5/5)"/>
    <n v="10.7536"/>
    <n v="1.4663999999999999"/>
    <n v="12.22"/>
    <s v="Sessão Faturada"/>
    <n v="611265590001020"/>
    <n v="58056"/>
    <s v="Unidade Vieralves (ANEXO)"/>
    <n v="1707941095"/>
    <m/>
  </r>
  <r>
    <x v="0"/>
    <x v="15"/>
    <s v="Marcus Vinicius da Costa Corrêa"/>
    <s v="Masculino"/>
    <x v="2"/>
    <x v="23"/>
    <s v="20103514 - Fisioterapia - Patologia Em Diferentes Segmentos da Coluna (R$ 14,83)"/>
    <s v="Fisioterapia"/>
    <n v="1710477354"/>
    <s v="Finalizado (2/5)"/>
    <n v="13.0504"/>
    <n v="1.7796000000000001"/>
    <n v="14.83"/>
    <s v="Sessão a Faturar"/>
    <n v="774981007188010"/>
    <n v="59433"/>
    <s v="Unidade Vieralves (ANEXO)"/>
    <n v="1710477354"/>
    <m/>
  </r>
  <r>
    <x v="0"/>
    <x v="15"/>
    <s v="André Luís Moreira de Araújo"/>
    <m/>
    <x v="4"/>
    <x v="23"/>
    <s v="31602185 - Estimulação Elétrica Transcutânea - Removido 13/04/2026 (R$ 40,00)"/>
    <s v="Fisioterapia"/>
    <n v="1712969501"/>
    <s v="Finalizado (1/2)"/>
    <n v="35.200000000000003"/>
    <n v="4.8"/>
    <n v="40"/>
    <s v="Sessão Faturada"/>
    <n v="856201100027010"/>
    <n v="55381"/>
    <s v="Unidade Vieralves (ANEXO)"/>
    <n v="1712969501"/>
    <m/>
  </r>
  <r>
    <x v="0"/>
    <x v="15"/>
    <s v="Marcus Vinicius da Costa Corrêa"/>
    <s v="Masculino"/>
    <x v="4"/>
    <x v="23"/>
    <s v="31602185 - Estimulação Elétrica Transcutânea - Removido 13/04/2026 (R$ 40,00)"/>
    <s v="Fisioterapia"/>
    <n v="1712975026"/>
    <s v="Finalizado (1/4)"/>
    <n v="35.200000000000003"/>
    <n v="4.8"/>
    <n v="40"/>
    <s v="Sessão a Faturar"/>
    <n v="774981007188010"/>
    <n v="59433"/>
    <s v="Unidade Vieralves (ANEXO)"/>
    <n v="1712975026"/>
    <m/>
  </r>
  <r>
    <x v="0"/>
    <x v="15"/>
    <s v="André Luís Moreira de Araújo"/>
    <m/>
    <x v="2"/>
    <x v="23"/>
    <s v="20103484 - Fisioterapia - Patologia Em Um Membro (R$ 12,22)"/>
    <s v="Fisioterapia"/>
    <n v="1707008292"/>
    <s v="Finalizado (5/5)"/>
    <n v="10.7536"/>
    <n v="1.4663999999999999"/>
    <n v="12.22"/>
    <s v="Sessão Faturada"/>
    <n v="856201100027010"/>
    <n v="55381"/>
    <s v="Unidade Vieralves (ANEXO)"/>
    <n v="1707008292"/>
    <m/>
  </r>
  <r>
    <x v="0"/>
    <x v="17"/>
    <s v="Nayara Talassa Damasceno Inácio"/>
    <s v="Feminino"/>
    <x v="2"/>
    <x v="23"/>
    <s v="20103484 - Fisioterapia - Patologia Em Um Membro (R$ 12,22)"/>
    <s v="Fisioterapia"/>
    <n v="1710368917"/>
    <s v="Finalizado (4/5)"/>
    <n v="10.7536"/>
    <n v="1.4663999999999999"/>
    <n v="12.22"/>
    <s v="Sessão Faturada"/>
    <n v="774981007498010"/>
    <n v="55360"/>
    <s v="Unidade Vieralves (ANEXO)"/>
    <n v="1710368917"/>
    <m/>
  </r>
  <r>
    <x v="0"/>
    <x v="17"/>
    <s v="Ronaldo Pereira Santos"/>
    <s v="Masculino"/>
    <x v="1"/>
    <x v="23"/>
    <s v="50000160 - Fisioterapia Ortopédica (R$ 20,00), 98980327 - Taxa de Eletroterapia (Tens) (R$ 15,00)"/>
    <s v="Fisioterapia"/>
    <n v="9344890"/>
    <s v="Finalizado (2/3)"/>
    <n v="30.8"/>
    <n v="4.2"/>
    <n v="35"/>
    <s v="Sessão Faturada"/>
    <n v="1901011231270100"/>
    <n v="45793"/>
    <s v="Unidade Vieralves (ANEXO)"/>
    <n v="9344890"/>
    <m/>
  </r>
  <r>
    <x v="0"/>
    <x v="8"/>
    <s v="Edmundo dos Santos Freitas"/>
    <s v="Masculino"/>
    <x v="10"/>
    <x v="23"/>
    <s v="50000160 - Fisioterapia Ortopédica (R$ 15,00)"/>
    <s v="Fisioterapia"/>
    <n v="21123843"/>
    <s v="Finalizado (1/10)"/>
    <n v="13.2"/>
    <n v="1.8"/>
    <n v="15"/>
    <s v="Sessão Faturada"/>
    <s v="00010064289222002"/>
    <n v="59546"/>
    <s v="Unidade Vieralves (ANEXO)"/>
    <n v="21123843"/>
    <m/>
  </r>
  <r>
    <x v="0"/>
    <x v="8"/>
    <s v="Mell Lenigia Oliveira da Cruz"/>
    <s v="Feminino"/>
    <x v="6"/>
    <x v="23"/>
    <s v="20103514 - Patologia Em Dois Ou Mais Segmentos da Coluna (R$ 32,82)"/>
    <s v="Fisioterapia"/>
    <n v="170019"/>
    <s v="Finalizado (5/5)"/>
    <n v="28.881599999999999"/>
    <n v="3.9384000000000001"/>
    <n v="32.82"/>
    <s v="Sessão a Faturar"/>
    <s v="55788888485414000013"/>
    <n v="21643"/>
    <s v="Unidade Vieralves (ANEXO)"/>
    <n v="170019"/>
    <m/>
  </r>
  <r>
    <x v="0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3/10)"/>
    <n v="21.507200000000001"/>
    <n v="2.9327999999999999"/>
    <n v="24.44"/>
    <s v="Sessão Faturada"/>
    <n v="889414100973000"/>
    <n v="57595"/>
    <s v="Unidade Vieralves (ANEXO)"/>
    <n v="1710494057"/>
    <m/>
  </r>
  <r>
    <x v="0"/>
    <x v="9"/>
    <s v="Caio Felipe Soares da Cruz"/>
    <s v="Masculino"/>
    <x v="4"/>
    <x v="23"/>
    <s v="31602185 - Estimulação Elétrica Transcutânea - Removido 13/04/2026 (R$ 40,00)"/>
    <s v="Fisioterapia"/>
    <n v="1712969501"/>
    <s v="Finalizado (1/7)"/>
    <n v="35.200000000000003"/>
    <n v="4.8"/>
    <n v="40"/>
    <s v="Sessão a Faturar"/>
    <n v="889414100973000"/>
    <n v="57595"/>
    <s v="Unidade Vieralves (ANEXO)"/>
    <n v="1712969501"/>
    <m/>
  </r>
  <r>
    <x v="0"/>
    <x v="9"/>
    <s v="Mell Lenigia Oliveira da Cruz"/>
    <s v="Feminino"/>
    <x v="6"/>
    <x v="23"/>
    <s v="31602185 - Estimulação Elétrica Transcutanea (Tens) (R$ 40,00)"/>
    <s v="Fisioterapia"/>
    <n v="170020"/>
    <s v="Finalizado (5/5)"/>
    <n v="35.200000000000003"/>
    <n v="4.8"/>
    <n v="40"/>
    <s v="Sessão a Faturar"/>
    <s v="55788888485414000013"/>
    <n v="21643"/>
    <s v="Unidade Vieralves (ANEXO)"/>
    <n v="170020"/>
    <m/>
  </r>
  <r>
    <x v="0"/>
    <x v="10"/>
    <s v="Edineia de Medeiros Castro"/>
    <s v="Feminino"/>
    <x v="4"/>
    <x v="23"/>
    <s v="31602185 - Estimulação Elétrica Transcutânea - Removido 13/04/2026 (R$ 40,00)"/>
    <s v="Fisioterapia"/>
    <n v="1713011713"/>
    <s v="Finalizado (1/10)"/>
    <n v="35.200000000000003"/>
    <n v="4.8"/>
    <n v="40"/>
    <s v="Sessão a Faturar"/>
    <n v="960016147526000"/>
    <n v="59383"/>
    <s v="Unidade Vieralves (ANEXO)"/>
    <n v="1713011713"/>
    <m/>
  </r>
  <r>
    <x v="0"/>
    <x v="10"/>
    <s v="Simone Carvalho da Silva Grijo"/>
    <s v="Feminino"/>
    <x v="5"/>
    <x v="23"/>
    <s v="98860020 - Fisioterapia Complexidade 2 - 04/03/2026 (R$ 70,79)"/>
    <s v="Fisioterapia"/>
    <n v="76803750"/>
    <s v="Finalizado (5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0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4/7)"/>
    <n v="30.8"/>
    <n v="4.2"/>
    <n v="35"/>
    <s v="Sessão Faturada"/>
    <n v="1901013998000200"/>
    <n v="59051"/>
    <s v="Unidade Vieralves (ANEXO)"/>
    <n v="9274123"/>
    <m/>
  </r>
  <r>
    <x v="0"/>
    <x v="11"/>
    <s v="Simone Carvalho da Silva Grijo"/>
    <s v="Feminino"/>
    <x v="5"/>
    <x v="23"/>
    <s v="31602185 - Estimulação Elétrica Transcutânea (Tens) (R$ 125,40)"/>
    <s v="Fisioterapia"/>
    <n v="79227650"/>
    <s v="Finalizado (4/10)"/>
    <n v="110.352"/>
    <n v="15.048"/>
    <n v="125.4"/>
    <s v="Sessão a Faturar"/>
    <s v="0101072415010378"/>
    <n v="11558"/>
    <s v="Unidade Vieralves (ANEXO)"/>
    <n v="79227650"/>
    <m/>
  </r>
  <r>
    <x v="0"/>
    <x v="11"/>
    <s v="Edineia de Medeiros Castro"/>
    <s v="Feminino"/>
    <x v="2"/>
    <x v="23"/>
    <s v="20103484 - Fisioterapia - Patologia Em Um Membro (R$ 12,22)"/>
    <s v="Fisioterapia"/>
    <n v="1710503589"/>
    <s v="Finalizado (2/5)"/>
    <n v="10.7536"/>
    <n v="1.4663999999999999"/>
    <n v="12.22"/>
    <s v="Sessão Faturada"/>
    <n v="960016147526000"/>
    <n v="59383"/>
    <s v="Unidade Vieralves (ANEXO)"/>
    <n v="1710503589"/>
    <m/>
  </r>
  <r>
    <x v="0"/>
    <x v="12"/>
    <s v="Hyggor da Silva Medeiros"/>
    <s v="Masculino"/>
    <x v="2"/>
    <x v="23"/>
    <s v="20103484 - Fisioterapia - Patologia Em Um Membro (R$ 12,22)"/>
    <s v="Fisioterapia"/>
    <n v="1710507497"/>
    <s v="Finalizado (3/5)"/>
    <n v="10.7536"/>
    <n v="1.4663999999999999"/>
    <n v="12.22"/>
    <s v="Sessão Faturada"/>
    <n v="774642025895010"/>
    <n v="59368"/>
    <s v="Unidade Vieralves (ANEXO)"/>
    <n v="1710507497"/>
    <m/>
  </r>
  <r>
    <x v="0"/>
    <x v="12"/>
    <s v="Yago Amaral Ferreira"/>
    <s v="Masculino"/>
    <x v="2"/>
    <x v="23"/>
    <s v="20103484 - Fisioterapia - Patologia Em Um Membro (R$ 12,22)"/>
    <s v="Fisioterapia"/>
    <n v="1713022685"/>
    <s v="Finalizado (1/3)"/>
    <n v="10.7536"/>
    <n v="1.4663999999999999"/>
    <n v="12.22"/>
    <s v="Sessão Faturada"/>
    <n v="773626008052010"/>
    <n v="33956"/>
    <s v="Unidade Vieralves (ANEXO)"/>
    <n v="1713022685"/>
    <m/>
  </r>
  <r>
    <x v="0"/>
    <x v="12"/>
    <s v="Willian da Silva Marques"/>
    <s v="Masculino"/>
    <x v="6"/>
    <x v="23"/>
    <s v="31602185 - Estimulação Elétrica Transcutanea (Tens) (R$ 40,00)"/>
    <s v="Fisioterapia"/>
    <n v="171562"/>
    <s v="Finalizado (3/10)"/>
    <n v="35.200000000000003"/>
    <n v="4.8"/>
    <n v="40"/>
    <s v="Sessão a Faturar"/>
    <s v="58201065997798090011"/>
    <n v="58695"/>
    <s v="Unidade Vieralves (ANEXO)"/>
    <n v="171562"/>
    <m/>
  </r>
  <r>
    <x v="0"/>
    <x v="12"/>
    <s v="Antonio Gonzaga Brito Honorato Junior"/>
    <s v="Masculino"/>
    <x v="2"/>
    <x v="23"/>
    <s v="20103484 - Fisioterapia - Patologia Em Um Membro (R$ 12,22)"/>
    <s v="Fisioterapia"/>
    <n v="1709850818"/>
    <s v="Finalizado (4/10)"/>
    <n v="10.7536"/>
    <n v="1.4663999999999999"/>
    <n v="12.22"/>
    <s v="Sessão Faturada"/>
    <n v="960019320397020"/>
    <n v="59461"/>
    <s v="Unidade Vieralves (ANEXO)"/>
    <n v="1709850818"/>
    <m/>
  </r>
  <r>
    <x v="0"/>
    <x v="19"/>
    <s v="Willian da Silva Marques"/>
    <s v="Masculino"/>
    <x v="6"/>
    <x v="23"/>
    <s v="20103484 - Patologia Em Um Membro (R$ 14,16)"/>
    <s v="Fisioterapia"/>
    <n v="171333"/>
    <s v="Finalizado (3/10)"/>
    <n v="12.460800000000001"/>
    <n v="1.6992"/>
    <n v="14.16"/>
    <s v="Sessão a Faturar"/>
    <s v="58201065997798090011"/>
    <n v="58695"/>
    <s v="Unidade Vieralves (ANEXO)"/>
    <n v="171333"/>
    <m/>
  </r>
  <r>
    <x v="0"/>
    <x v="19"/>
    <s v="Hyggor da Silva Medeiros"/>
    <s v="Masculino"/>
    <x v="4"/>
    <x v="23"/>
    <s v="31602185 - Estimulação Elétrica Transcutânea - Removido 13/04/2026 (R$ 40,00)"/>
    <s v="Fisioterapia"/>
    <n v="1711684264"/>
    <s v="Finalizado (2/4)"/>
    <n v="35.200000000000003"/>
    <n v="4.8"/>
    <n v="40"/>
    <s v="Sessão Faturada"/>
    <n v="774642025895010"/>
    <n v="59368"/>
    <s v="Unidade Vieralves (ANEXO)"/>
    <n v="1711684264"/>
    <m/>
  </r>
  <r>
    <x v="0"/>
    <x v="19"/>
    <s v="Antonio Gonzaga Brito Honorato Junior"/>
    <s v="Masculino"/>
    <x v="4"/>
    <x v="23"/>
    <s v="31602185 - Estimulação Elétrica Transcutânea - Removido 13/04/2026 (R$ 40,00)"/>
    <s v="Fisioterapia"/>
    <n v="1711684896"/>
    <s v="Finalizado (2/4)"/>
    <n v="35.200000000000003"/>
    <n v="4.8"/>
    <n v="40"/>
    <s v="Sessão Faturada"/>
    <n v="960019320397020"/>
    <n v="59461"/>
    <s v="Unidade Vieralves (ANEXO)"/>
    <n v="1711684896"/>
    <m/>
  </r>
  <r>
    <x v="1"/>
    <x v="22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2/10)"/>
    <n v="30.8"/>
    <n v="4.2"/>
    <n v="35"/>
    <s v="Sessão Faturada"/>
    <n v="1301013792660000"/>
    <n v="59645"/>
    <s v="Unidade Vieralves (ANEXO)"/>
    <n v="9369787"/>
    <m/>
  </r>
  <r>
    <x v="1"/>
    <x v="22"/>
    <s v="Lucas Catunda  Castello Branco"/>
    <s v="Masculino"/>
    <x v="6"/>
    <x v="23"/>
    <s v="20103662 - Pos Operatorio Em Um Membro (R$ 22,53)"/>
    <s v="Fisioterapia"/>
    <n v="171867"/>
    <s v="Finalizado (1/5)"/>
    <n v="19.8264"/>
    <n v="2.7035999999999998"/>
    <n v="22.53"/>
    <s v="Sessão a Faturar"/>
    <s v="55788888491083670119"/>
    <n v="59335"/>
    <s v="Unidade Vieralves (ANEXO)"/>
    <n v="171867"/>
    <m/>
  </r>
  <r>
    <x v="1"/>
    <x v="22"/>
    <s v="Samira Farias Costa de Souza"/>
    <s v="Feminino"/>
    <x v="4"/>
    <x v="23"/>
    <s v="31602185 - Estimulação Elétrica Transcutânea - Removido 13/04/2026 (R$ 40,00)"/>
    <s v="Fisioterapia"/>
    <n v="1711321666"/>
    <s v="Finalizado (2/9)"/>
    <n v="35.200000000000003"/>
    <n v="4.8"/>
    <n v="40"/>
    <s v="Sessão a Faturar"/>
    <n v="774981013048010"/>
    <n v="59585"/>
    <s v="Unidade Vieralves (ANEXO)"/>
    <n v="1711321666"/>
    <m/>
  </r>
  <r>
    <x v="1"/>
    <x v="23"/>
    <s v="Lucas Catunda  Castello Branco"/>
    <s v="Masculino"/>
    <x v="6"/>
    <x v="23"/>
    <s v="31602185 - Estimulação Elétrica Transcutanea (Tens) (R$ 40,00)"/>
    <s v="Fisioterapia"/>
    <n v="171991"/>
    <s v="Finalizado (1/5)"/>
    <n v="35.200000000000003"/>
    <n v="4.8"/>
    <n v="40"/>
    <s v="Sessão a Faturar"/>
    <s v="55788888491083670119"/>
    <n v="59335"/>
    <s v="Unidade Vieralves (ANEXO)"/>
    <n v="171991"/>
    <m/>
  </r>
  <r>
    <x v="1"/>
    <x v="23"/>
    <s v="Samira Farias Costa de Souza"/>
    <s v="Feminino"/>
    <x v="2"/>
    <x v="23"/>
    <s v="20103484 - Fisioterapia - Patologia Em Um Membro (R$ 12,22)"/>
    <s v="Fisioterapia"/>
    <n v="1709716473"/>
    <s v="Finalizado (5/10)"/>
    <n v="10.7536"/>
    <n v="1.4663999999999999"/>
    <n v="12.22"/>
    <s v="Sessão Faturada"/>
    <n v="774981013048010"/>
    <n v="59585"/>
    <s v="Unidade Vieralves (ANEXO)"/>
    <n v="1709716473"/>
    <m/>
  </r>
  <r>
    <x v="1"/>
    <x v="0"/>
    <s v="Maria do Socorro Sena Albuquerque"/>
    <s v="Feminino"/>
    <x v="1"/>
    <x v="23"/>
    <s v="50000160 - Fisioterapia Ortopédica (R$ 20,00), 98980327 - Taxa de Eletroterapia (Tens) (R$ 15,00)"/>
    <s v="Fisioterapia"/>
    <n v="9187587"/>
    <s v="Finalizado (8/8)"/>
    <n v="30.8"/>
    <n v="4.2"/>
    <n v="35"/>
    <s v="Sessão Faturada"/>
    <n v="1401013803670100"/>
    <n v="57417"/>
    <s v="Unidade Vieralves (ANEXO)"/>
    <n v="9187587"/>
    <m/>
  </r>
  <r>
    <x v="1"/>
    <x v="0"/>
    <s v="Maria Edna Pereira Gomes"/>
    <s v="Feminino"/>
    <x v="1"/>
    <x v="23"/>
    <s v="50000160 - Fisioterapia Ortopédica (R$ 20,00), 98980327 - Taxa de Eletroterapia (Tens) (R$ 15,00)"/>
    <s v="Fisioterapia"/>
    <n v="9123050"/>
    <s v="Finalizado (10/10)"/>
    <n v="30.8"/>
    <n v="4.2"/>
    <n v="35"/>
    <s v="Sessão Faturada"/>
    <n v="1901013317720400"/>
    <n v="58938"/>
    <s v="Unidade Vieralves (ANEXO)"/>
    <n v="9123050"/>
    <m/>
  </r>
  <r>
    <x v="1"/>
    <x v="0"/>
    <s v="Ideline de Jesus Mendes"/>
    <s v="Feminino"/>
    <x v="7"/>
    <x v="23"/>
    <s v="Vieiralves - 33 - Fisioterapia Ortopedica - Sessão Avulsa (R$ 90,00)"/>
    <s v="Fisioterapia"/>
    <m/>
    <s v="Finalizado (1/1)"/>
    <n v="70.2"/>
    <n v="19.8"/>
    <n v="90"/>
    <s v="Pago"/>
    <s v="54588888019788280011"/>
    <n v="5829"/>
    <s v="Unidade Vieralves (ANEXO)"/>
    <m/>
    <m/>
  </r>
  <r>
    <x v="1"/>
    <x v="2"/>
    <s v="Ladyane Moreno Rosa de Almeida"/>
    <s v="Feminino"/>
    <x v="6"/>
    <x v="23"/>
    <s v="20103484 - Patologia Em Um Membro (R$ 14,16)"/>
    <s v="Fisioterapia"/>
    <n v="170200"/>
    <s v="Finalizado (5/5)"/>
    <n v="12.460800000000001"/>
    <n v="1.6992"/>
    <n v="14.16"/>
    <s v="Sessão a Faturar"/>
    <s v="56788888487957080014"/>
    <n v="56246"/>
    <s v="Unidade Vieralves (ANEXO)"/>
    <n v="170200"/>
    <m/>
  </r>
  <r>
    <x v="1"/>
    <x v="2"/>
    <s v="Sonia Braga Perfeito"/>
    <s v="Feminino"/>
    <x v="1"/>
    <x v="23"/>
    <s v="50000160 - Fisioterapia Ortopédica (R$ 20,00), 98980327 - Taxa de Eletroterapia (Tens) (R$ 15,00)"/>
    <s v="Fisioterapia"/>
    <n v="9146437"/>
    <s v="Finalizado (9/10)"/>
    <n v="30.8"/>
    <n v="4.2"/>
    <n v="35"/>
    <s v="Sessão Faturada"/>
    <s v="0901013217840019"/>
    <n v="10185"/>
    <s v="Unidade Vieralves (ANEXO)"/>
    <n v="9146437"/>
    <m/>
  </r>
  <r>
    <x v="1"/>
    <x v="3"/>
    <s v="Ladyane Moreno Rosa de Almeida"/>
    <s v="Feminino"/>
    <x v="6"/>
    <x v="23"/>
    <s v="31602185 - Estimulação Elétrica Transcutanea (Tens) (R$ 40,00)"/>
    <s v="Fisioterapia"/>
    <n v="170201"/>
    <s v="Finalizado (4/5)"/>
    <n v="35.200000000000003"/>
    <n v="4.8"/>
    <n v="40"/>
    <s v="Sessão a Faturar"/>
    <s v="56788888487957080014"/>
    <n v="56246"/>
    <s v="Unidade Vieralves (ANEXO)"/>
    <n v="170201"/>
    <m/>
  </r>
  <r>
    <x v="1"/>
    <x v="4"/>
    <s v="Amanda Cecília Lins El-Amme"/>
    <s v="Feminino"/>
    <x v="1"/>
    <x v="23"/>
    <s v="50000217 - Fisioterapia Pré e Pós Operatória (R$ 25,00)"/>
    <s v="Fisioterapia"/>
    <n v="9295941"/>
    <s v="Finalizado (2/3)"/>
    <n v="22"/>
    <n v="3"/>
    <n v="25"/>
    <s v="Sessão Faturada"/>
    <s v="0901012580480056"/>
    <n v="58946"/>
    <s v="Unidade Vieralves (ANEXO)"/>
    <n v="9295941"/>
    <m/>
  </r>
  <r>
    <x v="1"/>
    <x v="4"/>
    <s v="Kamila Barbosa da Silva"/>
    <s v="Feminino"/>
    <x v="6"/>
    <x v="23"/>
    <s v="20103662 - Pos Operatorio Em Um Membro (R$ 22,53)"/>
    <s v="Fisioterapia"/>
    <n v="850996"/>
    <s v="Finalizado (2/10)"/>
    <n v="19.8264"/>
    <n v="2.7035999999999998"/>
    <n v="22.53"/>
    <s v="Sessão a Faturar"/>
    <s v="56788888480435940014"/>
    <n v="48822"/>
    <s v="Unidade Vieralves (ANEXO)"/>
    <n v="850996"/>
    <m/>
  </r>
  <r>
    <x v="1"/>
    <x v="5"/>
    <s v="Kamila Barbosa da Silva"/>
    <s v="Feminino"/>
    <x v="6"/>
    <x v="23"/>
    <s v="31602185 - Estimulação Elétrica Transcutanea (Tens) (R$ 40,00)"/>
    <s v="Fisioterapia"/>
    <n v="170833"/>
    <s v="Finalizado (2/5)"/>
    <n v="35.200000000000003"/>
    <n v="4.8"/>
    <n v="40"/>
    <s v="Sessão a Faturar"/>
    <s v="56788888480435940014"/>
    <n v="48822"/>
    <s v="Unidade Vieralves (ANEXO)"/>
    <n v="170833"/>
    <m/>
  </r>
  <r>
    <x v="1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8/10)"/>
    <n v="30.8"/>
    <n v="4.2"/>
    <n v="35"/>
    <s v="Sessão Faturada"/>
    <n v="1101014113820300"/>
    <n v="59487"/>
    <s v="Unidade Vieralves (ANEXO)"/>
    <n v="9122845"/>
    <m/>
  </r>
  <r>
    <x v="1"/>
    <x v="6"/>
    <s v="Rosana Silva dos Santos"/>
    <s v="Feminino"/>
    <x v="1"/>
    <x v="23"/>
    <s v="50000160 - Fisioterapia Ortopédica (R$ 20,00), 98980327 - Taxa de Eletroterapia (Tens) (R$ 15,00)"/>
    <s v="Fisioterapia"/>
    <n v="9592647"/>
    <s v="Finalizado (7/10)"/>
    <n v="30.8"/>
    <n v="4.2"/>
    <n v="35"/>
    <s v="Sessão a Faturar"/>
    <n v="1101006073830400"/>
    <n v="58800"/>
    <s v="Unidade Vieralves (ANEXO)"/>
    <n v="9592647"/>
    <m/>
  </r>
  <r>
    <x v="1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3/10)"/>
    <n v="30.8"/>
    <n v="4.2"/>
    <n v="35"/>
    <s v="Sessão Faturada"/>
    <s v="0902002479470014"/>
    <n v="59297"/>
    <s v="Unidade Vieralves (ANEXO)"/>
    <n v="9321749"/>
    <m/>
  </r>
  <r>
    <x v="1"/>
    <x v="17"/>
    <s v="Marco Antonio Nobre Moura"/>
    <m/>
    <x v="0"/>
    <x v="23"/>
    <s v="31602185 - Estimulação Elétrica Transcutânea Fisioterapia (Novo - 01/12) (R$ 54,13)"/>
    <s v="Fisioterapia"/>
    <s v="42263120260218304836"/>
    <s v="Finalizado (5/10)"/>
    <n v="47.634399999999999"/>
    <n v="6.4955999999999996"/>
    <n v="54.13"/>
    <s v="Sessão Faturada"/>
    <s v="070004021800"/>
    <n v="58234"/>
    <s v="Unidade Vieralves (ANEXO)"/>
    <s v="42263120260218304836"/>
    <m/>
  </r>
  <r>
    <x v="1"/>
    <x v="17"/>
    <s v="Débora Napoleão de Sena"/>
    <s v="Feminino"/>
    <x v="1"/>
    <x v="23"/>
    <s v="50000160 - Fisioterapia Ortopédica (R$ 20,00), 98980327 - Taxa de Eletroterapia (Tens) (R$ 15,00)"/>
    <s v="Fisioterapia"/>
    <n v="9341767"/>
    <s v="Finalizado (2/2)"/>
    <n v="30.8"/>
    <n v="4.2"/>
    <n v="35"/>
    <s v="Sessão Faturada"/>
    <s v="0901013601630122"/>
    <n v="58908"/>
    <s v="Unidade Vieralves (ANEXO)"/>
    <n v="9341767"/>
    <m/>
  </r>
  <r>
    <x v="1"/>
    <x v="17"/>
    <s v="Nayara Talassa Damasceno Inácio"/>
    <s v="Feminino"/>
    <x v="2"/>
    <x v="23"/>
    <s v="20103484 - Fisioterapia - Patologia Em Um Membro (R$ 12,22)"/>
    <s v="Fisioterapia"/>
    <n v="1710368917"/>
    <s v="Finalizado (5/5)"/>
    <n v="10.7536"/>
    <n v="1.4663999999999999"/>
    <n v="12.22"/>
    <s v="Sessão Faturada"/>
    <n v="774981007498010"/>
    <n v="55360"/>
    <s v="Unidade Vieralves (ANEXO)"/>
    <n v="1710368917"/>
    <m/>
  </r>
  <r>
    <x v="1"/>
    <x v="8"/>
    <s v="Amália Maria Félix"/>
    <s v="Feminino"/>
    <x v="4"/>
    <x v="23"/>
    <s v="31602185 - Estimulação Elétrica Transcutânea - Removido 13/04/2026 (R$ 40,00)"/>
    <s v="Fisioterapia"/>
    <n v="1710489391"/>
    <s v="Finalizado (3/9)"/>
    <n v="35.200000000000003"/>
    <n v="4.8"/>
    <n v="40"/>
    <s v="Sessão a Faturar"/>
    <n v="610758850002010"/>
    <n v="58833"/>
    <s v="Unidade Vieralves (ANEXO)"/>
    <n v="1710489391"/>
    <m/>
  </r>
  <r>
    <x v="1"/>
    <x v="8"/>
    <s v="Edmundo dos Santos Freitas"/>
    <s v="Masculino"/>
    <x v="10"/>
    <x v="23"/>
    <s v="50000160 - Fisioterapia Ortopédica (R$ 15,00)"/>
    <s v="Fisioterapia"/>
    <n v="21123843"/>
    <s v="Finalizado (2/10)"/>
    <n v="13.2"/>
    <n v="1.8"/>
    <n v="15"/>
    <s v="Sessão Faturada"/>
    <s v="00010064289222002"/>
    <n v="59546"/>
    <s v="Unidade Vieralves (ANEXO)"/>
    <n v="21123843"/>
    <m/>
  </r>
  <r>
    <x v="1"/>
    <x v="9"/>
    <s v="Amália Maria Félix"/>
    <s v="Feminino"/>
    <x v="2"/>
    <x v="23"/>
    <s v="20103662 - Fisioterapia - Pos Operatorio Em Um Membro (R$ 14,99)"/>
    <s v="Fisioterapia"/>
    <n v="1709229340"/>
    <s v="Finalizado (4/10)"/>
    <n v="13.1912"/>
    <n v="1.7988"/>
    <n v="14.99"/>
    <s v="Sessão a Faturar"/>
    <n v="610758850002010"/>
    <n v="58833"/>
    <s v="Unidade Vieralves (ANEXO)"/>
    <n v="1709229340"/>
    <m/>
  </r>
  <r>
    <x v="1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5/7)"/>
    <n v="30.8"/>
    <n v="4.2"/>
    <n v="35"/>
    <s v="Sessão Faturada"/>
    <n v="1901013998000200"/>
    <n v="59051"/>
    <s v="Unidade Vieralves (ANEXO)"/>
    <n v="9274123"/>
    <m/>
  </r>
  <r>
    <x v="1"/>
    <x v="10"/>
    <s v="Luciana Nascimento da Silva"/>
    <s v="Feminino"/>
    <x v="7"/>
    <x v="23"/>
    <s v="Vieiralves - 1 - Fisioterapia Ortopedica - Pacote (R$ 40,00)"/>
    <s v="Fisioterapia"/>
    <m/>
    <s v="Finalizado (5/10)"/>
    <n v="31.2"/>
    <n v="8.8000000000000007"/>
    <n v="40"/>
    <s v="No Prazo"/>
    <s v="00"/>
    <n v="31909"/>
    <s v="Unidade Vieralves (ANEXO)"/>
    <m/>
    <m/>
  </r>
  <r>
    <x v="1"/>
    <x v="10"/>
    <s v="Edineia de Medeiros Castro"/>
    <s v="Feminino"/>
    <x v="2"/>
    <x v="23"/>
    <s v="20103484 - Fisioterapia - Patologia Em Um Membro (R$ 12,22)"/>
    <s v="Fisioterapia"/>
    <n v="1710503589"/>
    <s v="Finalizado (3/5)"/>
    <n v="10.7536"/>
    <n v="1.4663999999999999"/>
    <n v="12.22"/>
    <s v="Sessão Faturada"/>
    <n v="960016147526000"/>
    <n v="59383"/>
    <s v="Unidade Vieralves (ANEXO)"/>
    <n v="1710503589"/>
    <m/>
  </r>
  <r>
    <x v="1"/>
    <x v="11"/>
    <s v="Edineia de Medeiros Castro"/>
    <s v="Feminino"/>
    <x v="4"/>
    <x v="23"/>
    <s v="31602185 - Estimulação Elétrica Transcutânea - Removido 13/04/2026 (R$ 40,00)"/>
    <s v="Fisioterapia"/>
    <n v="1713011713"/>
    <s v="Finalizado (2/10)"/>
    <n v="35.200000000000003"/>
    <n v="4.8"/>
    <n v="40"/>
    <s v="Sessão a Faturar"/>
    <n v="960016147526000"/>
    <n v="59383"/>
    <s v="Unidade Vieralves (ANEXO)"/>
    <n v="1713011713"/>
    <m/>
  </r>
  <r>
    <x v="1"/>
    <x v="12"/>
    <s v="Marcelo Batista Moreira"/>
    <s v="Masculino"/>
    <x v="7"/>
    <x v="23"/>
    <s v="Vieiralves - 1 - Fisioterapia Ortopedica - Pacote (R$ 80,00)"/>
    <s v="Fisioterapia"/>
    <m/>
    <s v="Finalizado (1/10)"/>
    <n v="62.4"/>
    <n v="17.600000000000001"/>
    <n v="80"/>
    <s v="No Prazo"/>
    <n v="0"/>
    <n v="59656"/>
    <s v="Unidade Vieralves (ANEXO)"/>
    <m/>
    <m/>
  </r>
  <r>
    <x v="1"/>
    <x v="12"/>
    <s v="Antonio Gonzaga Brito Honorato Junior"/>
    <s v="Masculino"/>
    <x v="2"/>
    <x v="23"/>
    <s v="20103484 - Fisioterapia - Patologia Em Um Membro (R$ 12,22)"/>
    <s v="Fisioterapia"/>
    <n v="1709850818"/>
    <s v="Finalizado (5/10)"/>
    <n v="10.7536"/>
    <n v="1.4663999999999999"/>
    <n v="12.22"/>
    <s v="Sessão Faturada"/>
    <n v="960019320397020"/>
    <n v="59461"/>
    <s v="Unidade Vieralves (ANEXO)"/>
    <n v="1709850818"/>
    <m/>
  </r>
  <r>
    <x v="1"/>
    <x v="12"/>
    <s v="Antonio Gonzaga Brito Honorato Junior"/>
    <s v="Masculino"/>
    <x v="4"/>
    <x v="23"/>
    <s v="31602185 - Estimulação Elétrica Transcutânea - Removido 13/04/2026 (R$ 40,00)"/>
    <s v="Fisioterapia"/>
    <n v="1711684896"/>
    <s v="Finalizado (3/4)"/>
    <n v="35.200000000000003"/>
    <n v="4.8"/>
    <n v="40"/>
    <s v="Sessão Faturada"/>
    <n v="960019320397020"/>
    <n v="59461"/>
    <s v="Unidade Vieralves (ANEXO)"/>
    <n v="1711684896"/>
    <m/>
  </r>
  <r>
    <x v="2"/>
    <x v="94"/>
    <s v="Claudia Ferreira de Souza Cutar"/>
    <s v="Feminino"/>
    <x v="6"/>
    <x v="23"/>
    <s v="31602185 - Estimulação Elétrica Transcutanea (Tens) (R$ 40,00)"/>
    <s v="Fisioterapia"/>
    <n v="172169"/>
    <s v="Finalizado (1/5)"/>
    <n v="35.200000000000003"/>
    <n v="4.8"/>
    <n v="40"/>
    <s v="Sessão a Faturar"/>
    <s v="54588888010050710012"/>
    <n v="9658"/>
    <s v="Unidade Vieralves (ANEXO)"/>
    <n v="172169"/>
    <m/>
  </r>
  <r>
    <x v="2"/>
    <x v="22"/>
    <s v="Nayara Talassa Damasceno Inácio"/>
    <s v="Feminino"/>
    <x v="2"/>
    <x v="23"/>
    <s v="20103662 - Fisioterapia - Pos Operatorio Em Um Membro (R$ 14,99)"/>
    <s v="Fisioterapia"/>
    <n v="1714106666"/>
    <s v="Finalizado (1/10)"/>
    <n v="13.1912"/>
    <n v="1.7988"/>
    <n v="14.99"/>
    <s v="Sessão Faturada"/>
    <n v="774981007498010"/>
    <n v="55360"/>
    <s v="Unidade Vieralves (ANEXO)"/>
    <n v="1714106666"/>
    <m/>
  </r>
  <r>
    <x v="2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5/10)"/>
    <n v="30.8"/>
    <n v="4.2"/>
    <n v="35"/>
    <s v="Sessão Faturada"/>
    <s v="0901012961870097"/>
    <n v="57558"/>
    <s v="Unidade Vieralves (ANEXO)"/>
    <n v="9209397"/>
    <m/>
  </r>
  <r>
    <x v="2"/>
    <x v="22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2/10)"/>
    <n v="13.0504"/>
    <n v="1.7796000000000001"/>
    <n v="14.83"/>
    <s v="Sessão a Faturar"/>
    <n v="610360710015010"/>
    <n v="59641"/>
    <s v="Unidade Vieralves (ANEXO)"/>
    <n v="1712929093"/>
    <m/>
  </r>
  <r>
    <x v="2"/>
    <x v="23"/>
    <s v="Willyan Dyeno Silva de Oliveira dos Santos"/>
    <s v="Masculino"/>
    <x v="4"/>
    <x v="23"/>
    <s v="31602185 - Estimulação Elétrica Transcutânea - Removido 13/04/2026 (R$ 40,00)"/>
    <s v="Fisioterapia"/>
    <n v="1714105990"/>
    <s v="Finalizado (1/5)"/>
    <n v="35.200000000000003"/>
    <n v="4.8"/>
    <n v="40"/>
    <s v="Sessão Faturada"/>
    <n v="610360710015010"/>
    <n v="59641"/>
    <s v="Unidade Vieralves (ANEXO)"/>
    <n v="1714105990"/>
    <m/>
  </r>
  <r>
    <x v="2"/>
    <x v="23"/>
    <s v="Claudia Ferreira de Souza Cutar"/>
    <s v="Feminino"/>
    <x v="6"/>
    <x v="23"/>
    <s v="20103484 - Patologia Em Um Membro (R$ 14,16), 20103506 - Patologia Em Um Segmento da Coluna (R$ 14,16)"/>
    <s v="Fisioterapia"/>
    <n v="172168"/>
    <s v="Finalizado (1/5)"/>
    <n v="24.921600000000002"/>
    <n v="3.3984000000000001"/>
    <n v="28.32"/>
    <s v="Sessão a Faturar"/>
    <s v="54588888010050710012"/>
    <n v="9658"/>
    <s v="Unidade Vieralves (ANEXO)"/>
    <n v="172168"/>
    <m/>
  </r>
  <r>
    <x v="2"/>
    <x v="0"/>
    <s v="Leonor Chaves Mirandela da Rocha"/>
    <s v="Feminino"/>
    <x v="2"/>
    <x v="23"/>
    <s v="20103514 - Fisioterapia - Patologia Em Diferentes Segmentos da Coluna (R$ 14,83)"/>
    <s v="Fisioterapia"/>
    <n v="1714116970"/>
    <s v="Finalizado (1/10)"/>
    <n v="13.0504"/>
    <n v="1.7796000000000001"/>
    <n v="14.83"/>
    <s v="Sessão a Faturar"/>
    <n v="960016935532010"/>
    <n v="10129"/>
    <s v="Unidade Vieralves (ANEXO)"/>
    <n v="1714116970"/>
    <m/>
  </r>
  <r>
    <x v="2"/>
    <x v="0"/>
    <s v="Lucas Catunda  Castello Branco"/>
    <s v="Masculino"/>
    <x v="6"/>
    <x v="23"/>
    <s v="20103662 - Pos Operatorio Em Um Membro (R$ 22,53)"/>
    <s v="Fisioterapia"/>
    <n v="171867"/>
    <s v="Finalizado (2/5)"/>
    <n v="19.8264"/>
    <n v="2.7035999999999998"/>
    <n v="22.53"/>
    <s v="Sessão a Faturar"/>
    <s v="55788888491083670119"/>
    <n v="59335"/>
    <s v="Unidade Vieralves (ANEXO)"/>
    <n v="171867"/>
    <m/>
  </r>
  <r>
    <x v="2"/>
    <x v="0"/>
    <s v="Ana Alice da Silva Araujo"/>
    <s v="Feminino"/>
    <x v="6"/>
    <x v="23"/>
    <s v="20103484 - Patologia Em Um Membro (R$ 14,16)"/>
    <s v="Fisioterapia"/>
    <n v="171201"/>
    <s v="Finalizado (4/10)"/>
    <n v="12.460800000000001"/>
    <n v="1.6992"/>
    <n v="14.16"/>
    <s v="Sessão a Faturar"/>
    <s v="54588888004872900019"/>
    <n v="13030"/>
    <s v="Unidade Vieralves (ANEXO)"/>
    <n v="171201"/>
    <m/>
  </r>
  <r>
    <x v="2"/>
    <x v="1"/>
    <s v="Ana Alice da Silva Araujo"/>
    <s v="Feminino"/>
    <x v="6"/>
    <x v="23"/>
    <s v="31602185 - Estimulação Elétrica Transcutanea (Tens) (R$ 40,00)"/>
    <s v="Fisioterapia"/>
    <n v="171358"/>
    <s v="Finalizado (4/7)"/>
    <n v="35.200000000000003"/>
    <n v="4.8"/>
    <n v="40"/>
    <s v="Sessão a Faturar"/>
    <s v="54588888004872900019"/>
    <n v="13030"/>
    <s v="Unidade Vieralves (ANEXO)"/>
    <n v="171358"/>
    <m/>
  </r>
  <r>
    <x v="2"/>
    <x v="1"/>
    <s v="Lucas Catunda  Castello Branco"/>
    <s v="Masculino"/>
    <x v="6"/>
    <x v="23"/>
    <s v="31602185 - Estimulação Elétrica Transcutanea (Tens) (R$ 40,00)"/>
    <s v="Fisioterapia"/>
    <n v="171991"/>
    <s v="Finalizado (2/5)"/>
    <n v="35.200000000000003"/>
    <n v="4.8"/>
    <n v="40"/>
    <s v="Sessão a Faturar"/>
    <s v="55788888491083670119"/>
    <n v="59335"/>
    <s v="Unidade Vieralves (ANEXO)"/>
    <n v="171991"/>
    <m/>
  </r>
  <r>
    <x v="2"/>
    <x v="2"/>
    <s v="Amanda Cecília Lins El-Amme"/>
    <s v="Feminino"/>
    <x v="1"/>
    <x v="23"/>
    <s v="50000217 - Fisioterapia Pré e Pós Operatória (R$ 25,00)"/>
    <s v="Fisioterapia"/>
    <n v="9295941"/>
    <s v="Finalizado (3/3)"/>
    <n v="22"/>
    <n v="3"/>
    <n v="25"/>
    <s v="Sessão Faturada"/>
    <s v="0901012580480056"/>
    <n v="58946"/>
    <s v="Unidade Vieralves (ANEXO)"/>
    <n v="9295941"/>
    <m/>
  </r>
  <r>
    <x v="2"/>
    <x v="2"/>
    <s v="Willian da Silva Marques"/>
    <s v="Masculino"/>
    <x v="6"/>
    <x v="23"/>
    <s v="20103484 - Patologia Em Um Membro (R$ 14,16)"/>
    <s v="Fisioterapia"/>
    <n v="171333"/>
    <s v="Finalizado (4/10)"/>
    <n v="12.460800000000001"/>
    <n v="1.6992"/>
    <n v="14.16"/>
    <s v="Sessão a Faturar"/>
    <s v="58201065997798090011"/>
    <n v="58695"/>
    <s v="Unidade Vieralves (ANEXO)"/>
    <n v="171333"/>
    <m/>
  </r>
  <r>
    <x v="2"/>
    <x v="2"/>
    <s v="Anne Karynne Almeida Castelo Branco"/>
    <s v="Feminino"/>
    <x v="13"/>
    <x v="23"/>
    <s v="50000144 - Avaliação de Fisioterapia (R$ 25,89)"/>
    <s v="Fisioterapia"/>
    <n v="13757244"/>
    <s v="Finalizado (1/1)"/>
    <n v="23.300999999999998"/>
    <n v="2.589"/>
    <n v="25.89"/>
    <s v="Sessão Faturada"/>
    <s v="00010300039824008"/>
    <n v="55604"/>
    <s v="Unidade Vieralves (ANEXO)"/>
    <n v="13757244"/>
    <m/>
  </r>
  <r>
    <x v="2"/>
    <x v="3"/>
    <s v="Willian da Silva Marques"/>
    <s v="Masculino"/>
    <x v="6"/>
    <x v="23"/>
    <s v="31602185 - Estimulação Elétrica Transcutanea (Tens) (R$ 40,00)"/>
    <s v="Fisioterapia"/>
    <n v="171562"/>
    <s v="Finalizado (4/10)"/>
    <n v="35.200000000000003"/>
    <n v="4.8"/>
    <n v="40"/>
    <s v="Sessão a Faturar"/>
    <s v="58201065997798090011"/>
    <n v="58695"/>
    <s v="Unidade Vieralves (ANEXO)"/>
    <n v="171562"/>
    <m/>
  </r>
  <r>
    <x v="2"/>
    <x v="3"/>
    <s v="Anne Karynne Almeida Castelo Branco"/>
    <s v="Feminino"/>
    <x v="13"/>
    <x v="23"/>
    <s v="20103484 - Patologia Em Um Membro (R$ 24,41), 20103506 - Patologia Em Um Segmento de Coluna (R$ 22,50)"/>
    <s v="Fisioterapia"/>
    <n v="13757317"/>
    <s v="Finalizado (1/2)"/>
    <n v="41.280799999999999"/>
    <n v="5.6292"/>
    <n v="46.91"/>
    <s v="Sessão a Faturar"/>
    <s v="00010300039824008"/>
    <n v="55604"/>
    <s v="Unidade Vieralves (ANEXO)"/>
    <n v="13757317"/>
    <m/>
  </r>
  <r>
    <x v="2"/>
    <x v="4"/>
    <s v="Sonia Braga Perfeito"/>
    <s v="Feminino"/>
    <x v="1"/>
    <x v="23"/>
    <s v="50000160 - Fisioterapia Ortopédica (R$ 20,00), 98980327 - Taxa de Eletroterapia (Tens) (R$ 15,00)"/>
    <s v="Fisioterapia"/>
    <n v="9146437"/>
    <s v="Finalizado (10/10)"/>
    <n v="30.8"/>
    <n v="4.2"/>
    <n v="35"/>
    <s v="Sessão Faturada"/>
    <s v="0901013217840019"/>
    <n v="10185"/>
    <s v="Unidade Vieralves (ANEXO)"/>
    <n v="9146437"/>
    <m/>
  </r>
  <r>
    <x v="2"/>
    <x v="4"/>
    <s v="Rui Jorge Rodrigues Fialho"/>
    <s v="Masculino"/>
    <x v="2"/>
    <x v="23"/>
    <s v="20103506 - Fisioterapia - Patologia Em Um Segmento da Coluna (R$ 12,22)"/>
    <s v="Fisioterapia"/>
    <n v="1712879810"/>
    <s v="Finalizado (2/10)"/>
    <n v="10.7536"/>
    <n v="1.4663999999999999"/>
    <n v="12.22"/>
    <s v="Sessão a Faturar"/>
    <n v="771015043265010"/>
    <n v="35722"/>
    <s v="Unidade Vieralves (ANEXO)"/>
    <n v="1712879810"/>
    <m/>
  </r>
  <r>
    <x v="2"/>
    <x v="5"/>
    <s v="Rui Jorge Rodrigues Fialho"/>
    <s v="Masculino"/>
    <x v="4"/>
    <x v="23"/>
    <s v="31602185 - Estimulação Elétrica Transcutânea - Removido 13/04/2026 (R$ 40,00)"/>
    <s v="Fisioterapia"/>
    <n v="1714133570"/>
    <s v="Finalizado (1/10)"/>
    <n v="35.200000000000003"/>
    <n v="4.8"/>
    <n v="40"/>
    <s v="Sessão a Faturar"/>
    <n v="771015043265010"/>
    <n v="35722"/>
    <s v="Unidade Vieralves (ANEXO)"/>
    <n v="1714133570"/>
    <m/>
  </r>
  <r>
    <x v="2"/>
    <x v="13"/>
    <s v="Rosana Silva dos Santos"/>
    <s v="Feminino"/>
    <x v="1"/>
    <x v="23"/>
    <s v="50000160 - Fisioterapia Ortopédica (R$ 20,00), 98980327 - Taxa de Eletroterapia (Tens) (R$ 15,00)"/>
    <s v="Fisioterapia"/>
    <n v="9592647"/>
    <s v="Finalizado (8/10)"/>
    <n v="30.8"/>
    <n v="4.2"/>
    <n v="35"/>
    <s v="Sessão a Faturar"/>
    <n v="1101006073830400"/>
    <n v="58800"/>
    <s v="Unidade Vieralves (ANEXO)"/>
    <n v="9592647"/>
    <m/>
  </r>
  <r>
    <x v="2"/>
    <x v="6"/>
    <s v="Marcelo Batista Moreira"/>
    <s v="Masculino"/>
    <x v="7"/>
    <x v="23"/>
    <s v="Vieiralves - 1 - Fisioterapia Ortopedica - Pacote (R$ 80,00)"/>
    <s v="Fisioterapia"/>
    <m/>
    <s v="Finalizado (2/10)"/>
    <n v="62.4"/>
    <n v="17.600000000000001"/>
    <n v="80"/>
    <s v="No Prazo"/>
    <n v="0"/>
    <n v="59656"/>
    <s v="Unidade Vieralves (ANEXO)"/>
    <m/>
    <m/>
  </r>
  <r>
    <x v="2"/>
    <x v="15"/>
    <s v="André Luís Moreira de Araújo"/>
    <m/>
    <x v="2"/>
    <x v="23"/>
    <s v="20103484 - Fisioterapia - Patologia Em Um Membro (R$ 12,22)"/>
    <s v="Fisioterapia"/>
    <n v="1714211443"/>
    <s v="Finalizado (1/1)"/>
    <n v="10.7536"/>
    <n v="1.4663999999999999"/>
    <n v="12.22"/>
    <s v="Sessão Faturada"/>
    <n v="856201100027010"/>
    <n v="55381"/>
    <s v="Unidade Vieralves (ANEXO)"/>
    <n v="1714211443"/>
    <m/>
  </r>
  <r>
    <x v="2"/>
    <x v="16"/>
    <s v="André Luís Moreira de Araújo"/>
    <m/>
    <x v="4"/>
    <x v="23"/>
    <s v="31602185 - Estimulação Elétrica Transcutânea - Removido 13/04/2026 (R$ 40,00)"/>
    <s v="Fisioterapia"/>
    <n v="1712969501"/>
    <s v="Finalizado (2/2)"/>
    <n v="35.200000000000003"/>
    <n v="4.8"/>
    <n v="40"/>
    <s v="Sessão Faturada"/>
    <n v="856201100027010"/>
    <n v="55381"/>
    <s v="Unidade Vieralves (ANEXO)"/>
    <n v="1712969501"/>
    <m/>
  </r>
  <r>
    <x v="2"/>
    <x v="17"/>
    <s v="Maria Auxiliadora da Silva Castelano"/>
    <s v="Feminino"/>
    <x v="4"/>
    <x v="23"/>
    <s v="31602185 - Estimulação Elétrica Transcutânea - Removido 13/04/2026 (R$ 40,00)"/>
    <s v="Fisioterapia"/>
    <n v="1711667361"/>
    <s v="Finalizado (2/5)"/>
    <n v="35.200000000000003"/>
    <n v="4.8"/>
    <n v="40"/>
    <s v="Sessão a Faturar"/>
    <n v="773458002496010"/>
    <n v="13771"/>
    <s v="Unidade Vieralves (ANEXO)"/>
    <n v="1711667361"/>
    <m/>
  </r>
  <r>
    <x v="2"/>
    <x v="17"/>
    <s v="Massuello da Silva Quaresma Junior"/>
    <s v="Masculino"/>
    <x v="2"/>
    <x v="23"/>
    <s v="20103484 - Fisioterapia - Patologia Em Um Membro (R$ 12,22)"/>
    <s v="Fisioterapia"/>
    <n v="1714223486"/>
    <s v="Finalizado (1/10)"/>
    <n v="10.7536"/>
    <n v="1.4663999999999999"/>
    <n v="12.22"/>
    <s v="Sessão a Faturar"/>
    <n v="810861400019010"/>
    <n v="56496"/>
    <s v="Unidade Vieralves (ANEXO)"/>
    <n v="1714223486"/>
    <m/>
  </r>
  <r>
    <x v="2"/>
    <x v="17"/>
    <s v="Ronaldo Pereira Santos"/>
    <s v="Masculino"/>
    <x v="1"/>
    <x v="23"/>
    <s v="50000160 - Fisioterapia Ortopédica (R$ 20,00), 98980327 - Taxa de Eletroterapia (Tens) (R$ 15,00)"/>
    <s v="Fisioterapia"/>
    <n v="9344890"/>
    <s v="Finalizado (3/3)"/>
    <n v="30.8"/>
    <n v="4.2"/>
    <n v="35"/>
    <s v="Sessão Faturada"/>
    <n v="1901011231270100"/>
    <n v="45793"/>
    <s v="Unidade Vieralves (ANEXO)"/>
    <n v="9344890"/>
    <m/>
  </r>
  <r>
    <x v="2"/>
    <x v="18"/>
    <s v="Maria Auxiliadora da Silva Castelano"/>
    <s v="Feminino"/>
    <x v="2"/>
    <x v="23"/>
    <s v="20103492 - Fisioterapia - Patologia Em Dois Ou Mais Membros (R$ 14,83)"/>
    <s v="Fisioterapia"/>
    <n v="1709843838"/>
    <s v="Finalizado (4/7)"/>
    <n v="13.0504"/>
    <n v="1.7796000000000001"/>
    <n v="14.83"/>
    <s v="Sessão a Faturar"/>
    <n v="773458002496010"/>
    <n v="13771"/>
    <s v="Unidade Vieralves (ANEXO)"/>
    <n v="1709843838"/>
    <m/>
  </r>
  <r>
    <x v="2"/>
    <x v="8"/>
    <s v="Mell Lenigia Oliveira da Cruz"/>
    <s v="Feminino"/>
    <x v="6"/>
    <x v="23"/>
    <s v="20103514 - Patologia Em Dois Ou Mais Segmentos da Coluna (R$ 32,82)"/>
    <s v="Fisioterapia"/>
    <n v="172214"/>
    <s v="Finalizado (1/3)"/>
    <n v="28.881599999999999"/>
    <n v="3.9384000000000001"/>
    <n v="32.82"/>
    <s v="Sessão a Faturar"/>
    <s v="55788888485414000013"/>
    <n v="21643"/>
    <s v="Unidade Vieralves (ANEXO)"/>
    <n v="172214"/>
    <m/>
  </r>
  <r>
    <x v="2"/>
    <x v="8"/>
    <s v="Edmundo dos Santos Freitas"/>
    <s v="Masculino"/>
    <x v="10"/>
    <x v="23"/>
    <s v="50000160 - Fisioterapia Ortopédica (R$ 15,00)"/>
    <s v="Fisioterapia"/>
    <n v="21123843"/>
    <s v="Finalizado (3/10)"/>
    <n v="13.2"/>
    <n v="1.8"/>
    <n v="15"/>
    <s v="Sessão Faturada"/>
    <s v="00010064289222002"/>
    <n v="59546"/>
    <s v="Unidade Vieralves (ANEXO)"/>
    <n v="21123843"/>
    <m/>
  </r>
  <r>
    <x v="2"/>
    <x v="8"/>
    <s v="Caio Felipe Soares da Cruz"/>
    <s v="Masculino"/>
    <x v="4"/>
    <x v="23"/>
    <s v="31602185 - Estimulação Elétrica Transcutânea - Removido 13/04/2026 (R$ 40,00)"/>
    <s v="Fisioterapia"/>
    <n v="1712969501"/>
    <s v="Finalizado (2/7)"/>
    <n v="35.200000000000003"/>
    <n v="4.8"/>
    <n v="40"/>
    <s v="Sessão a Faturar"/>
    <n v="889414100973000"/>
    <n v="57595"/>
    <s v="Unidade Vieralves (ANEXO)"/>
    <n v="1712969501"/>
    <m/>
  </r>
  <r>
    <x v="2"/>
    <x v="9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4/10)"/>
    <n v="21.507200000000001"/>
    <n v="2.9327999999999999"/>
    <n v="24.44"/>
    <s v="Sessão Faturada"/>
    <n v="889414100973000"/>
    <n v="57595"/>
    <s v="Unidade Vieralves (ANEXO)"/>
    <n v="1710494057"/>
    <m/>
  </r>
  <r>
    <x v="2"/>
    <x v="9"/>
    <s v="Mell Lenigia Oliveira da Cruz"/>
    <s v="Feminino"/>
    <x v="6"/>
    <x v="23"/>
    <s v="31602185 - Estimulação Elétrica Transcutanea (Tens) (R$ 40,00)"/>
    <s v="Fisioterapia"/>
    <n v="172215"/>
    <s v="Finalizado (1/3)"/>
    <n v="35.200000000000003"/>
    <n v="4.8"/>
    <n v="40"/>
    <s v="Sessão a Faturar"/>
    <s v="55788888485414000013"/>
    <n v="21643"/>
    <s v="Unidade Vieralves (ANEXO)"/>
    <n v="172215"/>
    <m/>
  </r>
  <r>
    <x v="4"/>
    <x v="22"/>
    <s v="Willyan Dyeno Silva de Oliveira dos Santos"/>
    <s v="Masculino"/>
    <x v="4"/>
    <x v="23"/>
    <s v="31602185 - Estimulação Elétrica Transcutânea - Removido 13/04/2026 (R$ 40,00)"/>
    <s v="Fisioterapia"/>
    <n v="1714105990"/>
    <s v="Finalizado (2/5)"/>
    <n v="35.200000000000003"/>
    <n v="4.8"/>
    <n v="40"/>
    <s v="Sessão Faturada"/>
    <n v="610360710015010"/>
    <n v="59641"/>
    <s v="Unidade Vieralves (ANEXO)"/>
    <n v="1714105990"/>
    <m/>
  </r>
  <r>
    <x v="4"/>
    <x v="22"/>
    <s v="Barbara Barros Jacob"/>
    <s v="Feminino"/>
    <x v="1"/>
    <x v="23"/>
    <s v="50000160 - Fisioterapia Ortopédica (R$ 20,00), 98980327 - Taxa de Eletroterapia (Tens) (R$ 15,00)"/>
    <s v="Fisioterapia"/>
    <n v="8280735"/>
    <s v="Finalizado (9/10)"/>
    <n v="30.8"/>
    <n v="4.2"/>
    <n v="35"/>
    <s v="Sessão Faturada"/>
    <s v="0201013029220011"/>
    <n v="41008"/>
    <s v="Unidade Vieralves (ANEXO)"/>
    <n v="8280735"/>
    <m/>
  </r>
  <r>
    <x v="4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6/10)"/>
    <n v="30.8"/>
    <n v="4.2"/>
    <n v="35"/>
    <s v="Sessão Faturada"/>
    <s v="0901012961870097"/>
    <n v="57558"/>
    <s v="Unidade Vieralves (ANEXO)"/>
    <n v="9209397"/>
    <m/>
  </r>
  <r>
    <x v="4"/>
    <x v="23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3/10)"/>
    <n v="13.0504"/>
    <n v="1.7796000000000001"/>
    <n v="14.83"/>
    <s v="Sessão a Faturar"/>
    <n v="610360710015010"/>
    <n v="59641"/>
    <s v="Unidade Vieralves (ANEXO)"/>
    <n v="1712929093"/>
    <m/>
  </r>
  <r>
    <x v="4"/>
    <x v="0"/>
    <s v="Nayara Talassa Damasceno Inácio"/>
    <s v="Feminino"/>
    <x v="2"/>
    <x v="23"/>
    <s v="20103662 - Fisioterapia - Pos Operatorio Em Um Membro (R$ 14,99)"/>
    <s v="Fisioterapia"/>
    <n v="1714106666"/>
    <s v="Finalizado (3/10)"/>
    <n v="13.1912"/>
    <n v="1.7988"/>
    <n v="14.99"/>
    <s v="Sessão Faturada"/>
    <n v="774981007498010"/>
    <n v="55360"/>
    <s v="Unidade Vieralves (ANEXO)"/>
    <n v="1714106666"/>
    <m/>
  </r>
  <r>
    <x v="4"/>
    <x v="0"/>
    <s v="Leonor Chaves Mirandela da Rocha"/>
    <s v="Feminino"/>
    <x v="2"/>
    <x v="23"/>
    <s v="20103514 - Fisioterapia - Patologia Em Diferentes Segmentos da Coluna (R$ 14,83)"/>
    <s v="Fisioterapia"/>
    <n v="1714116970"/>
    <s v="Finalizado (2/10)"/>
    <n v="13.0504"/>
    <n v="1.7796000000000001"/>
    <n v="14.83"/>
    <s v="Sessão a Faturar"/>
    <n v="960016935532010"/>
    <n v="10129"/>
    <s v="Unidade Vieralves (ANEXO)"/>
    <n v="1714116970"/>
    <m/>
  </r>
  <r>
    <x v="4"/>
    <x v="1"/>
    <s v="Leonor Chaves Mirandela da Rocha"/>
    <s v="Feminino"/>
    <x v="4"/>
    <x v="23"/>
    <s v="31602185 - Estimulação Elétrica Transcutânea - Removido 13/04/2026 (R$ 40,00)"/>
    <s v="Fisioterapia"/>
    <n v="1715152032"/>
    <s v="Finalizado (1/10)"/>
    <n v="35.200000000000003"/>
    <n v="4.8"/>
    <n v="40"/>
    <s v="Sessão a Faturar"/>
    <n v="960016935532010"/>
    <n v="10129"/>
    <s v="Unidade Vieralves (ANEXO)"/>
    <n v="1715152032"/>
    <m/>
  </r>
  <r>
    <x v="4"/>
    <x v="2"/>
    <s v="Kamila Barbosa da Silva"/>
    <s v="Feminino"/>
    <x v="6"/>
    <x v="23"/>
    <s v="20103662 - Pos Operatorio Em Um Membro (R$ 22,53)"/>
    <s v="Fisioterapia"/>
    <n v="850996"/>
    <s v="Finalizado (3/10)"/>
    <n v="19.8264"/>
    <n v="2.7035999999999998"/>
    <n v="22.53"/>
    <s v="Sessão a Faturar"/>
    <s v="56788888480435940014"/>
    <n v="48822"/>
    <s v="Unidade Vieralves (ANEXO)"/>
    <n v="850996"/>
    <m/>
  </r>
  <r>
    <x v="4"/>
    <x v="2"/>
    <s v="Rui Jorge Rodrigues Fialho"/>
    <s v="Masculino"/>
    <x v="2"/>
    <x v="23"/>
    <s v="20103506 - Fisioterapia - Patologia Em Um Segmento da Coluna (R$ 12,22)"/>
    <s v="Fisioterapia"/>
    <n v="1712879810"/>
    <s v="Finalizado (3/10)"/>
    <n v="10.7536"/>
    <n v="1.4663999999999999"/>
    <n v="12.22"/>
    <s v="Sessão a Faturar"/>
    <n v="771015043265010"/>
    <n v="35722"/>
    <s v="Unidade Vieralves (ANEXO)"/>
    <n v="1712879810"/>
    <m/>
  </r>
  <r>
    <x v="4"/>
    <x v="3"/>
    <s v="Kamila Barbosa da Silva"/>
    <s v="Feminino"/>
    <x v="6"/>
    <x v="23"/>
    <s v="31602185 - Estimulação Elétrica Transcutanea (Tens) (R$ 40,00)"/>
    <s v="Fisioterapia"/>
    <n v="170833"/>
    <s v="Finalizado (3/5)"/>
    <n v="35.200000000000003"/>
    <n v="4.8"/>
    <n v="40"/>
    <s v="Sessão a Faturar"/>
    <s v="56788888480435940014"/>
    <n v="48822"/>
    <s v="Unidade Vieralves (ANEXO)"/>
    <n v="170833"/>
    <m/>
  </r>
  <r>
    <x v="4"/>
    <x v="3"/>
    <s v="Rui Jorge Rodrigues Fialho"/>
    <s v="Masculino"/>
    <x v="4"/>
    <x v="23"/>
    <s v="31602185 - Estimulação Elétrica Transcutânea - Removido 13/04/2026 (R$ 40,00)"/>
    <s v="Fisioterapia"/>
    <n v="1714133570"/>
    <s v="Finalizado (2/10)"/>
    <n v="35.200000000000003"/>
    <n v="4.8"/>
    <n v="40"/>
    <s v="Sessão a Faturar"/>
    <n v="771015043265010"/>
    <n v="35722"/>
    <s v="Unidade Vieralves (ANEXO)"/>
    <n v="1714133570"/>
    <m/>
  </r>
  <r>
    <x v="4"/>
    <x v="13"/>
    <s v="Rosemeire Gomes da Silva"/>
    <s v="Feminino"/>
    <x v="8"/>
    <x v="23"/>
    <s v="20103492 - Patologia Em Dois Ou Mais Membros (R$ 14,83)"/>
    <s v="Fisioterapia"/>
    <n v="1714711023"/>
    <s v="Finalizado (2/10)"/>
    <n v="13.0504"/>
    <n v="1.7796000000000001"/>
    <n v="14.83"/>
    <s v="Sessão a Faturar"/>
    <n v="954600005541000"/>
    <n v="36089"/>
    <s v="Unidade Vieralves (ANEXO)"/>
    <n v="1714711023"/>
    <m/>
  </r>
  <r>
    <x v="4"/>
    <x v="13"/>
    <s v="Massuello da Silva Quaresma Junior"/>
    <s v="Masculino"/>
    <x v="2"/>
    <x v="23"/>
    <s v="20103484 - Fisioterapia - Patologia Em Um Membro (R$ 12,22)"/>
    <s v="Fisioterapia"/>
    <n v="1714223486"/>
    <s v="Finalizado (2/10)"/>
    <n v="10.7536"/>
    <n v="1.4663999999999999"/>
    <n v="12.22"/>
    <s v="Sessão a Faturar"/>
    <n v="810861400019010"/>
    <n v="56496"/>
    <s v="Unidade Vieralves (ANEXO)"/>
    <n v="1714223486"/>
    <m/>
  </r>
  <r>
    <x v="4"/>
    <x v="13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9/10)"/>
    <n v="30.8"/>
    <n v="4.2"/>
    <n v="35"/>
    <s v="Sessão Faturada"/>
    <n v="1101014113820300"/>
    <n v="59487"/>
    <s v="Unidade Vieralves (ANEXO)"/>
    <n v="9122845"/>
    <m/>
  </r>
  <r>
    <x v="4"/>
    <x v="14"/>
    <s v="Rosemeire Gomes da Silva"/>
    <s v="Feminino"/>
    <x v="9"/>
    <x v="23"/>
    <s v="31602185 - Estimulação Elétrica Transcutânea (Tens) - Removido 13/04/2026 (R$ 40,00)"/>
    <s v="Fisioterapia"/>
    <n v="1715215939"/>
    <s v="Finalizado (1/10)"/>
    <n v="35.200000000000003"/>
    <n v="4.8"/>
    <n v="40"/>
    <s v="Sessão a Faturar"/>
    <n v="954600005541000"/>
    <n v="36089"/>
    <s v="Unidade Vieralves (ANEXO)"/>
    <n v="1715215939"/>
    <m/>
  </r>
  <r>
    <x v="4"/>
    <x v="14"/>
    <s v="Massuello da Silva Quaresma Junior"/>
    <s v="Masculino"/>
    <x v="4"/>
    <x v="23"/>
    <s v="31602185 - Estimulação Elétrica Transcutânea - Removido 13/04/2026 (R$ 40,00)"/>
    <s v="Fisioterapia"/>
    <n v="1715219810"/>
    <s v="Finalizado (1/2)"/>
    <n v="35.200000000000003"/>
    <n v="4.8"/>
    <n v="40"/>
    <s v="Sessão a Faturar"/>
    <n v="810861400019010"/>
    <n v="56496"/>
    <s v="Unidade Vieralves (ANEXO)"/>
    <n v="1715219810"/>
    <m/>
  </r>
  <r>
    <x v="4"/>
    <x v="6"/>
    <s v="Rosana Silva dos Santos"/>
    <s v="Feminino"/>
    <x v="1"/>
    <x v="23"/>
    <s v="50000160 - Fisioterapia Ortopédica (R$ 20,00), 98980327 - Taxa de Eletroterapia (Tens) (R$ 15,00)"/>
    <s v="Fisioterapia"/>
    <n v="9592647"/>
    <s v="Finalizado (9/10)"/>
    <n v="30.8"/>
    <n v="4.2"/>
    <n v="35"/>
    <s v="Sessão a Faturar"/>
    <n v="1101006073830400"/>
    <n v="58800"/>
    <s v="Unidade Vieralves (ANEXO)"/>
    <n v="9592647"/>
    <m/>
  </r>
  <r>
    <x v="4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5/10)"/>
    <n v="30.8"/>
    <n v="4.2"/>
    <n v="35"/>
    <s v="Sessão Faturada"/>
    <s v="0902002479470014"/>
    <n v="59297"/>
    <s v="Unidade Vieralves (ANEXO)"/>
    <n v="9321749"/>
    <m/>
  </r>
  <r>
    <x v="4"/>
    <x v="17"/>
    <s v="Maria Auxiliadora da Silva Castelano"/>
    <s v="Feminino"/>
    <x v="2"/>
    <x v="23"/>
    <s v="20103492 - Fisioterapia - Patologia Em Dois Ou Mais Membros (R$ 14,83)"/>
    <s v="Fisioterapia"/>
    <n v="1709843838"/>
    <s v="Finalizado (5/7)"/>
    <n v="13.0504"/>
    <n v="1.7796000000000001"/>
    <n v="14.83"/>
    <s v="Sessão a Faturar"/>
    <n v="773458002496010"/>
    <n v="13771"/>
    <s v="Unidade Vieralves (ANEXO)"/>
    <n v="1709843838"/>
    <m/>
  </r>
  <r>
    <x v="4"/>
    <x v="18"/>
    <s v="Maria Auxiliadora da Silva Castelano"/>
    <s v="Feminino"/>
    <x v="4"/>
    <x v="23"/>
    <s v="31602185 - Estimulação Elétrica Transcutânea - Removido 13/04/2026 (R$ 40,00)"/>
    <s v="Fisioterapia"/>
    <n v="1711667361"/>
    <s v="Finalizado (3/5)"/>
    <n v="35.200000000000003"/>
    <n v="4.8"/>
    <n v="40"/>
    <s v="Sessão a Faturar"/>
    <n v="773458002496010"/>
    <n v="13771"/>
    <s v="Unidade Vieralves (ANEXO)"/>
    <n v="1711667361"/>
    <m/>
  </r>
  <r>
    <x v="4"/>
    <x v="8"/>
    <s v="Marcelo Batista Moreira"/>
    <s v="Masculino"/>
    <x v="7"/>
    <x v="23"/>
    <s v="Vieiralves - 1 - Fisioterapia Ortopedica - Pacote (R$ 80,00)"/>
    <s v="Fisioterapia"/>
    <m/>
    <s v="Finalizado (4/10)"/>
    <n v="62.4"/>
    <n v="17.600000000000001"/>
    <n v="80"/>
    <s v="No Prazo"/>
    <n v="0"/>
    <n v="59656"/>
    <s v="Unidade Vieralves (ANEXO)"/>
    <m/>
    <m/>
  </r>
  <r>
    <x v="4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5/10)"/>
    <n v="21.507200000000001"/>
    <n v="2.9327999999999999"/>
    <n v="24.44"/>
    <s v="Sessão Faturada"/>
    <n v="889414100973000"/>
    <n v="57595"/>
    <s v="Unidade Vieralves (ANEXO)"/>
    <n v="1710494057"/>
    <m/>
  </r>
  <r>
    <x v="4"/>
    <x v="8"/>
    <s v="Edmundo dos Santos Freitas"/>
    <s v="Masculino"/>
    <x v="10"/>
    <x v="23"/>
    <s v="50000160 - Fisioterapia Ortopédica (R$ 15,00)"/>
    <s v="Fisioterapia"/>
    <n v="21123843"/>
    <s v="Finalizado (5/10)"/>
    <n v="13.2"/>
    <n v="1.8"/>
    <n v="15"/>
    <s v="Sessão Faturada"/>
    <s v="00010064289222002"/>
    <n v="59546"/>
    <s v="Unidade Vieralves (ANEXO)"/>
    <n v="21123843"/>
    <m/>
  </r>
  <r>
    <x v="4"/>
    <x v="9"/>
    <s v="Caio Felipe Soares da Cruz"/>
    <s v="Masculino"/>
    <x v="4"/>
    <x v="23"/>
    <s v="31602185 - Estimulação Elétrica Transcutânea - Removido 13/04/2026 (R$ 40,00)"/>
    <s v="Fisioterapia"/>
    <n v="1712969501"/>
    <s v="Finalizado (3/7)"/>
    <n v="35.200000000000003"/>
    <n v="4.8"/>
    <n v="40"/>
    <s v="Sessão a Faturar"/>
    <n v="889414100973000"/>
    <n v="57595"/>
    <s v="Unidade Vieralves (ANEXO)"/>
    <n v="1712969501"/>
    <m/>
  </r>
  <r>
    <x v="4"/>
    <x v="10"/>
    <s v="Edineia de Medeiros Castro"/>
    <s v="Feminino"/>
    <x v="4"/>
    <x v="23"/>
    <s v="31602185 - Estimulação Elétrica Transcutânea - Removido 13/04/2026 (R$ 40,00)"/>
    <s v="Fisioterapia"/>
    <n v="1713011713"/>
    <s v="Finalizado (3/10)"/>
    <n v="35.200000000000003"/>
    <n v="4.8"/>
    <n v="40"/>
    <s v="Sessão a Faturar"/>
    <n v="960016147526000"/>
    <n v="59383"/>
    <s v="Unidade Vieralves (ANEXO)"/>
    <n v="1713011713"/>
    <m/>
  </r>
  <r>
    <x v="4"/>
    <x v="10"/>
    <s v="Antonio Gonzaga Brito Honorato Junior"/>
    <s v="Masculino"/>
    <x v="2"/>
    <x v="23"/>
    <s v="20103484 - Fisioterapia - Patologia Em Um Membro (R$ 12,22)"/>
    <s v="Fisioterapia"/>
    <n v="1709850818"/>
    <s v="Finalizado (7/10)"/>
    <n v="10.7536"/>
    <n v="1.4663999999999999"/>
    <n v="12.22"/>
    <s v="Sessão Faturada"/>
    <n v="960019320397020"/>
    <n v="59461"/>
    <s v="Unidade Vieralves (ANEXO)"/>
    <n v="1709850818"/>
    <m/>
  </r>
  <r>
    <x v="4"/>
    <x v="10"/>
    <s v="Edineia de Medeiros Castro"/>
    <s v="Feminino"/>
    <x v="2"/>
    <x v="23"/>
    <s v="20103484 - Fisioterapia - Patologia Em Um Membro (R$ 12,22)"/>
    <s v="Fisioterapia"/>
    <n v="1710503589"/>
    <s v="Finalizado (4/5)"/>
    <n v="10.7536"/>
    <n v="1.4663999999999999"/>
    <n v="12.22"/>
    <s v="Sessão Faturada"/>
    <n v="960016147526000"/>
    <n v="59383"/>
    <s v="Unidade Vieralves (ANEXO)"/>
    <n v="1710503589"/>
    <m/>
  </r>
  <r>
    <x v="4"/>
    <x v="12"/>
    <s v="Willian da Silva Marques"/>
    <s v="Masculino"/>
    <x v="6"/>
    <x v="23"/>
    <s v="20103484 - Patologia Em Um Membro (R$ 14,16)"/>
    <s v="Fisioterapia"/>
    <n v="171333"/>
    <s v="Finalizado (6/10)"/>
    <n v="12.460800000000001"/>
    <n v="1.6992"/>
    <n v="14.16"/>
    <s v="Sessão a Faturar"/>
    <s v="58201065997798090011"/>
    <n v="58695"/>
    <s v="Unidade Vieralves (ANEXO)"/>
    <n v="171333"/>
    <m/>
  </r>
  <r>
    <x v="4"/>
    <x v="12"/>
    <s v="Hyggor da Silva Medeiros"/>
    <s v="Masculino"/>
    <x v="2"/>
    <x v="23"/>
    <s v="20103484 - Fisioterapia - Patologia Em Um Membro (R$ 12,22)"/>
    <s v="Fisioterapia"/>
    <n v="1710507497"/>
    <s v="Finalizado (5/5)"/>
    <n v="10.7536"/>
    <n v="1.4663999999999999"/>
    <n v="12.22"/>
    <s v="Sessão Faturada"/>
    <n v="774642025895010"/>
    <n v="59368"/>
    <s v="Unidade Vieralves (ANEXO)"/>
    <n v="1710507497"/>
    <m/>
  </r>
  <r>
    <x v="4"/>
    <x v="12"/>
    <s v="Yago Amaral Ferreira"/>
    <s v="Masculino"/>
    <x v="2"/>
    <x v="23"/>
    <s v="20103484 - Fisioterapia - Patologia Em Um Membro (R$ 12,22)"/>
    <s v="Fisioterapia"/>
    <n v="1713022685"/>
    <s v="Finalizado (3/3)"/>
    <n v="10.7536"/>
    <n v="1.4663999999999999"/>
    <n v="12.22"/>
    <s v="Sessão Faturada"/>
    <n v="773626008052010"/>
    <n v="33956"/>
    <s v="Unidade Vieralves (ANEXO)"/>
    <n v="1713022685"/>
    <m/>
  </r>
  <r>
    <x v="4"/>
    <x v="12"/>
    <s v="Bruna Kerolaine Praia Neves"/>
    <s v="Feminino"/>
    <x v="2"/>
    <x v="23"/>
    <s v="50000144 - Avaliação de Fisioterapia (R$ 51,42)"/>
    <s v="Fisioterapia"/>
    <n v="1715275480"/>
    <s v="Finalizado (1/1)"/>
    <n v="46.277999999999999"/>
    <n v="5.1420000000000003"/>
    <n v="51.42"/>
    <s v="Sessão Faturada"/>
    <n v="833941000264010"/>
    <n v="51300"/>
    <s v="Unidade Vieralves (ANEXO)"/>
    <n v="1715275480"/>
    <m/>
  </r>
  <r>
    <x v="4"/>
    <x v="12"/>
    <s v="Bruna Kerolaine Praia Neves"/>
    <s v="Feminino"/>
    <x v="2"/>
    <x v="23"/>
    <s v="20103514 - Fisioterapia - Patologia Em Diferentes Segmentos da Coluna (R$ 14,83)"/>
    <s v="Fisioterapia"/>
    <n v="1715275707"/>
    <s v="Finalizado (1/10)"/>
    <n v="13.0504"/>
    <n v="1.7796000000000001"/>
    <n v="14.83"/>
    <s v="Sessão a Faturar"/>
    <n v="833941000264010"/>
    <n v="51300"/>
    <s v="Unidade Vieralves (ANEXO)"/>
    <n v="1715275707"/>
    <m/>
  </r>
  <r>
    <x v="4"/>
    <x v="12"/>
    <s v="Yago Amaral Ferreira"/>
    <s v="Masculino"/>
    <x v="4"/>
    <x v="23"/>
    <s v="31602185 - Estimulação Elétrica Transcutânea - Removido 13/04/2026 (R$ 40,00)"/>
    <s v="Fisioterapia"/>
    <n v="1714778381"/>
    <s v="Finalizado (2/2)"/>
    <n v="35.200000000000003"/>
    <n v="4.8"/>
    <n v="40"/>
    <s v="Sessão Faturada"/>
    <n v="773626008052010"/>
    <n v="33956"/>
    <s v="Unidade Vieralves (ANEXO)"/>
    <n v="1714778381"/>
    <m/>
  </r>
  <r>
    <x v="4"/>
    <x v="12"/>
    <s v="Willian da Silva Marques"/>
    <s v="Masculino"/>
    <x v="6"/>
    <x v="23"/>
    <s v="31602185 - Estimulação Elétrica Transcutanea (Tens) (R$ 40,00)"/>
    <s v="Fisioterapia"/>
    <n v="171562"/>
    <s v="Finalizado (6/10)"/>
    <n v="35.200000000000003"/>
    <n v="4.8"/>
    <n v="40"/>
    <s v="Sessão a Faturar"/>
    <s v="58201065997798090011"/>
    <n v="58695"/>
    <s v="Unidade Vieralves (ANEXO)"/>
    <n v="171562"/>
    <m/>
  </r>
  <r>
    <x v="4"/>
    <x v="19"/>
    <s v="Hyggor da Silva Medeiros"/>
    <s v="Masculino"/>
    <x v="4"/>
    <x v="23"/>
    <s v="31602185 - Estimulação Elétrica Transcutânea - Removido 13/04/2026 (R$ 40,00)"/>
    <s v="Fisioterapia"/>
    <n v="1711684264"/>
    <s v="Finalizado (4/4)"/>
    <n v="35.200000000000003"/>
    <n v="4.8"/>
    <n v="40"/>
    <s v="Sessão Faturada"/>
    <n v="774642025895010"/>
    <n v="59368"/>
    <s v="Unidade Vieralves (ANEXO)"/>
    <n v="1711684264"/>
    <m/>
  </r>
  <r>
    <x v="5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7/10)"/>
    <n v="30.8"/>
    <n v="4.2"/>
    <n v="35"/>
    <s v="Sessão Faturada"/>
    <s v="0901012961870097"/>
    <n v="57558"/>
    <s v="Unidade Vieralves (ANEXO)"/>
    <n v="9209397"/>
    <m/>
  </r>
  <r>
    <x v="5"/>
    <x v="22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4/10)"/>
    <n v="13.0504"/>
    <n v="1.7796000000000001"/>
    <n v="14.83"/>
    <s v="Sessão a Faturar"/>
    <n v="610360710015010"/>
    <n v="59641"/>
    <s v="Unidade Vieralves (ANEXO)"/>
    <n v="1712929093"/>
    <m/>
  </r>
  <r>
    <x v="5"/>
    <x v="22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4/10)"/>
    <n v="30.8"/>
    <n v="4.2"/>
    <n v="35"/>
    <s v="Sessão Faturada"/>
    <n v="1301013792660000"/>
    <n v="59645"/>
    <s v="Unidade Vieralves (ANEXO)"/>
    <n v="9369787"/>
    <m/>
  </r>
  <r>
    <x v="5"/>
    <x v="23"/>
    <s v="Willyan Dyeno Silva de Oliveira dos Santos"/>
    <s v="Masculino"/>
    <x v="4"/>
    <x v="23"/>
    <s v="31602185 - Estimulação Elétrica Transcutânea - Removido 13/04/2026 (R$ 40,00)"/>
    <s v="Fisioterapia"/>
    <n v="1714105990"/>
    <s v="Finalizado (3/5)"/>
    <n v="35.200000000000003"/>
    <n v="4.8"/>
    <n v="40"/>
    <s v="Sessão Faturada"/>
    <n v="610360710015010"/>
    <n v="59641"/>
    <s v="Unidade Vieralves (ANEXO)"/>
    <n v="1714105990"/>
    <m/>
  </r>
  <r>
    <x v="5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3729"/>
    <s v="Finalizado (1/10)"/>
    <n v="174.91759999999999"/>
    <n v="23.852399999999999"/>
    <n v="198.77"/>
    <s v="Sessão a Faturar"/>
    <n v="2301648"/>
    <n v="7982"/>
    <s v="Unidade Vieralves (ANEXO)"/>
    <n v="3729"/>
    <m/>
  </r>
  <r>
    <x v="5"/>
    <x v="0"/>
    <s v="Nayara Talassa Damasceno Inácio"/>
    <s v="Feminino"/>
    <x v="2"/>
    <x v="23"/>
    <s v="20103662 - Fisioterapia - Pos Operatorio Em Um Membro (R$ 14,99)"/>
    <s v="Fisioterapia"/>
    <n v="1714106666"/>
    <s v="Finalizado (4/10)"/>
    <n v="13.1912"/>
    <n v="1.7988"/>
    <n v="14.99"/>
    <s v="Sessão Faturada"/>
    <n v="774981007498010"/>
    <n v="55360"/>
    <s v="Unidade Vieralves (ANEXO)"/>
    <n v="1714106666"/>
    <m/>
  </r>
  <r>
    <x v="5"/>
    <x v="2"/>
    <s v="Rui Jorge Rodrigues Fialho"/>
    <s v="Masculino"/>
    <x v="2"/>
    <x v="23"/>
    <s v="20103506 - Fisioterapia - Patologia Em Um Segmento da Coluna (R$ 12,22)"/>
    <s v="Fisioterapia"/>
    <n v="1712879810"/>
    <s v="Finalizado (4/10)"/>
    <n v="10.7536"/>
    <n v="1.4663999999999999"/>
    <n v="12.22"/>
    <s v="Sessão a Faturar"/>
    <n v="771015043265010"/>
    <n v="35722"/>
    <s v="Unidade Vieralves (ANEXO)"/>
    <n v="1712879810"/>
    <m/>
  </r>
  <r>
    <x v="5"/>
    <x v="2"/>
    <s v="Claudia Ferreira de Souza Cutar"/>
    <s v="Feminino"/>
    <x v="6"/>
    <x v="23"/>
    <s v="20103484 - Patologia Em Um Membro (R$ 14,16), 20103506 - Patologia Em Um Segmento da Coluna (R$ 14,16)"/>
    <s v="Fisioterapia"/>
    <n v="172168"/>
    <s v="Finalizado (3/5)"/>
    <n v="24.921600000000002"/>
    <n v="3.3984000000000001"/>
    <n v="28.32"/>
    <s v="Sessão a Faturar"/>
    <s v="54588888010050710012"/>
    <n v="9658"/>
    <s v="Unidade Vieralves (ANEXO)"/>
    <n v="172168"/>
    <m/>
  </r>
  <r>
    <x v="5"/>
    <x v="2"/>
    <s v="Sonia Pereira de Oliveira"/>
    <s v="Feminino"/>
    <x v="26"/>
    <x v="23"/>
    <s v="20103492 - Fisioterapia - Patologia Em Dois Ou Mais Membros (R$ 23,85)"/>
    <s v="Fisioterapia"/>
    <n v="275539188"/>
    <s v="Finalizado (5/10)"/>
    <n v="20.988"/>
    <n v="2.8620000000000001"/>
    <n v="23.85"/>
    <s v="Sessão Faturada"/>
    <s v="TWXUA000427004"/>
    <n v="59313"/>
    <s v="Unidade Vieralves (ANEXO)"/>
    <n v="275539188"/>
    <s v="Guia assinada!"/>
  </r>
  <r>
    <x v="5"/>
    <x v="2"/>
    <s v="Augusto Sérgio dos Santos Cardoso"/>
    <s v="Masculino"/>
    <x v="7"/>
    <x v="23"/>
    <s v="Vieiralves - 1 - Fisioterapia Ortopedica - Pacote (R$ 40,00)"/>
    <s v="Fisioterapia"/>
    <n v="171220"/>
    <s v="Finalizado (4/10)"/>
    <n v="31.2"/>
    <n v="8.8000000000000007"/>
    <n v="40"/>
    <s v="Pago"/>
    <n v="0"/>
    <n v="59068"/>
    <s v="Unidade Vieralves (ANEXO)"/>
    <n v="171220"/>
    <m/>
  </r>
  <r>
    <x v="5"/>
    <x v="3"/>
    <s v="Rui Jorge Rodrigues Fialho"/>
    <s v="Masculino"/>
    <x v="4"/>
    <x v="23"/>
    <s v="31602185 - Estimulação Elétrica Transcutânea - Removido 13/04/2026 (R$ 40,00)"/>
    <s v="Fisioterapia"/>
    <n v="1714133570"/>
    <s v="Finalizado (3/10)"/>
    <n v="35.200000000000003"/>
    <n v="4.8"/>
    <n v="40"/>
    <s v="Sessão a Faturar"/>
    <n v="771015043265010"/>
    <n v="35722"/>
    <s v="Unidade Vieralves (ANEXO)"/>
    <n v="1714133570"/>
    <m/>
  </r>
  <r>
    <x v="5"/>
    <x v="3"/>
    <s v="Claudia Ferreira de Souza Cutar"/>
    <s v="Feminino"/>
    <x v="6"/>
    <x v="23"/>
    <s v="31602185 - Estimulação Elétrica Transcutanea (Tens) (R$ 40,00)"/>
    <s v="Fisioterapia"/>
    <n v="172169"/>
    <s v="Finalizado (3/5)"/>
    <n v="35.200000000000003"/>
    <n v="4.8"/>
    <n v="40"/>
    <s v="Sessão a Faturar"/>
    <s v="54588888010050710012"/>
    <n v="9658"/>
    <s v="Unidade Vieralves (ANEXO)"/>
    <n v="172169"/>
    <m/>
  </r>
  <r>
    <x v="5"/>
    <x v="4"/>
    <s v="Sophia Rodrigues Dias Leão"/>
    <s v="Feminino"/>
    <x v="6"/>
    <x v="23"/>
    <s v="31602185 - Estimulação Elétrica Transcutanea (Tens) (R$ 40,00)"/>
    <s v="Fisioterapia"/>
    <n v="172588"/>
    <s v="Finalizado (1/5)"/>
    <n v="35.200000000000003"/>
    <n v="4.8"/>
    <n v="40"/>
    <s v="Sessão a Faturar"/>
    <s v="59200277003273040105"/>
    <n v="10002"/>
    <s v="Unidade Vieralves (ANEXO)"/>
    <n v="172588"/>
    <m/>
  </r>
  <r>
    <x v="5"/>
    <x v="5"/>
    <s v="Sophia Rodrigues Dias Leão"/>
    <s v="Feminino"/>
    <x v="6"/>
    <x v="23"/>
    <s v="20103514 - Patologia Em Dois Ou Mais Segmentos da Coluna (R$ 32,82)"/>
    <s v="Fisioterapia"/>
    <n v="172586"/>
    <s v="Finalizado (1/5)"/>
    <n v="28.881599999999999"/>
    <n v="3.9384000000000001"/>
    <n v="32.82"/>
    <s v="Sessão a Faturar"/>
    <s v="59200277003273040105"/>
    <n v="10002"/>
    <s v="Unidade Vieralves (ANEXO)"/>
    <n v="172586"/>
    <m/>
  </r>
  <r>
    <x v="5"/>
    <x v="13"/>
    <s v="Francisca Lima de Araújo"/>
    <s v="Feminino"/>
    <x v="1"/>
    <x v="23"/>
    <s v="50000160 - Fisioterapia Ortopédica (R$ 20,00), 98980327 - Taxa de Eletroterapia (Tens) (R$ 15,00)"/>
    <s v="Fisioterapia"/>
    <n v="9192147"/>
    <s v="Finalizado (5/7)"/>
    <n v="30.8"/>
    <n v="4.2"/>
    <n v="35"/>
    <s v="Sessão Faturada"/>
    <n v="1901013081250400"/>
    <n v="59462"/>
    <s v="Unidade Vieralves (ANEXO)"/>
    <n v="9192147"/>
    <m/>
  </r>
  <r>
    <x v="5"/>
    <x v="13"/>
    <s v="Rosemeire Gomes da Silva"/>
    <s v="Feminino"/>
    <x v="8"/>
    <x v="23"/>
    <s v="20103492 - Patologia Em Dois Ou Mais Membros (R$ 14,83)"/>
    <s v="Fisioterapia"/>
    <n v="1714711023"/>
    <s v="Finalizado (3/10)"/>
    <n v="13.0504"/>
    <n v="1.7796000000000001"/>
    <n v="14.83"/>
    <s v="Sessão a Faturar"/>
    <n v="954600005541000"/>
    <n v="36089"/>
    <s v="Unidade Vieralves (ANEXO)"/>
    <n v="1714711023"/>
    <m/>
  </r>
  <r>
    <x v="5"/>
    <x v="14"/>
    <s v="Rosemeire Gomes da Silva"/>
    <s v="Feminino"/>
    <x v="9"/>
    <x v="23"/>
    <s v="31602185 - Estimulação Elétrica Transcutânea (Tens) - Removido 13/04/2026 (R$ 40,00)"/>
    <s v="Fisioterapia"/>
    <n v="1715215939"/>
    <s v="Finalizado (2/10)"/>
    <n v="35.200000000000003"/>
    <n v="4.8"/>
    <n v="40"/>
    <s v="Sessão a Faturar"/>
    <n v="954600005541000"/>
    <n v="36089"/>
    <s v="Unidade Vieralves (ANEXO)"/>
    <n v="1715215939"/>
    <m/>
  </r>
  <r>
    <x v="5"/>
    <x v="6"/>
    <s v="Suellem Cristian Oliveira Epifânio"/>
    <s v="Feminino"/>
    <x v="2"/>
    <x v="23"/>
    <s v="20103492 - Fisioterapia - Patologia Em Dois Ou Mais Membros (R$ 14,83)"/>
    <s v="Fisioterapia"/>
    <n v="1716216566"/>
    <s v="Finalizado (1/10)"/>
    <n v="13.0504"/>
    <n v="1.7796000000000001"/>
    <n v="14.83"/>
    <s v="Sessão a Faturar"/>
    <n v="775340003336000"/>
    <n v="55780"/>
    <s v="Unidade Vieralves (ANEXO)"/>
    <n v="1716216566"/>
    <m/>
  </r>
  <r>
    <x v="5"/>
    <x v="7"/>
    <s v="Suellem Cristian Oliveira Epifânio"/>
    <s v="Feminino"/>
    <x v="4"/>
    <x v="23"/>
    <s v="31602185 - Estimulação Elétrica Transcutânea - Removido 13/04/2026 (R$ 40,00)"/>
    <s v="Fisioterapia"/>
    <n v="1712891206"/>
    <s v="Finalizado (2/5)"/>
    <n v="35.200000000000003"/>
    <n v="4.8"/>
    <n v="40"/>
    <s v="Sessão a Faturar"/>
    <n v="775340003336000"/>
    <n v="55780"/>
    <s v="Unidade Vieralves (ANEXO)"/>
    <n v="1712891206"/>
    <m/>
  </r>
  <r>
    <x v="5"/>
    <x v="15"/>
    <s v="José Roberto Teixeira Pereira"/>
    <s v="Masculino"/>
    <x v="6"/>
    <x v="23"/>
    <s v="20103506 - Patologia Em Um Segmento da Coluna (R$ 14,16)"/>
    <s v="Fisioterapia"/>
    <n v="171595"/>
    <s v="Finalizado (5/6)"/>
    <n v="12.460800000000001"/>
    <n v="1.6992"/>
    <n v="14.16"/>
    <s v="Sessão a Faturar"/>
    <s v="56788888488537970015"/>
    <n v="56491"/>
    <s v="Unidade Vieralves (ANEXO)"/>
    <n v="171595"/>
    <m/>
  </r>
  <r>
    <x v="5"/>
    <x v="15"/>
    <s v="Marcus Vinicius da Costa Corrêa"/>
    <s v="Masculino"/>
    <x v="2"/>
    <x v="23"/>
    <s v="20103514 - Fisioterapia - Patologia Em Diferentes Segmentos da Coluna (R$ 14,83)"/>
    <s v="Fisioterapia"/>
    <n v="1710477354"/>
    <s v="Finalizado (3/5)"/>
    <n v="13.0504"/>
    <n v="1.7796000000000001"/>
    <n v="14.83"/>
    <s v="Sessão a Faturar"/>
    <n v="774981007188010"/>
    <n v="59433"/>
    <s v="Unidade Vieralves (ANEXO)"/>
    <n v="1710477354"/>
    <m/>
  </r>
  <r>
    <x v="5"/>
    <x v="16"/>
    <s v="Marcus Vinicius da Costa Corrêa"/>
    <s v="Masculino"/>
    <x v="4"/>
    <x v="23"/>
    <s v="31602185 - Estimulação Elétrica Transcutânea - Removido 13/04/2026 (R$ 40,00)"/>
    <s v="Fisioterapia"/>
    <n v="1712975026"/>
    <s v="Finalizado (2/4)"/>
    <n v="35.200000000000003"/>
    <n v="4.8"/>
    <n v="40"/>
    <s v="Sessão a Faturar"/>
    <n v="774981007188010"/>
    <n v="59433"/>
    <s v="Unidade Vieralves (ANEXO)"/>
    <n v="1712975026"/>
    <m/>
  </r>
  <r>
    <x v="5"/>
    <x v="16"/>
    <s v="José Roberto Teixeira Pereira"/>
    <s v="Masculino"/>
    <x v="6"/>
    <x v="23"/>
    <s v="31602185 - Estimulação Elétrica Transcutanea (Tens) (R$ 40,00)"/>
    <s v="Fisioterapia"/>
    <n v="171596"/>
    <s v="Finalizado (5/6)"/>
    <n v="35.200000000000003"/>
    <n v="4.8"/>
    <n v="40"/>
    <s v="Sessão a Faturar"/>
    <s v="56788888488537970015"/>
    <n v="56491"/>
    <s v="Unidade Vieralves (ANEXO)"/>
    <n v="171596"/>
    <m/>
  </r>
  <r>
    <x v="5"/>
    <x v="17"/>
    <s v="Amália Maria Félix"/>
    <s v="Feminino"/>
    <x v="2"/>
    <x v="23"/>
    <s v="20103662 - Fisioterapia - Pos Operatorio Em Um Membro (R$ 14,99)"/>
    <s v="Fisioterapia"/>
    <n v="1709229340"/>
    <s v="Finalizado (5/10)"/>
    <n v="13.1912"/>
    <n v="1.7988"/>
    <n v="14.99"/>
    <s v="Sessão a Faturar"/>
    <n v="610758850002010"/>
    <n v="58833"/>
    <s v="Unidade Vieralves (ANEXO)"/>
    <n v="1709229340"/>
    <m/>
  </r>
  <r>
    <x v="5"/>
    <x v="17"/>
    <s v="Adriana Melo dos Santos"/>
    <s v="Feminino"/>
    <x v="1"/>
    <x v="23"/>
    <s v="50000144 - Consulta de Fisioterapia (R$ 16,00)"/>
    <s v="Fisioterapia"/>
    <n v="9594447"/>
    <s v="Finalizado (1/1)"/>
    <n v="14.4"/>
    <n v="1.6"/>
    <n v="16"/>
    <s v="Sessão Faturada"/>
    <n v="1301013170160000"/>
    <n v="28481"/>
    <s v="Unidade Vieralves (ANEXO)"/>
    <n v="9594447"/>
    <m/>
  </r>
  <r>
    <x v="5"/>
    <x v="17"/>
    <s v="Marcelo Batista Moreira"/>
    <s v="Masculino"/>
    <x v="7"/>
    <x v="23"/>
    <s v="Vieiralves - 1 - Fisioterapia Ortopedica - Pacote (R$ 80,00)"/>
    <s v="Fisioterapia"/>
    <m/>
    <s v="Finalizado (6/10)"/>
    <n v="62.4"/>
    <n v="17.600000000000001"/>
    <n v="80"/>
    <s v="No Prazo"/>
    <n v="0"/>
    <n v="59656"/>
    <s v="Unidade Vieralves (ANEXO)"/>
    <m/>
    <m/>
  </r>
  <r>
    <x v="5"/>
    <x v="18"/>
    <s v="Amália Maria Félix"/>
    <s v="Feminino"/>
    <x v="4"/>
    <x v="23"/>
    <s v="31602185 - Estimulação Elétrica Transcutânea - Removido 13/04/2026 (R$ 40,00)"/>
    <s v="Fisioterapia"/>
    <n v="1710489391"/>
    <s v="Finalizado (4/9)"/>
    <n v="35.200000000000003"/>
    <n v="4.8"/>
    <n v="40"/>
    <s v="Sessão a Faturar"/>
    <n v="610758850002010"/>
    <n v="58833"/>
    <s v="Unidade Vieralves (ANEXO)"/>
    <n v="1710489391"/>
    <m/>
  </r>
  <r>
    <x v="5"/>
    <x v="18"/>
    <s v="Adriana Melo dos Santos"/>
    <s v="Feminino"/>
    <x v="1"/>
    <x v="23"/>
    <s v="50000217 - Fisioterapia Pré e Pós Operatória (R$ 25,00), 98980327 - Taxa de Eletroterapia (Tens) (R$ 15,00)"/>
    <s v="Fisioterapia"/>
    <n v="9515275"/>
    <s v="Finalizado (1/10)"/>
    <n v="35.200000000000003"/>
    <n v="4.8"/>
    <n v="40"/>
    <s v="Sessão a Faturar"/>
    <n v="1301013170160000"/>
    <n v="28481"/>
    <s v="Unidade Vieralves (ANEXO)"/>
    <n v="9515275"/>
    <m/>
  </r>
  <r>
    <x v="5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6/10)"/>
    <n v="21.507200000000001"/>
    <n v="2.9327999999999999"/>
    <n v="24.44"/>
    <s v="Sessão Faturada"/>
    <n v="889414100973000"/>
    <n v="57595"/>
    <s v="Unidade Vieralves (ANEXO)"/>
    <n v="1710494057"/>
    <m/>
  </r>
  <r>
    <x v="5"/>
    <x v="8"/>
    <s v="Edmundo dos Santos Freitas"/>
    <s v="Masculino"/>
    <x v="10"/>
    <x v="23"/>
    <s v="50000160 - Fisioterapia Ortopédica (R$ 15,00)"/>
    <s v="Fisioterapia"/>
    <n v="21123843"/>
    <s v="Finalizado (7/10)"/>
    <n v="13.2"/>
    <n v="1.8"/>
    <n v="15"/>
    <s v="Sessão Faturada"/>
    <s v="00010064289222002"/>
    <n v="59546"/>
    <s v="Unidade Vieralves (ANEXO)"/>
    <n v="21123843"/>
    <m/>
  </r>
  <r>
    <x v="5"/>
    <x v="9"/>
    <s v="Caio Felipe Soares da Cruz"/>
    <s v="Masculino"/>
    <x v="4"/>
    <x v="23"/>
    <s v="31602185 - Estimulação Elétrica Transcutânea - Removido 13/04/2026 (R$ 40,00)"/>
    <s v="Fisioterapia"/>
    <n v="1712969501"/>
    <s v="Finalizado (4/7)"/>
    <n v="35.200000000000003"/>
    <n v="4.8"/>
    <n v="40"/>
    <s v="Sessão a Faturar"/>
    <n v="889414100973000"/>
    <n v="57595"/>
    <s v="Unidade Vieralves (ANEXO)"/>
    <n v="1712969501"/>
    <m/>
  </r>
  <r>
    <x v="5"/>
    <x v="10"/>
    <s v="Edineia de Medeiros Castro"/>
    <s v="Feminino"/>
    <x v="2"/>
    <x v="23"/>
    <s v="20103484 - Fisioterapia - Patologia Em Um Membro (R$ 12,22)"/>
    <s v="Fisioterapia"/>
    <n v="1710503589"/>
    <s v="Finalizado (5/5)"/>
    <n v="10.7536"/>
    <n v="1.4663999999999999"/>
    <n v="12.22"/>
    <s v="Sessão Faturada"/>
    <n v="960016147526000"/>
    <n v="59383"/>
    <s v="Unidade Vieralves (ANEXO)"/>
    <n v="1710503589"/>
    <m/>
  </r>
  <r>
    <x v="5"/>
    <x v="10"/>
    <s v="Edineia de Medeiros Castro"/>
    <s v="Feminino"/>
    <x v="4"/>
    <x v="23"/>
    <s v="31602185 - Estimulação Elétrica Transcutânea - Removido 13/04/2026 (R$ 40,00)"/>
    <s v="Fisioterapia"/>
    <n v="1713011713"/>
    <s v="Finalizado (4/10)"/>
    <n v="35.200000000000003"/>
    <n v="4.8"/>
    <n v="40"/>
    <s v="Sessão a Faturar"/>
    <n v="960016147526000"/>
    <n v="59383"/>
    <s v="Unidade Vieralves (ANEXO)"/>
    <n v="1713011713"/>
    <m/>
  </r>
  <r>
    <x v="5"/>
    <x v="10"/>
    <s v="Leandro Guimaraes dos Santos"/>
    <m/>
    <x v="1"/>
    <x v="23"/>
    <s v="50000160 - Fisioterapia Ortopédica (R$ 20,00), 98980327 - Taxa de Eletroterapia (Tens) (R$ 15,00)"/>
    <s v="Fisioterapia"/>
    <n v="9274123"/>
    <s v="Finalizado (7/7)"/>
    <n v="30.8"/>
    <n v="4.2"/>
    <n v="35"/>
    <s v="Sessão Faturada"/>
    <n v="1901013998000200"/>
    <n v="59051"/>
    <s v="Unidade Vieralves (ANEXO)"/>
    <n v="9274123"/>
    <m/>
  </r>
  <r>
    <x v="5"/>
    <x v="10"/>
    <s v="Simone Carvalho da Silva Grijo"/>
    <s v="Feminino"/>
    <x v="5"/>
    <x v="23"/>
    <s v="98860020 - Fisioterapia Complexidade 2 - 04/03/2026 (R$ 70,79)"/>
    <s v="Fisioterapia"/>
    <n v="76803750"/>
    <s v="Finalizado (7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5"/>
    <x v="11"/>
    <s v="Simone Carvalho da Silva Grijo"/>
    <s v="Feminino"/>
    <x v="5"/>
    <x v="23"/>
    <s v="31602185 - Estimulação Elétrica Transcutânea (Tens) (R$ 125,40)"/>
    <s v="Fisioterapia"/>
    <n v="79227650"/>
    <s v="Finalizado (5/10)"/>
    <n v="110.352"/>
    <n v="15.048"/>
    <n v="125.4"/>
    <s v="Sessão a Faturar"/>
    <s v="0101072415010378"/>
    <n v="11558"/>
    <s v="Unidade Vieralves (ANEXO)"/>
    <n v="79227650"/>
    <m/>
  </r>
  <r>
    <x v="5"/>
    <x v="12"/>
    <s v="Bruna Kerolaine Praia Neves"/>
    <s v="Feminino"/>
    <x v="4"/>
    <x v="23"/>
    <s v="31602185 - Estimulação Elétrica Transcutânea - Removido 13/04/2026 (R$ 40,00)"/>
    <s v="Fisioterapia"/>
    <n v="1716285712"/>
    <s v="Finalizado (1/10)"/>
    <n v="35.200000000000003"/>
    <n v="4.8"/>
    <n v="40"/>
    <s v="Sessão a Faturar"/>
    <n v="833941000264010"/>
    <n v="51300"/>
    <s v="Unidade Vieralves (ANEXO)"/>
    <n v="1716285712"/>
    <m/>
  </r>
  <r>
    <x v="5"/>
    <x v="12"/>
    <s v="Bruna Kerolaine Praia Neves"/>
    <s v="Feminino"/>
    <x v="2"/>
    <x v="23"/>
    <s v="20103514 - Fisioterapia - Patologia Em Diferentes Segmentos da Coluna (R$ 14,83)"/>
    <s v="Fisioterapia"/>
    <n v="1715275707"/>
    <s v="Finalizado (2/10)"/>
    <n v="13.0504"/>
    <n v="1.7796000000000001"/>
    <n v="14.83"/>
    <s v="Sessão a Faturar"/>
    <n v="833941000264010"/>
    <n v="51300"/>
    <s v="Unidade Vieralves (ANEXO)"/>
    <n v="1715275707"/>
    <m/>
  </r>
  <r>
    <x v="6"/>
    <x v="22"/>
    <s v="Samira Farias Costa de Souza"/>
    <s v="Feminino"/>
    <x v="4"/>
    <x v="23"/>
    <s v="31602185 - Estimulação Elétrica Transcutânea - Removido 13/04/2026 (R$ 40,00)"/>
    <s v="Fisioterapia"/>
    <n v="1711321666"/>
    <s v="Finalizado (6/9)"/>
    <n v="35.200000000000003"/>
    <n v="4.8"/>
    <n v="40"/>
    <s v="Sessão a Faturar"/>
    <n v="774981013048010"/>
    <n v="59585"/>
    <s v="Unidade Vieralves (ANEXO)"/>
    <n v="1711321666"/>
    <m/>
  </r>
  <r>
    <x v="6"/>
    <x v="23"/>
    <s v="Samira Farias Costa de Souza"/>
    <s v="Feminino"/>
    <x v="2"/>
    <x v="23"/>
    <s v="20103484 - Fisioterapia - Patologia Em Um Membro (R$ 12,22)"/>
    <s v="Fisioterapia"/>
    <n v="1709716473"/>
    <s v="Finalizado (9/10)"/>
    <n v="10.7536"/>
    <n v="1.4663999999999999"/>
    <n v="12.22"/>
    <s v="Sessão Faturada"/>
    <n v="774981013048010"/>
    <n v="59585"/>
    <s v="Unidade Vieralves (ANEXO)"/>
    <n v="1709716473"/>
    <m/>
  </r>
  <r>
    <x v="6"/>
    <x v="0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5/10)"/>
    <n v="30.8"/>
    <n v="4.2"/>
    <n v="35"/>
    <s v="Sessão Faturada"/>
    <n v="1301013792660000"/>
    <n v="59645"/>
    <s v="Unidade Vieralves (ANEXO)"/>
    <n v="9369787"/>
    <m/>
  </r>
  <r>
    <x v="6"/>
    <x v="0"/>
    <s v="Leonor Chaves Mirandela da Rocha"/>
    <s v="Feminino"/>
    <x v="2"/>
    <x v="23"/>
    <s v="20103514 - Fisioterapia - Patologia Em Diferentes Segmentos da Coluna (R$ 14,83)"/>
    <s v="Fisioterapia"/>
    <n v="1714116970"/>
    <s v="Finalizado (3/10)"/>
    <n v="13.0504"/>
    <n v="1.7796000000000001"/>
    <n v="14.83"/>
    <s v="Sessão a Faturar"/>
    <n v="960016935532010"/>
    <n v="10129"/>
    <s v="Unidade Vieralves (ANEXO)"/>
    <n v="1714116970"/>
    <m/>
  </r>
  <r>
    <x v="6"/>
    <x v="0"/>
    <s v="Ana Alice da Silva Araujo"/>
    <s v="Feminino"/>
    <x v="6"/>
    <x v="23"/>
    <s v="20103484 - Patologia Em Um Membro (R$ 14,16)"/>
    <s v="Fisioterapia"/>
    <n v="171201"/>
    <s v="Finalizado (5/10)"/>
    <n v="12.460800000000001"/>
    <n v="1.6992"/>
    <n v="14.16"/>
    <s v="Sessão a Faturar"/>
    <s v="54588888004872900019"/>
    <n v="13030"/>
    <s v="Unidade Vieralves (ANEXO)"/>
    <n v="171201"/>
    <m/>
  </r>
  <r>
    <x v="6"/>
    <x v="1"/>
    <s v="Ana Alice da Silva Araujo"/>
    <s v="Feminino"/>
    <x v="6"/>
    <x v="23"/>
    <s v="31602185 - Estimulação Elétrica Transcutanea (Tens) (R$ 40,00)"/>
    <s v="Fisioterapia"/>
    <n v="171358"/>
    <s v="Finalizado (5/7)"/>
    <n v="35.200000000000003"/>
    <n v="4.8"/>
    <n v="40"/>
    <s v="Sessão a Faturar"/>
    <s v="54588888004872900019"/>
    <n v="13030"/>
    <s v="Unidade Vieralves (ANEXO)"/>
    <n v="171358"/>
    <m/>
  </r>
  <r>
    <x v="6"/>
    <x v="1"/>
    <s v="Leonor Chaves Mirandela da Rocha"/>
    <s v="Feminino"/>
    <x v="4"/>
    <x v="23"/>
    <s v="31602185 - Estimulação Elétrica Transcutânea - Removido 13/04/2026 (R$ 40,00)"/>
    <s v="Fisioterapia"/>
    <n v="1715152032"/>
    <s v="Finalizado (2/10)"/>
    <n v="35.200000000000003"/>
    <n v="4.8"/>
    <n v="40"/>
    <s v="Sessão a Faturar"/>
    <n v="960016935532010"/>
    <n v="10129"/>
    <s v="Unidade Vieralves (ANEXO)"/>
    <n v="1715152032"/>
    <m/>
  </r>
  <r>
    <x v="6"/>
    <x v="2"/>
    <s v="Bianca Peres dos Santos"/>
    <s v="Feminino"/>
    <x v="1"/>
    <x v="23"/>
    <s v="50000144 - Consulta de Fisioterapia (R$ 16,00)"/>
    <s v="Fisioterapia"/>
    <n v="9519040"/>
    <s v="Finalizado (1/1)"/>
    <n v="14.4"/>
    <n v="1.6"/>
    <n v="16"/>
    <s v="Sessão Faturada"/>
    <s v="0901013538700190"/>
    <n v="46287"/>
    <s v="Unidade Vieralves (ANEXO)"/>
    <n v="9519040"/>
    <m/>
  </r>
  <r>
    <x v="6"/>
    <x v="2"/>
    <s v="Kamila Barbosa da Silva"/>
    <s v="Feminino"/>
    <x v="6"/>
    <x v="23"/>
    <s v="31602185 - Estimulação Elétrica Transcutanea (Tens) (R$ 40,00)"/>
    <s v="Fisioterapia"/>
    <n v="170833"/>
    <s v="Finalizado (4/5)"/>
    <n v="35.200000000000003"/>
    <n v="4.8"/>
    <n v="40"/>
    <s v="Sessão a Faturar"/>
    <s v="56788888480435940014"/>
    <n v="48822"/>
    <s v="Unidade Vieralves (ANEXO)"/>
    <n v="170833"/>
    <m/>
  </r>
  <r>
    <x v="6"/>
    <x v="3"/>
    <s v="Kamila Barbosa da Silva"/>
    <s v="Feminino"/>
    <x v="6"/>
    <x v="23"/>
    <s v="20103662 - Pos Operatorio Em Um Membro (R$ 22,53)"/>
    <s v="Fisioterapia"/>
    <n v="850996"/>
    <s v="Finalizado (4/10)"/>
    <n v="19.8264"/>
    <n v="2.7035999999999998"/>
    <n v="22.53"/>
    <s v="Sessão a Faturar"/>
    <s v="56788888480435940014"/>
    <n v="48822"/>
    <s v="Unidade Vieralves (ANEXO)"/>
    <n v="850996"/>
    <m/>
  </r>
  <r>
    <x v="6"/>
    <x v="3"/>
    <s v="Bianca Peres dos Santos"/>
    <s v="Feminino"/>
    <x v="1"/>
    <x v="23"/>
    <s v="50000160 - Fisioterapia Ortopédica (R$ 20,00), 98980327 - Taxa de Eletroterapia (Tens) (R$ 15,00)"/>
    <s v="Fisioterapia"/>
    <n v="9519192"/>
    <s v="Finalizado (1/10)"/>
    <n v="30.8"/>
    <n v="4.2"/>
    <n v="35"/>
    <s v="Sessão Faturada"/>
    <s v="0901013538700190"/>
    <n v="46287"/>
    <s v="Unidade Vieralves (ANEXO)"/>
    <n v="9519192"/>
    <m/>
  </r>
  <r>
    <x v="6"/>
    <x v="4"/>
    <s v="Maykel Célio Costa de Souza"/>
    <s v="Masculino"/>
    <x v="1"/>
    <x v="23"/>
    <s v="50000160 - Fisioterapia Ortopédica (R$ 20,00), 98980327 - Taxa de Eletroterapia (Tens) (R$ 15,00)"/>
    <s v="Fisioterapia"/>
    <n v="9122845"/>
    <s v="Finalizado (10/10)"/>
    <n v="30.8"/>
    <n v="4.2"/>
    <n v="35"/>
    <s v="Sessão Faturada"/>
    <n v="1101014113820300"/>
    <n v="59487"/>
    <s v="Unidade Vieralves (ANEXO)"/>
    <n v="9122845"/>
    <m/>
  </r>
  <r>
    <x v="7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8/10)"/>
    <n v="30.8"/>
    <n v="4.2"/>
    <n v="35"/>
    <s v="Sessão Faturada"/>
    <s v="0901012961870097"/>
    <n v="57558"/>
    <s v="Unidade Vieralves (ANEXO)"/>
    <n v="9209397"/>
    <m/>
  </r>
  <r>
    <x v="7"/>
    <x v="22"/>
    <s v="Claudia Ferreira de Souza Cutar"/>
    <s v="Feminino"/>
    <x v="6"/>
    <x v="23"/>
    <s v="20103484 - Patologia Em Um Membro (R$ 14,16), 20103506 - Patologia Em Um Segmento da Coluna (R$ 14,16)"/>
    <s v="Fisioterapia"/>
    <n v="172168"/>
    <s v="Finalizado (4/5)"/>
    <n v="24.921600000000002"/>
    <n v="3.3984000000000001"/>
    <n v="28.32"/>
    <s v="Sessão a Faturar"/>
    <s v="54588888010050710012"/>
    <n v="9658"/>
    <s v="Unidade Vieralves (ANEXO)"/>
    <n v="172168"/>
    <m/>
  </r>
  <r>
    <x v="7"/>
    <x v="23"/>
    <s v="Claudia Ferreira de Souza Cutar"/>
    <s v="Feminino"/>
    <x v="6"/>
    <x v="23"/>
    <s v="31602185 - Estimulação Elétrica Transcutanea (Tens) (R$ 40,00)"/>
    <s v="Fisioterapia"/>
    <n v="172169"/>
    <s v="Finalizado (4/5)"/>
    <n v="35.200000000000003"/>
    <n v="4.8"/>
    <n v="40"/>
    <s v="Sessão a Faturar"/>
    <s v="54588888010050710012"/>
    <n v="9658"/>
    <s v="Unidade Vieralves (ANEXO)"/>
    <n v="172169"/>
    <m/>
  </r>
  <r>
    <x v="7"/>
    <x v="0"/>
    <s v="Nayara Talassa Damasceno Inácio"/>
    <s v="Feminino"/>
    <x v="2"/>
    <x v="23"/>
    <s v="20103662 - Fisioterapia - Pos Operatorio Em Um Membro (R$ 14,99)"/>
    <s v="Fisioterapia"/>
    <n v="1714106666"/>
    <s v="Finalizado (5/10)"/>
    <n v="13.1912"/>
    <n v="1.7988"/>
    <n v="14.99"/>
    <s v="Sessão Faturada"/>
    <n v="774981007498010"/>
    <n v="55360"/>
    <s v="Unidade Vieralves (ANEXO)"/>
    <n v="1714106666"/>
    <m/>
  </r>
  <r>
    <x v="7"/>
    <x v="0"/>
    <s v="Maria Fernanda Cabral Ribeiro"/>
    <s v="Feminino"/>
    <x v="2"/>
    <x v="23"/>
    <s v="20103484 - Fisioterapia - Patologia Em Um Membro (R$ 12,22)"/>
    <s v="Fisioterapia"/>
    <n v="1717182292"/>
    <s v="Finalizado (1/5)"/>
    <n v="10.7536"/>
    <n v="1.4663999999999999"/>
    <n v="12.22"/>
    <s v="Sessão a Faturar"/>
    <n v="774981007498000"/>
    <n v="55356"/>
    <s v="Unidade Vieralves (ANEXO)"/>
    <n v="1717182292"/>
    <m/>
  </r>
  <r>
    <x v="7"/>
    <x v="0"/>
    <s v="Lucas Catunda  Castello Branco"/>
    <s v="Masculino"/>
    <x v="6"/>
    <x v="23"/>
    <s v="20103662 - Pos Operatorio Em Um Membro (R$ 22,53)"/>
    <s v="Fisioterapia"/>
    <n v="171867"/>
    <s v="Finalizado (4/5)"/>
    <n v="19.8264"/>
    <n v="2.7035999999999998"/>
    <n v="22.53"/>
    <s v="Sessão a Faturar"/>
    <s v="55788888491083670119"/>
    <n v="59335"/>
    <s v="Unidade Vieralves (ANEXO)"/>
    <n v="171867"/>
    <m/>
  </r>
  <r>
    <x v="7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3729"/>
    <s v="Finalizado (2/10)"/>
    <n v="174.91759999999999"/>
    <n v="23.852399999999999"/>
    <n v="198.77"/>
    <s v="Sessão a Faturar"/>
    <n v="2301648"/>
    <n v="7982"/>
    <s v="Unidade Vieralves (ANEXO)"/>
    <n v="3729"/>
    <m/>
  </r>
  <r>
    <x v="7"/>
    <x v="1"/>
    <s v="Lucas Catunda  Castello Branco"/>
    <s v="Masculino"/>
    <x v="6"/>
    <x v="23"/>
    <s v="31602185 - Estimulação Elétrica Transcutanea (Tens) (R$ 40,00)"/>
    <s v="Fisioterapia"/>
    <n v="171991"/>
    <s v="Finalizado (4/5)"/>
    <n v="35.200000000000003"/>
    <n v="4.8"/>
    <n v="40"/>
    <s v="Sessão a Faturar"/>
    <s v="55788888491083670119"/>
    <n v="59335"/>
    <s v="Unidade Vieralves (ANEXO)"/>
    <n v="171991"/>
    <m/>
  </r>
  <r>
    <x v="7"/>
    <x v="2"/>
    <s v="Bianca Peres dos Santos"/>
    <s v="Feminino"/>
    <x v="1"/>
    <x v="23"/>
    <s v="50000160 - Fisioterapia Ortopédica (R$ 20,00), 98980327 - Taxa de Eletroterapia (Tens) (R$ 15,00)"/>
    <s v="Fisioterapia"/>
    <n v="9519192"/>
    <s v="Finalizado (2/10)"/>
    <n v="30.8"/>
    <n v="4.2"/>
    <n v="35"/>
    <s v="Sessão Faturada"/>
    <s v="0901013538700190"/>
    <n v="46287"/>
    <s v="Unidade Vieralves (ANEXO)"/>
    <n v="9519192"/>
    <m/>
  </r>
  <r>
    <x v="7"/>
    <x v="4"/>
    <s v="Adriana Maria de Araujo Silva"/>
    <s v="Feminino"/>
    <x v="2"/>
    <x v="23"/>
    <s v="50000144 - Avaliação de Fisioterapia (R$ 51,42)"/>
    <s v="Fisioterapia"/>
    <n v="1717227868"/>
    <s v="Finalizado (1/1)"/>
    <n v="46.277999999999999"/>
    <n v="5.1420000000000003"/>
    <n v="51.42"/>
    <s v="Sessão Faturada"/>
    <n v="714302000035010"/>
    <n v="38751"/>
    <s v="Unidade Vieralves (ANEXO)"/>
    <n v="1717227868"/>
    <m/>
  </r>
  <r>
    <x v="7"/>
    <x v="5"/>
    <s v="Adriana Maria de Araujo Silva"/>
    <s v="Feminino"/>
    <x v="2"/>
    <x v="23"/>
    <s v="20103492 - Fisioterapia - Patologia Em Dois Ou Mais Membros (R$ 14,83)"/>
    <s v="Fisioterapia"/>
    <n v="1717229287"/>
    <s v="Finalizado (1/3)"/>
    <n v="13.0504"/>
    <n v="1.7796000000000001"/>
    <n v="14.83"/>
    <s v="Sessão Faturada"/>
    <n v="714302000035010"/>
    <n v="38751"/>
    <s v="Unidade Vieralves (ANEXO)"/>
    <n v="1717229287"/>
    <m/>
  </r>
  <r>
    <x v="7"/>
    <x v="13"/>
    <s v="Francisca Lima de Araújo"/>
    <s v="Feminino"/>
    <x v="1"/>
    <x v="23"/>
    <s v="50000160 - Fisioterapia Ortopédica (R$ 20,00), 98980327 - Taxa de Eletroterapia (Tens) (R$ 15,00)"/>
    <s v="Fisioterapia"/>
    <n v="9192147"/>
    <s v="Finalizado (6/7)"/>
    <n v="30.8"/>
    <n v="4.2"/>
    <n v="35"/>
    <s v="Sessão Faturada"/>
    <n v="1901013081250400"/>
    <n v="59462"/>
    <s v="Unidade Vieralves (ANEXO)"/>
    <n v="9192147"/>
    <m/>
  </r>
  <r>
    <x v="7"/>
    <x v="13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5/10)"/>
    <n v="13.0504"/>
    <n v="1.7796000000000001"/>
    <n v="14.83"/>
    <s v="Sessão a Faturar"/>
    <n v="610360710015010"/>
    <n v="59641"/>
    <s v="Unidade Vieralves (ANEXO)"/>
    <n v="1712929093"/>
    <m/>
  </r>
  <r>
    <x v="7"/>
    <x v="14"/>
    <s v="Willyan Dyeno Silva de Oliveira dos Santos"/>
    <s v="Masculino"/>
    <x v="4"/>
    <x v="23"/>
    <s v="31602185 - Estimulação Elétrica Transcutânea - Removido 13/04/2026 (R$ 40,00)"/>
    <s v="Fisioterapia"/>
    <n v="1714105990"/>
    <s v="Finalizado (4/5)"/>
    <n v="35.200000000000003"/>
    <n v="4.8"/>
    <n v="40"/>
    <s v="Sessão Faturada"/>
    <n v="610360710015010"/>
    <n v="59641"/>
    <s v="Unidade Vieralves (ANEXO)"/>
    <n v="1714105990"/>
    <m/>
  </r>
  <r>
    <x v="7"/>
    <x v="15"/>
    <s v="Pedro Lucas Aloise"/>
    <s v="Masculino"/>
    <x v="0"/>
    <x v="23"/>
    <s v="50000160 - Fisioterapia Ortopedica (R$ 49,72)"/>
    <s v="Fisioterapia"/>
    <s v="42263120260306427047"/>
    <s v="Finalizado (2/10)"/>
    <n v="43.753599999999999"/>
    <n v="5.9664000000000001"/>
    <n v="49.72"/>
    <s v="Sessão a Faturar"/>
    <s v="070006652300"/>
    <n v="59259"/>
    <s v="Unidade Vieralves (ANEXO)"/>
    <s v="42263120260306427047"/>
    <m/>
  </r>
  <r>
    <x v="7"/>
    <x v="16"/>
    <s v="Pedro Lucas Aloise"/>
    <s v="Masculino"/>
    <x v="0"/>
    <x v="23"/>
    <s v="31602185 - Estimulação Elétrica Transcutânea Fisioterapia (Novo - 01/12) (R$ 54,13)"/>
    <s v="Fisioterapia"/>
    <s v="42263120260306427070"/>
    <s v="Finalizado (2/10)"/>
    <n v="47.634399999999999"/>
    <n v="6.4955999999999996"/>
    <n v="54.13"/>
    <s v="Sessão a Faturar"/>
    <s v="070006652300"/>
    <n v="59259"/>
    <s v="Unidade Vieralves (ANEXO)"/>
    <s v="42263120260306427070"/>
    <m/>
  </r>
  <r>
    <x v="7"/>
    <x v="17"/>
    <s v="Marcelo Batista Moreira"/>
    <s v="Masculino"/>
    <x v="7"/>
    <x v="23"/>
    <s v="Vieiralves - 1 - Fisioterapia Ortopedica - Pacote (R$ 80,00)"/>
    <s v="Fisioterapia"/>
    <m/>
    <s v="Finalizado (8/10)"/>
    <n v="62.4"/>
    <n v="17.600000000000001"/>
    <n v="80"/>
    <s v="No Prazo"/>
    <n v="0"/>
    <n v="59656"/>
    <s v="Unidade Vieralves (ANEXO)"/>
    <m/>
    <m/>
  </r>
  <r>
    <x v="7"/>
    <x v="8"/>
    <s v="Caio Felipe Soares da Cruz"/>
    <s v="Masculino"/>
    <x v="4"/>
    <x v="23"/>
    <s v="31602185 - Estimulação Elétrica Transcutânea - Removido 13/04/2026 (R$ 40,00)"/>
    <s v="Fisioterapia"/>
    <n v="1712969501"/>
    <s v="Finalizado (5/7)"/>
    <n v="35.200000000000003"/>
    <n v="4.8"/>
    <n v="40"/>
    <s v="Sessão a Faturar"/>
    <n v="889414100973000"/>
    <n v="57595"/>
    <s v="Unidade Vieralves (ANEXO)"/>
    <n v="1712969501"/>
    <m/>
  </r>
  <r>
    <x v="7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7/10)"/>
    <n v="21.507200000000001"/>
    <n v="2.9327999999999999"/>
    <n v="24.44"/>
    <s v="Sessão Faturada"/>
    <n v="889414100973000"/>
    <n v="57595"/>
    <s v="Unidade Vieralves (ANEXO)"/>
    <n v="1710494057"/>
    <m/>
  </r>
  <r>
    <x v="7"/>
    <x v="12"/>
    <s v="Antonio Gonzaga Brito Honorato Junior"/>
    <s v="Masculino"/>
    <x v="2"/>
    <x v="23"/>
    <s v="20103484 - Fisioterapia - Patologia Em Um Membro (R$ 12,22)"/>
    <s v="Fisioterapia"/>
    <n v="1709850818"/>
    <s v="Finalizado (9/10)"/>
    <n v="10.7536"/>
    <n v="1.4663999999999999"/>
    <n v="12.22"/>
    <s v="Sessão Faturada"/>
    <n v="960019320397020"/>
    <n v="59461"/>
    <s v="Unidade Vieralves (ANEXO)"/>
    <n v="1709850818"/>
    <m/>
  </r>
  <r>
    <x v="7"/>
    <x v="12"/>
    <s v="Elen Mara Passos dos Santos"/>
    <s v="Feminino"/>
    <x v="19"/>
    <x v="23"/>
    <s v="90050215 - Avaliação de Fisioterapia (R$ 121,33)"/>
    <s v="Fisioterapia"/>
    <n v="6027110"/>
    <s v="Finalizado (1/1)"/>
    <n v="109.197"/>
    <n v="12.132999999999999"/>
    <n v="121.33"/>
    <s v="Sessão Faturada"/>
    <s v="0001000033760095"/>
    <n v="59771"/>
    <s v="Unidade Vieralves (ANEXO)"/>
    <n v="6027110"/>
    <m/>
  </r>
  <r>
    <x v="7"/>
    <x v="12"/>
    <s v="Elen Mara Passos dos Santos"/>
    <s v="Feminino"/>
    <x v="19"/>
    <x v="23"/>
    <s v="20103484 - Patol. Em Um Membro (R$ 58,02)"/>
    <s v="Fisioterapia"/>
    <n v="6019670"/>
    <s v="Finalizado (1/10)"/>
    <n v="51.057600000000001"/>
    <n v="6.9623999999999997"/>
    <n v="58.02"/>
    <s v="Sessão a Faturar"/>
    <s v="0001000033760095"/>
    <n v="59771"/>
    <s v="Unidade Vieralves (ANEXO)"/>
    <n v="6019670"/>
    <m/>
  </r>
  <r>
    <x v="8"/>
    <x v="22"/>
    <s v="Samira Farias Costa de Souza"/>
    <s v="Feminino"/>
    <x v="2"/>
    <x v="23"/>
    <s v="20103484 - Fisioterapia - Patologia Em Um Membro (R$ 12,22)"/>
    <s v="Fisioterapia"/>
    <n v="1709716473"/>
    <s v="Finalizado (10/10)"/>
    <n v="10.7536"/>
    <n v="1.4663999999999999"/>
    <n v="12.22"/>
    <s v="Sessão Faturada"/>
    <n v="774981013048010"/>
    <n v="59585"/>
    <s v="Unidade Vieralves (ANEXO)"/>
    <n v="1709716473"/>
    <m/>
  </r>
  <r>
    <x v="8"/>
    <x v="22"/>
    <s v="Claudia Ferreira de Souza Cutar"/>
    <s v="Feminino"/>
    <x v="6"/>
    <x v="23"/>
    <s v="20103484 - Patologia Em Um Membro (R$ 14,16), 20103506 - Patologia Em Um Segmento da Coluna (R$ 14,16)"/>
    <s v="Fisioterapia"/>
    <n v="172168"/>
    <s v="Finalizado (5/5)"/>
    <n v="24.921600000000002"/>
    <n v="3.3984000000000001"/>
    <n v="28.32"/>
    <s v="Sessão a Faturar"/>
    <s v="54588888010050710012"/>
    <n v="9658"/>
    <s v="Unidade Vieralves (ANEXO)"/>
    <n v="172168"/>
    <m/>
  </r>
  <r>
    <x v="8"/>
    <x v="22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6/10)"/>
    <n v="30.8"/>
    <n v="4.2"/>
    <n v="35"/>
    <s v="Sessão Faturada"/>
    <n v="1301013792660000"/>
    <n v="59645"/>
    <s v="Unidade Vieralves (ANEXO)"/>
    <n v="9369787"/>
    <m/>
  </r>
  <r>
    <x v="8"/>
    <x v="23"/>
    <s v="Claudia Ferreira de Souza Cutar"/>
    <s v="Feminino"/>
    <x v="6"/>
    <x v="23"/>
    <s v="31602185 - Estimulação Elétrica Transcutanea (Tens) (R$ 40,00)"/>
    <s v="Fisioterapia"/>
    <n v="172169"/>
    <s v="Finalizado (5/5)"/>
    <n v="35.200000000000003"/>
    <n v="4.8"/>
    <n v="40"/>
    <s v="Sessão a Faturar"/>
    <s v="54588888010050710012"/>
    <n v="9658"/>
    <s v="Unidade Vieralves (ANEXO)"/>
    <n v="172169"/>
    <m/>
  </r>
  <r>
    <x v="8"/>
    <x v="23"/>
    <s v="Samira Farias Costa de Souza"/>
    <s v="Feminino"/>
    <x v="4"/>
    <x v="23"/>
    <s v="31602185 - Estimulação Elétrica Transcutânea - Removido 13/04/2026 (R$ 40,00)"/>
    <s v="Fisioterapia"/>
    <n v="1711321666"/>
    <s v="Finalizado (7/9)"/>
    <n v="35.200000000000003"/>
    <n v="4.8"/>
    <n v="40"/>
    <s v="Sessão a Faturar"/>
    <n v="774981013048010"/>
    <n v="59585"/>
    <s v="Unidade Vieralves (ANEXO)"/>
    <n v="1711321666"/>
    <m/>
  </r>
  <r>
    <x v="8"/>
    <x v="0"/>
    <s v="Ana Alice da Silva Araujo"/>
    <s v="Feminino"/>
    <x v="6"/>
    <x v="23"/>
    <s v="20103484 - Patologia Em Um Membro (R$ 14,16)"/>
    <s v="Fisioterapia"/>
    <n v="171201"/>
    <s v="Finalizado (6/10)"/>
    <n v="12.460800000000001"/>
    <n v="1.6992"/>
    <n v="14.16"/>
    <s v="Sessão a Faturar"/>
    <s v="54588888004872900019"/>
    <n v="13030"/>
    <s v="Unidade Vieralves (ANEXO)"/>
    <n v="171201"/>
    <m/>
  </r>
  <r>
    <x v="8"/>
    <x v="0"/>
    <s v="Lucas Catunda  Castello Branco"/>
    <s v="Masculino"/>
    <x v="6"/>
    <x v="23"/>
    <s v="20103662 - Pos Operatorio Em Um Membro (R$ 22,53)"/>
    <s v="Fisioterapia"/>
    <n v="171867"/>
    <s v="Finalizado (5/5)"/>
    <n v="19.8264"/>
    <n v="2.7035999999999998"/>
    <n v="22.53"/>
    <s v="Sessão a Faturar"/>
    <s v="55788888491083670119"/>
    <n v="59335"/>
    <s v="Unidade Vieralves (ANEXO)"/>
    <n v="171867"/>
    <m/>
  </r>
  <r>
    <x v="8"/>
    <x v="0"/>
    <s v="Eudima Fonseca Rocha Briglia da Cunha"/>
    <s v="Feminino"/>
    <x v="12"/>
    <x v="23"/>
    <s v="50000144 - Consulta Fisioterapia (R$ 51,42)"/>
    <s v="Fisioterapia"/>
    <n v="10357559"/>
    <s v="Finalizado (1/1)"/>
    <n v="46.277999999999999"/>
    <n v="5.1420000000000003"/>
    <n v="51.42"/>
    <s v="Sessão a Faturar"/>
    <s v="000743661911200901"/>
    <n v="40339"/>
    <s v="Unidade Vieralves (ANEXO)"/>
    <n v="10357559"/>
    <m/>
  </r>
  <r>
    <x v="8"/>
    <x v="1"/>
    <s v="Ana Alice da Silva Araujo"/>
    <s v="Feminino"/>
    <x v="6"/>
    <x v="23"/>
    <s v="31602185 - Estimulação Elétrica Transcutanea (Tens) (R$ 40,00)"/>
    <s v="Fisioterapia"/>
    <n v="171358"/>
    <s v="Finalizado (6/7)"/>
    <n v="35.200000000000003"/>
    <n v="4.8"/>
    <n v="40"/>
    <s v="Sessão a Faturar"/>
    <s v="54588888004872900019"/>
    <n v="13030"/>
    <s v="Unidade Vieralves (ANEXO)"/>
    <n v="171358"/>
    <m/>
  </r>
  <r>
    <x v="8"/>
    <x v="1"/>
    <s v="Lucas Catunda  Castello Branco"/>
    <s v="Masculino"/>
    <x v="6"/>
    <x v="23"/>
    <s v="31602185 - Estimulação Elétrica Transcutanea (Tens) (R$ 40,00)"/>
    <s v="Fisioterapia"/>
    <n v="171991"/>
    <s v="Finalizado (5/5)"/>
    <n v="35.200000000000003"/>
    <n v="4.8"/>
    <n v="40"/>
    <s v="Sessão a Faturar"/>
    <s v="55788888491083670119"/>
    <n v="59335"/>
    <s v="Unidade Vieralves (ANEXO)"/>
    <n v="171991"/>
    <m/>
  </r>
  <r>
    <x v="8"/>
    <x v="1"/>
    <s v="Eudima Fonseca Rocha Briglia da Cunha"/>
    <s v="Feminino"/>
    <x v="12"/>
    <x v="23"/>
    <s v="20103484 - Patologia Em Um Membro (R$ 12,22)"/>
    <s v="Fisioterapia"/>
    <n v="173058"/>
    <s v="Finalizado (1/10)"/>
    <n v="10.7536"/>
    <n v="1.4663999999999999"/>
    <n v="12.22"/>
    <s v="Sessão a Faturar"/>
    <s v="000743661911200901"/>
    <n v="40339"/>
    <s v="Unidade Vieralves (ANEXO)"/>
    <n v="173058"/>
    <m/>
  </r>
  <r>
    <x v="8"/>
    <x v="2"/>
    <s v="Kamila Barbosa da Silva"/>
    <s v="Feminino"/>
    <x v="6"/>
    <x v="23"/>
    <s v="20103662 - Pos Operatorio Em Um Membro (R$ 22,53)"/>
    <s v="Fisioterapia"/>
    <n v="850996"/>
    <s v="Finalizado (5/10)"/>
    <n v="19.8264"/>
    <n v="2.7035999999999998"/>
    <n v="22.53"/>
    <s v="Sessão a Faturar"/>
    <s v="56788888480435940014"/>
    <n v="48822"/>
    <s v="Unidade Vieralves (ANEXO)"/>
    <n v="850996"/>
    <m/>
  </r>
  <r>
    <x v="8"/>
    <x v="2"/>
    <s v="Sonia Pereira de Oliveira"/>
    <s v="Feminino"/>
    <x v="26"/>
    <x v="23"/>
    <s v="20103492 - Fisioterapia - Patologia Em Dois Ou Mais Membros (R$ 23,85)"/>
    <s v="Fisioterapia"/>
    <n v="275539188"/>
    <s v="Finalizado (6/10)"/>
    <n v="20.988"/>
    <n v="2.8620000000000001"/>
    <n v="23.85"/>
    <s v="Sessão Faturada"/>
    <s v="TWXUA000427004"/>
    <n v="59313"/>
    <s v="Unidade Vieralves (ANEXO)"/>
    <n v="275539188"/>
    <s v="Guia assinada!"/>
  </r>
  <r>
    <x v="8"/>
    <x v="2"/>
    <s v="Bianca Peres dos Santos"/>
    <s v="Feminino"/>
    <x v="1"/>
    <x v="23"/>
    <s v="50000160 - Fisioterapia Ortopédica (R$ 20,00), 98980327 - Taxa de Eletroterapia (Tens) (R$ 15,00)"/>
    <s v="Fisioterapia"/>
    <n v="9519192"/>
    <s v="Finalizado (3/10)"/>
    <n v="30.8"/>
    <n v="4.2"/>
    <n v="35"/>
    <s v="Sessão Faturada"/>
    <s v="0901013538700190"/>
    <n v="46287"/>
    <s v="Unidade Vieralves (ANEXO)"/>
    <n v="9519192"/>
    <m/>
  </r>
  <r>
    <x v="8"/>
    <x v="3"/>
    <s v="Kamila Barbosa da Silva"/>
    <s v="Feminino"/>
    <x v="6"/>
    <x v="23"/>
    <s v="31602185 - Estimulação Elétrica Transcutanea (Tens) (R$ 40,00)"/>
    <s v="Fisioterapia"/>
    <n v="170833"/>
    <s v="Finalizado (5/5)"/>
    <n v="35.200000000000003"/>
    <n v="4.8"/>
    <n v="40"/>
    <s v="Sessão a Faturar"/>
    <s v="56788888480435940014"/>
    <n v="48822"/>
    <s v="Unidade Vieralves (ANEXO)"/>
    <n v="170833"/>
    <m/>
  </r>
  <r>
    <x v="8"/>
    <x v="4"/>
    <s v="Adriana Maria de Araujo Silva"/>
    <s v="Feminino"/>
    <x v="2"/>
    <x v="23"/>
    <s v="20103492 - Fisioterapia - Patologia Em Dois Ou Mais Membros (R$ 14,83)"/>
    <s v="Fisioterapia"/>
    <n v="1717229287"/>
    <s v="Finalizado (2/3)"/>
    <n v="13.0504"/>
    <n v="1.7796000000000001"/>
    <n v="14.83"/>
    <s v="Sessão Faturada"/>
    <n v="714302000035010"/>
    <n v="38751"/>
    <s v="Unidade Vieralves (ANEXO)"/>
    <n v="1717229287"/>
    <m/>
  </r>
  <r>
    <x v="8"/>
    <x v="4"/>
    <s v="Rosemeire Gomes da Silva"/>
    <s v="Feminino"/>
    <x v="9"/>
    <x v="23"/>
    <s v="31602185 - Estimulação Elétrica Transcutânea (Tens) - Removido 13/04/2026 (R$ 40,00)"/>
    <s v="Fisioterapia"/>
    <n v="1715215939"/>
    <s v="Finalizado (3/10)"/>
    <n v="35.200000000000003"/>
    <n v="4.8"/>
    <n v="40"/>
    <s v="Sessão a Faturar"/>
    <n v="954600005541000"/>
    <n v="36089"/>
    <s v="Unidade Vieralves (ANEXO)"/>
    <n v="1715215939"/>
    <m/>
  </r>
  <r>
    <x v="8"/>
    <x v="4"/>
    <s v="Ladyane Moreno Rosa de Almeida"/>
    <s v="Feminino"/>
    <x v="6"/>
    <x v="23"/>
    <s v="20103484 - Patologia Em Um Membro (R$ 14,16)"/>
    <s v="Fisioterapia"/>
    <n v="172302"/>
    <s v="Finalizado (2/2)"/>
    <n v="12.460800000000001"/>
    <n v="1.6992"/>
    <n v="14.16"/>
    <s v="Sessão a Faturar"/>
    <s v="56788888487957080014"/>
    <n v="56246"/>
    <s v="Unidade Vieralves (ANEXO)"/>
    <n v="172302"/>
    <m/>
  </r>
  <r>
    <x v="8"/>
    <x v="5"/>
    <s v="Adriana Maria de Araujo Silva"/>
    <s v="Feminino"/>
    <x v="4"/>
    <x v="23"/>
    <s v="31602185 - Estimulação Elétrica Transcutânea - Removido 13/04/2026 (R$ 40,00)"/>
    <s v="Fisioterapia"/>
    <n v="1717753383"/>
    <s v="Finalizado (1/2)"/>
    <n v="35.200000000000003"/>
    <n v="4.8"/>
    <n v="40"/>
    <s v="Sessão Faturada"/>
    <n v="714302000035010"/>
    <n v="38751"/>
    <s v="Unidade Vieralves (ANEXO)"/>
    <n v="1717753383"/>
    <m/>
  </r>
  <r>
    <x v="8"/>
    <x v="5"/>
    <s v="Rosemeire Gomes da Silva"/>
    <s v="Feminino"/>
    <x v="8"/>
    <x v="23"/>
    <s v="20103492 - Patologia Em Dois Ou Mais Membros (R$ 14,83)"/>
    <s v="Fisioterapia"/>
    <n v="1714711023"/>
    <s v="Finalizado (4/10)"/>
    <n v="13.0504"/>
    <n v="1.7796000000000001"/>
    <n v="14.83"/>
    <s v="Sessão a Faturar"/>
    <n v="954600005541000"/>
    <n v="36089"/>
    <s v="Unidade Vieralves (ANEXO)"/>
    <n v="1714711023"/>
    <m/>
  </r>
  <r>
    <x v="8"/>
    <x v="6"/>
    <s v="Daniele Freitas de Castro Hiura"/>
    <s v="Feminino"/>
    <x v="4"/>
    <x v="23"/>
    <s v="31602185 - Estimulação Elétrica Transcutânea - Removido 13/04/2026 (R$ 40,00)"/>
    <s v="Fisioterapia"/>
    <n v="1716584382"/>
    <s v="Finalizado (2/10)"/>
    <n v="35.200000000000003"/>
    <n v="4.8"/>
    <n v="40"/>
    <s v="Sessão a Faturar"/>
    <n v="771015046116020"/>
    <n v="36678"/>
    <s v="Unidade Vieralves (ANEXO)"/>
    <n v="1716584382"/>
    <m/>
  </r>
  <r>
    <x v="8"/>
    <x v="6"/>
    <s v="Kleberson Ribeiro dos Santos"/>
    <s v="Masculino"/>
    <x v="6"/>
    <x v="23"/>
    <s v="50000144 - Avaliação de Fisioterapia (R$ 56,52)"/>
    <s v="Fisioterapia"/>
    <n v="7700047363"/>
    <s v="Finalizado (1/1)"/>
    <n v="50.868000000000002"/>
    <n v="5.6520000000000001"/>
    <n v="56.52"/>
    <s v="Sessão Faturada"/>
    <s v="54588888479338600014"/>
    <n v="18435"/>
    <s v="Unidade Vieralves (ANEXO)"/>
    <n v="7700047363"/>
    <m/>
  </r>
  <r>
    <x v="8"/>
    <x v="26"/>
    <s v="Kleberson Ribeiro dos Santos"/>
    <s v="Masculino"/>
    <x v="6"/>
    <x v="23"/>
    <s v="20103484 - Patologia Em Um Membro (R$ 14,16)"/>
    <s v="Fisioterapia"/>
    <n v="173072"/>
    <s v="Finalizado (1/10)"/>
    <n v="12.460800000000001"/>
    <n v="1.6992"/>
    <n v="14.16"/>
    <s v="Sessão a Faturar"/>
    <s v="54588888479338600014"/>
    <n v="18435"/>
    <s v="Unidade Vieralves (ANEXO)"/>
    <n v="173072"/>
    <m/>
  </r>
  <r>
    <x v="8"/>
    <x v="7"/>
    <s v="Daniele Freitas de Castro Hiura"/>
    <s v="Feminino"/>
    <x v="2"/>
    <x v="23"/>
    <s v="20103506 - Fisioterapia - Patologia Em Um Segmento da Coluna (R$ 12,22)"/>
    <s v="Fisioterapia"/>
    <n v="1715413981"/>
    <s v="Finalizado (3/10)"/>
    <n v="10.7536"/>
    <n v="1.4663999999999999"/>
    <n v="12.22"/>
    <s v="Sessão a Faturar"/>
    <n v="771015046116020"/>
    <n v="36678"/>
    <s v="Unidade Vieralves (ANEXO)"/>
    <n v="1715413981"/>
    <m/>
  </r>
  <r>
    <x v="8"/>
    <x v="27"/>
    <s v="Kleberson Ribeiro dos Santos"/>
    <s v="Masculino"/>
    <x v="6"/>
    <x v="23"/>
    <s v="31602185 - Estimulação Elétrica Transcutanea (Tens) (R$ 40,00)"/>
    <s v="Fisioterapia"/>
    <n v="173073"/>
    <s v="Finalizado (1/4)"/>
    <n v="35.200000000000003"/>
    <n v="4.8"/>
    <n v="40"/>
    <s v="Sessão a Faturar"/>
    <s v="54588888479338600014"/>
    <n v="18435"/>
    <s v="Unidade Vieralves (ANEXO)"/>
    <n v="173073"/>
    <m/>
  </r>
  <r>
    <x v="8"/>
    <x v="15"/>
    <s v="Pedro Lucas Aloise"/>
    <s v="Masculino"/>
    <x v="0"/>
    <x v="23"/>
    <s v="31602185 - Estimulação Elétrica Transcutânea Fisioterapia (Novo - 01/12) (R$ 54,13)"/>
    <s v="Fisioterapia"/>
    <s v="42263120260306427070"/>
    <s v="Finalizado (3/10)"/>
    <n v="47.634399999999999"/>
    <n v="6.4955999999999996"/>
    <n v="54.13"/>
    <s v="Sessão a Faturar"/>
    <s v="070006652300"/>
    <n v="59259"/>
    <s v="Unidade Vieralves (ANEXO)"/>
    <s v="42263120260306427070"/>
    <m/>
  </r>
  <r>
    <x v="8"/>
    <x v="15"/>
    <s v="Massuello da Silva Quaresma Junior"/>
    <s v="Masculino"/>
    <x v="4"/>
    <x v="23"/>
    <s v="31602185 - Estimulação Elétrica Transcutânea - Removido 13/04/2026 (R$ 40,00)"/>
    <s v="Fisioterapia"/>
    <n v="1715219810"/>
    <s v="Finalizado (2/2)"/>
    <n v="35.200000000000003"/>
    <n v="4.8"/>
    <n v="40"/>
    <s v="Sessão a Faturar"/>
    <n v="810861400019010"/>
    <n v="56496"/>
    <s v="Unidade Vieralves (ANEXO)"/>
    <n v="1715219810"/>
    <m/>
  </r>
  <r>
    <x v="8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7/10)"/>
    <n v="30.8"/>
    <n v="4.2"/>
    <n v="35"/>
    <s v="Sessão Faturada"/>
    <s v="0902002479470014"/>
    <n v="59297"/>
    <s v="Unidade Vieralves (ANEXO)"/>
    <n v="9321749"/>
    <m/>
  </r>
  <r>
    <x v="8"/>
    <x v="16"/>
    <s v="Massuello da Silva Quaresma Junior"/>
    <s v="Masculino"/>
    <x v="2"/>
    <x v="23"/>
    <s v="20103484 - Fisioterapia - Patologia Em Um Membro (R$ 12,22)"/>
    <s v="Fisioterapia"/>
    <n v="1714223486"/>
    <s v="Finalizado (3/10)"/>
    <n v="10.7536"/>
    <n v="1.4663999999999999"/>
    <n v="12.22"/>
    <s v="Sessão a Faturar"/>
    <n v="810861400019010"/>
    <n v="56496"/>
    <s v="Unidade Vieralves (ANEXO)"/>
    <n v="1714223486"/>
    <m/>
  </r>
  <r>
    <x v="8"/>
    <x v="16"/>
    <s v="Pedro Lucas Aloise"/>
    <s v="Masculino"/>
    <x v="0"/>
    <x v="23"/>
    <s v="50000160 - Fisioterapia Ortopedica (R$ 49,72)"/>
    <s v="Fisioterapia"/>
    <s v="42263120260306427047"/>
    <s v="Finalizado (3/10)"/>
    <n v="43.753599999999999"/>
    <n v="5.9664000000000001"/>
    <n v="49.72"/>
    <s v="Sessão a Faturar"/>
    <s v="070006652300"/>
    <n v="59259"/>
    <s v="Unidade Vieralves (ANEXO)"/>
    <s v="42263120260306427047"/>
    <m/>
  </r>
  <r>
    <x v="8"/>
    <x v="17"/>
    <s v="Nayara Talassa Damasceno Inácio"/>
    <s v="Feminino"/>
    <x v="4"/>
    <x v="23"/>
    <s v="31602185 - Estimulação Elétrica Transcutânea - Removido 13/04/2026 (R$ 40,00)"/>
    <s v="Fisioterapia"/>
    <n v="1717815987"/>
    <s v="Finalizado (1/10)"/>
    <n v="35.200000000000003"/>
    <n v="4.8"/>
    <n v="40"/>
    <s v="Sessão a Faturar"/>
    <n v="774981007498010"/>
    <n v="55360"/>
    <s v="Unidade Vieralves (ANEXO)"/>
    <n v="1717815987"/>
    <m/>
  </r>
  <r>
    <x v="8"/>
    <x v="17"/>
    <s v="Luciana Nascimento da Silva"/>
    <s v="Feminino"/>
    <x v="7"/>
    <x v="23"/>
    <s v="Vieiralves - 1 - Fisioterapia Ortopedica - Pacote (R$ 40,00)"/>
    <s v="Fisioterapia"/>
    <m/>
    <s v="Finalizado (9/10)"/>
    <n v="31.2"/>
    <n v="8.8000000000000007"/>
    <n v="40"/>
    <s v="No Prazo"/>
    <s v="00"/>
    <n v="31909"/>
    <s v="Unidade Vieralves (ANEXO)"/>
    <m/>
    <m/>
  </r>
  <r>
    <x v="8"/>
    <x v="17"/>
    <s v="Maria Fernanda Cabral Ribeiro"/>
    <s v="Feminino"/>
    <x v="2"/>
    <x v="23"/>
    <s v="20103484 - Fisioterapia - Patologia Em Um Membro (R$ 12,22)"/>
    <s v="Fisioterapia"/>
    <n v="1717182292"/>
    <s v="Finalizado (2/5)"/>
    <n v="10.7536"/>
    <n v="1.4663999999999999"/>
    <n v="12.22"/>
    <s v="Sessão a Faturar"/>
    <n v="774981007498000"/>
    <n v="55356"/>
    <s v="Unidade Vieralves (ANEXO)"/>
    <n v="1717182292"/>
    <m/>
  </r>
  <r>
    <x v="8"/>
    <x v="17"/>
    <s v="Marcelo Batista Moreira"/>
    <s v="Masculino"/>
    <x v="7"/>
    <x v="23"/>
    <s v="Vieiralves - 1 - Fisioterapia Ortopedica - Pacote (R$ 80,00)"/>
    <s v="Fisioterapia"/>
    <m/>
    <s v="Finalizado (9/10)"/>
    <n v="62.4"/>
    <n v="17.600000000000001"/>
    <n v="80"/>
    <s v="No Prazo"/>
    <n v="0"/>
    <n v="59656"/>
    <s v="Unidade Vieralves (ANEXO)"/>
    <m/>
    <m/>
  </r>
  <r>
    <x v="8"/>
    <x v="18"/>
    <s v="Nayara Talassa Damasceno Inácio"/>
    <s v="Feminino"/>
    <x v="2"/>
    <x v="23"/>
    <s v="20103662 - Fisioterapia - Pos Operatorio Em Um Membro (R$ 14,99)"/>
    <s v="Fisioterapia"/>
    <n v="1714106666"/>
    <s v="Finalizado (6/10)"/>
    <n v="13.1912"/>
    <n v="1.7988"/>
    <n v="14.99"/>
    <s v="Sessão Faturada"/>
    <n v="774981007498010"/>
    <n v="55360"/>
    <s v="Unidade Vieralves (ANEXO)"/>
    <n v="1714106666"/>
    <m/>
  </r>
  <r>
    <x v="8"/>
    <x v="18"/>
    <s v="Maria Fernanda Cabral Ribeiro"/>
    <s v="Feminino"/>
    <x v="4"/>
    <x v="23"/>
    <s v="31602185 - Estimulação Elétrica Transcutânea - Removido 13/04/2026 (R$ 40,00)"/>
    <s v="Fisioterapia"/>
    <n v="1717814277"/>
    <s v="Finalizado (1/10)"/>
    <n v="35.200000000000003"/>
    <n v="4.8"/>
    <n v="40"/>
    <s v="Sessão a Faturar"/>
    <n v="774981007498000"/>
    <n v="55356"/>
    <s v="Unidade Vieralves (ANEXO)"/>
    <n v="1717814277"/>
    <m/>
  </r>
  <r>
    <x v="8"/>
    <x v="8"/>
    <s v="Amália Maria Félix"/>
    <s v="Feminino"/>
    <x v="2"/>
    <x v="23"/>
    <s v="20103662 - Fisioterapia - Pos Operatorio Em Um Membro (R$ 14,99)"/>
    <s v="Fisioterapia"/>
    <n v="1709229340"/>
    <s v="Finalizado (6/10)"/>
    <n v="13.1912"/>
    <n v="1.7988"/>
    <n v="14.99"/>
    <s v="Sessão a Faturar"/>
    <n v="610758850002010"/>
    <n v="58833"/>
    <s v="Unidade Vieralves (ANEXO)"/>
    <n v="1709229340"/>
    <m/>
  </r>
  <r>
    <x v="8"/>
    <x v="8"/>
    <s v="Nilcilene Matias dos Santos"/>
    <s v="Masculino"/>
    <x v="6"/>
    <x v="23"/>
    <s v="20103506 - Patologia Em Um Segmento da Coluna (R$ 14,16)"/>
    <s v="Fisioterapia"/>
    <n v="173100"/>
    <s v="Finalizado (1/10)"/>
    <n v="12.460800000000001"/>
    <n v="1.6992"/>
    <n v="14.16"/>
    <s v="Sessão a Faturar"/>
    <s v="54588888490019950019"/>
    <n v="49908"/>
    <s v="Unidade Vieralves (ANEXO)"/>
    <n v="173100"/>
    <m/>
  </r>
  <r>
    <x v="8"/>
    <x v="8"/>
    <s v="Nilcilene Matias dos Santos"/>
    <s v="Masculino"/>
    <x v="6"/>
    <x v="23"/>
    <s v="31602185 - Estimulação Elétrica Transcutanea (Tens) (R$ 40,00)"/>
    <s v="Fisioterapia"/>
    <n v="173102"/>
    <s v="Finalizado (1/2)"/>
    <n v="35.200000000000003"/>
    <n v="4.8"/>
    <n v="40"/>
    <s v="Sessão a Faturar"/>
    <s v="54588888490019950019"/>
    <n v="49908"/>
    <s v="Unidade Vieralves (ANEXO)"/>
    <n v="173102"/>
    <m/>
  </r>
  <r>
    <x v="8"/>
    <x v="8"/>
    <s v="Nilcilene Matias dos Santos"/>
    <s v="Masculino"/>
    <x v="6"/>
    <x v="23"/>
    <s v="50000144 - Avaliação de Fisioterapia (R$ 56,52)"/>
    <s v="Fisioterapia"/>
    <n v="7700047364"/>
    <s v="Finalizado (1/1)"/>
    <n v="50.868000000000002"/>
    <n v="5.6520000000000001"/>
    <n v="56.52"/>
    <s v="Sessão Faturada"/>
    <s v="54588888490019950019"/>
    <n v="49908"/>
    <s v="Unidade Vieralves (ANEXO)"/>
    <n v="7700047364"/>
    <m/>
  </r>
  <r>
    <x v="8"/>
    <x v="9"/>
    <s v="Amália Maria Félix"/>
    <s v="Feminino"/>
    <x v="4"/>
    <x v="23"/>
    <s v="31602185 - Estimulação Elétrica Transcutânea - Removido 13/04/2026 (R$ 40,00)"/>
    <s v="Fisioterapia"/>
    <n v="1710489391"/>
    <s v="Finalizado (5/9)"/>
    <n v="35.200000000000003"/>
    <n v="4.8"/>
    <n v="40"/>
    <s v="Sessão a Faturar"/>
    <n v="610758850002010"/>
    <n v="58833"/>
    <s v="Unidade Vieralves (ANEXO)"/>
    <n v="1710489391"/>
    <m/>
  </r>
  <r>
    <x v="8"/>
    <x v="10"/>
    <s v="Ney Henrique Lopes Cordeiro"/>
    <s v="Masculino"/>
    <x v="2"/>
    <x v="23"/>
    <s v="20103662 - Fisioterapia - Pos Operatorio Em Um Membro (R$ 14,99)"/>
    <s v="Fisioterapia"/>
    <n v="1713642317"/>
    <s v="Finalizado (3/5)"/>
    <n v="13.1912"/>
    <n v="1.7988"/>
    <n v="14.99"/>
    <s v="Sessão a Faturar"/>
    <n v="610171790036010"/>
    <n v="58355"/>
    <s v="Unidade Vieralves (ANEXO)"/>
    <n v="1713642317"/>
    <m/>
  </r>
  <r>
    <x v="8"/>
    <x v="10"/>
    <s v="Erika da Silva Guedes"/>
    <s v="Feminino"/>
    <x v="6"/>
    <x v="23"/>
    <s v="20103492 - Patologia Em Dois Ou Mais Membros (R$ 30,26)"/>
    <s v="Fisioterapia"/>
    <n v="173104"/>
    <s v="Finalizado (1/1)"/>
    <n v="26.628799999999998"/>
    <n v="3.6312000000000002"/>
    <n v="30.26"/>
    <s v="Sessão a Faturar"/>
    <s v="58200789998086170014"/>
    <n v="59434"/>
    <s v="Unidade Vieralves (ANEXO)"/>
    <n v="173104"/>
    <m/>
  </r>
  <r>
    <x v="8"/>
    <x v="11"/>
    <s v="Erika da Silva Guedes"/>
    <s v="Feminino"/>
    <x v="6"/>
    <x v="23"/>
    <s v="31602185 - Estimulação Elétrica Transcutanea (Tens) (R$ 40,00)"/>
    <s v="Fisioterapia"/>
    <n v="173105"/>
    <s v="Finalizado (1/1)"/>
    <n v="35.200000000000003"/>
    <n v="4.8"/>
    <n v="40"/>
    <s v="Sessão a Faturar"/>
    <s v="58200789998086170014"/>
    <n v="59434"/>
    <s v="Unidade Vieralves (ANEXO)"/>
    <n v="173105"/>
    <m/>
  </r>
  <r>
    <x v="8"/>
    <x v="11"/>
    <s v="Ney Henrique Lopes Cordeiro"/>
    <s v="Masculino"/>
    <x v="4"/>
    <x v="23"/>
    <s v="31602185 - Estimulação Elétrica Transcutânea - Removido 13/04/2026 (R$ 40,00)"/>
    <s v="Fisioterapia"/>
    <n v="1716804863"/>
    <s v="Finalizado (2/4)"/>
    <n v="35.200000000000003"/>
    <n v="4.8"/>
    <n v="40"/>
    <s v="Sessão a Faturar"/>
    <n v="610171790036010"/>
    <n v="58355"/>
    <s v="Unidade Vieralves (ANEXO)"/>
    <n v="1716804863"/>
    <m/>
  </r>
  <r>
    <x v="8"/>
    <x v="12"/>
    <s v="Josicleide Nunes Santos"/>
    <s v="Feminino"/>
    <x v="2"/>
    <x v="23"/>
    <s v="20103492 - Fisioterapia - Patologia Em Dois Ou Mais Membros (R$ 14,83)"/>
    <s v="Fisioterapia"/>
    <n v="1708238595"/>
    <s v="Finalizado (5/5)"/>
    <n v="13.0504"/>
    <n v="1.7796000000000001"/>
    <n v="14.83"/>
    <s v="Sessão Faturada"/>
    <n v="774981001279000"/>
    <n v="20120"/>
    <s v="Unidade Vieralves (ANEXO)"/>
    <n v="1708238595"/>
    <m/>
  </r>
  <r>
    <x v="8"/>
    <x v="12"/>
    <s v="Antonio Gonzaga Brito Honorato Junior"/>
    <s v="Masculino"/>
    <x v="2"/>
    <x v="23"/>
    <s v="20103484 - Fisioterapia - Patologia Em Um Membro (R$ 12,22)"/>
    <s v="Fisioterapia"/>
    <n v="1709850818"/>
    <s v="Finalizado (10/10)"/>
    <n v="10.7536"/>
    <n v="1.4663999999999999"/>
    <n v="12.22"/>
    <s v="Sessão Faturada"/>
    <n v="960019320397020"/>
    <n v="59461"/>
    <s v="Unidade Vieralves (ANEXO)"/>
    <n v="1709850818"/>
    <m/>
  </r>
  <r>
    <x v="8"/>
    <x v="12"/>
    <s v="Bruna Kerolaine Praia Neves"/>
    <s v="Feminino"/>
    <x v="2"/>
    <x v="23"/>
    <s v="20103514 - Fisioterapia - Patologia Em Diferentes Segmentos da Coluna (R$ 14,83)"/>
    <s v="Fisioterapia"/>
    <n v="1715275707"/>
    <s v="Finalizado (4/10)"/>
    <n v="13.0504"/>
    <n v="1.7796000000000001"/>
    <n v="14.83"/>
    <s v="Sessão a Faturar"/>
    <n v="833941000264010"/>
    <n v="51300"/>
    <s v="Unidade Vieralves (ANEXO)"/>
    <n v="1715275707"/>
    <m/>
  </r>
  <r>
    <x v="8"/>
    <x v="12"/>
    <s v="Paulo Cesar Silva Santiago"/>
    <s v="Masculino"/>
    <x v="2"/>
    <x v="23"/>
    <s v="20103514 - Fisioterapia - Patologia Em Diferentes Segmentos da Coluna (R$ 14,83)"/>
    <s v="Fisioterapia"/>
    <n v="1709882272"/>
    <s v="Finalizado (6/7)"/>
    <n v="13.0504"/>
    <n v="1.7796000000000001"/>
    <n v="14.83"/>
    <s v="Sessão a Faturar"/>
    <n v="611168920097000"/>
    <n v="19776"/>
    <s v="Unidade Vieralves (ANEXO)"/>
    <n v="1709882272"/>
    <m/>
  </r>
  <r>
    <x v="8"/>
    <x v="12"/>
    <s v="Bruna Kerolaine Praia Neves"/>
    <s v="Feminino"/>
    <x v="4"/>
    <x v="23"/>
    <s v="31602185 - Estimulação Elétrica Transcutânea - Removido 13/04/2026 (R$ 40,00)"/>
    <s v="Fisioterapia"/>
    <n v="1716285712"/>
    <s v="Finalizado (3/10)"/>
    <n v="35.200000000000003"/>
    <n v="4.8"/>
    <n v="40"/>
    <s v="Sessão a Faturar"/>
    <n v="833941000264010"/>
    <n v="51300"/>
    <s v="Unidade Vieralves (ANEXO)"/>
    <n v="1716285712"/>
    <m/>
  </r>
  <r>
    <x v="8"/>
    <x v="19"/>
    <s v="Josicleide Nunes Santos"/>
    <s v="Feminino"/>
    <x v="4"/>
    <x v="23"/>
    <s v="31602185 - Estimulação Elétrica Transcutânea - Removido 13/04/2026 (R$ 40,00)"/>
    <s v="Fisioterapia"/>
    <n v="1710488005"/>
    <s v="Finalizado (4/5)"/>
    <n v="35.200000000000003"/>
    <n v="4.8"/>
    <n v="40"/>
    <s v="Sessão a Faturar"/>
    <n v="774981001279000"/>
    <n v="20120"/>
    <s v="Unidade Vieralves (ANEXO)"/>
    <n v="1710488005"/>
    <m/>
  </r>
  <r>
    <x v="8"/>
    <x v="19"/>
    <s v="Paulo Cesar Silva Santiago"/>
    <s v="Masculino"/>
    <x v="4"/>
    <x v="23"/>
    <s v="31602185 - Estimulação Elétrica Transcutânea - Removido 13/04/2026 (R$ 40,00)"/>
    <s v="Fisioterapia"/>
    <n v="1710507488"/>
    <s v="Finalizado (5/6)"/>
    <n v="35.200000000000003"/>
    <n v="4.8"/>
    <n v="40"/>
    <s v="Sessão a Faturar"/>
    <n v="611168920097000"/>
    <n v="19776"/>
    <s v="Unidade Vieralves (ANEXO)"/>
    <n v="1710507488"/>
    <m/>
  </r>
  <r>
    <x v="9"/>
    <x v="22"/>
    <s v="Barbara Barros Jacob"/>
    <s v="Feminino"/>
    <x v="1"/>
    <x v="23"/>
    <s v="50000160 - Fisioterapia Ortopédica (R$ 20,00), 98980327 - Taxa de Eletroterapia (Tens) (R$ 15,00)"/>
    <s v="Fisioterapia"/>
    <n v="9482393"/>
    <s v="Finalizado (1/10)"/>
    <n v="30.8"/>
    <n v="4.2"/>
    <n v="35"/>
    <s v="Sessão a Faturar"/>
    <s v="0201013029220011"/>
    <n v="41008"/>
    <s v="Unidade Vieralves (ANEXO)"/>
    <n v="9482393"/>
    <s v="Guia assinada!"/>
  </r>
  <r>
    <x v="9"/>
    <x v="22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6/10)"/>
    <n v="13.0504"/>
    <n v="1.7796000000000001"/>
    <n v="14.83"/>
    <s v="Sessão a Faturar"/>
    <n v="610360710015010"/>
    <n v="59641"/>
    <s v="Unidade Vieralves (ANEXO)"/>
    <n v="1712929093"/>
    <m/>
  </r>
  <r>
    <x v="9"/>
    <x v="22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7/10)"/>
    <n v="30.8"/>
    <n v="4.2"/>
    <n v="35"/>
    <s v="Sessão Faturada"/>
    <n v="1301013792660000"/>
    <n v="59645"/>
    <s v="Unidade Vieralves (ANEXO)"/>
    <n v="9369787"/>
    <m/>
  </r>
  <r>
    <x v="9"/>
    <x v="23"/>
    <s v="Willyan Dyeno Silva de Oliveira dos Santos"/>
    <s v="Masculino"/>
    <x v="4"/>
    <x v="23"/>
    <s v="31602185 - Estimulação Elétrica Transcutânea - Removido 13/04/2026 (R$ 40,00)"/>
    <s v="Fisioterapia"/>
    <n v="1714105990"/>
    <s v="Finalizado (5/5)"/>
    <n v="35.200000000000003"/>
    <n v="4.8"/>
    <n v="40"/>
    <s v="Sessão Faturada"/>
    <n v="610360710015010"/>
    <n v="59641"/>
    <s v="Unidade Vieralves (ANEXO)"/>
    <n v="1714105990"/>
    <m/>
  </r>
  <r>
    <x v="9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3729"/>
    <s v="Finalizado (3/10)"/>
    <n v="174.91759999999999"/>
    <n v="23.852399999999999"/>
    <n v="198.77"/>
    <s v="Sessão a Faturar"/>
    <n v="2301648"/>
    <n v="7982"/>
    <s v="Unidade Vieralves (ANEXO)"/>
    <n v="3729"/>
    <m/>
  </r>
  <r>
    <x v="9"/>
    <x v="2"/>
    <s v="Bianca Peres dos Santos"/>
    <s v="Feminino"/>
    <x v="1"/>
    <x v="23"/>
    <s v="50000160 - Fisioterapia Ortopédica (R$ 20,00), 98980327 - Taxa de Eletroterapia (Tens) (R$ 15,00)"/>
    <s v="Fisioterapia"/>
    <n v="9519192"/>
    <s v="Finalizado (4/10)"/>
    <n v="30.8"/>
    <n v="4.2"/>
    <n v="35"/>
    <s v="Sessão Faturada"/>
    <s v="0901013538700190"/>
    <n v="46287"/>
    <s v="Unidade Vieralves (ANEXO)"/>
    <n v="9519192"/>
    <m/>
  </r>
  <r>
    <x v="9"/>
    <x v="4"/>
    <s v="Sonia Pereira de Oliveira"/>
    <s v="Feminino"/>
    <x v="26"/>
    <x v="23"/>
    <s v="20103492 - Fisioterapia - Patologia Em Dois Ou Mais Membros (R$ 23,85)"/>
    <s v="Fisioterapia"/>
    <n v="275539188"/>
    <s v="Não compareceu (7/10)"/>
    <n v="23.85"/>
    <n v="0"/>
    <n v="23.85"/>
    <s v="Sessão Faturada"/>
    <s v="TWXUA000427004"/>
    <n v="59313"/>
    <s v="Unidade Vieralves (ANEXO)"/>
    <n v="275539188"/>
    <s v="Guia assinada!"/>
  </r>
  <r>
    <x v="9"/>
    <x v="4"/>
    <s v="Adriana Maria de Araujo Silva"/>
    <s v="Feminino"/>
    <x v="2"/>
    <x v="23"/>
    <s v="20103492 - Fisioterapia - Patologia Em Dois Ou Mais Membros (R$ 14,83)"/>
    <s v="Fisioterapia"/>
    <n v="1717229287"/>
    <s v="Finalizado (3/3)"/>
    <n v="13.0504"/>
    <n v="1.7796000000000001"/>
    <n v="14.83"/>
    <s v="Sessão Faturada"/>
    <n v="714302000035010"/>
    <n v="38751"/>
    <s v="Unidade Vieralves (ANEXO)"/>
    <n v="1717229287"/>
    <m/>
  </r>
  <r>
    <x v="9"/>
    <x v="4"/>
    <s v="Rui Jorge Rodrigues Fialho"/>
    <s v="Masculino"/>
    <x v="4"/>
    <x v="23"/>
    <s v="31602185 - Estimulação Elétrica Transcutânea - Removido 13/04/2026 (R$ 40,00)"/>
    <s v="Fisioterapia"/>
    <n v="1714133570"/>
    <s v="Finalizado (4/10)"/>
    <n v="35.200000000000003"/>
    <n v="4.8"/>
    <n v="40"/>
    <s v="Sessão a Faturar"/>
    <n v="771015043265010"/>
    <n v="35722"/>
    <s v="Unidade Vieralves (ANEXO)"/>
    <n v="1714133570"/>
    <m/>
  </r>
  <r>
    <x v="9"/>
    <x v="4"/>
    <s v="Adriana Maria de Araujo Silva"/>
    <s v="Feminino"/>
    <x v="4"/>
    <x v="23"/>
    <s v="31602185 - Estimulação Elétrica Transcutânea - Removido 13/04/2026 (R$ 40,00)"/>
    <s v="Fisioterapia"/>
    <n v="1717753383"/>
    <s v="Finalizado (2/2)"/>
    <n v="35.200000000000003"/>
    <n v="4.8"/>
    <n v="40"/>
    <s v="Sessão Faturada"/>
    <n v="714302000035010"/>
    <n v="38751"/>
    <s v="Unidade Vieralves (ANEXO)"/>
    <n v="1717753383"/>
    <m/>
  </r>
  <r>
    <x v="9"/>
    <x v="5"/>
    <s v="Rui Jorge Rodrigues Fialho"/>
    <s v="Masculino"/>
    <x v="2"/>
    <x v="23"/>
    <s v="20103506 - Fisioterapia - Patologia Em Um Segmento da Coluna (R$ 12,22)"/>
    <s v="Fisioterapia"/>
    <n v="1712879810"/>
    <s v="Finalizado (5/10)"/>
    <n v="10.7536"/>
    <n v="1.4663999999999999"/>
    <n v="12.22"/>
    <s v="Sessão a Faturar"/>
    <n v="771015043265010"/>
    <n v="35722"/>
    <s v="Unidade Vieralves (ANEXO)"/>
    <n v="1712879810"/>
    <m/>
  </r>
  <r>
    <x v="9"/>
    <x v="13"/>
    <s v="Augusto Sérgio dos Santos Cardoso"/>
    <s v="Masculino"/>
    <x v="7"/>
    <x v="23"/>
    <s v="Vieiralves - 1 - Fisioterapia Ortopedica - Pacote (R$ 40,00)"/>
    <s v="Fisioterapia"/>
    <n v="171220"/>
    <s v="Finalizado (5/10)"/>
    <n v="31.2"/>
    <n v="8.8000000000000007"/>
    <n v="40"/>
    <s v="Pago"/>
    <n v="0"/>
    <n v="59068"/>
    <s v="Unidade Vieralves (ANEXO)"/>
    <n v="171220"/>
    <m/>
  </r>
  <r>
    <x v="9"/>
    <x v="6"/>
    <s v="Mariana Cruz Schettini"/>
    <s v="Feminino"/>
    <x v="20"/>
    <x v="23"/>
    <s v="00010929 - Avaliação de Fisioterapia (R$ 36,00)"/>
    <s v="Fisioterapia"/>
    <n v="55847880"/>
    <s v="Finalizado (1/1)"/>
    <n v="32.4"/>
    <n v="3.6"/>
    <n v="36"/>
    <s v="Sessão Faturada"/>
    <n v="10514600938900"/>
    <n v="59786"/>
    <s v="Unidade Vieralves (ANEXO)"/>
    <n v="55847880"/>
    <m/>
  </r>
  <r>
    <x v="9"/>
    <x v="7"/>
    <s v="Mariana Cruz Schettini"/>
    <s v="Feminino"/>
    <x v="20"/>
    <x v="23"/>
    <s v="20103484 - Patologia Em Um Membro (R$ 29,04)"/>
    <s v="Fisioterapia"/>
    <n v="55847060"/>
    <s v="Finalizado (1/10)"/>
    <n v="25.555199999999999"/>
    <n v="3.4847999999999999"/>
    <n v="29.04"/>
    <s v="Sessão a Faturar"/>
    <n v="10514600938900"/>
    <n v="59786"/>
    <s v="Unidade Vieralves (ANEXO)"/>
    <n v="55847060"/>
    <m/>
  </r>
  <r>
    <x v="9"/>
    <x v="15"/>
    <s v="Amália Maria Félix"/>
    <s v="Feminino"/>
    <x v="2"/>
    <x v="23"/>
    <s v="20103662 - Fisioterapia - Pos Operatorio Em Um Membro (R$ 14,99)"/>
    <s v="Fisioterapia"/>
    <n v="1709229340"/>
    <s v="Finalizado (7/10)"/>
    <n v="13.1912"/>
    <n v="1.7988"/>
    <n v="14.99"/>
    <s v="Sessão a Faturar"/>
    <n v="610758850002010"/>
    <n v="58833"/>
    <s v="Unidade Vieralves (ANEXO)"/>
    <n v="1709229340"/>
    <m/>
  </r>
  <r>
    <x v="9"/>
    <x v="15"/>
    <s v="Amália Maria Félix"/>
    <s v="Feminino"/>
    <x v="4"/>
    <x v="23"/>
    <s v="31602185 - Estimulação Elétrica Transcutânea - Removido 13/04/2026 (R$ 40,00)"/>
    <s v="Fisioterapia"/>
    <n v="1710489391"/>
    <s v="Finalizado (6/9)"/>
    <n v="35.200000000000003"/>
    <n v="4.8"/>
    <n v="40"/>
    <s v="Sessão a Faturar"/>
    <n v="610758850002010"/>
    <n v="58833"/>
    <s v="Unidade Vieralves (ANEXO)"/>
    <n v="1710489391"/>
    <m/>
  </r>
  <r>
    <x v="9"/>
    <x v="15"/>
    <s v="Carlos Cristiano Felix"/>
    <s v="Masculino"/>
    <x v="6"/>
    <x v="23"/>
    <s v="20103506 - Patologia Em Um Segmento da Coluna (R$ 14,16)"/>
    <s v="Fisioterapia"/>
    <n v="172223"/>
    <s v="Finalizado (1/5)"/>
    <n v="12.460800000000001"/>
    <n v="1.6992"/>
    <n v="14.16"/>
    <s v="Sessão a Faturar"/>
    <s v="55788888486887820113"/>
    <n v="58849"/>
    <s v="Unidade Vieralves (ANEXO)"/>
    <n v="172223"/>
    <m/>
  </r>
  <r>
    <x v="9"/>
    <x v="15"/>
    <s v="Pedro Lucas Aloise"/>
    <s v="Masculino"/>
    <x v="0"/>
    <x v="23"/>
    <s v="50000160 - Fisioterapia Ortopedica (R$ 49,72)"/>
    <s v="Fisioterapia"/>
    <s v="42263120260306427047"/>
    <s v="Finalizado (4/10)"/>
    <n v="43.753599999999999"/>
    <n v="5.9664000000000001"/>
    <n v="49.72"/>
    <s v="Sessão a Faturar"/>
    <s v="070006652300"/>
    <n v="59259"/>
    <s v="Unidade Vieralves (ANEXO)"/>
    <s v="42263120260306427047"/>
    <m/>
  </r>
  <r>
    <x v="9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8/10)"/>
    <n v="30.8"/>
    <n v="4.2"/>
    <n v="35"/>
    <s v="Sessão Faturada"/>
    <s v="0902002479470014"/>
    <n v="59297"/>
    <s v="Unidade Vieralves (ANEXO)"/>
    <n v="9321749"/>
    <m/>
  </r>
  <r>
    <x v="9"/>
    <x v="16"/>
    <s v="Carlos Cristiano Felix"/>
    <s v="Masculino"/>
    <x v="6"/>
    <x v="23"/>
    <s v="31602185 - Estimulação Elétrica Transcutanea (Tens) (R$ 40,00)"/>
    <s v="Fisioterapia"/>
    <n v="172618"/>
    <s v="Finalizado (1/1)"/>
    <n v="35.200000000000003"/>
    <n v="4.8"/>
    <n v="40"/>
    <s v="Sessão a Faturar"/>
    <s v="55788888486887820113"/>
    <n v="58849"/>
    <s v="Unidade Vieralves (ANEXO)"/>
    <n v="172618"/>
    <m/>
  </r>
  <r>
    <x v="9"/>
    <x v="16"/>
    <s v="Pedro Lucas Aloise"/>
    <s v="Masculino"/>
    <x v="0"/>
    <x v="23"/>
    <s v="31602185 - Estimulação Elétrica Transcutânea Fisioterapia (Novo - 01/12) (R$ 54,13)"/>
    <s v="Fisioterapia"/>
    <s v="42263120260306427070"/>
    <s v="Finalizado (4/10)"/>
    <n v="47.634399999999999"/>
    <n v="6.4955999999999996"/>
    <n v="54.13"/>
    <s v="Sessão a Faturar"/>
    <s v="070006652300"/>
    <n v="59259"/>
    <s v="Unidade Vieralves (ANEXO)"/>
    <s v="42263120260306427070"/>
    <m/>
  </r>
  <r>
    <x v="9"/>
    <x v="17"/>
    <s v="Marcus Vinicius da Costa Corrêa"/>
    <s v="Masculino"/>
    <x v="2"/>
    <x v="23"/>
    <s v="20103514 - Fisioterapia - Patologia Em Diferentes Segmentos da Coluna (R$ 14,83)"/>
    <s v="Fisioterapia"/>
    <n v="1710477354"/>
    <s v="Finalizado (4/5)"/>
    <n v="13.0504"/>
    <n v="1.7796000000000001"/>
    <n v="14.83"/>
    <s v="Sessão a Faturar"/>
    <n v="774981007188010"/>
    <n v="59433"/>
    <s v="Unidade Vieralves (ANEXO)"/>
    <n v="1710477354"/>
    <m/>
  </r>
  <r>
    <x v="9"/>
    <x v="17"/>
    <s v="Nayara Talassa Damasceno Inácio"/>
    <s v="Feminino"/>
    <x v="2"/>
    <x v="23"/>
    <s v="20103662 - Fisioterapia - Pos Operatorio Em Um Membro (R$ 14,99)"/>
    <s v="Fisioterapia"/>
    <n v="1714106666"/>
    <s v="Finalizado (7/10)"/>
    <n v="13.1912"/>
    <n v="1.7988"/>
    <n v="14.99"/>
    <s v="Sessão Faturada"/>
    <n v="774981007498010"/>
    <n v="55360"/>
    <s v="Unidade Vieralves (ANEXO)"/>
    <n v="1714106666"/>
    <m/>
  </r>
  <r>
    <x v="9"/>
    <x v="17"/>
    <s v="Maria Fernanda Cabral Ribeiro"/>
    <s v="Feminino"/>
    <x v="2"/>
    <x v="23"/>
    <s v="20103484 - Fisioterapia - Patologia Em Um Membro (R$ 12,22)"/>
    <s v="Fisioterapia"/>
    <n v="1717182292"/>
    <s v="Finalizado (3/5)"/>
    <n v="10.7536"/>
    <n v="1.4663999999999999"/>
    <n v="12.22"/>
    <s v="Sessão a Faturar"/>
    <n v="774981007498000"/>
    <n v="55356"/>
    <s v="Unidade Vieralves (ANEXO)"/>
    <n v="1717182292"/>
    <m/>
  </r>
  <r>
    <x v="9"/>
    <x v="17"/>
    <s v="Marcelo Batista Moreira"/>
    <s v="Masculino"/>
    <x v="7"/>
    <x v="23"/>
    <s v="Vieiralves - 1 - Fisioterapia Ortopedica - Pacote (R$ 80,00)"/>
    <s v="Fisioterapia"/>
    <m/>
    <s v="Finalizado (10/10)"/>
    <n v="62.4"/>
    <n v="17.600000000000001"/>
    <n v="80"/>
    <s v="No Prazo"/>
    <n v="0"/>
    <n v="59656"/>
    <s v="Unidade Vieralves (ANEXO)"/>
    <m/>
    <m/>
  </r>
  <r>
    <x v="9"/>
    <x v="18"/>
    <s v="Marcus Vinicius da Costa Corrêa"/>
    <s v="Masculino"/>
    <x v="4"/>
    <x v="23"/>
    <s v="31602185 - Estimulação Elétrica Transcutânea - Removido 13/04/2026 (R$ 40,00)"/>
    <s v="Fisioterapia"/>
    <n v="1712975026"/>
    <s v="Finalizado (3/4)"/>
    <n v="35.200000000000003"/>
    <n v="4.8"/>
    <n v="40"/>
    <s v="Sessão a Faturar"/>
    <n v="774981007188010"/>
    <n v="59433"/>
    <s v="Unidade Vieralves (ANEXO)"/>
    <n v="1712975026"/>
    <m/>
  </r>
  <r>
    <x v="9"/>
    <x v="18"/>
    <s v="Maria Fernanda Cabral Ribeiro"/>
    <s v="Feminino"/>
    <x v="4"/>
    <x v="23"/>
    <s v="31602185 - Estimulação Elétrica Transcutânea - Removido 13/04/2026 (R$ 40,00)"/>
    <s v="Fisioterapia"/>
    <n v="1717814277"/>
    <s v="Finalizado (2/10)"/>
    <n v="35.200000000000003"/>
    <n v="4.8"/>
    <n v="40"/>
    <s v="Sessão a Faturar"/>
    <n v="774981007498000"/>
    <n v="55356"/>
    <s v="Unidade Vieralves (ANEXO)"/>
    <n v="1717814277"/>
    <m/>
  </r>
  <r>
    <x v="9"/>
    <x v="18"/>
    <s v="Nayara Talassa Damasceno Inácio"/>
    <s v="Feminino"/>
    <x v="4"/>
    <x v="23"/>
    <s v="31602185 - Estimulação Elétrica Transcutânea - Removido 13/04/2026 (R$ 40,00)"/>
    <s v="Fisioterapia"/>
    <n v="1717815987"/>
    <s v="Finalizado (2/10)"/>
    <n v="35.200000000000003"/>
    <n v="4.8"/>
    <n v="40"/>
    <s v="Sessão a Faturar"/>
    <n v="774981007498010"/>
    <n v="55360"/>
    <s v="Unidade Vieralves (ANEXO)"/>
    <n v="1717815987"/>
    <m/>
  </r>
  <r>
    <x v="9"/>
    <x v="8"/>
    <s v="Caio Felipe Soares da Cruz"/>
    <s v="Masculino"/>
    <x v="4"/>
    <x v="23"/>
    <s v="31602185 - Estimulação Elétrica Transcutânea - Removido 13/04/2026 (R$ 40,00)"/>
    <s v="Fisioterapia"/>
    <n v="1712969501"/>
    <s v="Finalizado (6/7)"/>
    <n v="35.200000000000003"/>
    <n v="4.8"/>
    <n v="40"/>
    <s v="Sessão a Faturar"/>
    <n v="889414100973000"/>
    <n v="57595"/>
    <s v="Unidade Vieralves (ANEXO)"/>
    <n v="1712969501"/>
    <m/>
  </r>
  <r>
    <x v="9"/>
    <x v="8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8/10)"/>
    <n v="21.507200000000001"/>
    <n v="2.9327999999999999"/>
    <n v="24.44"/>
    <s v="Sessão Faturada"/>
    <n v="889414100973000"/>
    <n v="57595"/>
    <s v="Unidade Vieralves (ANEXO)"/>
    <n v="1710494057"/>
    <m/>
  </r>
  <r>
    <x v="9"/>
    <x v="8"/>
    <s v="Bruna Kerolaine Praia Neves"/>
    <s v="Feminino"/>
    <x v="2"/>
    <x v="23"/>
    <s v="20103514 - Fisioterapia - Patologia Em Diferentes Segmentos da Coluna (R$ 14,83)"/>
    <s v="Fisioterapia"/>
    <n v="1715275707"/>
    <s v="Finalizado (5/10)"/>
    <n v="13.0504"/>
    <n v="1.7796000000000001"/>
    <n v="14.83"/>
    <s v="Sessão a Faturar"/>
    <n v="833941000264010"/>
    <n v="51300"/>
    <s v="Unidade Vieralves (ANEXO)"/>
    <n v="1715275707"/>
    <m/>
  </r>
  <r>
    <x v="9"/>
    <x v="8"/>
    <s v="Edmundo dos Santos Freitas"/>
    <s v="Masculino"/>
    <x v="10"/>
    <x v="23"/>
    <s v="50000160 - Fisioterapia Ortopédica (R$ 15,00)"/>
    <s v="Fisioterapia"/>
    <n v="21123843"/>
    <s v="Finalizado (8/10)"/>
    <n v="13.2"/>
    <n v="1.8"/>
    <n v="15"/>
    <s v="Sessão Faturada"/>
    <s v="00010064289222002"/>
    <n v="59546"/>
    <s v="Unidade Vieralves (ANEXO)"/>
    <n v="21123843"/>
    <m/>
  </r>
  <r>
    <x v="9"/>
    <x v="9"/>
    <s v="Bruna Kerolaine Praia Neves"/>
    <s v="Feminino"/>
    <x v="4"/>
    <x v="23"/>
    <s v="31602185 - Estimulação Elétrica Transcutânea - Removido 13/04/2026 (R$ 40,00)"/>
    <s v="Fisioterapia"/>
    <n v="1716285712"/>
    <s v="Finalizado (4/10)"/>
    <n v="35.200000000000003"/>
    <n v="4.8"/>
    <n v="40"/>
    <s v="Sessão a Faturar"/>
    <n v="833941000264010"/>
    <n v="51300"/>
    <s v="Unidade Vieralves (ANEXO)"/>
    <n v="1716285712"/>
    <m/>
  </r>
  <r>
    <x v="9"/>
    <x v="10"/>
    <s v="Kleberson Ribeiro dos Santos"/>
    <s v="Masculino"/>
    <x v="6"/>
    <x v="23"/>
    <s v="20103484 - Patologia Em Um Membro (R$ 14,16)"/>
    <s v="Fisioterapia"/>
    <n v="173072"/>
    <s v="Finalizado (2/10)"/>
    <n v="12.460800000000001"/>
    <n v="1.6992"/>
    <n v="14.16"/>
    <s v="Sessão a Faturar"/>
    <s v="54588888479338600014"/>
    <n v="18435"/>
    <s v="Unidade Vieralves (ANEXO)"/>
    <n v="173072"/>
    <m/>
  </r>
  <r>
    <x v="9"/>
    <x v="10"/>
    <s v="Edineia de Medeiros Castro"/>
    <s v="Feminino"/>
    <x v="2"/>
    <x v="23"/>
    <s v="20103484 - Fisioterapia - Patologia Em Um Membro (R$ 12,22)"/>
    <s v="Fisioterapia"/>
    <n v="1716807277"/>
    <s v="Finalizado (2/10)"/>
    <n v="10.7536"/>
    <n v="1.4663999999999999"/>
    <n v="12.22"/>
    <s v="Sessão a Faturar"/>
    <n v="960016147526000"/>
    <n v="59383"/>
    <s v="Unidade Vieralves (ANEXO)"/>
    <n v="1716807277"/>
    <m/>
  </r>
  <r>
    <x v="9"/>
    <x v="10"/>
    <s v="Mell Lenigia Oliveira da Cruz"/>
    <s v="Feminino"/>
    <x v="6"/>
    <x v="23"/>
    <s v="20103514 - Patologia Em Dois Ou Mais Segmentos da Coluna (R$ 32,82)"/>
    <s v="Fisioterapia"/>
    <n v="172214"/>
    <s v="Finalizado (3/3)"/>
    <n v="28.881599999999999"/>
    <n v="3.9384000000000001"/>
    <n v="32.82"/>
    <s v="Sessão a Faturar"/>
    <s v="55788888485414000013"/>
    <n v="21643"/>
    <s v="Unidade Vieralves (ANEXO)"/>
    <n v="172214"/>
    <m/>
  </r>
  <r>
    <x v="9"/>
    <x v="10"/>
    <s v="Simone Carvalho da Silva Grijo"/>
    <s v="Feminino"/>
    <x v="5"/>
    <x v="23"/>
    <s v="98860020 - Fisioterapia Complexidade 2 - 04/03/2026 (R$ 70,79)"/>
    <s v="Fisioterapia"/>
    <n v="76803750"/>
    <s v="Finalizado (8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9"/>
    <x v="11"/>
    <s v="Simone Carvalho da Silva Grijo"/>
    <s v="Feminino"/>
    <x v="5"/>
    <x v="23"/>
    <s v="31602185 - Estimulação Elétrica Transcutânea (Tens) (R$ 125,40)"/>
    <s v="Fisioterapia"/>
    <n v="79227650"/>
    <s v="Finalizado (6/10)"/>
    <n v="110.352"/>
    <n v="15.048"/>
    <n v="125.4"/>
    <s v="Sessão a Faturar"/>
    <s v="0101072415010378"/>
    <n v="11558"/>
    <s v="Unidade Vieralves (ANEXO)"/>
    <n v="79227650"/>
    <m/>
  </r>
  <r>
    <x v="9"/>
    <x v="11"/>
    <s v="Kleberson Ribeiro dos Santos"/>
    <s v="Masculino"/>
    <x v="6"/>
    <x v="23"/>
    <s v="31602185 - Estimulação Elétrica Transcutanea (Tens) (R$ 40,00)"/>
    <s v="Fisioterapia"/>
    <n v="173073"/>
    <s v="Finalizado (2/4)"/>
    <n v="35.200000000000003"/>
    <n v="4.8"/>
    <n v="40"/>
    <s v="Sessão a Faturar"/>
    <s v="54588888479338600014"/>
    <n v="18435"/>
    <s v="Unidade Vieralves (ANEXO)"/>
    <n v="173073"/>
    <m/>
  </r>
  <r>
    <x v="9"/>
    <x v="11"/>
    <s v="Mell Lenigia Oliveira da Cruz"/>
    <s v="Feminino"/>
    <x v="6"/>
    <x v="23"/>
    <s v="31602185 - Estimulação Elétrica Transcutanea (Tens) (R$ 40,00)"/>
    <s v="Fisioterapia"/>
    <n v="172215"/>
    <s v="Finalizado (3/3)"/>
    <n v="35.200000000000003"/>
    <n v="4.8"/>
    <n v="40"/>
    <s v="Sessão a Faturar"/>
    <s v="55788888485414000013"/>
    <n v="21643"/>
    <s v="Unidade Vieralves (ANEXO)"/>
    <n v="172215"/>
    <m/>
  </r>
  <r>
    <x v="9"/>
    <x v="11"/>
    <s v="Edineia de Medeiros Castro"/>
    <s v="Feminino"/>
    <x v="4"/>
    <x v="23"/>
    <s v="31602185 - Estimulação Elétrica Transcutânea - Removido 13/04/2026 (R$ 40,00)"/>
    <s v="Fisioterapia"/>
    <n v="1713011713"/>
    <s v="Finalizado (6/10)"/>
    <n v="35.200000000000003"/>
    <n v="4.8"/>
    <n v="40"/>
    <s v="Sessão a Faturar"/>
    <n v="960016147526000"/>
    <n v="59383"/>
    <s v="Unidade Vieralves (ANEXO)"/>
    <n v="1713011713"/>
    <m/>
  </r>
  <r>
    <x v="9"/>
    <x v="12"/>
    <s v="Willian da Silva Marques"/>
    <s v="Masculino"/>
    <x v="6"/>
    <x v="23"/>
    <s v="20103484 - Patologia Em Um Membro (R$ 14,16)"/>
    <s v="Fisioterapia"/>
    <n v="171333"/>
    <s v="Finalizado (8/10)"/>
    <n v="12.460800000000001"/>
    <n v="1.6992"/>
    <n v="14.16"/>
    <s v="Sessão a Faturar"/>
    <s v="58201065997798090011"/>
    <n v="58695"/>
    <s v="Unidade Vieralves (ANEXO)"/>
    <n v="171333"/>
    <m/>
  </r>
  <r>
    <x v="9"/>
    <x v="12"/>
    <s v="Willian da Silva Marques"/>
    <s v="Masculino"/>
    <x v="6"/>
    <x v="23"/>
    <s v="31602185 - Estimulação Elétrica Transcutanea (Tens) (R$ 40,00)"/>
    <s v="Fisioterapia"/>
    <n v="171562"/>
    <s v="Finalizado (8/10)"/>
    <n v="35.200000000000003"/>
    <n v="4.8"/>
    <n v="40"/>
    <s v="Sessão a Faturar"/>
    <s v="58201065997798090011"/>
    <n v="58695"/>
    <s v="Unidade Vieralves (ANEXO)"/>
    <n v="171562"/>
    <m/>
  </r>
  <r>
    <x v="9"/>
    <x v="12"/>
    <s v="Sarajane Ferreira Feitoza"/>
    <m/>
    <x v="10"/>
    <x v="23"/>
    <s v="50000160 - Fisioterapia Ortopédica (R$ 15,00)"/>
    <s v="Fisioterapia"/>
    <n v="23002188"/>
    <s v="Finalizado (1/10)"/>
    <n v="13.2"/>
    <n v="1.8"/>
    <n v="15"/>
    <s v="Sessão a Faturar"/>
    <s v="00010064269339001"/>
    <n v="59783"/>
    <s v="Unidade Vieralves (ANEXO)"/>
    <n v="23002188"/>
    <m/>
  </r>
  <r>
    <x v="10"/>
    <x v="22"/>
    <s v="Alziane Lima da Silva"/>
    <s v="Feminino"/>
    <x v="1"/>
    <x v="23"/>
    <s v="50000160 - Fisioterapia Ortopédica (R$ 20,00), 98980327 - Taxa de Eletroterapia (Tens) (R$ 15,00)"/>
    <s v="Fisioterapia"/>
    <n v="9209397"/>
    <s v="Finalizado (9/10)"/>
    <n v="30.8"/>
    <n v="4.2"/>
    <n v="35"/>
    <s v="Sessão Faturada"/>
    <s v="0901012961870097"/>
    <n v="57558"/>
    <s v="Unidade Vieralves (ANEXO)"/>
    <n v="9209397"/>
    <m/>
  </r>
  <r>
    <x v="10"/>
    <x v="0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8/10)"/>
    <n v="30.8"/>
    <n v="4.2"/>
    <n v="35"/>
    <s v="Sessão Faturada"/>
    <n v="1301013792660000"/>
    <n v="59645"/>
    <s v="Unidade Vieralves (ANEXO)"/>
    <n v="9369787"/>
    <m/>
  </r>
  <r>
    <x v="10"/>
    <x v="0"/>
    <s v="Jose Mario Chaves Gomes de Oliveira"/>
    <s v="Masculino"/>
    <x v="11"/>
    <x v="23"/>
    <s v="20103484 - Fisioterapia - Patologia Em Um Membro (R$ 80,33), 20103514 - Fisioterapia-Patologia Osteomioarticular Em  Diferentes Segmentos da Coluna. (R$ 118,44)"/>
    <s v="Fisioterapia"/>
    <n v="3729"/>
    <s v="Finalizado (4/10)"/>
    <n v="174.91759999999999"/>
    <n v="23.852399999999999"/>
    <n v="198.77"/>
    <s v="Sessão a Faturar"/>
    <n v="2301648"/>
    <n v="7982"/>
    <s v="Unidade Vieralves (ANEXO)"/>
    <n v="3729"/>
    <m/>
  </r>
  <r>
    <x v="10"/>
    <x v="0"/>
    <s v="Bianca Peres dos Santos"/>
    <s v="Feminino"/>
    <x v="1"/>
    <x v="23"/>
    <s v="50000160 - Fisioterapia Ortopédica (R$ 20,00), 98980327 - Taxa de Eletroterapia (Tens) (R$ 15,00)"/>
    <s v="Fisioterapia"/>
    <n v="9519192"/>
    <s v="Finalizado (5/10)"/>
    <n v="30.8"/>
    <n v="4.2"/>
    <n v="35"/>
    <s v="Sessão Faturada"/>
    <s v="0901013538700190"/>
    <n v="46287"/>
    <s v="Unidade Vieralves (ANEXO)"/>
    <n v="9519192"/>
    <m/>
  </r>
  <r>
    <x v="10"/>
    <x v="0"/>
    <s v="Josiane Vieira Maciel"/>
    <s v="Feminino"/>
    <x v="5"/>
    <x v="23"/>
    <s v="50000144 - Avaliação de Fisioterapia (R$ 37,63)"/>
    <s v="Fisioterapia"/>
    <n v="173050"/>
    <s v="Finalizado (1/1)"/>
    <n v="33.866999999999997"/>
    <n v="3.7629999999999999"/>
    <n v="37.630000000000003"/>
    <s v="Sessão a Faturar"/>
    <s v="0100719330050374"/>
    <n v="35980"/>
    <s v="Unidade Vieralves (ANEXO)"/>
    <n v="173050"/>
    <m/>
  </r>
  <r>
    <x v="10"/>
    <x v="1"/>
    <s v="Josiane Vieira Maciel"/>
    <s v="Feminino"/>
    <x v="5"/>
    <x v="23"/>
    <s v="98860020 - Fisioterapia Complexidade 2 (R$ 73,81)"/>
    <s v="Fisioterapia"/>
    <n v="79872360"/>
    <s v="Finalizado (1/10)"/>
    <n v="64.952799999999996"/>
    <n v="8.8572000000000006"/>
    <n v="73.81"/>
    <s v="Sessão a Faturar"/>
    <s v="0100719330050374"/>
    <n v="35980"/>
    <s v="Unidade Vieralves (ANEXO)"/>
    <n v="79872360"/>
    <m/>
  </r>
  <r>
    <x v="10"/>
    <x v="2"/>
    <s v="Leonor Chaves Mirandela da Rocha"/>
    <s v="Feminino"/>
    <x v="2"/>
    <x v="23"/>
    <s v="20103514 - Fisioterapia - Patologia Em Diferentes Segmentos da Coluna (R$ 14,83)"/>
    <s v="Fisioterapia"/>
    <n v="1714116970"/>
    <s v="Finalizado (4/10)"/>
    <n v="13.0504"/>
    <n v="1.7796000000000001"/>
    <n v="14.83"/>
    <s v="Sessão a Faturar"/>
    <n v="960016935532010"/>
    <n v="10129"/>
    <s v="Unidade Vieralves (ANEXO)"/>
    <n v="1714116970"/>
    <m/>
  </r>
  <r>
    <x v="10"/>
    <x v="3"/>
    <s v="Leonor Chaves Mirandela da Rocha"/>
    <s v="Feminino"/>
    <x v="4"/>
    <x v="23"/>
    <s v="31602185 - Estimulação Elétrica Transcutânea - Removido 13/04/2026 (R$ 40,00)"/>
    <s v="Fisioterapia"/>
    <n v="1715152032"/>
    <s v="Finalizado (3/10)"/>
    <n v="35.200000000000003"/>
    <n v="4.8"/>
    <n v="40"/>
    <s v="Sessão a Faturar"/>
    <n v="960016935532010"/>
    <n v="10129"/>
    <s v="Unidade Vieralves (ANEXO)"/>
    <n v="1715152032"/>
    <m/>
  </r>
  <r>
    <x v="10"/>
    <x v="4"/>
    <s v="Rui Jorge Rodrigues Fialho"/>
    <s v="Masculino"/>
    <x v="4"/>
    <x v="23"/>
    <s v="31602185 - Estimulação Elétrica Transcutânea - Removido 13/04/2026 (R$ 40,00)"/>
    <s v="Fisioterapia"/>
    <n v="1714133570"/>
    <s v="Finalizado (5/10)"/>
    <n v="35.200000000000003"/>
    <n v="4.8"/>
    <n v="40"/>
    <s v="Sessão a Faturar"/>
    <n v="771015043265010"/>
    <n v="35722"/>
    <s v="Unidade Vieralves (ANEXO)"/>
    <n v="1714133570"/>
    <m/>
  </r>
  <r>
    <x v="10"/>
    <x v="5"/>
    <s v="Rui Jorge Rodrigues Fialho"/>
    <s v="Masculino"/>
    <x v="2"/>
    <x v="23"/>
    <s v="20103506 - Fisioterapia - Patologia Em Um Segmento da Coluna (R$ 12,22)"/>
    <s v="Fisioterapia"/>
    <n v="1712879810"/>
    <s v="Finalizado (6/10)"/>
    <n v="10.7536"/>
    <n v="1.4663999999999999"/>
    <n v="12.22"/>
    <s v="Sessão a Faturar"/>
    <n v="771015043265010"/>
    <n v="35722"/>
    <s v="Unidade Vieralves (ANEXO)"/>
    <n v="1712879810"/>
    <m/>
  </r>
  <r>
    <x v="10"/>
    <x v="13"/>
    <s v="Augusto Sérgio dos Santos Cardoso"/>
    <s v="Masculino"/>
    <x v="7"/>
    <x v="23"/>
    <s v="Vieiralves - 1 - Fisioterapia Ortopedica - Pacote (R$ 40,00)"/>
    <s v="Fisioterapia"/>
    <n v="171220"/>
    <s v="Finalizado (6/10)"/>
    <n v="31.2"/>
    <n v="8.8000000000000007"/>
    <n v="40"/>
    <s v="Pago"/>
    <n v="0"/>
    <n v="59068"/>
    <s v="Unidade Vieralves (ANEXO)"/>
    <n v="171220"/>
    <m/>
  </r>
  <r>
    <x v="10"/>
    <x v="13"/>
    <s v="Adriana Melo dos Santos"/>
    <s v="Feminino"/>
    <x v="1"/>
    <x v="23"/>
    <s v="50000217 - Fisioterapia Pré e Pós Operatória (R$ 25,00), 98980327 - Taxa de Eletroterapia (Tens) (R$ 15,00)"/>
    <s v="Fisioterapia"/>
    <n v="9515275"/>
    <s v="Finalizado (2/10)"/>
    <n v="35.200000000000003"/>
    <n v="4.8"/>
    <n v="40"/>
    <s v="Sessão a Faturar"/>
    <n v="1301013170160000"/>
    <n v="28481"/>
    <s v="Unidade Vieralves (ANEXO)"/>
    <n v="9515275"/>
    <m/>
  </r>
  <r>
    <x v="10"/>
    <x v="6"/>
    <s v="Mariana Cruz Schettini"/>
    <s v="Feminino"/>
    <x v="20"/>
    <x v="23"/>
    <s v="20103484 - Patologia Em Um Membro (R$ 29,04)"/>
    <s v="Fisioterapia"/>
    <n v="55847060"/>
    <s v="Finalizado (2/10)"/>
    <n v="25.555199999999999"/>
    <n v="3.4847999999999999"/>
    <n v="29.04"/>
    <s v="Sessão a Faturar"/>
    <n v="10514600938900"/>
    <n v="59786"/>
    <s v="Unidade Vieralves (ANEXO)"/>
    <n v="55847060"/>
    <m/>
  </r>
  <r>
    <x v="10"/>
    <x v="6"/>
    <s v="Sonia Braga Perfeito"/>
    <s v="Feminino"/>
    <x v="1"/>
    <x v="23"/>
    <s v="50000160 - Fisioterapia Ortopédica (R$ 20,00), 98980327 - Taxa de Eletroterapia (Tens) (R$ 15,00)"/>
    <s v="Fisioterapia"/>
    <n v="9624640"/>
    <s v="Finalizado (1/10)"/>
    <n v="30.8"/>
    <n v="4.2"/>
    <n v="35"/>
    <s v="Sessão a Faturar"/>
    <s v="0901013217840019"/>
    <n v="10185"/>
    <s v="Unidade Vieralves (ANEXO)"/>
    <n v="9624640"/>
    <m/>
  </r>
  <r>
    <x v="10"/>
    <x v="6"/>
    <s v="Willyan Dyeno Silva de Oliveira dos Santos"/>
    <s v="Masculino"/>
    <x v="2"/>
    <x v="23"/>
    <s v="20103514 - Fisioterapia - Patologia Em Diferentes Segmentos da Coluna (R$ 14,83)"/>
    <s v="Fisioterapia"/>
    <n v="1712929093"/>
    <s v="Finalizado (7/10)"/>
    <n v="13.0504"/>
    <n v="1.7796000000000001"/>
    <n v="14.83"/>
    <s v="Sessão a Faturar"/>
    <n v="610360710015010"/>
    <n v="59641"/>
    <s v="Unidade Vieralves (ANEXO)"/>
    <n v="1712929093"/>
    <m/>
  </r>
  <r>
    <x v="10"/>
    <x v="15"/>
    <s v="Pedro Lucas Aloise"/>
    <s v="Masculino"/>
    <x v="0"/>
    <x v="23"/>
    <s v="31602185 - Estimulação Elétrica Transcutânea Fisioterapia (Novo - 01/12) (R$ 54,13)"/>
    <s v="Fisioterapia"/>
    <s v="42263120260306427070"/>
    <s v="Finalizado (5/10)"/>
    <n v="47.634399999999999"/>
    <n v="6.4955999999999996"/>
    <n v="54.13"/>
    <s v="Sessão a Faturar"/>
    <s v="070006652300"/>
    <n v="59259"/>
    <s v="Unidade Vieralves (ANEXO)"/>
    <s v="42263120260306427070"/>
    <m/>
  </r>
  <r>
    <x v="10"/>
    <x v="15"/>
    <s v="Rosana Silva dos Santos"/>
    <s v="Feminino"/>
    <x v="1"/>
    <x v="23"/>
    <s v="50000160 - Fisioterapia Ortopédica (R$ 20,00), 98980327 - Taxa de Eletroterapia (Tens) (R$ 15,00)"/>
    <s v="Fisioterapia"/>
    <n v="9523265"/>
    <s v="Finalizado (6/10)"/>
    <n v="30.8"/>
    <n v="4.2"/>
    <n v="35"/>
    <s v="Sessão Faturada"/>
    <n v="1101006073830400"/>
    <n v="58800"/>
    <s v="Unidade Vieralves (ANEXO)"/>
    <n v="9523265"/>
    <m/>
  </r>
  <r>
    <x v="10"/>
    <x v="15"/>
    <s v="Giovanna Pimentel Archanjo de Oliveira"/>
    <s v="Feminino"/>
    <x v="2"/>
    <x v="23"/>
    <s v="20103492 - Fisioterapia - Patologia Em Dois Ou Mais Membros (R$ 14,83)"/>
    <s v="Fisioterapia"/>
    <n v="1716959815"/>
    <s v="Finalizado (2/10)"/>
    <n v="13.0504"/>
    <n v="1.7796000000000001"/>
    <n v="14.83"/>
    <s v="Sessão a Faturar"/>
    <n v="611008290002020"/>
    <n v="56721"/>
    <s v="Unidade Vieralves (ANEXO)"/>
    <n v="1716959815"/>
    <m/>
  </r>
  <r>
    <x v="10"/>
    <x v="16"/>
    <s v="Pedro Lucas Aloise"/>
    <s v="Masculino"/>
    <x v="0"/>
    <x v="23"/>
    <s v="50000160 - Fisioterapia Ortopedica (R$ 49,72)"/>
    <s v="Fisioterapia"/>
    <s v="42263120260306427047"/>
    <s v="Finalizado (5/10)"/>
    <n v="43.753599999999999"/>
    <n v="5.9664000000000001"/>
    <n v="49.72"/>
    <s v="Sessão a Faturar"/>
    <s v="070006652300"/>
    <n v="59259"/>
    <s v="Unidade Vieralves (ANEXO)"/>
    <s v="42263120260306427047"/>
    <m/>
  </r>
  <r>
    <x v="10"/>
    <x v="16"/>
    <s v="Giovanna Pimentel Archanjo de Oliveira"/>
    <s v="Feminino"/>
    <x v="4"/>
    <x v="23"/>
    <s v="31602185 - Estimulação Elétrica Transcutânea - Removido 13/04/2026 (R$ 40,00)"/>
    <s v="Fisioterapia"/>
    <n v="1719142770"/>
    <s v="Finalizado (1/5)"/>
    <n v="35.200000000000003"/>
    <n v="4.8"/>
    <n v="40"/>
    <s v="Sessão a Faturar"/>
    <n v="611008290002020"/>
    <n v="56721"/>
    <s v="Unidade Vieralves (ANEXO)"/>
    <n v="1719142770"/>
    <m/>
  </r>
  <r>
    <x v="10"/>
    <x v="17"/>
    <s v="Maria Fernanda Cabral Ribeiro"/>
    <s v="Feminino"/>
    <x v="4"/>
    <x v="23"/>
    <s v="31602185 - Estimulação Elétrica Transcutânea - Removido 13/04/2026 (R$ 40,00)"/>
    <s v="Fisioterapia"/>
    <n v="1717814277"/>
    <s v="Finalizado (3/10)"/>
    <n v="35.200000000000003"/>
    <n v="4.8"/>
    <n v="40"/>
    <s v="Sessão a Faturar"/>
    <n v="774981007498000"/>
    <n v="55356"/>
    <s v="Unidade Vieralves (ANEXO)"/>
    <n v="1717814277"/>
    <m/>
  </r>
  <r>
    <x v="10"/>
    <x v="17"/>
    <s v="Nayara Talassa Damasceno Inácio"/>
    <s v="Feminino"/>
    <x v="4"/>
    <x v="23"/>
    <s v="31602185 - Estimulação Elétrica Transcutânea - Removido 13/04/2026 (R$ 40,00)"/>
    <s v="Fisioterapia"/>
    <n v="1717815987"/>
    <s v="Finalizado (3/10)"/>
    <n v="35.200000000000003"/>
    <n v="4.8"/>
    <n v="40"/>
    <s v="Sessão a Faturar"/>
    <n v="774981007498010"/>
    <n v="55360"/>
    <s v="Unidade Vieralves (ANEXO)"/>
    <n v="1717815987"/>
    <m/>
  </r>
  <r>
    <x v="10"/>
    <x v="17"/>
    <s v="Amália Maria Félix"/>
    <s v="Feminino"/>
    <x v="2"/>
    <x v="23"/>
    <s v="20103662 - Fisioterapia - Pos Operatorio Em Um Membro (R$ 14,99)"/>
    <s v="Fisioterapia"/>
    <n v="1709229340"/>
    <s v="Finalizado (8/10)"/>
    <n v="13.1912"/>
    <n v="1.7988"/>
    <n v="14.99"/>
    <s v="Sessão a Faturar"/>
    <n v="610758850002010"/>
    <n v="58833"/>
    <s v="Unidade Vieralves (ANEXO)"/>
    <n v="1709229340"/>
    <m/>
  </r>
  <r>
    <x v="10"/>
    <x v="17"/>
    <s v="Caio Felipe Soares da Cruz"/>
    <s v="Masculino"/>
    <x v="2"/>
    <x v="23"/>
    <s v="20103484 - Fisioterapia - Patologia Em Um Membro (R$ 12,22), 20103506 - Fisioterapia - Patologia Em Um Segmento da Coluna (R$ 12,22)"/>
    <s v="Fisioterapia"/>
    <n v="1710494057"/>
    <s v="Finalizado (9/10)"/>
    <n v="21.507200000000001"/>
    <n v="2.9327999999999999"/>
    <n v="24.44"/>
    <s v="Sessão Faturada"/>
    <n v="889414100973000"/>
    <n v="57595"/>
    <s v="Unidade Vieralves (ANEXO)"/>
    <n v="1710494057"/>
    <m/>
  </r>
  <r>
    <x v="10"/>
    <x v="18"/>
    <s v="Maria Fernanda Cabral Ribeiro"/>
    <s v="Feminino"/>
    <x v="2"/>
    <x v="23"/>
    <s v="20103484 - Fisioterapia - Patologia Em Um Membro (R$ 12,22)"/>
    <s v="Fisioterapia"/>
    <n v="1717182292"/>
    <s v="Finalizado (4/5)"/>
    <n v="10.7536"/>
    <n v="1.4663999999999999"/>
    <n v="12.22"/>
    <s v="Sessão a Faturar"/>
    <n v="774981007498000"/>
    <n v="55356"/>
    <s v="Unidade Vieralves (ANEXO)"/>
    <n v="1717182292"/>
    <m/>
  </r>
  <r>
    <x v="10"/>
    <x v="18"/>
    <s v="Nayara Talassa Damasceno Inácio"/>
    <s v="Feminino"/>
    <x v="2"/>
    <x v="23"/>
    <s v="20103662 - Fisioterapia - Pos Operatorio Em Um Membro (R$ 14,99)"/>
    <s v="Fisioterapia"/>
    <n v="1714106666"/>
    <s v="Finalizado (8/10)"/>
    <n v="13.1912"/>
    <n v="1.7988"/>
    <n v="14.99"/>
    <s v="Sessão Faturada"/>
    <n v="774981007498010"/>
    <n v="55360"/>
    <s v="Unidade Vieralves (ANEXO)"/>
    <n v="1714106666"/>
    <m/>
  </r>
  <r>
    <x v="10"/>
    <x v="18"/>
    <s v="Amália Maria Félix"/>
    <s v="Feminino"/>
    <x v="4"/>
    <x v="23"/>
    <s v="31602185 - Estimulação Elétrica Transcutânea - Removido 13/04/2026 (R$ 40,00)"/>
    <s v="Fisioterapia"/>
    <n v="1710489391"/>
    <s v="Finalizado (7/9)"/>
    <n v="35.200000000000003"/>
    <n v="4.8"/>
    <n v="40"/>
    <s v="Sessão a Faturar"/>
    <n v="610758850002010"/>
    <n v="58833"/>
    <s v="Unidade Vieralves (ANEXO)"/>
    <n v="1710489391"/>
    <m/>
  </r>
  <r>
    <x v="10"/>
    <x v="18"/>
    <s v="Caio Felipe Soares da Cruz"/>
    <s v="Masculino"/>
    <x v="4"/>
    <x v="23"/>
    <s v="31602185 - Estimulação Elétrica Transcutânea - Removido 13/04/2026 (R$ 40,00)"/>
    <s v="Fisioterapia"/>
    <n v="1712969501"/>
    <s v="Finalizado (7/7)"/>
    <n v="35.200000000000003"/>
    <n v="4.8"/>
    <n v="40"/>
    <s v="Sessão a Faturar"/>
    <n v="889414100973000"/>
    <n v="57595"/>
    <s v="Unidade Vieralves (ANEXO)"/>
    <n v="1712969501"/>
    <m/>
  </r>
  <r>
    <x v="10"/>
    <x v="8"/>
    <s v="Nilcilene Matias dos Santos"/>
    <s v="Masculino"/>
    <x v="6"/>
    <x v="23"/>
    <s v="20103506 - Patologia Em Um Segmento da Coluna (R$ 14,16)"/>
    <s v="Fisioterapia"/>
    <n v="173100"/>
    <s v="Finalizado (2/10)"/>
    <n v="12.460800000000001"/>
    <n v="1.6992"/>
    <n v="14.16"/>
    <s v="Sessão a Faturar"/>
    <s v="54588888490019950019"/>
    <n v="49908"/>
    <s v="Unidade Vieralves (ANEXO)"/>
    <n v="173100"/>
    <m/>
  </r>
  <r>
    <x v="10"/>
    <x v="9"/>
    <s v="Nilcilene Matias dos Santos"/>
    <s v="Masculino"/>
    <x v="6"/>
    <x v="23"/>
    <s v="31602185 - Estimulação Elétrica Transcutanea (Tens) (R$ 40,00)"/>
    <s v="Fisioterapia"/>
    <n v="173102"/>
    <s v="Finalizado (2/2)"/>
    <n v="35.200000000000003"/>
    <n v="4.8"/>
    <n v="40"/>
    <s v="Sessão a Faturar"/>
    <s v="54588888490019950019"/>
    <n v="49908"/>
    <s v="Unidade Vieralves (ANEXO)"/>
    <n v="173102"/>
    <m/>
  </r>
  <r>
    <x v="10"/>
    <x v="10"/>
    <s v="Matheus Koepke Kokay Barroncas Dias Santana"/>
    <s v="Masculino"/>
    <x v="2"/>
    <x v="23"/>
    <s v="20103484 - Fisioterapia - Patologia Em Um Membro (R$ 12,22)"/>
    <s v="Fisioterapia"/>
    <n v="1719187032"/>
    <s v="Finalizado (1/10)"/>
    <n v="10.7536"/>
    <n v="1.4663999999999999"/>
    <n v="12.22"/>
    <s v="Sessão a Faturar"/>
    <n v="610907450001040"/>
    <n v="59807"/>
    <s v="Unidade Vieralves (ANEXO)"/>
    <n v="1719187032"/>
    <m/>
  </r>
  <r>
    <x v="10"/>
    <x v="10"/>
    <s v="Matheus Koepke Kokay Barroncas Dias Santana"/>
    <s v="Masculino"/>
    <x v="2"/>
    <x v="23"/>
    <s v="50000144 - Avaliação de Fisioterapia (R$ 51,42)"/>
    <s v="Fisioterapia"/>
    <n v="1719186103"/>
    <s v="Finalizado (1/1)"/>
    <n v="46.277999999999999"/>
    <n v="5.1420000000000003"/>
    <n v="51.42"/>
    <s v="Sessão Faturada"/>
    <n v="610907450001040"/>
    <n v="59807"/>
    <s v="Unidade Vieralves (ANEXO)"/>
    <n v="1719186103"/>
    <m/>
  </r>
  <r>
    <x v="10"/>
    <x v="10"/>
    <s v="Kleberson Ribeiro dos Santos"/>
    <s v="Masculino"/>
    <x v="6"/>
    <x v="23"/>
    <s v="20103484 - Patologia Em Um Membro (R$ 14,16)"/>
    <s v="Fisioterapia"/>
    <n v="173072"/>
    <s v="Finalizado (3/10)"/>
    <n v="12.460800000000001"/>
    <n v="1.6992"/>
    <n v="14.16"/>
    <s v="Sessão a Faturar"/>
    <s v="54588888479338600014"/>
    <n v="18435"/>
    <s v="Unidade Vieralves (ANEXO)"/>
    <n v="173072"/>
    <m/>
  </r>
  <r>
    <x v="10"/>
    <x v="10"/>
    <s v="Simone Carvalho da Silva Grijo"/>
    <s v="Feminino"/>
    <x v="5"/>
    <x v="23"/>
    <s v="31602185 - Estimulação Elétrica Transcutânea (Tens) (R$ 125,40)"/>
    <s v="Fisioterapia"/>
    <n v="79227650"/>
    <s v="Finalizado (7/10)"/>
    <n v="110.352"/>
    <n v="15.048"/>
    <n v="125.4"/>
    <s v="Sessão a Faturar"/>
    <s v="0101072415010378"/>
    <n v="11558"/>
    <s v="Unidade Vieralves (ANEXO)"/>
    <n v="79227650"/>
    <m/>
  </r>
  <r>
    <x v="10"/>
    <x v="11"/>
    <s v="Simone Carvalho da Silva Grijo"/>
    <s v="Feminino"/>
    <x v="5"/>
    <x v="23"/>
    <s v="98860020 - Fisioterapia Complexidade 2 - 04/03/2026 (R$ 70,79)"/>
    <s v="Fisioterapia"/>
    <n v="76803750"/>
    <s v="Finalizado (9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10"/>
    <x v="11"/>
    <s v="Kleberson Ribeiro dos Santos"/>
    <s v="Masculino"/>
    <x v="6"/>
    <x v="23"/>
    <s v="31602185 - Estimulação Elétrica Transcutanea (Tens) (R$ 40,00)"/>
    <s v="Fisioterapia"/>
    <n v="173073"/>
    <s v="Finalizado (3/4)"/>
    <n v="35.200000000000003"/>
    <n v="4.8"/>
    <n v="40"/>
    <s v="Sessão a Faturar"/>
    <s v="54588888479338600014"/>
    <n v="18435"/>
    <s v="Unidade Vieralves (ANEXO)"/>
    <n v="173073"/>
    <m/>
  </r>
  <r>
    <x v="10"/>
    <x v="12"/>
    <s v="Willian da Silva Marques"/>
    <s v="Masculino"/>
    <x v="6"/>
    <x v="23"/>
    <s v="31602185 - Estimulação Elétrica Transcutanea (Tens) (R$ 40,00)"/>
    <s v="Fisioterapia"/>
    <n v="171562"/>
    <s v="Finalizado (9/10)"/>
    <n v="35.200000000000003"/>
    <n v="4.8"/>
    <n v="40"/>
    <s v="Sessão a Faturar"/>
    <s v="58201065997798090011"/>
    <n v="58695"/>
    <s v="Unidade Vieralves (ANEXO)"/>
    <n v="171562"/>
    <m/>
  </r>
  <r>
    <x v="10"/>
    <x v="12"/>
    <s v="Sarajane Ferreira Feitoza"/>
    <m/>
    <x v="10"/>
    <x v="23"/>
    <s v="50000160 - Fisioterapia Ortopédica (R$ 15,00)"/>
    <s v="Fisioterapia"/>
    <n v="23002188"/>
    <s v="Finalizado (2/10)"/>
    <n v="13.2"/>
    <n v="1.8"/>
    <n v="15"/>
    <s v="Sessão a Faturar"/>
    <s v="00010064269339001"/>
    <n v="59783"/>
    <s v="Unidade Vieralves (ANEXO)"/>
    <n v="23002188"/>
    <m/>
  </r>
  <r>
    <x v="10"/>
    <x v="19"/>
    <s v="Willian da Silva Marques"/>
    <s v="Masculino"/>
    <x v="6"/>
    <x v="23"/>
    <s v="20103484 - Patologia Em Um Membro (R$ 14,16)"/>
    <s v="Fisioterapia"/>
    <n v="171333"/>
    <s v="Finalizado (9/10)"/>
    <n v="12.460800000000001"/>
    <n v="1.6992"/>
    <n v="14.16"/>
    <s v="Sessão a Faturar"/>
    <s v="58201065997798090011"/>
    <n v="58695"/>
    <s v="Unidade Vieralves (ANEXO)"/>
    <n v="171333"/>
    <m/>
  </r>
  <r>
    <x v="11"/>
    <x v="0"/>
    <s v="Elma Carla Luna Rodrigues de Sá"/>
    <s v="Feminino"/>
    <x v="1"/>
    <x v="23"/>
    <s v="50000160 - Fisioterapia Ortopédica (R$ 20,00), 98980327 - Taxa de Eletroterapia (Tens) (R$ 15,00)"/>
    <s v="Fisioterapia"/>
    <n v="9369787"/>
    <s v="Finalizado (9/10)"/>
    <n v="30.8"/>
    <n v="4.2"/>
    <n v="35"/>
    <s v="Sessão Faturada"/>
    <n v="1301013792660000"/>
    <n v="59645"/>
    <s v="Unidade Vieralves (ANEXO)"/>
    <n v="9369787"/>
    <m/>
  </r>
  <r>
    <x v="11"/>
    <x v="0"/>
    <s v="Bianca Peres dos Santos"/>
    <s v="Feminino"/>
    <x v="1"/>
    <x v="23"/>
    <s v="50000160 - Fisioterapia Ortopédica (R$ 20,00), 98980327 - Taxa de Eletroterapia (Tens) (R$ 15,00)"/>
    <s v="Fisioterapia"/>
    <n v="9519192"/>
    <s v="Finalizado (6/10)"/>
    <n v="30.8"/>
    <n v="4.2"/>
    <n v="35"/>
    <s v="Sessão Faturada"/>
    <s v="0901013538700190"/>
    <n v="46287"/>
    <s v="Unidade Vieralves (ANEXO)"/>
    <n v="9519192"/>
    <m/>
  </r>
  <r>
    <x v="11"/>
    <x v="0"/>
    <s v="Ana Alice da Silva Araujo"/>
    <s v="Feminino"/>
    <x v="6"/>
    <x v="23"/>
    <s v="20103484 - Patologia Em Um Membro (R$ 14,16)"/>
    <s v="Fisioterapia"/>
    <n v="171201"/>
    <s v="Finalizado (7/10)"/>
    <n v="12.460800000000001"/>
    <n v="1.6992"/>
    <n v="14.16"/>
    <s v="Sessão a Faturar"/>
    <s v="54588888004872900019"/>
    <n v="13030"/>
    <s v="Unidade Vieralves (ANEXO)"/>
    <n v="171201"/>
    <m/>
  </r>
  <r>
    <x v="11"/>
    <x v="1"/>
    <s v="Ana Alice da Silva Araujo"/>
    <s v="Feminino"/>
    <x v="6"/>
    <x v="23"/>
    <s v="31602185 - Estimulação Elétrica Transcutanea (Tens) (R$ 40,00)"/>
    <s v="Fisioterapia"/>
    <n v="171358"/>
    <s v="Finalizado (7/7)"/>
    <n v="35.200000000000003"/>
    <n v="4.8"/>
    <n v="40"/>
    <s v="Sessão a Faturar"/>
    <s v="54588888004872900019"/>
    <n v="13030"/>
    <s v="Unidade Vieralves (ANEXO)"/>
    <n v="171358"/>
    <m/>
  </r>
  <r>
    <x v="11"/>
    <x v="13"/>
    <s v="Rosemeire Gomes da Silva"/>
    <s v="Feminino"/>
    <x v="8"/>
    <x v="23"/>
    <s v="20103492 - Patologia Em Dois Ou Mais Membros (R$ 14,83)"/>
    <s v="Fisioterapia"/>
    <n v="1714711023"/>
    <s v="Finalizado (5/10)"/>
    <n v="13.0504"/>
    <n v="1.7796000000000001"/>
    <n v="14.83"/>
    <s v="Sessão a Faturar"/>
    <n v="954600005541000"/>
    <n v="36089"/>
    <s v="Unidade Vieralves (ANEXO)"/>
    <n v="1714711023"/>
    <m/>
  </r>
  <r>
    <x v="11"/>
    <x v="14"/>
    <s v="Rosemeire Gomes da Silva"/>
    <s v="Feminino"/>
    <x v="9"/>
    <x v="23"/>
    <s v="31602185 - Estimulação Elétrica Transcutânea (Tens) - Removido 13/04/2026 (R$ 40,00)"/>
    <s v="Fisioterapia"/>
    <n v="1715215939"/>
    <s v="Finalizado (4/10)"/>
    <n v="35.200000000000003"/>
    <n v="4.8"/>
    <n v="40"/>
    <s v="Sessão a Faturar"/>
    <n v="954600005541000"/>
    <n v="36089"/>
    <s v="Unidade Vieralves (ANEXO)"/>
    <n v="1715215939"/>
    <m/>
  </r>
  <r>
    <x v="11"/>
    <x v="6"/>
    <s v="Daniele Freitas de Castro Hiura"/>
    <s v="Feminino"/>
    <x v="4"/>
    <x v="23"/>
    <s v="31602185 - Estimulação Elétrica Transcutânea - Removido 13/04/2026 (R$ 40,00)"/>
    <s v="Fisioterapia"/>
    <n v="1716584382"/>
    <s v="Finalizado (3/10)"/>
    <n v="35.200000000000003"/>
    <n v="4.8"/>
    <n v="40"/>
    <s v="Sessão a Faturar"/>
    <n v="771015046116020"/>
    <n v="36678"/>
    <s v="Unidade Vieralves (ANEXO)"/>
    <n v="1716584382"/>
    <m/>
  </r>
  <r>
    <x v="11"/>
    <x v="7"/>
    <s v="Daniele Freitas de Castro Hiura"/>
    <s v="Feminino"/>
    <x v="2"/>
    <x v="23"/>
    <s v="20103506 - Fisioterapia - Patologia Em Um Segmento da Coluna (R$ 12,22)"/>
    <s v="Fisioterapia"/>
    <n v="1715413981"/>
    <s v="Finalizado (4/10)"/>
    <n v="10.7536"/>
    <n v="1.4663999999999999"/>
    <n v="12.22"/>
    <s v="Sessão a Faturar"/>
    <n v="771015046116020"/>
    <n v="36678"/>
    <s v="Unidade Vieralves (ANEXO)"/>
    <n v="1715413981"/>
    <m/>
  </r>
  <r>
    <x v="11"/>
    <x v="15"/>
    <s v="Rosineide Vieira Lima"/>
    <s v="Feminino"/>
    <x v="1"/>
    <x v="23"/>
    <s v="50000160 - Fisioterapia Ortopédica (R$ 20,00), 98980327 - Taxa de Eletroterapia (Tens) (R$ 15,00)"/>
    <s v="Fisioterapia"/>
    <n v="9321749"/>
    <s v="Finalizado (9/10)"/>
    <n v="30.8"/>
    <n v="4.2"/>
    <n v="35"/>
    <s v="Sessão Faturada"/>
    <s v="0902002479470014"/>
    <n v="59297"/>
    <s v="Unidade Vieralves (ANEXO)"/>
    <n v="9321749"/>
    <m/>
  </r>
  <r>
    <x v="11"/>
    <x v="15"/>
    <s v="Rosana Silva dos Santos"/>
    <s v="Feminino"/>
    <x v="1"/>
    <x v="23"/>
    <s v="50000160 - Fisioterapia Ortopédica (R$ 20,00), 98980327 - Taxa de Eletroterapia (Tens) (R$ 15,00)"/>
    <s v="Fisioterapia"/>
    <n v="9523265"/>
    <s v="Finalizado (7/10)"/>
    <n v="30.8"/>
    <n v="4.2"/>
    <n v="35"/>
    <s v="Sessão Faturada"/>
    <n v="1101006073830400"/>
    <n v="58800"/>
    <s v="Unidade Vieralves (ANEXO)"/>
    <n v="9523265"/>
    <m/>
  </r>
  <r>
    <x v="11"/>
    <x v="17"/>
    <s v="Nayara Talassa Damasceno Inácio"/>
    <s v="Feminino"/>
    <x v="4"/>
    <x v="23"/>
    <s v="31602185 - Estimulação Elétrica Transcutânea - Removido 13/04/2026 (R$ 40,00)"/>
    <s v="Fisioterapia"/>
    <n v="1717815987"/>
    <s v="Finalizado (4/10)"/>
    <n v="35.200000000000003"/>
    <n v="4.8"/>
    <n v="40"/>
    <s v="Sessão a Faturar"/>
    <n v="774981007498010"/>
    <n v="55360"/>
    <s v="Unidade Vieralves (ANEXO)"/>
    <n v="1717815987"/>
    <m/>
  </r>
  <r>
    <x v="11"/>
    <x v="17"/>
    <s v="Hélio da Costa Dantas"/>
    <s v="Masculino"/>
    <x v="5"/>
    <x v="23"/>
    <s v="50000144 - Avaliação de Fisioterapia (R$ 37,63)"/>
    <s v="Fisioterapia"/>
    <n v="173450"/>
    <s v="Finalizado (1/1)"/>
    <n v="33.866999999999997"/>
    <n v="3.7629999999999999"/>
    <n v="37.630000000000003"/>
    <s v="Sessão a Faturar"/>
    <s v="0101563455010253"/>
    <n v="59830"/>
    <s v="Unidade Vieralves (ANEXO)"/>
    <n v="173450"/>
    <m/>
  </r>
  <r>
    <x v="11"/>
    <x v="17"/>
    <s v="Hélio da Costa Dantas"/>
    <s v="Masculino"/>
    <x v="5"/>
    <x v="23"/>
    <s v="98860011 - Fisioterapia Complexidade 1 (R$ 55,26)"/>
    <s v="Fisioterapia"/>
    <n v="79923620"/>
    <s v="Finalizado (1/10)"/>
    <n v="48.628799999999998"/>
    <n v="6.6311999999999998"/>
    <n v="55.26"/>
    <s v="Sessão a Faturar"/>
    <s v="0101563455010253"/>
    <n v="59830"/>
    <s v="Unidade Vieralves (ANEXO)"/>
    <n v="79923620"/>
    <m/>
  </r>
  <r>
    <x v="11"/>
    <x v="18"/>
    <s v="Nayara Talassa Damasceno Inácio"/>
    <s v="Feminino"/>
    <x v="2"/>
    <x v="23"/>
    <s v="20103662 - Fisioterapia - Pos Operatorio Em Um Membro (R$ 14,99)"/>
    <s v="Fisioterapia"/>
    <n v="1714106666"/>
    <s v="Finalizado (9/10)"/>
    <n v="13.1912"/>
    <n v="1.7988"/>
    <n v="14.99"/>
    <s v="Sessão Faturada"/>
    <n v="774981007498010"/>
    <n v="55360"/>
    <s v="Unidade Vieralves (ANEXO)"/>
    <n v="1714106666"/>
    <m/>
  </r>
  <r>
    <x v="11"/>
    <x v="8"/>
    <s v="Edmundo dos Santos Freitas"/>
    <s v="Masculino"/>
    <x v="10"/>
    <x v="23"/>
    <s v="50000160 - Fisioterapia Ortopédica (R$ 15,00)"/>
    <s v="Fisioterapia"/>
    <n v="21123843"/>
    <s v="Finalizado (10/10)"/>
    <n v="13.2"/>
    <n v="1.8"/>
    <n v="15"/>
    <s v="Sessão Faturada"/>
    <s v="00010064289222002"/>
    <n v="59546"/>
    <s v="Unidade Vieralves (ANEXO)"/>
    <n v="21123843"/>
    <m/>
  </r>
  <r>
    <x v="11"/>
    <x v="8"/>
    <s v="Elen Mara Passos dos Santos"/>
    <s v="Feminino"/>
    <x v="19"/>
    <x v="23"/>
    <s v="20103484 - Patol. Em Um Membro (R$ 58,02)"/>
    <s v="Fisioterapia"/>
    <n v="6019670"/>
    <s v="Finalizado (2/10)"/>
    <n v="51.057600000000001"/>
    <n v="6.9623999999999997"/>
    <n v="58.02"/>
    <s v="Sessão a Faturar"/>
    <s v="0001000033760095"/>
    <n v="59771"/>
    <s v="Unidade Vieralves (ANEXO)"/>
    <n v="6019670"/>
    <m/>
  </r>
  <r>
    <x v="11"/>
    <x v="8"/>
    <s v="Maria Auxiliadora da Silva Castelano"/>
    <s v="Feminino"/>
    <x v="2"/>
    <x v="23"/>
    <s v="20103492 - Fisioterapia - Patologia Em Dois Ou Mais Membros (R$ 14,83)"/>
    <s v="Fisioterapia"/>
    <n v="1709843838"/>
    <s v="Finalizado (6/7)"/>
    <n v="13.0504"/>
    <n v="1.7796000000000001"/>
    <n v="14.83"/>
    <s v="Sessão a Faturar"/>
    <n v="773458002496010"/>
    <n v="13771"/>
    <s v="Unidade Vieralves (ANEXO)"/>
    <n v="1709843838"/>
    <m/>
  </r>
  <r>
    <x v="11"/>
    <x v="9"/>
    <s v="Maria Auxiliadora da Silva Castelano"/>
    <s v="Feminino"/>
    <x v="4"/>
    <x v="23"/>
    <s v="31602185 - Estimulação Elétrica Transcutânea - Removido 13/04/2026 (R$ 40,00)"/>
    <s v="Fisioterapia"/>
    <n v="1711667361"/>
    <s v="Finalizado (4/5)"/>
    <n v="35.200000000000003"/>
    <n v="4.8"/>
    <n v="40"/>
    <s v="Sessão a Faturar"/>
    <n v="773458002496010"/>
    <n v="13771"/>
    <s v="Unidade Vieralves (ANEXO)"/>
    <n v="1711667361"/>
    <m/>
  </r>
  <r>
    <x v="11"/>
    <x v="9"/>
    <s v="Elen Mara Passos dos Santos"/>
    <s v="Feminino"/>
    <x v="19"/>
    <x v="23"/>
    <s v="31602185 - Estimulação Elétrica Transcutanea (Tens) (R$ 144,18)"/>
    <s v="Fisioterapia"/>
    <n v="6035110"/>
    <s v="Finalizado (1/10)"/>
    <n v="126.8784"/>
    <n v="17.301600000000001"/>
    <n v="144.18"/>
    <s v="Sessão a Faturar"/>
    <s v="0001000033760095"/>
    <n v="59771"/>
    <s v="Unidade Vieralves (ANEXO)"/>
    <n v="6035110"/>
    <m/>
  </r>
  <r>
    <x v="11"/>
    <x v="10"/>
    <s v="Matheus Koepke Kokay Barroncas Dias Santana"/>
    <s v="Masculino"/>
    <x v="2"/>
    <x v="23"/>
    <s v="20103484 - Fisioterapia - Patologia Em Um Membro (R$ 12,22)"/>
    <s v="Fisioterapia"/>
    <n v="1719187032"/>
    <s v="Finalizado (2/10)"/>
    <n v="10.7536"/>
    <n v="1.4663999999999999"/>
    <n v="12.22"/>
    <s v="Sessão a Faturar"/>
    <n v="610907450001040"/>
    <n v="59807"/>
    <s v="Unidade Vieralves (ANEXO)"/>
    <n v="1719187032"/>
    <m/>
  </r>
  <r>
    <x v="11"/>
    <x v="10"/>
    <s v="Kleberson Ribeiro dos Santos"/>
    <s v="Masculino"/>
    <x v="6"/>
    <x v="23"/>
    <s v="20103484 - Patologia Em Um Membro (R$ 14,16)"/>
    <s v="Fisioterapia"/>
    <n v="173072"/>
    <s v="Finalizado (4/10)"/>
    <n v="12.460800000000001"/>
    <n v="1.6992"/>
    <n v="14.16"/>
    <s v="Sessão a Faturar"/>
    <s v="54588888479338600014"/>
    <n v="18435"/>
    <s v="Unidade Vieralves (ANEXO)"/>
    <n v="173072"/>
    <m/>
  </r>
  <r>
    <x v="11"/>
    <x v="11"/>
    <s v="Kleberson Ribeiro dos Santos"/>
    <s v="Masculino"/>
    <x v="6"/>
    <x v="23"/>
    <s v="31602185 - Estimulação Elétrica Transcutanea (Tens) (R$ 40,00)"/>
    <s v="Fisioterapia"/>
    <n v="173073"/>
    <s v="Finalizado (4/4)"/>
    <n v="35.200000000000003"/>
    <n v="4.8"/>
    <n v="40"/>
    <s v="Sessão a Faturar"/>
    <s v="54588888479338600014"/>
    <n v="18435"/>
    <s v="Unidade Vieralves (ANEXO)"/>
    <n v="173073"/>
    <m/>
  </r>
  <r>
    <x v="11"/>
    <x v="12"/>
    <s v="Willian da Silva Marques"/>
    <s v="Masculino"/>
    <x v="6"/>
    <x v="23"/>
    <s v="20103484 - Patologia Em Um Membro (R$ 14,16)"/>
    <s v="Fisioterapia"/>
    <n v="171333"/>
    <s v="Não compareceu (10/10)"/>
    <n v="14.16"/>
    <n v="0"/>
    <n v="14.16"/>
    <s v="Sessão a Faturar"/>
    <s v="58201065997798090011"/>
    <n v="58695"/>
    <s v="Unidade Vieralves (ANEXO)"/>
    <n v="171333"/>
    <m/>
  </r>
  <r>
    <x v="12"/>
    <x v="44"/>
    <s v="Angela Maria Serrao de Castro"/>
    <s v="Feminino"/>
    <x v="7"/>
    <x v="24"/>
    <s v="Sao José - 2 - Fisioterapia Ortopédica - Pacote (R$ 20,00)"/>
    <s v="Fisioterapia"/>
    <n v="169335"/>
    <s v="Finalizado (5/10)"/>
    <n v="15"/>
    <n v="5"/>
    <n v="20"/>
    <s v="Pago"/>
    <n v="59429"/>
    <n v="59429"/>
    <s v="Unidade Sao Jose"/>
    <n v="169335"/>
    <m/>
  </r>
  <r>
    <x v="12"/>
    <x v="44"/>
    <s v="Ana Clara Santos Maia"/>
    <s v="Feminino"/>
    <x v="7"/>
    <x v="24"/>
    <s v="Sao José - 2 - Fisioterapia Ortopédica - Pacote (R$ 20,00)"/>
    <s v="Fisioterapia"/>
    <n v="169276"/>
    <s v="Finalizado (4/10)"/>
    <n v="15"/>
    <n v="5"/>
    <n v="20"/>
    <s v="Pago"/>
    <n v="59190"/>
    <n v="59190"/>
    <s v="Unidade Sao Jose"/>
    <n v="169276"/>
    <m/>
  </r>
  <r>
    <x v="12"/>
    <x v="44"/>
    <s v="Kyssia Roberta Sena Batista de Souza"/>
    <s v="Feminino"/>
    <x v="8"/>
    <x v="24"/>
    <s v="20103115 - Atividade Reflexa Cinesioterápica (R$ 20,81)"/>
    <s v="Fisioterapia"/>
    <n v="1702578673"/>
    <s v="Finalizado (5/5)"/>
    <n v="17.480399999999999"/>
    <n v="3.3296000000000001"/>
    <n v="20.81"/>
    <s v="Sessão Faturada"/>
    <n v="954600002461000"/>
    <n v="58661"/>
    <s v="Unidade Sao Jose"/>
    <n v="1702578673"/>
    <m/>
  </r>
  <r>
    <x v="12"/>
    <x v="60"/>
    <s v="Kyssia Roberta Sena Batista de Souza"/>
    <s v="Feminino"/>
    <x v="8"/>
    <x v="24"/>
    <s v="20103662 - Pos Operatorio Em Um Membro (R$ 14,99)"/>
    <s v="Fisioterapia"/>
    <n v="1702579869"/>
    <s v="Finalizado (5/5)"/>
    <n v="12.5916"/>
    <n v="2.3984000000000001"/>
    <n v="14.99"/>
    <s v="Sessão Faturada"/>
    <n v="954600002461000"/>
    <n v="58661"/>
    <s v="Unidade Sao Jose"/>
    <n v="1702579869"/>
    <m/>
  </r>
  <r>
    <x v="12"/>
    <x v="41"/>
    <s v="Silvia Serrão de Figueiredo"/>
    <s v="Feminino"/>
    <x v="27"/>
    <x v="24"/>
    <s v="50000144 - Avaliação de Fisioterapia (R$ 51,42)"/>
    <s v="Fisioterapia"/>
    <n v="1705564200"/>
    <s v="Finalizado (1/1)"/>
    <n v="46.277999999999999"/>
    <n v="5.1420000000000003"/>
    <n v="51.42"/>
    <s v="Sessão Faturada"/>
    <n v="772133000485020"/>
    <n v="25348"/>
    <s v="Unidade Sao Jose"/>
    <n v="1705564200"/>
    <m/>
  </r>
  <r>
    <x v="12"/>
    <x v="41"/>
    <s v="Sheila Miranda de Brito"/>
    <s v="Feminino"/>
    <x v="8"/>
    <x v="24"/>
    <s v="20103662 - Pos Operatorio Em Um Membro (R$ 14,99)"/>
    <s v="Fisioterapia"/>
    <n v="1703790210"/>
    <s v="Finalizado (2/5)"/>
    <n v="12.5916"/>
    <n v="2.3984000000000001"/>
    <n v="14.99"/>
    <s v="Sessão Faturada"/>
    <n v="954440000590010"/>
    <n v="46121"/>
    <s v="Unidade Sao Jose"/>
    <n v="1703790210"/>
    <m/>
  </r>
  <r>
    <x v="12"/>
    <x v="76"/>
    <s v="Silvia Serrão de Figueiredo"/>
    <s v="Feminino"/>
    <x v="27"/>
    <x v="24"/>
    <s v="20103522 - Fisioterapia - Pac Com Dependencia de Vida Diária (R$ 23,59)"/>
    <s v="Fisioterapia"/>
    <n v="1705564431"/>
    <s v="Finalizado (1/5)"/>
    <n v="19.8156"/>
    <n v="3.7744"/>
    <n v="23.59"/>
    <s v="Sessão Faturada"/>
    <n v="772133000485020"/>
    <n v="25348"/>
    <s v="Unidade Sao Jose"/>
    <n v="1705564431"/>
    <m/>
  </r>
  <r>
    <x v="12"/>
    <x v="65"/>
    <s v="Sheila Miranda de Brito"/>
    <s v="Feminino"/>
    <x v="8"/>
    <x v="24"/>
    <s v="20103115 - Atividade Reflexa Cinesioterápica (R$ 20,81)"/>
    <s v="Fisioterapia"/>
    <n v="1703790008"/>
    <s v="Finalizado (2/3)"/>
    <n v="17.480399999999999"/>
    <n v="3.3296000000000001"/>
    <n v="20.81"/>
    <s v="Sessão Faturada"/>
    <n v="954440000590010"/>
    <n v="46121"/>
    <s v="Unidade Sao Jose"/>
    <n v="1703790008"/>
    <m/>
  </r>
  <r>
    <x v="12"/>
    <x v="48"/>
    <s v="Silvia Serrão de Figueiredo"/>
    <s v="Feminino"/>
    <x v="27"/>
    <x v="24"/>
    <s v="20103115 - Atividade Reflexa Cinesioterápica (R$ 20,81)"/>
    <s v="Fisioterapia"/>
    <n v="1705564727"/>
    <s v="Finalizado (1/3)"/>
    <n v="17.480399999999999"/>
    <n v="3.3296000000000001"/>
    <n v="20.81"/>
    <s v="Sessão Faturada"/>
    <n v="772133000485020"/>
    <n v="25348"/>
    <s v="Unidade Sao Jose"/>
    <n v="1705564727"/>
    <m/>
  </r>
  <r>
    <x v="12"/>
    <x v="36"/>
    <s v="Maria de Lourdes Batista Ferreira"/>
    <s v="Feminino"/>
    <x v="7"/>
    <x v="24"/>
    <s v="Sao José - 2 - Fisioterapia Ortopédica - Pacote (R$ 20,00)"/>
    <s v="Fisioterapia"/>
    <n v="169914"/>
    <s v="Finalizado (3/10)"/>
    <n v="15"/>
    <n v="5"/>
    <n v="20"/>
    <s v="Pago"/>
    <n v="59482"/>
    <n v="59482"/>
    <s v="Unidade Sao Jose"/>
    <n v="169914"/>
    <m/>
  </r>
  <r>
    <x v="12"/>
    <x v="40"/>
    <s v="Maria do Carmo Marinho"/>
    <s v="Feminino"/>
    <x v="7"/>
    <x v="24"/>
    <s v="Sao José - 2 - Fisioterapia Ortopédica - Pacote (R$ 20,00)"/>
    <s v="Fisioterapia"/>
    <n v="169944"/>
    <s v="Finalizado (1/10)"/>
    <n v="15"/>
    <n v="5"/>
    <n v="20"/>
    <s v="Pago"/>
    <n v="59484"/>
    <n v="59484"/>
    <s v="Unidade Sao Jose"/>
    <n v="169944"/>
    <m/>
  </r>
  <r>
    <x v="12"/>
    <x v="35"/>
    <s v="Francisco Rodrigues de Mesquita"/>
    <s v="Feminino"/>
    <x v="27"/>
    <x v="24"/>
    <s v="20103492 - Patol. Em Dois Ou Mais Membros (R$ 14,83), 20103514 - Patol. Em Diferentes Segmentos da Coluna (R$ 14,83)"/>
    <s v="Fisioterapia"/>
    <n v="1702694330"/>
    <s v="Finalizado (3/3)"/>
    <n v="24.914400000000001"/>
    <n v="4.7455999999999996"/>
    <n v="29.66"/>
    <s v="Sessão Faturada"/>
    <n v="771015041459010"/>
    <n v="55878"/>
    <s v="Unidade Sao Jose"/>
    <n v="1702694330"/>
    <m/>
  </r>
  <r>
    <x v="12"/>
    <x v="42"/>
    <s v="Francisco Rodrigues de Mesquita"/>
    <s v="Feminino"/>
    <x v="27"/>
    <x v="24"/>
    <s v="20103115 - Atividade Reflexa Cinesioterápica (R$ 20,81)"/>
    <s v="Fisioterapia"/>
    <n v="1702694502"/>
    <s v="Finalizado (3/3)"/>
    <n v="17.480399999999999"/>
    <n v="3.3296000000000001"/>
    <n v="20.81"/>
    <s v="Sessão Faturada"/>
    <n v="771015041459010"/>
    <n v="55878"/>
    <s v="Unidade Sao Jose"/>
    <n v="1702694502"/>
    <m/>
  </r>
  <r>
    <x v="12"/>
    <x v="38"/>
    <s v="Valeria Amed Das Chagas Costa"/>
    <s v="Feminino"/>
    <x v="5"/>
    <x v="24"/>
    <s v="98860020 - Fisioterapia Complexidade 2 - 04/03/2026 (R$ 70,79)"/>
    <s v="Fisioterapia"/>
    <n v="75222440"/>
    <s v="Finalizado (10/10)"/>
    <n v="59.4636"/>
    <n v="11.3264"/>
    <n v="70.790000000000006"/>
    <s v="Sessão Faturada"/>
    <s v="0100251280011359"/>
    <n v="27584"/>
    <s v="Unidade Sao Jose"/>
    <n v="75222440"/>
    <m/>
  </r>
  <r>
    <x v="12"/>
    <x v="38"/>
    <s v="Dilson Pereira Dourado"/>
    <m/>
    <x v="27"/>
    <x v="24"/>
    <s v="50000144 - Avaliação de Fisioterapia (R$ 51,42)"/>
    <s v="Fisioterapia"/>
    <n v="1705672568"/>
    <s v="Finalizado (1/1)"/>
    <n v="46.277999999999999"/>
    <n v="5.1420000000000003"/>
    <n v="51.42"/>
    <s v="Sessão Faturada"/>
    <n v="898081400019000"/>
    <n v="54845"/>
    <s v="Unidade Sao Jose"/>
    <n v="1705672568"/>
    <m/>
  </r>
  <r>
    <x v="12"/>
    <x v="38"/>
    <s v="Kamila Marques da Silva"/>
    <s v="Feminino"/>
    <x v="7"/>
    <x v="24"/>
    <s v="Sao José - 2 - Fisioterapia Ortopédica - Pacote (R$ 20,00)"/>
    <s v="Fisioterapia"/>
    <n v="169541"/>
    <s v="Finalizado (3/10)"/>
    <n v="15"/>
    <n v="5"/>
    <n v="20"/>
    <s v="Pago"/>
    <n v="59454"/>
    <n v="59454"/>
    <s v="Unidade Sao Jose"/>
    <n v="169541"/>
    <m/>
  </r>
  <r>
    <x v="12"/>
    <x v="68"/>
    <s v="Dilson Pereira Dourado"/>
    <m/>
    <x v="27"/>
    <x v="24"/>
    <s v="20103492 - Patol. Em Dois Ou Mais Membros (R$ 14,83), 20103514 - Patol. Em Diferentes Segmentos da Coluna (R$ 14,83)"/>
    <s v="Fisioterapia"/>
    <n v="1705671875"/>
    <s v="Finalizado (1/5)"/>
    <n v="24.914400000000001"/>
    <n v="4.7455999999999996"/>
    <n v="29.66"/>
    <s v="Sessão Faturada"/>
    <n v="898081400019000"/>
    <n v="54845"/>
    <s v="Unidade Sao Jose"/>
    <n v="1705671875"/>
    <m/>
  </r>
  <r>
    <x v="12"/>
    <x v="62"/>
    <s v="Valeria Amed Das Chagas Costa"/>
    <s v="Feminino"/>
    <x v="5"/>
    <x v="24"/>
    <s v="31602185 - Estimulação Elétrica Transcutânea (Tens) - 04/03/2026 (R$ 120,28)"/>
    <s v="Fisioterapia"/>
    <n v="75222860"/>
    <s v="Finalizado (7/10)"/>
    <n v="101.0352"/>
    <n v="19.244800000000001"/>
    <n v="120.28"/>
    <s v="Sessão Faturada"/>
    <s v="0100251280011359"/>
    <n v="27584"/>
    <s v="Unidade Sao Jose"/>
    <n v="75222860"/>
    <m/>
  </r>
  <r>
    <x v="12"/>
    <x v="69"/>
    <s v="Dilson Pereira Dourado"/>
    <m/>
    <x v="27"/>
    <x v="24"/>
    <s v="20103115 - Atividade Reflexa Cinesioterápica (R$ 20,81)"/>
    <s v="Fisioterapia"/>
    <n v="1705672226"/>
    <s v="Finalizado (1/5)"/>
    <n v="17.480399999999999"/>
    <n v="3.3296000000000001"/>
    <n v="20.81"/>
    <s v="Sessão Faturada"/>
    <n v="898081400019000"/>
    <n v="54845"/>
    <s v="Unidade Sao Jose"/>
    <n v="1705672226"/>
    <m/>
  </r>
  <r>
    <x v="12"/>
    <x v="0"/>
    <s v="Ângela Isabel Barbosa Rego"/>
    <s v="Feminino"/>
    <x v="7"/>
    <x v="24"/>
    <s v="Sao José - 2 - Fisioterapia Ortopédica - Pacote (R$ 20,00)"/>
    <s v="Fisioterapia"/>
    <n v="169554"/>
    <s v="Finalizado (4/10)"/>
    <n v="15"/>
    <n v="5"/>
    <n v="20"/>
    <s v="Pago"/>
    <n v="59455"/>
    <n v="59455"/>
    <s v="Unidade Sao Jose"/>
    <n v="169554"/>
    <m/>
  </r>
  <r>
    <x v="12"/>
    <x v="2"/>
    <s v="Milza Santos"/>
    <s v="Feminino"/>
    <x v="14"/>
    <x v="24"/>
    <s v="20103492 - Fisioterapia - Patologia Em Dois Ou Mais Membros (R$ 14,83), 20103506 - Fisioterapia - Patologia Em Um Segmento da Coluna (R$ 12,22)"/>
    <s v="Fisioterapia"/>
    <n v="1705860320"/>
    <s v="Finalizado (1/5)"/>
    <n v="22.722000000000001"/>
    <n v="4.3280000000000003"/>
    <n v="27.05"/>
    <s v="Sessão Faturada"/>
    <n v="954600000493010"/>
    <n v="41659"/>
    <s v="Unidade Sao Jose"/>
    <n v="1705860320"/>
    <m/>
  </r>
  <r>
    <x v="12"/>
    <x v="2"/>
    <s v="Milza Santos"/>
    <s v="Feminino"/>
    <x v="14"/>
    <x v="24"/>
    <s v="20103115 - Atividade Reflexa Cinesioterápica (R$ 20,81)"/>
    <s v="Fisioterapia"/>
    <n v="1705844605"/>
    <s v="Finalizado (1/2)"/>
    <n v="17.480399999999999"/>
    <n v="3.3296000000000001"/>
    <n v="20.81"/>
    <s v="Sessão Faturada"/>
    <n v="954600000493010"/>
    <n v="41659"/>
    <s v="Unidade Sao Jose"/>
    <n v="1705844605"/>
    <m/>
  </r>
  <r>
    <x v="12"/>
    <x v="4"/>
    <s v="Nazare Pedroza Alves"/>
    <s v="Masculino"/>
    <x v="7"/>
    <x v="24"/>
    <s v="Sao José - 2 - Fisioterapia Ortopédica - Pacote (R$ 20,00)"/>
    <s v="Fisioterapia"/>
    <n v="168948"/>
    <s v="Finalizado (6/10)"/>
    <n v="15"/>
    <n v="5"/>
    <n v="20"/>
    <s v="Pago"/>
    <n v="143890"/>
    <n v="43890"/>
    <s v="Unidade Sao Jose"/>
    <n v="168948"/>
    <m/>
  </r>
  <r>
    <x v="12"/>
    <x v="13"/>
    <s v="Fabiola da Silva Pinto"/>
    <s v="Feminino"/>
    <x v="7"/>
    <x v="24"/>
    <s v="Sao José - 2 - Fisioterapia Ortopédica - Pacote (R$ 20,00)"/>
    <s v="Fisioterapia"/>
    <n v="169388"/>
    <s v="Finalizado (3/10)"/>
    <n v="15"/>
    <n v="5"/>
    <n v="20"/>
    <s v="Pago"/>
    <n v="31794"/>
    <n v="31794"/>
    <s v="Unidade Sao Jose"/>
    <n v="169388"/>
    <m/>
  </r>
  <r>
    <x v="12"/>
    <x v="13"/>
    <s v="Jose Galvão Neto"/>
    <s v="Masculino"/>
    <x v="27"/>
    <x v="24"/>
    <s v="20103492 - Patol. Em Dois Ou Mais Membros (R$ 14,83)"/>
    <s v="Fisioterapia"/>
    <n v="1700980925"/>
    <s v="Finalizado (5/5)"/>
    <n v="12.4572"/>
    <n v="2.3727999999999998"/>
    <n v="14.83"/>
    <s v="Sessão Faturada"/>
    <n v="774063006637020"/>
    <n v="28365"/>
    <s v="Unidade Sao Jose"/>
    <n v="1700980925"/>
    <m/>
  </r>
  <r>
    <x v="12"/>
    <x v="13"/>
    <s v="Jose Galvão Neto"/>
    <s v="Masculino"/>
    <x v="27"/>
    <x v="24"/>
    <s v="20103115 - Atividade Reflexa Cinesioterápica (R$ 20,81)"/>
    <s v="Fisioterapia"/>
    <n v="1700981204"/>
    <s v="Finalizado (5/5)"/>
    <n v="17.480399999999999"/>
    <n v="3.3296000000000001"/>
    <n v="20.81"/>
    <s v="Sessão Faturada"/>
    <n v="774063006637020"/>
    <n v="28365"/>
    <s v="Unidade Sao Jose"/>
    <n v="1700981204"/>
    <m/>
  </r>
  <r>
    <x v="12"/>
    <x v="6"/>
    <s v="Jean da Silva Melo"/>
    <s v="Masculino"/>
    <x v="8"/>
    <x v="24"/>
    <s v="20103492 - Patologia Em Dois Ou Mais Membros (R$ 14,83), 20103514 - Patologia Em Diferentes Segmentos da Coluna (R$ 14,83)"/>
    <s v="Fisioterapia"/>
    <n v="1705876674"/>
    <s v="Finalizado (1/5)"/>
    <n v="24.914400000000001"/>
    <n v="4.7455999999999996"/>
    <n v="29.66"/>
    <s v="Sessão Faturada"/>
    <n v="954600003042000"/>
    <n v="29915"/>
    <s v="Unidade Sao Jose"/>
    <n v="1705876674"/>
    <m/>
  </r>
  <r>
    <x v="12"/>
    <x v="6"/>
    <s v="Diane Pinto de Souza"/>
    <s v="Feminino"/>
    <x v="27"/>
    <x v="24"/>
    <s v="20103662 - Pos Operatorio Em Um Membro (R$ 14,99)"/>
    <s v="Fisioterapia"/>
    <n v="1702855822"/>
    <s v="Finalizado (4/5)"/>
    <n v="12.5916"/>
    <n v="2.3984000000000001"/>
    <n v="14.99"/>
    <s v="Sessão Faturada"/>
    <n v="770179013056000"/>
    <n v="55682"/>
    <s v="Unidade Sao Jose"/>
    <n v="1702855822"/>
    <m/>
  </r>
  <r>
    <x v="12"/>
    <x v="6"/>
    <s v="Maria Ines Viana de Souza"/>
    <s v="Feminino"/>
    <x v="7"/>
    <x v="24"/>
    <s v="Sao José - 4 - Fisioterapia Neurológica/Respiratória - Pacote (R$ 50,00)"/>
    <s v="Fisioterapia"/>
    <n v="168404"/>
    <s v="Finalizado (6/10)"/>
    <n v="37.5"/>
    <n v="12.5"/>
    <n v="50"/>
    <s v="Pago"/>
    <n v="59105"/>
    <n v="59105"/>
    <s v="Unidade Sao Jose"/>
    <n v="168404"/>
    <m/>
  </r>
  <r>
    <x v="12"/>
    <x v="26"/>
    <s v="Jean da Silva Melo"/>
    <s v="Masculino"/>
    <x v="8"/>
    <x v="24"/>
    <s v="20103115 - Atividade Reflexa Cinesioterápica (R$ 20,81)"/>
    <s v="Fisioterapia"/>
    <n v="1705876261"/>
    <s v="Finalizado (1/5)"/>
    <n v="17.480399999999999"/>
    <n v="3.3296000000000001"/>
    <n v="20.81"/>
    <s v="Sessão Faturada"/>
    <n v="954600003042000"/>
    <n v="29915"/>
    <s v="Unidade Sao Jose"/>
    <n v="1705876261"/>
    <m/>
  </r>
  <r>
    <x v="12"/>
    <x v="7"/>
    <s v="Diane Pinto de Souza"/>
    <s v="Feminino"/>
    <x v="27"/>
    <x v="24"/>
    <s v="20103115 - Atividade Reflexa Cinesioterápica (R$ 20,81)"/>
    <s v="Fisioterapia"/>
    <n v="1702857071"/>
    <s v="Finalizado (4/5)"/>
    <n v="17.480399999999999"/>
    <n v="3.3296000000000001"/>
    <n v="20.81"/>
    <s v="Sessão Faturada"/>
    <n v="770179013056000"/>
    <n v="55682"/>
    <s v="Unidade Sao Jose"/>
    <n v="1702857071"/>
    <m/>
  </r>
  <r>
    <x v="12"/>
    <x v="27"/>
    <s v="Jean da Silva Melo"/>
    <s v="Masculino"/>
    <x v="8"/>
    <x v="24"/>
    <s v="20103662 - Pos Operatorio Em Um Membro (R$ 14,99)"/>
    <s v="Fisioterapia"/>
    <n v="1705875683"/>
    <s v="Finalizado (1/5)"/>
    <n v="12.5916"/>
    <n v="2.3984000000000001"/>
    <n v="14.99"/>
    <s v="Sessão Faturada"/>
    <n v="954600003042000"/>
    <n v="29915"/>
    <s v="Unidade Sao Jose"/>
    <n v="1705875683"/>
    <m/>
  </r>
  <r>
    <x v="12"/>
    <x v="15"/>
    <s v="Fernanda Neves Sabugosa"/>
    <s v="Feminino"/>
    <x v="27"/>
    <x v="24"/>
    <s v="20103492 - Patol. Em Dois Ou Mais Membros (R$ 14,83), 20103514 - Patol. Em Diferentes Segmentos da Coluna (R$ 14,83)"/>
    <s v="Fisioterapia"/>
    <n v="1702938125"/>
    <s v="Finalizado (3/5)"/>
    <n v="24.914400000000001"/>
    <n v="4.7455999999999996"/>
    <n v="29.66"/>
    <s v="Sessão Faturada"/>
    <n v="771015043370010"/>
    <n v="38199"/>
    <s v="Unidade Sao Jose"/>
    <n v="1702938125"/>
    <m/>
  </r>
  <r>
    <x v="12"/>
    <x v="15"/>
    <s v="Maria Francisca da Silva Carvalho"/>
    <s v="Feminino"/>
    <x v="7"/>
    <x v="24"/>
    <s v="Sao José - 4 - Fisioterapia Neurológica/Respiratória - Pacote (R$ 50,00)"/>
    <s v="Fisioterapia"/>
    <n v="168210"/>
    <s v="Finalizado (5/5)"/>
    <n v="37.5"/>
    <n v="12.5"/>
    <n v="50"/>
    <s v="Pago"/>
    <n v="58726"/>
    <n v="58726"/>
    <s v="Unidade Sao Jose"/>
    <n v="168210"/>
    <m/>
  </r>
  <r>
    <x v="12"/>
    <x v="16"/>
    <s v="Fernanda Neves Sabugosa"/>
    <s v="Feminino"/>
    <x v="27"/>
    <x v="24"/>
    <s v="20103115 - Atividade Reflexa Cinesioterápica (R$ 20,81)"/>
    <s v="Fisioterapia"/>
    <n v="1702938045"/>
    <s v="Finalizado (3/4)"/>
    <n v="17.480399999999999"/>
    <n v="3.3296000000000001"/>
    <n v="20.81"/>
    <s v="Sessão Faturada"/>
    <n v="771015043370010"/>
    <n v="38199"/>
    <s v="Unidade Sao Jose"/>
    <n v="1702938045"/>
    <m/>
  </r>
  <r>
    <x v="12"/>
    <x v="17"/>
    <s v="Jailson da Silva Teixeira"/>
    <s v="Masculino"/>
    <x v="27"/>
    <x v="24"/>
    <s v="20103514 - Patol. Em Diferentes Segmentos da Coluna (R$ 14,83)"/>
    <s v="Fisioterapia"/>
    <n v="1703975661"/>
    <s v="Finalizado (2/2)"/>
    <n v="12.4572"/>
    <n v="2.3727999999999998"/>
    <n v="14.83"/>
    <s v="Sessão Faturada"/>
    <n v="771015056251000"/>
    <n v="49655"/>
    <s v="Unidade Sao Jose"/>
    <n v="1703975661"/>
    <m/>
  </r>
  <r>
    <x v="12"/>
    <x v="18"/>
    <s v="Jailson da Silva Teixeira"/>
    <s v="Masculino"/>
    <x v="27"/>
    <x v="24"/>
    <s v="20103115 - Atividade Reflexa Cinesioterápica (R$ 20,81)"/>
    <s v="Fisioterapia"/>
    <n v="1703977523"/>
    <s v="Finalizado (2/2)"/>
    <n v="17.480399999999999"/>
    <n v="3.3296000000000001"/>
    <n v="20.81"/>
    <s v="Sessão Faturada"/>
    <n v="771015056251000"/>
    <n v="49655"/>
    <s v="Unidade Sao Jose"/>
    <n v="1703977523"/>
    <m/>
  </r>
  <r>
    <x v="12"/>
    <x v="8"/>
    <s v="Elrilane Santos dos Santos"/>
    <s v="Feminino"/>
    <x v="7"/>
    <x v="24"/>
    <s v="Sao José - 2 - Fisioterapia Ortopédica - Pacote (R$ 20,00)"/>
    <s v="Fisioterapia"/>
    <n v="170078"/>
    <s v="Finalizado (2/10)"/>
    <n v="15"/>
    <n v="5"/>
    <n v="20"/>
    <s v="Pago"/>
    <n v="59492"/>
    <n v="59492"/>
    <s v="Unidade Sao Jose"/>
    <n v="170078"/>
    <m/>
  </r>
  <r>
    <x v="12"/>
    <x v="8"/>
    <s v="Alessandro da Silva Vieira"/>
    <s v="Masculino"/>
    <x v="8"/>
    <x v="24"/>
    <s v="20103662 - Pos Operatorio Em Um Membro (R$ 14,99)"/>
    <s v="Fisioterapia"/>
    <n v="1704001598"/>
    <s v="Finalizado (2/5)"/>
    <n v="12.5916"/>
    <n v="2.3984000000000001"/>
    <n v="14.99"/>
    <s v="Sessão Faturada"/>
    <n v="954600024350000"/>
    <n v="57332"/>
    <s v="Unidade Sao Jose"/>
    <n v="1704001598"/>
    <m/>
  </r>
  <r>
    <x v="12"/>
    <x v="9"/>
    <s v="Alessandro da Silva Vieira"/>
    <s v="Masculino"/>
    <x v="8"/>
    <x v="24"/>
    <s v="20103115 - Atividade Reflexa Cinesioterápica (R$ 20,81)"/>
    <s v="Fisioterapia"/>
    <n v="1704001703"/>
    <s v="Finalizado (2/5)"/>
    <n v="17.480399999999999"/>
    <n v="3.3296000000000001"/>
    <n v="20.81"/>
    <s v="Sessão Faturada"/>
    <n v="954600024350000"/>
    <n v="57332"/>
    <s v="Unidade Sao Jose"/>
    <n v="1704001703"/>
    <m/>
  </r>
  <r>
    <x v="13"/>
    <x v="44"/>
    <s v="Angela Maria Serrao de Castro"/>
    <s v="Feminino"/>
    <x v="7"/>
    <x v="24"/>
    <s v="Sao José - 2 - Fisioterapia Ortopédica - Pacote (R$ 20,00)"/>
    <s v="Fisioterapia"/>
    <n v="169335"/>
    <s v="Finalizado (6/10)"/>
    <n v="15"/>
    <n v="5"/>
    <n v="20"/>
    <s v="Pago"/>
    <n v="59429"/>
    <n v="59429"/>
    <s v="Unidade Sao Jose"/>
    <n v="169335"/>
    <m/>
  </r>
  <r>
    <x v="13"/>
    <x v="44"/>
    <s v="Maria de Lourdes Batista Ferreira"/>
    <s v="Feminino"/>
    <x v="7"/>
    <x v="24"/>
    <s v="Sao José - 2 - Fisioterapia Ortopédica - Pacote (R$ 20,00)"/>
    <s v="Fisioterapia"/>
    <n v="169914"/>
    <s v="Finalizado (4/10)"/>
    <n v="15"/>
    <n v="5"/>
    <n v="20"/>
    <s v="Pago"/>
    <n v="59482"/>
    <n v="59482"/>
    <s v="Unidade Sao Jose"/>
    <n v="169914"/>
    <m/>
  </r>
  <r>
    <x v="13"/>
    <x v="41"/>
    <s v="Jean da Silva Melo"/>
    <s v="Masculino"/>
    <x v="8"/>
    <x v="24"/>
    <s v="20103492 - Patologia Em Dois Ou Mais Membros (R$ 14,83), 20103514 - Patologia Em Diferentes Segmentos da Coluna (R$ 14,83)"/>
    <s v="Fisioterapia"/>
    <n v="1705876674"/>
    <s v="Finalizado (2/5)"/>
    <n v="24.914400000000001"/>
    <n v="4.7455999999999996"/>
    <n v="29.66"/>
    <s v="Sessão Faturada"/>
    <n v="954600003042000"/>
    <n v="29915"/>
    <s v="Unidade Sao Jose"/>
    <n v="1705876674"/>
    <m/>
  </r>
  <r>
    <x v="13"/>
    <x v="41"/>
    <s v="Custodia Herminia de Sousa Filha"/>
    <s v="Feminino"/>
    <x v="7"/>
    <x v="24"/>
    <s v="Sao José - 4 - Fisioterapia Neurológica/Respiratória - Pacote (R$ 50,00)"/>
    <s v="Fisioterapia"/>
    <n v="156322"/>
    <s v="Finalizado (10/10)"/>
    <n v="37.5"/>
    <n v="12.5"/>
    <n v="50"/>
    <s v="Pago"/>
    <n v="58051"/>
    <n v="58051"/>
    <s v="Unidade Sao Jose"/>
    <n v="156322"/>
    <m/>
  </r>
  <r>
    <x v="13"/>
    <x v="76"/>
    <s v="Jean da Silva Melo"/>
    <s v="Masculino"/>
    <x v="8"/>
    <x v="24"/>
    <s v="20103662 - Pos Operatorio Em Um Membro (R$ 14,99)"/>
    <s v="Fisioterapia"/>
    <n v="1705875683"/>
    <s v="Finalizado (2/5)"/>
    <n v="12.5916"/>
    <n v="2.3984000000000001"/>
    <n v="14.99"/>
    <s v="Sessão Faturada"/>
    <n v="954600003042000"/>
    <n v="29915"/>
    <s v="Unidade Sao Jose"/>
    <n v="1705875683"/>
    <m/>
  </r>
  <r>
    <x v="13"/>
    <x v="48"/>
    <s v="Jean da Silva Melo"/>
    <s v="Masculino"/>
    <x v="8"/>
    <x v="24"/>
    <s v="20103115 - Atividade Reflexa Cinesioterápica (R$ 20,81)"/>
    <s v="Fisioterapia"/>
    <n v="1705876261"/>
    <s v="Finalizado (2/5)"/>
    <n v="17.480399999999999"/>
    <n v="3.3296000000000001"/>
    <n v="20.81"/>
    <s v="Sessão Faturada"/>
    <n v="954600003042000"/>
    <n v="29915"/>
    <s v="Unidade Sao Jose"/>
    <n v="1705876261"/>
    <m/>
  </r>
  <r>
    <x v="13"/>
    <x v="36"/>
    <s v="Dilson Pereira Dourado"/>
    <m/>
    <x v="27"/>
    <x v="24"/>
    <s v="20103492 - Patol. Em Dois Ou Mais Membros (R$ 14,83), 20103514 - Patol. Em Diferentes Segmentos da Coluna (R$ 14,83)"/>
    <s v="Fisioterapia"/>
    <n v="1705671875"/>
    <s v="Finalizado (2/5)"/>
    <n v="24.914400000000001"/>
    <n v="4.7455999999999996"/>
    <n v="29.66"/>
    <s v="Sessão Faturada"/>
    <n v="898081400019000"/>
    <n v="54845"/>
    <s v="Unidade Sao Jose"/>
    <n v="1705671875"/>
    <m/>
  </r>
  <r>
    <x v="13"/>
    <x v="61"/>
    <s v="Dilson Pereira Dourado"/>
    <m/>
    <x v="27"/>
    <x v="24"/>
    <s v="20103115 - Atividade Reflexa Cinesioterápica (R$ 20,81)"/>
    <s v="Fisioterapia"/>
    <n v="1705672226"/>
    <s v="Finalizado (2/5)"/>
    <n v="17.480399999999999"/>
    <n v="3.3296000000000001"/>
    <n v="20.81"/>
    <s v="Sessão Faturada"/>
    <n v="898081400019000"/>
    <n v="54845"/>
    <s v="Unidade Sao Jose"/>
    <n v="1705672226"/>
    <m/>
  </r>
  <r>
    <x v="13"/>
    <x v="40"/>
    <s v="Ednelia de Castro Moreira"/>
    <s v="Feminino"/>
    <x v="2"/>
    <x v="24"/>
    <s v="20103115 - Atividade Reflexa Cinesioterápica (R$ 20,81)"/>
    <s v="Fisioterapia"/>
    <n v="1703251678"/>
    <s v="Finalizado (4/5)"/>
    <n v="17.480399999999999"/>
    <n v="3.3296000000000001"/>
    <n v="20.81"/>
    <s v="Sessão Faturada"/>
    <n v="771015041548020"/>
    <n v="58471"/>
    <s v="Unidade Sao Jose"/>
    <n v="1703251678"/>
    <m/>
  </r>
  <r>
    <x v="13"/>
    <x v="40"/>
    <s v="Inoru Uchigasaki"/>
    <s v="Masculino"/>
    <x v="7"/>
    <x v="24"/>
    <s v="Sao José - 4 - Fisioterapia Neurológica/Respiratória - Pacote (R$ 50,00)"/>
    <s v="Fisioterapia"/>
    <n v="169780"/>
    <s v="Finalizado (2/10)"/>
    <n v="37.5"/>
    <n v="12.5"/>
    <n v="50"/>
    <s v="Pago"/>
    <n v="59468"/>
    <n v="59468"/>
    <s v="Unidade Sao Jose"/>
    <n v="169780"/>
    <m/>
  </r>
  <r>
    <x v="13"/>
    <x v="45"/>
    <s v="Ednelia de Castro Moreira"/>
    <s v="Feminino"/>
    <x v="2"/>
    <x v="24"/>
    <s v="20103662 - Fisioterapia - Pos Operatorio Em Um Membro (R$ 14,99)"/>
    <s v="Fisioterapia"/>
    <n v="1703253839"/>
    <s v="Finalizado (4/5)"/>
    <n v="12.5916"/>
    <n v="2.3984000000000001"/>
    <n v="14.99"/>
    <s v="Sessão Faturada"/>
    <n v="771015041548020"/>
    <n v="58471"/>
    <s v="Unidade Sao Jose"/>
    <n v="1703253839"/>
    <m/>
  </r>
  <r>
    <x v="13"/>
    <x v="38"/>
    <s v="Jailson Marinho Soares Junior"/>
    <s v="Masculino"/>
    <x v="7"/>
    <x v="24"/>
    <s v="Sao José - 2 - Fisioterapia Ortopédica - Pacote (R$ 20,00)"/>
    <s v="Fisioterapia"/>
    <n v="163662"/>
    <s v="Finalizado (6/10)"/>
    <n v="15"/>
    <n v="5"/>
    <n v="20"/>
    <s v="Pago"/>
    <n v="55557"/>
    <n v="55557"/>
    <s v="Unidade Sao Jose"/>
    <n v="163662"/>
    <m/>
  </r>
  <r>
    <x v="13"/>
    <x v="37"/>
    <s v="Elisangela de Araujo Souza"/>
    <s v="Feminino"/>
    <x v="8"/>
    <x v="24"/>
    <s v="20103115 - Atividade Reflexa Cinesioterápica (R$ 20,81)"/>
    <s v="Fisioterapia"/>
    <n v="1701784897"/>
    <s v="Finalizado (4/5)"/>
    <n v="17.480399999999999"/>
    <n v="3.3296000000000001"/>
    <n v="20.81"/>
    <s v="Sessão Faturada"/>
    <n v="954600000884010"/>
    <n v="26307"/>
    <s v="Unidade Sao Jose"/>
    <n v="1701784897"/>
    <m/>
  </r>
  <r>
    <x v="13"/>
    <x v="37"/>
    <s v="Elisangela de Araujo Souza"/>
    <s v="Feminino"/>
    <x v="8"/>
    <x v="24"/>
    <s v="20103484 - Patologia Em Um Membro (R$ 12,22)"/>
    <s v="Fisioterapia"/>
    <n v="1701784514"/>
    <s v="Finalizado (4/5)"/>
    <n v="10.264799999999999"/>
    <n v="1.9552"/>
    <n v="12.22"/>
    <s v="Sessão Faturada"/>
    <n v="954600000884010"/>
    <n v="26307"/>
    <s v="Unidade Sao Jose"/>
    <n v="1701784514"/>
    <m/>
  </r>
  <r>
    <x v="13"/>
    <x v="0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1931475"/>
    <s v="Finalizado (4/5)"/>
    <n v="24.914400000000001"/>
    <n v="4.7455999999999996"/>
    <n v="29.66"/>
    <s v="Sessão Faturada"/>
    <n v="843486100370000"/>
    <n v="49710"/>
    <s v="Unidade Sao Jose"/>
    <n v="1701931475"/>
    <m/>
  </r>
  <r>
    <x v="13"/>
    <x v="1"/>
    <s v="Clicia Nayara Coimbra Soares"/>
    <s v="Feminino"/>
    <x v="2"/>
    <x v="24"/>
    <s v="20103115 - Atividade Reflexa Cinesioterápica (R$ 20,81)"/>
    <s v="Fisioterapia"/>
    <n v="1701931684"/>
    <s v="Finalizado (4/5)"/>
    <n v="17.480399999999999"/>
    <n v="3.3296000000000001"/>
    <n v="20.81"/>
    <s v="Sessão Faturada"/>
    <n v="843486100370000"/>
    <n v="49710"/>
    <s v="Unidade Sao Jose"/>
    <n v="1701931684"/>
    <m/>
  </r>
  <r>
    <x v="13"/>
    <x v="2"/>
    <s v="Joycilene da Silva Carvalho"/>
    <s v="Feminino"/>
    <x v="7"/>
    <x v="24"/>
    <s v="Sao José - 2 - Fisioterapia Ortopédica - Pacote (R$ 20,00)"/>
    <s v="Fisioterapia"/>
    <n v="170324"/>
    <s v="Finalizado (1/10)"/>
    <n v="15"/>
    <n v="5"/>
    <n v="20"/>
    <s v="Pago"/>
    <n v="54386"/>
    <n v="54386"/>
    <s v="Unidade Sao Jose"/>
    <n v="170324"/>
    <m/>
  </r>
  <r>
    <x v="13"/>
    <x v="4"/>
    <s v="Ana Cleude Pantoja da Silva"/>
    <s v="Feminino"/>
    <x v="8"/>
    <x v="24"/>
    <s v="20103115 - Atividade Reflexa Cinesioterápica (R$ 20,81)"/>
    <s v="Fisioterapia"/>
    <n v="1704906377"/>
    <s v="Finalizado (2/3)"/>
    <n v="17.480399999999999"/>
    <n v="3.3296000000000001"/>
    <n v="20.81"/>
    <s v="Sessão Faturada"/>
    <n v="954600008567000"/>
    <n v="23678"/>
    <s v="Unidade Sao Jose"/>
    <n v="1704906377"/>
    <m/>
  </r>
  <r>
    <x v="13"/>
    <x v="5"/>
    <s v="Ana Cleude Pantoja da Silva"/>
    <s v="Feminino"/>
    <x v="8"/>
    <x v="24"/>
    <s v="20103492 - Patologia Em Dois Ou Mais Membros (R$ 14,83), 20103514 - Patologia Em Diferentes Segmentos da Coluna (R$ 14,83)"/>
    <s v="Fisioterapia"/>
    <n v="1704905703"/>
    <s v="Finalizado (2/5)"/>
    <n v="24.914400000000001"/>
    <n v="4.7455999999999996"/>
    <n v="29.66"/>
    <s v="Sessão Faturada"/>
    <n v="954600008567000"/>
    <n v="23678"/>
    <s v="Unidade Sao Jose"/>
    <n v="1704905703"/>
    <m/>
  </r>
  <r>
    <x v="13"/>
    <x v="13"/>
    <s v="Diana Costa Tavares Gonçalves"/>
    <s v="Feminino"/>
    <x v="27"/>
    <x v="24"/>
    <s v="20103492 - Patol. Em Dois Ou Mais Membros (R$ 14,83), 20103514 - Patol. Em Diferentes Segmentos da Coluna (R$ 14,83)"/>
    <s v="Fisioterapia"/>
    <n v="1700118474"/>
    <s v="Finalizado (4/4)"/>
    <n v="24.914400000000001"/>
    <n v="4.7455999999999996"/>
    <n v="29.66"/>
    <s v="Sessão Faturada"/>
    <n v="813227000817000"/>
    <n v="52256"/>
    <s v="Unidade Sao Jose"/>
    <n v="1700118474"/>
    <m/>
  </r>
  <r>
    <x v="13"/>
    <x v="13"/>
    <s v="Diana Costa Tavares Gonçalves"/>
    <s v="Feminino"/>
    <x v="27"/>
    <x v="24"/>
    <s v="20103115 - Atividade Reflexa Cinesioterápica (R$ 20,81)"/>
    <s v="Fisioterapia"/>
    <n v="1700118563"/>
    <s v="Finalizado (4/4)"/>
    <n v="17.480399999999999"/>
    <n v="3.3296000000000001"/>
    <n v="20.81"/>
    <s v="Sessão Faturada"/>
    <n v="813227000817000"/>
    <n v="52256"/>
    <s v="Unidade Sao Jose"/>
    <n v="1700118563"/>
    <m/>
  </r>
  <r>
    <x v="13"/>
    <x v="13"/>
    <s v="Maria Ines Viana de Souza"/>
    <s v="Feminino"/>
    <x v="7"/>
    <x v="24"/>
    <s v="Sao José - 4 - Fisioterapia Neurológica/Respiratória - Pacote (R$ 50,00)"/>
    <s v="Fisioterapia"/>
    <n v="168404"/>
    <s v="Finalizado (7/10)"/>
    <n v="37.5"/>
    <n v="12.5"/>
    <n v="50"/>
    <s v="Pago"/>
    <n v="59105"/>
    <n v="59105"/>
    <s v="Unidade Sao Jose"/>
    <n v="168404"/>
    <m/>
  </r>
  <r>
    <x v="13"/>
    <x v="8"/>
    <s v="Lucas Gloria da Costa"/>
    <s v="Masculino"/>
    <x v="7"/>
    <x v="24"/>
    <s v="Sao José - 2 - Fisioterapia Ortopédica - Pacote (R$ 20,00)"/>
    <s v="Fisioterapia"/>
    <n v="170074"/>
    <s v="Finalizado (1/10)"/>
    <n v="15"/>
    <n v="5"/>
    <n v="20"/>
    <s v="Pago"/>
    <n v="59490"/>
    <n v="59490"/>
    <s v="Unidade Sao Jose"/>
    <n v="170074"/>
    <m/>
  </r>
  <r>
    <x v="13"/>
    <x v="8"/>
    <s v="Elrilane Santos dos Santos"/>
    <s v="Feminino"/>
    <x v="7"/>
    <x v="24"/>
    <s v="Sao José - 2 - Fisioterapia Ortopédica - Pacote (R$ 20,00)"/>
    <s v="Fisioterapia"/>
    <n v="170078"/>
    <s v="Finalizado (3/10)"/>
    <n v="15"/>
    <n v="5"/>
    <n v="20"/>
    <s v="Pago"/>
    <n v="59492"/>
    <n v="59492"/>
    <s v="Unidade Sao Jose"/>
    <n v="170078"/>
    <m/>
  </r>
  <r>
    <x v="13"/>
    <x v="10"/>
    <s v="Carlos Victor Lopes de Souza"/>
    <s v="Masculino"/>
    <x v="7"/>
    <x v="24"/>
    <s v="Sao José - 4 - Fisioterapia Neurológica/Respiratória - Pacote (R$ 50,00)"/>
    <s v="Fisioterapia"/>
    <n v="167336"/>
    <s v="Finalizado (10/10)"/>
    <n v="37.5"/>
    <n v="12.5"/>
    <n v="50"/>
    <s v="Pago"/>
    <n v="56621"/>
    <n v="56621"/>
    <s v="Unidade Sao Jose"/>
    <n v="167336"/>
    <m/>
  </r>
  <r>
    <x v="14"/>
    <x v="44"/>
    <s v="Ana Clara Santos Maia"/>
    <s v="Feminino"/>
    <x v="7"/>
    <x v="24"/>
    <s v="Sao José - 2 - Fisioterapia Ortopédica - Pacote (R$ 20,00)"/>
    <s v="Fisioterapia"/>
    <n v="169276"/>
    <s v="Finalizado (5/10)"/>
    <n v="15"/>
    <n v="5"/>
    <n v="20"/>
    <s v="Pago"/>
    <n v="59190"/>
    <n v="59190"/>
    <s v="Unidade Sao Jose"/>
    <n v="169276"/>
    <m/>
  </r>
  <r>
    <x v="14"/>
    <x v="44"/>
    <s v="Kyssia Roberta Sena Batista de Souza"/>
    <s v="Feminino"/>
    <x v="8"/>
    <x v="24"/>
    <s v="20103662 - Pos Operatorio Em Um Membro (R$ 14,99)"/>
    <s v="Fisioterapia"/>
    <n v="1706660545"/>
    <s v="Finalizado (1/5)"/>
    <n v="12.5916"/>
    <n v="2.3984000000000001"/>
    <n v="14.99"/>
    <s v="Sessão Faturada"/>
    <n v="954600002461000"/>
    <n v="58661"/>
    <s v="Unidade Sao Jose"/>
    <n v="1706660545"/>
    <m/>
  </r>
  <r>
    <x v="14"/>
    <x v="60"/>
    <s v="Kyssia Roberta Sena Batista de Souza"/>
    <s v="Feminino"/>
    <x v="8"/>
    <x v="24"/>
    <s v="20103115 - Atividade Reflexa Cinesioterápica (R$ 20,81)"/>
    <s v="Fisioterapia"/>
    <n v="1706661129"/>
    <s v="Finalizado (1/4)"/>
    <n v="17.480399999999999"/>
    <n v="3.3296000000000001"/>
    <n v="20.81"/>
    <s v="Sessão Faturada"/>
    <n v="954600002461000"/>
    <n v="58661"/>
    <s v="Unidade Sao Jose"/>
    <n v="1706661129"/>
    <m/>
  </r>
  <r>
    <x v="14"/>
    <x v="41"/>
    <s v="Silvia Serrão de Figueiredo"/>
    <s v="Feminino"/>
    <x v="27"/>
    <x v="24"/>
    <s v="20103115 - Atividade Reflexa Cinesioterápica (R$ 20,81)"/>
    <s v="Fisioterapia"/>
    <n v="1705564727"/>
    <s v="Finalizado (2/3)"/>
    <n v="17.480399999999999"/>
    <n v="3.3296000000000001"/>
    <n v="20.81"/>
    <s v="Sessão Faturada"/>
    <n v="772133000485020"/>
    <n v="25348"/>
    <s v="Unidade Sao Jose"/>
    <n v="1705564727"/>
    <m/>
  </r>
  <r>
    <x v="14"/>
    <x v="41"/>
    <s v="Joycilene da Silva Carvalho"/>
    <s v="Feminino"/>
    <x v="7"/>
    <x v="24"/>
    <s v="Sao José - 2 - Fisioterapia Ortopédica - Pacote (R$ 20,00)"/>
    <s v="Fisioterapia"/>
    <n v="170324"/>
    <s v="Finalizado (2/10)"/>
    <n v="15"/>
    <n v="5"/>
    <n v="20"/>
    <s v="Pago"/>
    <n v="54386"/>
    <n v="54386"/>
    <s v="Unidade Sao Jose"/>
    <n v="170324"/>
    <m/>
  </r>
  <r>
    <x v="14"/>
    <x v="41"/>
    <s v="Silvia Serrão de Figueiredo"/>
    <s v="Feminino"/>
    <x v="27"/>
    <x v="24"/>
    <s v="20103492 - Patol. Em Dois Ou Mais Membros (R$ 14,83), 20103514 - Patol. Em Diferentes Segmentos da Coluna (R$ 14,83)"/>
    <s v="Fisioterapia"/>
    <n v="1706695150"/>
    <s v="Finalizado (1/5)"/>
    <n v="24.914400000000001"/>
    <n v="4.7455999999999996"/>
    <n v="29.66"/>
    <s v="Sessão Faturada"/>
    <n v="772133000485020"/>
    <n v="25348"/>
    <s v="Unidade Sao Jose"/>
    <n v="1706695150"/>
    <m/>
  </r>
  <r>
    <x v="14"/>
    <x v="65"/>
    <s v="Silvia Serrão de Figueiredo"/>
    <s v="Feminino"/>
    <x v="27"/>
    <x v="24"/>
    <s v="20103522 - Fisioterapia - Pac Com Dependencia de Vida Diária (R$ 23,59)"/>
    <s v="Fisioterapia"/>
    <n v="1705564431"/>
    <s v="Finalizado (2/5)"/>
    <n v="19.8156"/>
    <n v="3.7744"/>
    <n v="23.59"/>
    <s v="Sessão Faturada"/>
    <n v="772133000485020"/>
    <n v="25348"/>
    <s v="Unidade Sao Jose"/>
    <n v="1705564431"/>
    <m/>
  </r>
  <r>
    <x v="14"/>
    <x v="36"/>
    <s v="Ketlem Kamila Ribeiro dos Santos"/>
    <m/>
    <x v="27"/>
    <x v="24"/>
    <s v="20103522 - Fisioterapia - Pac Com Dependencia de Vida Diária (R$ 23,59)"/>
    <s v="Fisioterapia"/>
    <n v="1701688655"/>
    <s v="Finalizado (2/4)"/>
    <n v="19.8156"/>
    <n v="3.7744"/>
    <n v="23.59"/>
    <s v="Sessão Faturada"/>
    <n v="881758800094000"/>
    <n v="52913"/>
    <s v="Unidade Sao Jose"/>
    <n v="1701688655"/>
    <m/>
  </r>
  <r>
    <x v="14"/>
    <x v="36"/>
    <s v="Kamila Marques da Silva"/>
    <s v="Feminino"/>
    <x v="7"/>
    <x v="24"/>
    <s v="Sao José - 2 - Fisioterapia Ortopédica - Pacote (R$ 20,00)"/>
    <s v="Fisioterapia"/>
    <n v="169541"/>
    <s v="Finalizado (4/10)"/>
    <n v="15"/>
    <n v="5"/>
    <n v="20"/>
    <s v="Pago"/>
    <n v="59454"/>
    <n v="59454"/>
    <s v="Unidade Sao Jose"/>
    <n v="169541"/>
    <m/>
  </r>
  <r>
    <x v="14"/>
    <x v="36"/>
    <s v="Simone Soares Franco"/>
    <s v="Feminino"/>
    <x v="8"/>
    <x v="24"/>
    <s v="20103115 - Atividade Reflexa Cinesioterápica (R$ 20,81)"/>
    <s v="Fisioterapia"/>
    <n v="1706706813"/>
    <s v="Finalizado (1/4)"/>
    <n v="17.480399999999999"/>
    <n v="3.3296000000000001"/>
    <n v="20.81"/>
    <s v="Sessão Faturada"/>
    <n v="954600000256000"/>
    <n v="24181"/>
    <s v="Unidade Sao Jose"/>
    <n v="1706706813"/>
    <m/>
  </r>
  <r>
    <x v="14"/>
    <x v="36"/>
    <s v="Manuela Soares de Freitas Mendonca"/>
    <s v="Feminino"/>
    <x v="8"/>
    <x v="24"/>
    <s v="20103115 - Atividade Reflexa Cinesioterápica (R$ 20,81)"/>
    <s v="Fisioterapia"/>
    <n v="1706715509"/>
    <s v="Finalizado (1/4)"/>
    <n v="17.480399999999999"/>
    <n v="3.3296000000000001"/>
    <n v="20.81"/>
    <s v="Sessão Faturada"/>
    <n v="954600000256030"/>
    <n v="53656"/>
    <s v="Unidade Sao Jose"/>
    <n v="1706715509"/>
    <m/>
  </r>
  <r>
    <x v="14"/>
    <x v="36"/>
    <s v="Maria de Lourdes Batista Ferreira"/>
    <s v="Feminino"/>
    <x v="7"/>
    <x v="24"/>
    <s v="Sao José - 2 - Fisioterapia Ortopédica - Pacote (R$ 20,00)"/>
    <s v="Fisioterapia"/>
    <n v="169914"/>
    <s v="Finalizado (5/10)"/>
    <n v="15"/>
    <n v="5"/>
    <n v="20"/>
    <s v="Pago"/>
    <n v="59482"/>
    <n v="59482"/>
    <s v="Unidade Sao Jose"/>
    <n v="169914"/>
    <m/>
  </r>
  <r>
    <x v="14"/>
    <x v="36"/>
    <s v="Maria do Carmo Marinho"/>
    <s v="Feminino"/>
    <x v="7"/>
    <x v="24"/>
    <s v="Sao José - 2 - Fisioterapia Ortopédica - Pacote (R$ 20,00)"/>
    <s v="Fisioterapia"/>
    <n v="169944"/>
    <s v="Finalizado (2/10)"/>
    <n v="15"/>
    <n v="5"/>
    <n v="20"/>
    <s v="Pago"/>
    <n v="59484"/>
    <n v="59484"/>
    <s v="Unidade Sao Jose"/>
    <n v="169944"/>
    <m/>
  </r>
  <r>
    <x v="14"/>
    <x v="57"/>
    <s v="Simone Soares Franco"/>
    <s v="Feminino"/>
    <x v="8"/>
    <x v="24"/>
    <s v="20103522 - Fisioterapia - Pac Com Dependencia de Vida Diária (R$ 23,59)"/>
    <s v="Fisioterapia"/>
    <n v="1706703596"/>
    <s v="Finalizado (1/5)"/>
    <n v="19.8156"/>
    <n v="3.7744"/>
    <n v="23.59"/>
    <s v="Sessão Faturada"/>
    <n v="954600000256000"/>
    <n v="24181"/>
    <s v="Unidade Sao Jose"/>
    <n v="1706703596"/>
    <m/>
  </r>
  <r>
    <x v="14"/>
    <x v="57"/>
    <s v="Ketlem Kamila Ribeiro dos Santos"/>
    <m/>
    <x v="27"/>
    <x v="24"/>
    <s v="20103514 - Patol. Em Diferentes Segmentos da Coluna (R$ 14,83)"/>
    <s v="Fisioterapia"/>
    <n v="1701690605"/>
    <s v="Finalizado (2/4)"/>
    <n v="12.4572"/>
    <n v="2.3727999999999998"/>
    <n v="14.83"/>
    <s v="Sessão a Faturar"/>
    <n v="881758800094000"/>
    <n v="52913"/>
    <s v="Unidade Sao Jose"/>
    <n v="1701690605"/>
    <m/>
  </r>
  <r>
    <x v="14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06715129"/>
    <s v="Finalizado (1/5)"/>
    <n v="22.722000000000001"/>
    <n v="4.3280000000000003"/>
    <n v="27.05"/>
    <s v="Sessão Faturada"/>
    <n v="954600000256030"/>
    <n v="53656"/>
    <s v="Unidade Sao Jose"/>
    <n v="1706715129"/>
    <m/>
  </r>
  <r>
    <x v="14"/>
    <x v="67"/>
    <s v="Simone Soares Franco"/>
    <s v="Feminino"/>
    <x v="8"/>
    <x v="24"/>
    <s v="20103492 - Patologia Em Dois Ou Mais Membros (R$ 14,83)"/>
    <s v="Fisioterapia"/>
    <n v="1706706350"/>
    <s v="Finalizado (1/5)"/>
    <n v="12.4572"/>
    <n v="2.3727999999999998"/>
    <n v="14.83"/>
    <s v="Sessão Faturada"/>
    <n v="954600000256000"/>
    <n v="24181"/>
    <s v="Unidade Sao Jose"/>
    <n v="1706706350"/>
    <m/>
  </r>
  <r>
    <x v="14"/>
    <x v="67"/>
    <s v="Ketlem Kamila Ribeiro dos Santos"/>
    <m/>
    <x v="27"/>
    <x v="24"/>
    <s v="20103115 - Atividade Reflexa Cinesioterápica (R$ 20,81)"/>
    <s v="Fisioterapia"/>
    <n v="1701689056"/>
    <s v="Finalizado (2/3)"/>
    <n v="17.480399999999999"/>
    <n v="3.3296000000000001"/>
    <n v="20.81"/>
    <s v="Sessão Faturada"/>
    <n v="881758800094000"/>
    <n v="52913"/>
    <s v="Unidade Sao Jose"/>
    <n v="1701689056"/>
    <m/>
  </r>
  <r>
    <x v="14"/>
    <x v="40"/>
    <s v="Ednelia de Castro Moreira"/>
    <s v="Feminino"/>
    <x v="2"/>
    <x v="24"/>
    <s v="20103115 - Atividade Reflexa Cinesioterápica (R$ 20,81)"/>
    <s v="Fisioterapia"/>
    <n v="1703251678"/>
    <s v="Finalizado (5/5)"/>
    <n v="17.480399999999999"/>
    <n v="3.3296000000000001"/>
    <n v="20.81"/>
    <s v="Sessão Faturada"/>
    <n v="771015041548020"/>
    <n v="58471"/>
    <s v="Unidade Sao Jose"/>
    <n v="1703251678"/>
    <m/>
  </r>
  <r>
    <x v="14"/>
    <x v="40"/>
    <s v="Dilson Pereira Dourado"/>
    <m/>
    <x v="27"/>
    <x v="24"/>
    <s v="20103492 - Patol. Em Dois Ou Mais Membros (R$ 14,83), 20103514 - Patol. Em Diferentes Segmentos da Coluna (R$ 14,83)"/>
    <s v="Fisioterapia"/>
    <n v="1705671875"/>
    <s v="Finalizado (3/5)"/>
    <n v="24.914400000000001"/>
    <n v="4.7455999999999996"/>
    <n v="29.66"/>
    <s v="Sessão Faturada"/>
    <n v="898081400019000"/>
    <n v="54845"/>
    <s v="Unidade Sao Jose"/>
    <n v="1705671875"/>
    <m/>
  </r>
  <r>
    <x v="14"/>
    <x v="45"/>
    <s v="Dilson Pereira Dourado"/>
    <m/>
    <x v="27"/>
    <x v="24"/>
    <s v="20103115 - Atividade Reflexa Cinesioterápica (R$ 20,81)"/>
    <s v="Fisioterapia"/>
    <n v="1705672226"/>
    <s v="Finalizado (3/5)"/>
    <n v="17.480399999999999"/>
    <n v="3.3296000000000001"/>
    <n v="20.81"/>
    <s v="Sessão Faturada"/>
    <n v="898081400019000"/>
    <n v="54845"/>
    <s v="Unidade Sao Jose"/>
    <n v="1705672226"/>
    <m/>
  </r>
  <r>
    <x v="14"/>
    <x v="45"/>
    <s v="Ednelia de Castro Moreira"/>
    <s v="Feminino"/>
    <x v="2"/>
    <x v="24"/>
    <s v="20103662 - Fisioterapia - Pos Operatorio Em Um Membro (R$ 14,99)"/>
    <s v="Fisioterapia"/>
    <n v="1703253839"/>
    <s v="Finalizado (5/5)"/>
    <n v="12.5916"/>
    <n v="2.3984000000000001"/>
    <n v="14.99"/>
    <s v="Sessão Faturada"/>
    <n v="771015041548020"/>
    <n v="58471"/>
    <s v="Unidade Sao Jose"/>
    <n v="1703253839"/>
    <m/>
  </r>
  <r>
    <x v="14"/>
    <x v="35"/>
    <s v="Celia Medeiros Correa"/>
    <s v="Feminino"/>
    <x v="7"/>
    <x v="24"/>
    <s v="Sao José - 2 - Fisioterapia Ortopédica - Pacote (R$ 20,00)"/>
    <s v="Fisioterapia"/>
    <n v="170432"/>
    <s v="Finalizado (1/10)"/>
    <n v="15"/>
    <n v="5"/>
    <n v="20"/>
    <s v="Pago"/>
    <n v="59521"/>
    <n v="59521"/>
    <s v="Unidade Sao Jose"/>
    <n v="170432"/>
    <m/>
  </r>
  <r>
    <x v="14"/>
    <x v="38"/>
    <s v="Elisangela de Araujo Souza"/>
    <s v="Feminino"/>
    <x v="8"/>
    <x v="24"/>
    <s v="20103115 - Atividade Reflexa Cinesioterápica (R$ 20,81)"/>
    <s v="Fisioterapia"/>
    <n v="1701784897"/>
    <s v="Finalizado (5/5)"/>
    <n v="17.480399999999999"/>
    <n v="3.3296000000000001"/>
    <n v="20.81"/>
    <s v="Sessão Faturada"/>
    <n v="954600000884010"/>
    <n v="26307"/>
    <s v="Unidade Sao Jose"/>
    <n v="1701784897"/>
    <m/>
  </r>
  <r>
    <x v="14"/>
    <x v="38"/>
    <s v="Misleia Fernandes Mendes"/>
    <s v="Feminino"/>
    <x v="27"/>
    <x v="24"/>
    <s v="20103492 - Patol. Em Dois Ou Mais Membros (R$ 14,83), 20103514 - Patol. Em Diferentes Segmentos da Coluna (R$ 14,83)"/>
    <s v="Fisioterapia"/>
    <n v="1699000067"/>
    <s v="Finalizado (2/2)"/>
    <n v="24.914400000000001"/>
    <n v="4.7455999999999996"/>
    <n v="29.66"/>
    <s v="Sessão Faturada"/>
    <n v="770179020664010"/>
    <n v="44824"/>
    <s v="Unidade Sao Jose"/>
    <n v="1699000067"/>
    <m/>
  </r>
  <r>
    <x v="14"/>
    <x v="68"/>
    <s v="Misleia Fernandes Mendes"/>
    <s v="Feminino"/>
    <x v="27"/>
    <x v="24"/>
    <s v="20103115 - Atividade Reflexa Cinesioterápica (R$ 20,81)"/>
    <s v="Fisioterapia"/>
    <n v="1699000603"/>
    <s v="Finalizado (2/2)"/>
    <n v="17.480399999999999"/>
    <n v="3.3296000000000001"/>
    <n v="20.81"/>
    <s v="Sessão Faturada"/>
    <n v="770179020664010"/>
    <n v="44824"/>
    <s v="Unidade Sao Jose"/>
    <n v="1699000603"/>
    <m/>
  </r>
  <r>
    <x v="14"/>
    <x v="62"/>
    <s v="Elisangela de Araujo Souza"/>
    <s v="Feminino"/>
    <x v="8"/>
    <x v="24"/>
    <s v="20103484 - Patologia Em Um Membro (R$ 12,22)"/>
    <s v="Fisioterapia"/>
    <n v="1701784514"/>
    <s v="Finalizado (5/5)"/>
    <n v="10.264799999999999"/>
    <n v="1.9552"/>
    <n v="12.22"/>
    <s v="Sessão Faturada"/>
    <n v="954600000884010"/>
    <n v="26307"/>
    <s v="Unidade Sao Jose"/>
    <n v="1701784514"/>
    <m/>
  </r>
  <r>
    <x v="14"/>
    <x v="69"/>
    <s v="Misleia Fernandes Mendes"/>
    <s v="Feminino"/>
    <x v="27"/>
    <x v="24"/>
    <s v="20103522 - Fisioterapia - Pac Com Dependencia de Vida Diária (R$ 23,59)"/>
    <s v="Fisioterapia"/>
    <n v="1699000486"/>
    <s v="Finalizado (2/2)"/>
    <n v="19.8156"/>
    <n v="3.7744"/>
    <n v="23.59"/>
    <s v="Sessão Faturada"/>
    <n v="770179020664010"/>
    <n v="44824"/>
    <s v="Unidade Sao Jose"/>
    <n v="1699000486"/>
    <m/>
  </r>
  <r>
    <x v="14"/>
    <x v="22"/>
    <s v="Ângela Isabel Barbosa Rego"/>
    <s v="Feminino"/>
    <x v="7"/>
    <x v="24"/>
    <s v="Sao José - 2 - Fisioterapia Ortopédica - Pacote (R$ 20,00)"/>
    <s v="Fisioterapia"/>
    <n v="169554"/>
    <s v="Finalizado (5/10)"/>
    <n v="15"/>
    <n v="5"/>
    <n v="20"/>
    <s v="Pago"/>
    <n v="59455"/>
    <n v="59455"/>
    <s v="Unidade Sao Jose"/>
    <n v="169554"/>
    <m/>
  </r>
  <r>
    <x v="14"/>
    <x v="0"/>
    <s v="Diane Pinto de Souza"/>
    <s v="Feminino"/>
    <x v="27"/>
    <x v="24"/>
    <s v="20103662 - Pos Operatorio Em Um Membro (R$ 14,99)"/>
    <s v="Fisioterapia"/>
    <n v="1702855822"/>
    <s v="Finalizado (5/5)"/>
    <n v="12.5916"/>
    <n v="2.3984000000000001"/>
    <n v="14.99"/>
    <s v="Sessão Faturada"/>
    <n v="770179013056000"/>
    <n v="55682"/>
    <s v="Unidade Sao Jose"/>
    <n v="1702855822"/>
    <m/>
  </r>
  <r>
    <x v="14"/>
    <x v="0"/>
    <s v="Victor Hugo Tavares Pereira"/>
    <s v="Masculino"/>
    <x v="27"/>
    <x v="24"/>
    <s v="20103662 - Pos Operatorio Em Um Membro (R$ 14,99)"/>
    <s v="Fisioterapia"/>
    <n v="1702839342"/>
    <s v="Finalizado (3/5)"/>
    <n v="12.5916"/>
    <n v="2.3984000000000001"/>
    <n v="14.99"/>
    <s v="Sessão Faturada"/>
    <n v="774642023205000"/>
    <n v="54184"/>
    <s v="Unidade Sao Jose"/>
    <n v="1702839342"/>
    <m/>
  </r>
  <r>
    <x v="14"/>
    <x v="0"/>
    <s v="Glívena Souza Félix"/>
    <s v="Feminino"/>
    <x v="7"/>
    <x v="24"/>
    <s v="Sao José - 4 - Fisioterapia Neurológica/Respiratória - Pacote (R$ 50,00)"/>
    <s v="Fisioterapia"/>
    <n v="166724"/>
    <s v="Finalizado (10/10)"/>
    <n v="37.5"/>
    <n v="12.5"/>
    <n v="50"/>
    <s v="Pago"/>
    <n v="57339"/>
    <n v="57339"/>
    <s v="Unidade Sao Jose"/>
    <n v="166724"/>
    <m/>
  </r>
  <r>
    <x v="14"/>
    <x v="1"/>
    <s v="Diane Pinto de Souza"/>
    <s v="Feminino"/>
    <x v="27"/>
    <x v="24"/>
    <s v="20103115 - Atividade Reflexa Cinesioterápica (R$ 20,81)"/>
    <s v="Fisioterapia"/>
    <n v="1702857071"/>
    <s v="Finalizado (5/5)"/>
    <n v="17.480399999999999"/>
    <n v="3.3296000000000001"/>
    <n v="20.81"/>
    <s v="Sessão Faturada"/>
    <n v="770179013056000"/>
    <n v="55682"/>
    <s v="Unidade Sao Jose"/>
    <n v="1702857071"/>
    <m/>
  </r>
  <r>
    <x v="14"/>
    <x v="1"/>
    <s v="Victor Hugo Tavares Pereira"/>
    <s v="Masculino"/>
    <x v="27"/>
    <x v="24"/>
    <s v="20103115 - Atividade Reflexa Cinesioterápica (R$ 20,81)"/>
    <s v="Fisioterapia"/>
    <n v="1702839638"/>
    <s v="Finalizado (3/4)"/>
    <n v="17.480399999999999"/>
    <n v="3.3296000000000001"/>
    <n v="20.81"/>
    <s v="Sessão Faturada"/>
    <n v="774642023205000"/>
    <n v="54184"/>
    <s v="Unidade Sao Jose"/>
    <n v="1702839638"/>
    <m/>
  </r>
  <r>
    <x v="14"/>
    <x v="2"/>
    <s v="Maria Francisca da Silva Carvalho"/>
    <s v="Feminino"/>
    <x v="7"/>
    <x v="24"/>
    <s v="Sao José - 4 - Fisioterapia Neurológica/Respiratória - Pacote (R$ 50,00)"/>
    <s v="Fisioterapia"/>
    <n v="170498"/>
    <s v="Finalizado (1/5)"/>
    <n v="37.5"/>
    <n v="12.5"/>
    <n v="50"/>
    <s v="Pago"/>
    <n v="58726"/>
    <n v="58726"/>
    <s v="Unidade Sao Jose"/>
    <n v="170498"/>
    <m/>
  </r>
  <r>
    <x v="14"/>
    <x v="4"/>
    <s v="Jean da Silva Melo"/>
    <s v="Masculino"/>
    <x v="8"/>
    <x v="24"/>
    <s v="20103492 - Patologia Em Dois Ou Mais Membros (R$ 14,83), 20103514 - Patologia Em Diferentes Segmentos da Coluna (R$ 14,83)"/>
    <s v="Fisioterapia"/>
    <n v="1705876674"/>
    <s v="Finalizado (3/5)"/>
    <n v="24.914400000000001"/>
    <n v="4.7455999999999996"/>
    <n v="29.66"/>
    <s v="Sessão Faturada"/>
    <n v="954600003042000"/>
    <n v="29915"/>
    <s v="Unidade Sao Jose"/>
    <n v="1705876674"/>
    <m/>
  </r>
  <r>
    <x v="14"/>
    <x v="29"/>
    <s v="Jean da Silva Melo"/>
    <s v="Masculino"/>
    <x v="8"/>
    <x v="24"/>
    <s v="20103662 - Pos Operatorio Em Um Membro (R$ 14,99)"/>
    <s v="Fisioterapia"/>
    <n v="1705875683"/>
    <s v="Finalizado (3/5)"/>
    <n v="12.5916"/>
    <n v="2.3984000000000001"/>
    <n v="14.99"/>
    <s v="Sessão Faturada"/>
    <n v="954600003042000"/>
    <n v="29915"/>
    <s v="Unidade Sao Jose"/>
    <n v="1705875683"/>
    <m/>
  </r>
  <r>
    <x v="14"/>
    <x v="30"/>
    <s v="Jean da Silva Melo"/>
    <s v="Masculino"/>
    <x v="8"/>
    <x v="24"/>
    <s v="20103115 - Atividade Reflexa Cinesioterápica (R$ 20,81)"/>
    <s v="Fisioterapia"/>
    <n v="1705876261"/>
    <s v="Finalizado (3/5)"/>
    <n v="17.480399999999999"/>
    <n v="3.3296000000000001"/>
    <n v="20.81"/>
    <s v="Sessão Faturada"/>
    <n v="954600003042000"/>
    <n v="29915"/>
    <s v="Unidade Sao Jose"/>
    <n v="1705876261"/>
    <m/>
  </r>
  <r>
    <x v="14"/>
    <x v="13"/>
    <s v="Ana Cristina de Frota Palheta"/>
    <s v="Feminino"/>
    <x v="6"/>
    <x v="24"/>
    <s v="31602185 - Estimulação Elétrica Transcutanea (Tens) - 01/09/2025 (R$ 96,68)"/>
    <s v="Fisioterapia"/>
    <n v="151101"/>
    <s v="Finalizado (9/10)"/>
    <n v="81.211200000000005"/>
    <n v="15.4688"/>
    <n v="96.68"/>
    <s v="Sessão Faturada"/>
    <s v="54588888012065310011"/>
    <n v="20193"/>
    <s v="Unidade Sao Jose"/>
    <n v="151101"/>
    <m/>
  </r>
  <r>
    <x v="14"/>
    <x v="14"/>
    <s v="Ana Cristina de Frota Palheta"/>
    <s v="Feminino"/>
    <x v="6"/>
    <x v="24"/>
    <s v="20103476 - Patologia Neurologica (R$ 35,40)"/>
    <s v="Fisioterapia"/>
    <n v="169330"/>
    <s v="Finalizado (3/5)"/>
    <n v="29.736000000000001"/>
    <n v="5.6639999999999997"/>
    <n v="35.4"/>
    <s v="Sessão Faturada"/>
    <s v="54588888012065310011"/>
    <n v="20193"/>
    <s v="Unidade Sao Jose"/>
    <n v="169330"/>
    <m/>
  </r>
  <r>
    <x v="14"/>
    <x v="6"/>
    <s v="Maria Ines Viana de Souza"/>
    <s v="Feminino"/>
    <x v="7"/>
    <x v="24"/>
    <s v="Sao José - 4 - Fisioterapia Neurológica/Respiratória - Pacote (R$ 50,00)"/>
    <s v="Fisioterapia"/>
    <n v="168404"/>
    <s v="Finalizado (8/10)"/>
    <n v="37.5"/>
    <n v="12.5"/>
    <n v="50"/>
    <s v="Pago"/>
    <n v="59105"/>
    <n v="59105"/>
    <s v="Unidade Sao Jose"/>
    <n v="168404"/>
    <m/>
  </r>
  <r>
    <x v="14"/>
    <x v="15"/>
    <s v="Hilda Santos de Oliveira"/>
    <s v="Feminino"/>
    <x v="30"/>
    <x v="24"/>
    <s v="Bemol Sao José - 2 - Fisioterapia Ortopédica - Pacote (R$ 20,00)"/>
    <s v="Fisioterapia"/>
    <n v="152558"/>
    <s v="Finalizado (10/10)"/>
    <n v="16.8"/>
    <n v="3.2"/>
    <n v="20"/>
    <s v="Sessão a Faturar"/>
    <n v="6.277930270259E+16"/>
    <n v="36402"/>
    <s v="Unidade Sao Jose"/>
    <n v="152558"/>
    <m/>
  </r>
  <r>
    <x v="14"/>
    <x v="15"/>
    <s v="Wesley Simoes de Souza"/>
    <s v="Masculino"/>
    <x v="7"/>
    <x v="24"/>
    <s v="Sao José - 1 - Fisioterapia Ortopédica - Sessão (R$ 45,00)"/>
    <s v="Fisioterapia"/>
    <n v="170541"/>
    <s v="Finalizado (1/10)"/>
    <n v="33.75"/>
    <n v="11.25"/>
    <n v="45"/>
    <s v="Pago"/>
    <m/>
    <n v="59533"/>
    <s v="Unidade Sao Jose"/>
    <n v="170541"/>
    <m/>
  </r>
  <r>
    <x v="14"/>
    <x v="15"/>
    <s v="Fernanda Neves Sabugosa"/>
    <s v="Feminino"/>
    <x v="27"/>
    <x v="24"/>
    <s v="20103492 - Patol. Em Dois Ou Mais Membros (R$ 14,83), 20103514 - Patol. Em Diferentes Segmentos da Coluna (R$ 14,83)"/>
    <s v="Fisioterapia"/>
    <n v="1702938125"/>
    <s v="Finalizado (4/5)"/>
    <n v="24.914400000000001"/>
    <n v="4.7455999999999996"/>
    <n v="29.66"/>
    <s v="Sessão Faturada"/>
    <n v="771015043370010"/>
    <n v="38199"/>
    <s v="Unidade Sao Jose"/>
    <n v="1702938125"/>
    <m/>
  </r>
  <r>
    <x v="14"/>
    <x v="16"/>
    <s v="Fernanda Neves Sabugosa"/>
    <s v="Feminino"/>
    <x v="27"/>
    <x v="24"/>
    <s v="20103115 - Atividade Reflexa Cinesioterápica (R$ 20,81)"/>
    <s v="Fisioterapia"/>
    <n v="1702938045"/>
    <s v="Finalizado (4/4)"/>
    <n v="17.480399999999999"/>
    <n v="3.3296000000000001"/>
    <n v="20.81"/>
    <s v="Sessão Faturada"/>
    <n v="771015043370010"/>
    <n v="38199"/>
    <s v="Unidade Sao Jose"/>
    <n v="1702938045"/>
    <m/>
  </r>
  <r>
    <x v="14"/>
    <x v="17"/>
    <s v="Haila Vitoria Santos Gomes"/>
    <s v="Feminino"/>
    <x v="7"/>
    <x v="24"/>
    <s v="Sao José - 2 - Fisioterapia Ortopédica - Pacote (R$ 20,00)"/>
    <s v="Fisioterapia"/>
    <n v="169141"/>
    <s v="Finalizado (4/10)"/>
    <n v="15"/>
    <n v="5"/>
    <n v="20"/>
    <s v="Pago"/>
    <n v="59422"/>
    <n v="59422"/>
    <s v="Unidade Sao Jose"/>
    <n v="169141"/>
    <m/>
  </r>
  <r>
    <x v="14"/>
    <x v="8"/>
    <s v="Valberson Alegria Mendonça"/>
    <s v="Masculino"/>
    <x v="27"/>
    <x v="24"/>
    <s v="50000144 - Avaliação de Fisioterapia (R$ 51,42)"/>
    <s v="Fisioterapia"/>
    <n v="1707045728"/>
    <s v="Finalizado (1/1)"/>
    <n v="46.277999999999999"/>
    <n v="5.1420000000000003"/>
    <n v="51.42"/>
    <s v="Sessão Faturada"/>
    <n v="770179019941010"/>
    <n v="59534"/>
    <s v="Unidade Sao Jose"/>
    <n v="1707045728"/>
    <m/>
  </r>
  <r>
    <x v="14"/>
    <x v="8"/>
    <s v="Elrilane Santos dos Santos"/>
    <s v="Feminino"/>
    <x v="7"/>
    <x v="24"/>
    <s v="Sao José - 2 - Fisioterapia Ortopédica - Pacote (R$ 20,00)"/>
    <s v="Fisioterapia"/>
    <n v="170078"/>
    <s v="Finalizado (4/10)"/>
    <n v="15"/>
    <n v="5"/>
    <n v="20"/>
    <s v="Pago"/>
    <n v="59492"/>
    <n v="59492"/>
    <s v="Unidade Sao Jose"/>
    <n v="170078"/>
    <m/>
  </r>
  <r>
    <x v="14"/>
    <x v="10"/>
    <s v="Alessandro da Silva Vieira"/>
    <s v="Masculino"/>
    <x v="8"/>
    <x v="24"/>
    <s v="20103662 - Pos Operatorio Em Um Membro (R$ 14,99)"/>
    <s v="Fisioterapia"/>
    <n v="1704001598"/>
    <s v="Finalizado (3/5)"/>
    <n v="12.5916"/>
    <n v="2.3984000000000001"/>
    <n v="14.99"/>
    <s v="Sessão Faturada"/>
    <n v="954600024350000"/>
    <n v="57332"/>
    <s v="Unidade Sao Jose"/>
    <n v="1704001598"/>
    <m/>
  </r>
  <r>
    <x v="14"/>
    <x v="10"/>
    <s v="Carlos Victor Lopes de Souza"/>
    <s v="Masculino"/>
    <x v="7"/>
    <x v="24"/>
    <s v="Sao José - 1 - Fisioterapia Ortopédica - Sessão (R$ 45,00), Sao José - 4 - Fisioterapia Neurológica/Respiratória - Pacote (R$ 50,00)"/>
    <s v="Fisioterapia"/>
    <n v="170555"/>
    <s v="Finalizado (1/10)"/>
    <n v="71.25"/>
    <n v="23.75"/>
    <n v="95"/>
    <s v="Pago"/>
    <n v="56621"/>
    <n v="56621"/>
    <s v="Unidade Sao Jose"/>
    <n v="170555"/>
    <m/>
  </r>
  <r>
    <x v="14"/>
    <x v="10"/>
    <s v="Valberson Alegria Mendonça"/>
    <s v="Masculino"/>
    <x v="27"/>
    <x v="24"/>
    <s v="20103492 - Patol. Em Dois Ou Mais Membros (R$ 14,83)"/>
    <s v="Fisioterapia"/>
    <n v="1707045759"/>
    <s v="Finalizado (1/1)"/>
    <n v="12.4572"/>
    <n v="2.3727999999999998"/>
    <n v="14.83"/>
    <s v="Sessão Faturada"/>
    <n v="770179019941010"/>
    <n v="59534"/>
    <s v="Unidade Sao Jose"/>
    <n v="1707045759"/>
    <m/>
  </r>
  <r>
    <x v="14"/>
    <x v="11"/>
    <s v="Alessandro da Silva Vieira"/>
    <s v="Masculino"/>
    <x v="8"/>
    <x v="24"/>
    <s v="20103115 - Atividade Reflexa Cinesioterápica (R$ 20,81)"/>
    <s v="Fisioterapia"/>
    <n v="1704001703"/>
    <s v="Finalizado (3/5)"/>
    <n v="17.480399999999999"/>
    <n v="3.3296000000000001"/>
    <n v="20.81"/>
    <s v="Sessão Faturada"/>
    <n v="954600024350000"/>
    <n v="57332"/>
    <s v="Unidade Sao Jose"/>
    <n v="1704001703"/>
    <m/>
  </r>
  <r>
    <x v="14"/>
    <x v="11"/>
    <s v="Valberson Alegria Mendonça"/>
    <s v="Masculino"/>
    <x v="27"/>
    <x v="24"/>
    <s v="20103115 - Atividade Reflexa Cinesioterápica (R$ 20,81)"/>
    <s v="Fisioterapia"/>
    <n v="1707045908"/>
    <s v="Finalizado (1/1)"/>
    <n v="17.480399999999999"/>
    <n v="3.3296000000000001"/>
    <n v="20.81"/>
    <s v="Sessão Faturada"/>
    <n v="770179019941010"/>
    <n v="59534"/>
    <s v="Unidade Sao Jose"/>
    <n v="1707045908"/>
    <m/>
  </r>
  <r>
    <x v="15"/>
    <x v="44"/>
    <s v="Kyssia Roberta Sena Batista de Souza"/>
    <s v="Feminino"/>
    <x v="8"/>
    <x v="24"/>
    <s v="20103662 - Pos Operatorio Em Um Membro (R$ 14,99)"/>
    <s v="Fisioterapia"/>
    <n v="1706660545"/>
    <s v="Finalizado (2/5)"/>
    <n v="12.5916"/>
    <n v="2.3984000000000001"/>
    <n v="14.99"/>
    <s v="Sessão Faturada"/>
    <n v="954600002461000"/>
    <n v="58661"/>
    <s v="Unidade Sao Jose"/>
    <n v="1706660545"/>
    <m/>
  </r>
  <r>
    <x v="15"/>
    <x v="44"/>
    <s v="Marta Marcione Bentes Albuquerque"/>
    <s v="Feminino"/>
    <x v="8"/>
    <x v="24"/>
    <s v="20103670 - Pos Operatorio Em Dois Ou Mais Membros (R$ 19,30)"/>
    <s v="Fisioterapia"/>
    <n v="1704615184"/>
    <s v="Finalizado (2/5)"/>
    <n v="16.212"/>
    <n v="3.0880000000000001"/>
    <n v="19.3"/>
    <s v="Sessão Faturada"/>
    <n v="954600004960000"/>
    <n v="40103"/>
    <s v="Unidade Sao Jose"/>
    <n v="1704615184"/>
    <m/>
  </r>
  <r>
    <x v="15"/>
    <x v="73"/>
    <s v="Marta Marcione Bentes Albuquerque"/>
    <s v="Feminino"/>
    <x v="8"/>
    <x v="24"/>
    <s v="20103115 - Atividade Reflexa Cinesioterápica (R$ 20,81)"/>
    <s v="Fisioterapia"/>
    <n v="1704613878"/>
    <s v="Finalizado (2/3)"/>
    <n v="17.480399999999999"/>
    <n v="3.3296000000000001"/>
    <n v="20.81"/>
    <s v="Sessão Faturada"/>
    <n v="954600004960000"/>
    <n v="40103"/>
    <s v="Unidade Sao Jose"/>
    <n v="1704613878"/>
    <m/>
  </r>
  <r>
    <x v="15"/>
    <x v="60"/>
    <s v="Kyssia Roberta Sena Batista de Souza"/>
    <s v="Feminino"/>
    <x v="8"/>
    <x v="24"/>
    <s v="20103115 - Atividade Reflexa Cinesioterápica (R$ 20,81)"/>
    <s v="Fisioterapia"/>
    <n v="1706661129"/>
    <s v="Finalizado (2/4)"/>
    <n v="17.480399999999999"/>
    <n v="3.3296000000000001"/>
    <n v="20.81"/>
    <s v="Sessão Faturada"/>
    <n v="954600002461000"/>
    <n v="58661"/>
    <s v="Unidade Sao Jose"/>
    <n v="1706661129"/>
    <m/>
  </r>
  <r>
    <x v="15"/>
    <x v="74"/>
    <s v="Marta Marcione Bentes Albuquerque"/>
    <s v="Feminino"/>
    <x v="8"/>
    <x v="24"/>
    <s v="20103492 - Patologia Em Dois Ou Mais Membros (R$ 14,83), 20103514 - Patologia Em Diferentes Segmentos da Coluna (R$ 14,83)"/>
    <s v="Fisioterapia"/>
    <n v="1704614483"/>
    <s v="Finalizado (2/5)"/>
    <n v="24.914400000000001"/>
    <n v="4.7455999999999996"/>
    <n v="29.66"/>
    <s v="Sessão Faturada"/>
    <n v="954600004960000"/>
    <n v="40103"/>
    <s v="Unidade Sao Jose"/>
    <n v="1704614483"/>
    <m/>
  </r>
  <r>
    <x v="15"/>
    <x v="41"/>
    <s v="Dilson Pereira Dourado"/>
    <m/>
    <x v="27"/>
    <x v="24"/>
    <s v="20103492 - Patol. Em Dois Ou Mais Membros (R$ 14,83), 20103514 - Patol. Em Diferentes Segmentos da Coluna (R$ 14,83)"/>
    <s v="Fisioterapia"/>
    <n v="1705671875"/>
    <s v="Finalizado (4/5)"/>
    <n v="24.914400000000001"/>
    <n v="4.7455999999999996"/>
    <n v="29.66"/>
    <s v="Sessão Faturada"/>
    <n v="898081400019000"/>
    <n v="54845"/>
    <s v="Unidade Sao Jose"/>
    <n v="1705671875"/>
    <m/>
  </r>
  <r>
    <x v="15"/>
    <x v="41"/>
    <s v="Custodia Herminia de Sousa Filha"/>
    <s v="Feminino"/>
    <x v="7"/>
    <x v="24"/>
    <s v="Sao José - 2 - Fisioterapia Ortopédica - Pacote (R$ 20,00)"/>
    <s v="Fisioterapia"/>
    <n v="170248"/>
    <s v="Finalizado (1/10)"/>
    <n v="15"/>
    <n v="5"/>
    <n v="20"/>
    <s v="Pago"/>
    <n v="58051"/>
    <n v="58051"/>
    <s v="Unidade Sao Jose"/>
    <n v="170248"/>
    <m/>
  </r>
  <r>
    <x v="15"/>
    <x v="65"/>
    <s v="Dilson Pereira Dourado"/>
    <m/>
    <x v="27"/>
    <x v="24"/>
    <s v="20103115 - Atividade Reflexa Cinesioterápica (R$ 20,81)"/>
    <s v="Fisioterapia"/>
    <n v="1705672226"/>
    <s v="Finalizado (4/5)"/>
    <n v="17.480399999999999"/>
    <n v="3.3296000000000001"/>
    <n v="20.81"/>
    <s v="Sessão Faturada"/>
    <n v="898081400019000"/>
    <n v="54845"/>
    <s v="Unidade Sao Jose"/>
    <n v="1705672226"/>
    <m/>
  </r>
  <r>
    <x v="15"/>
    <x v="36"/>
    <s v="Simone Soares Franco"/>
    <s v="Feminino"/>
    <x v="8"/>
    <x v="24"/>
    <s v="20103522 - Fisioterapia - Pac Com Dependencia de Vida Diária (R$ 23,59)"/>
    <s v="Fisioterapia"/>
    <n v="1706703596"/>
    <s v="Finalizado (2/5)"/>
    <n v="19.8156"/>
    <n v="3.7744"/>
    <n v="23.59"/>
    <s v="Sessão Faturada"/>
    <n v="954600000256000"/>
    <n v="24181"/>
    <s v="Unidade Sao Jose"/>
    <n v="1706703596"/>
    <m/>
  </r>
  <r>
    <x v="15"/>
    <x v="36"/>
    <s v="Manuela Soares de Freitas Mendonca"/>
    <s v="Feminino"/>
    <x v="8"/>
    <x v="24"/>
    <s v="20103115 - Atividade Reflexa Cinesioterápica (R$ 20,81)"/>
    <s v="Fisioterapia"/>
    <n v="1706715509"/>
    <s v="Finalizado (2/4)"/>
    <n v="17.480399999999999"/>
    <n v="3.3296000000000001"/>
    <n v="20.81"/>
    <s v="Sessão Faturada"/>
    <n v="954600000256030"/>
    <n v="53656"/>
    <s v="Unidade Sao Jose"/>
    <n v="1706715509"/>
    <m/>
  </r>
  <r>
    <x v="15"/>
    <x v="57"/>
    <s v="Simone Soares Franco"/>
    <s v="Feminino"/>
    <x v="8"/>
    <x v="24"/>
    <s v="20103492 - Patologia Em Dois Ou Mais Membros (R$ 14,83)"/>
    <s v="Fisioterapia"/>
    <n v="1706706350"/>
    <s v="Finalizado (2/5)"/>
    <n v="12.4572"/>
    <n v="2.3727999999999998"/>
    <n v="14.83"/>
    <s v="Sessão Faturada"/>
    <n v="954600000256000"/>
    <n v="24181"/>
    <s v="Unidade Sao Jose"/>
    <n v="1706706350"/>
    <m/>
  </r>
  <r>
    <x v="15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06715129"/>
    <s v="Finalizado (2/5)"/>
    <n v="22.722000000000001"/>
    <n v="4.3280000000000003"/>
    <n v="27.05"/>
    <s v="Sessão Faturada"/>
    <n v="954600000256030"/>
    <n v="53656"/>
    <s v="Unidade Sao Jose"/>
    <n v="1706715129"/>
    <m/>
  </r>
  <r>
    <x v="15"/>
    <x v="67"/>
    <s v="Simone Soares Franco"/>
    <s v="Feminino"/>
    <x v="8"/>
    <x v="24"/>
    <s v="20103115 - Atividade Reflexa Cinesioterápica (R$ 20,81)"/>
    <s v="Fisioterapia"/>
    <n v="1706706813"/>
    <s v="Finalizado (2/4)"/>
    <n v="17.480399999999999"/>
    <n v="3.3296000000000001"/>
    <n v="20.81"/>
    <s v="Sessão Faturada"/>
    <n v="954600000256000"/>
    <n v="24181"/>
    <s v="Unidade Sao Jose"/>
    <n v="1706706813"/>
    <m/>
  </r>
  <r>
    <x v="15"/>
    <x v="40"/>
    <s v="Celia Medeiros Correa"/>
    <s v="Feminino"/>
    <x v="7"/>
    <x v="24"/>
    <s v="Sao José - 2 - Fisioterapia Ortopédica - Pacote (R$ 20,00)"/>
    <s v="Fisioterapia"/>
    <n v="170432"/>
    <s v="Finalizado (2/10)"/>
    <n v="15"/>
    <n v="5"/>
    <n v="20"/>
    <s v="Pago"/>
    <n v="59521"/>
    <n v="59521"/>
    <s v="Unidade Sao Jose"/>
    <n v="170432"/>
    <m/>
  </r>
  <r>
    <x v="15"/>
    <x v="40"/>
    <s v="Ednelia de Castro Moreira"/>
    <s v="Feminino"/>
    <x v="2"/>
    <x v="24"/>
    <s v="20103115 - Atividade Reflexa Cinesioterápica (R$ 20,81)"/>
    <s v="Fisioterapia"/>
    <n v="1707254321"/>
    <s v="Finalizado (1/2)"/>
    <n v="17.480399999999999"/>
    <n v="3.3296000000000001"/>
    <n v="20.81"/>
    <s v="Sessão Faturada"/>
    <n v="771015041548020"/>
    <n v="58471"/>
    <s v="Unidade Sao Jose"/>
    <n v="1707254321"/>
    <m/>
  </r>
  <r>
    <x v="15"/>
    <x v="45"/>
    <s v="Ednelia de Castro Moreira"/>
    <s v="Feminino"/>
    <x v="2"/>
    <x v="24"/>
    <s v="20103662 - Fisioterapia - Pos Operatorio Em Um Membro (R$ 14,99)"/>
    <s v="Fisioterapia"/>
    <n v="1707253872"/>
    <s v="Finalizado (1/5)"/>
    <n v="12.5916"/>
    <n v="2.3984000000000001"/>
    <n v="14.99"/>
    <s v="Sessão Faturada"/>
    <n v="771015041548020"/>
    <n v="58471"/>
    <s v="Unidade Sao Jose"/>
    <n v="1707253872"/>
    <m/>
  </r>
  <r>
    <x v="15"/>
    <x v="38"/>
    <s v="Jacqueline Lima de Oliveira"/>
    <s v="Feminino"/>
    <x v="27"/>
    <x v="24"/>
    <s v="20103670 - Pos Operatorio Em Dois Ou Mais Membros (R$ 19,30)"/>
    <s v="Fisioterapia"/>
    <n v="1707298806"/>
    <s v="Finalizado (1/5)"/>
    <n v="16.212"/>
    <n v="3.0880000000000001"/>
    <n v="19.3"/>
    <s v="Sessão Faturada"/>
    <n v="611481880006000"/>
    <n v="59217"/>
    <s v="Unidade Sao Jose"/>
    <n v="1707298806"/>
    <m/>
  </r>
  <r>
    <x v="15"/>
    <x v="38"/>
    <s v="Elisangela de Araujo Souza"/>
    <s v="Feminino"/>
    <x v="8"/>
    <x v="24"/>
    <s v="20103115 - Atividade Reflexa Cinesioterápica (R$ 20,81)"/>
    <s v="Fisioterapia"/>
    <n v="1707291100"/>
    <s v="Finalizado (1/1)"/>
    <n v="17.480399999999999"/>
    <n v="3.3296000000000001"/>
    <n v="20.81"/>
    <s v="Sessão Faturada"/>
    <n v="954600000884010"/>
    <n v="26307"/>
    <s v="Unidade Sao Jose"/>
    <n v="1707291100"/>
    <m/>
  </r>
  <r>
    <x v="15"/>
    <x v="38"/>
    <s v="Jailson Marinho Soares Junior"/>
    <s v="Masculino"/>
    <x v="7"/>
    <x v="24"/>
    <s v="Sao José - 2 - Fisioterapia Ortopédica - Pacote (R$ 20,00)"/>
    <s v="Fisioterapia"/>
    <n v="163662"/>
    <s v="Finalizado (7/10)"/>
    <n v="15"/>
    <n v="5"/>
    <n v="20"/>
    <s v="Pago"/>
    <n v="55557"/>
    <n v="55557"/>
    <s v="Unidade Sao Jose"/>
    <n v="163662"/>
    <m/>
  </r>
  <r>
    <x v="15"/>
    <x v="68"/>
    <s v="Jacqueline Lima de Oliveira"/>
    <s v="Feminino"/>
    <x v="27"/>
    <x v="24"/>
    <s v="20103522 - Fisioterapia - Pac Com Dependencia de Vida Diária (R$ 23,59)"/>
    <s v="Fisioterapia"/>
    <n v="1707299573"/>
    <s v="Finalizado (1/5)"/>
    <n v="19.8156"/>
    <n v="3.7744"/>
    <n v="23.59"/>
    <s v="Sessão Faturada"/>
    <n v="611481880006000"/>
    <n v="59217"/>
    <s v="Unidade Sao Jose"/>
    <n v="1707299573"/>
    <m/>
  </r>
  <r>
    <x v="15"/>
    <x v="62"/>
    <s v="Elisangela de Araujo Souza"/>
    <s v="Feminino"/>
    <x v="8"/>
    <x v="24"/>
    <s v="20103484 - Patologia Em Um Membro (R$ 12,22)"/>
    <s v="Fisioterapia"/>
    <n v="1707290569"/>
    <s v="Finalizado (1/5)"/>
    <n v="10.264799999999999"/>
    <n v="1.9552"/>
    <n v="12.22"/>
    <s v="Sessão Faturada"/>
    <n v="954600000884010"/>
    <n v="26307"/>
    <s v="Unidade Sao Jose"/>
    <n v="1707290569"/>
    <m/>
  </r>
  <r>
    <x v="15"/>
    <x v="69"/>
    <s v="Jacqueline Lima de Oliveira"/>
    <s v="Feminino"/>
    <x v="27"/>
    <x v="24"/>
    <s v="20103115 - Atividade Reflexa Cinesioterápica (R$ 20,81)"/>
    <s v="Fisioterapia"/>
    <n v="1707299930"/>
    <s v="Finalizado (1/2)"/>
    <n v="17.480399999999999"/>
    <n v="3.3296000000000001"/>
    <n v="20.81"/>
    <s v="Sessão Faturada"/>
    <n v="611481880006000"/>
    <n v="59217"/>
    <s v="Unidade Sao Jose"/>
    <n v="1707299930"/>
    <m/>
  </r>
  <r>
    <x v="15"/>
    <x v="37"/>
    <s v="Arlesson Ribeiro Correa"/>
    <s v="Masculino"/>
    <x v="7"/>
    <x v="24"/>
    <s v="Sao José - 2 - Fisioterapia Ortopédica - Pacote (R$ 20,00)"/>
    <s v="Fisioterapia"/>
    <n v="166722"/>
    <s v="Finalizado (5/10)"/>
    <n v="15"/>
    <n v="5"/>
    <n v="20"/>
    <s v="Pago"/>
    <n v="58435"/>
    <n v="58435"/>
    <s v="Unidade Sao Jose"/>
    <n v="166722"/>
    <m/>
  </r>
  <r>
    <x v="15"/>
    <x v="37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1931475"/>
    <s v="Finalizado (5/5)"/>
    <n v="24.914400000000001"/>
    <n v="4.7455999999999996"/>
    <n v="29.66"/>
    <s v="Sessão Faturada"/>
    <n v="843486100370000"/>
    <n v="49710"/>
    <s v="Unidade Sao Jose"/>
    <n v="1701931475"/>
    <m/>
  </r>
  <r>
    <x v="15"/>
    <x v="63"/>
    <s v="Clicia Nayara Coimbra Soares"/>
    <s v="Feminino"/>
    <x v="2"/>
    <x v="24"/>
    <s v="20103115 - Atividade Reflexa Cinesioterápica (R$ 20,81)"/>
    <s v="Fisioterapia"/>
    <n v="1701931684"/>
    <s v="Finalizado (5/5)"/>
    <n v="17.480399999999999"/>
    <n v="3.3296000000000001"/>
    <n v="20.81"/>
    <s v="Sessão Faturada"/>
    <n v="843486100370000"/>
    <n v="49710"/>
    <s v="Unidade Sao Jose"/>
    <n v="1701931684"/>
    <m/>
  </r>
  <r>
    <x v="15"/>
    <x v="39"/>
    <s v="Gilmara Barbosa da Silva"/>
    <s v="Feminino"/>
    <x v="6"/>
    <x v="24"/>
    <s v="31602185 - Estimulação Elétrica Transcutanea (Tens) (R$ 40,00)"/>
    <s v="Fisioterapia"/>
    <n v="161060"/>
    <s v="Finalizado (10/10)"/>
    <n v="33.6"/>
    <n v="6.4"/>
    <n v="40"/>
    <s v="Sessão Faturada"/>
    <s v="56788888481804800011"/>
    <n v="55664"/>
    <s v="Unidade Sao Jose"/>
    <n v="161060"/>
    <m/>
  </r>
  <r>
    <x v="15"/>
    <x v="39"/>
    <s v="Gilmara Barbosa da Silva"/>
    <s v="Feminino"/>
    <x v="6"/>
    <x v="24"/>
    <s v="20103514 - Patologia Em Dois Ou Mais Segmentos da Coluna (R$ 32,82)"/>
    <s v="Fisioterapia"/>
    <n v="164995"/>
    <s v="Finalizado (5/10)"/>
    <n v="27.5688"/>
    <n v="5.2511999999999999"/>
    <n v="32.82"/>
    <s v="Sessão Faturada"/>
    <s v="56788888481804800011"/>
    <n v="55664"/>
    <s v="Unidade Sao Jose"/>
    <n v="164995"/>
    <m/>
  </r>
  <r>
    <x v="15"/>
    <x v="0"/>
    <s v="Maria Francisca da Silva Carvalho"/>
    <s v="Feminino"/>
    <x v="7"/>
    <x v="24"/>
    <s v="Sao José - 4 - Fisioterapia Neurológica/Respiratória - Pacote (R$ 50,00)"/>
    <s v="Fisioterapia"/>
    <n v="170498"/>
    <s v="Finalizado (2/5)"/>
    <n v="37.5"/>
    <n v="12.5"/>
    <n v="50"/>
    <s v="Pago"/>
    <n v="58726"/>
    <n v="58726"/>
    <s v="Unidade Sao Jose"/>
    <n v="170498"/>
    <m/>
  </r>
  <r>
    <x v="15"/>
    <x v="0"/>
    <s v="Cristiane Villar de Holanda"/>
    <s v="Feminino"/>
    <x v="7"/>
    <x v="24"/>
    <s v="Sao José - 2 - Fisioterapia Ortopédica - Pacote (R$ 20,00)"/>
    <s v="Fisioterapia"/>
    <n v="170499"/>
    <s v="Finalizado (1/10)"/>
    <n v="15"/>
    <n v="5"/>
    <n v="20"/>
    <s v="Pago"/>
    <n v="41493"/>
    <n v="41493"/>
    <s v="Unidade Sao Jose"/>
    <n v="170499"/>
    <m/>
  </r>
  <r>
    <x v="15"/>
    <x v="2"/>
    <s v="Bruna Naiana Alves Gonçalves"/>
    <m/>
    <x v="2"/>
    <x v="24"/>
    <s v="20103115 - Atividade Reflexa Cinesioterápica (R$ 20,81)"/>
    <s v="Fisioterapia"/>
    <n v="1699463585"/>
    <s v="Finalizado (3/4)"/>
    <n v="17.480399999999999"/>
    <n v="3.3296000000000001"/>
    <n v="20.81"/>
    <s v="Sessão Faturada"/>
    <n v="898786000019010"/>
    <n v="57518"/>
    <s v="Unidade Sao Jose"/>
    <n v="1699463585"/>
    <m/>
  </r>
  <r>
    <x v="15"/>
    <x v="3"/>
    <s v="Bruna Naiana Alves Gonçalves"/>
    <m/>
    <x v="2"/>
    <x v="24"/>
    <s v="20103514 - Fisioterapia - Patologia Em Diferentes Segmentos da Coluna (R$ 14,83)"/>
    <s v="Fisioterapia"/>
    <n v="1699463272"/>
    <s v="Finalizado (3/4)"/>
    <n v="12.4572"/>
    <n v="2.3727999999999998"/>
    <n v="14.83"/>
    <s v="Sessão Faturada"/>
    <n v="898786000019010"/>
    <n v="57518"/>
    <s v="Unidade Sao Jose"/>
    <n v="1699463272"/>
    <m/>
  </r>
  <r>
    <x v="15"/>
    <x v="4"/>
    <s v="Jean da Silva Melo"/>
    <s v="Masculino"/>
    <x v="8"/>
    <x v="24"/>
    <s v="20103492 - Patologia Em Dois Ou Mais Membros (R$ 14,83), 20103514 - Patologia Em Diferentes Segmentos da Coluna (R$ 14,83)"/>
    <s v="Fisioterapia"/>
    <n v="1705876674"/>
    <s v="Finalizado (4/5)"/>
    <n v="24.914400000000001"/>
    <n v="4.7455999999999996"/>
    <n v="29.66"/>
    <s v="Sessão Faturada"/>
    <n v="954600003042000"/>
    <n v="29915"/>
    <s v="Unidade Sao Jose"/>
    <n v="1705876674"/>
    <m/>
  </r>
  <r>
    <x v="15"/>
    <x v="29"/>
    <s v="Jean da Silva Melo"/>
    <s v="Masculino"/>
    <x v="8"/>
    <x v="24"/>
    <s v="20103662 - Pos Operatorio Em Um Membro (R$ 14,99)"/>
    <s v="Fisioterapia"/>
    <n v="1705875683"/>
    <s v="Finalizado (4/5)"/>
    <n v="12.5916"/>
    <n v="2.3984000000000001"/>
    <n v="14.99"/>
    <s v="Sessão Faturada"/>
    <n v="954600003042000"/>
    <n v="29915"/>
    <s v="Unidade Sao Jose"/>
    <n v="1705875683"/>
    <m/>
  </r>
  <r>
    <x v="15"/>
    <x v="30"/>
    <s v="Jean da Silva Melo"/>
    <s v="Masculino"/>
    <x v="8"/>
    <x v="24"/>
    <s v="20103115 - Atividade Reflexa Cinesioterápica (R$ 20,81)"/>
    <s v="Fisioterapia"/>
    <n v="1705876261"/>
    <s v="Finalizado (4/5)"/>
    <n v="17.480399999999999"/>
    <n v="3.3296000000000001"/>
    <n v="20.81"/>
    <s v="Sessão Faturada"/>
    <n v="954600003042000"/>
    <n v="29915"/>
    <s v="Unidade Sao Jose"/>
    <n v="1705876261"/>
    <m/>
  </r>
  <r>
    <x v="15"/>
    <x v="13"/>
    <s v="Fabiola da Silva Pinto"/>
    <s v="Feminino"/>
    <x v="7"/>
    <x v="24"/>
    <s v="Sao José - 2 - Fisioterapia Ortopédica - Pacote (R$ 20,00)"/>
    <s v="Fisioterapia"/>
    <n v="169388"/>
    <s v="Finalizado (4/10)"/>
    <n v="15"/>
    <n v="5"/>
    <n v="20"/>
    <s v="Pago"/>
    <n v="31794"/>
    <n v="31794"/>
    <s v="Unidade Sao Jose"/>
    <n v="169388"/>
    <m/>
  </r>
  <r>
    <x v="15"/>
    <x v="15"/>
    <s v="Maria de Lourdes Batista Ferreira"/>
    <s v="Feminino"/>
    <x v="7"/>
    <x v="24"/>
    <s v="Sao José - 2 - Fisioterapia Ortopédica - Pacote (R$ 20,00)"/>
    <s v="Fisioterapia"/>
    <n v="169914"/>
    <s v="Finalizado (6/10)"/>
    <n v="15"/>
    <n v="5"/>
    <n v="20"/>
    <s v="Pago"/>
    <n v="59482"/>
    <n v="59482"/>
    <s v="Unidade Sao Jose"/>
    <n v="169914"/>
    <m/>
  </r>
  <r>
    <x v="15"/>
    <x v="8"/>
    <s v="Maria Neide Oliveira Marques"/>
    <s v="Feminino"/>
    <x v="8"/>
    <x v="24"/>
    <s v="20103522 - Fisioterapia - Pac Com Dependencia de Vida Diária (R$ 23,59)"/>
    <s v="Fisioterapia"/>
    <n v="1702947275"/>
    <s v="Finalizado (4/5)"/>
    <n v="19.8156"/>
    <n v="3.7744"/>
    <n v="23.59"/>
    <s v="Sessão Faturada"/>
    <n v="954600008419020"/>
    <n v="52794"/>
    <s v="Unidade Sao Jose"/>
    <n v="1702947275"/>
    <m/>
  </r>
  <r>
    <x v="15"/>
    <x v="8"/>
    <s v="Haila Vitoria Santos Gomes"/>
    <s v="Feminino"/>
    <x v="7"/>
    <x v="24"/>
    <s v="Sao José - 2 - Fisioterapia Ortopédica - Pacote (R$ 20,00)"/>
    <s v="Fisioterapia"/>
    <n v="169141"/>
    <s v="Finalizado (5/10)"/>
    <n v="15"/>
    <n v="5"/>
    <n v="20"/>
    <s v="Pago"/>
    <n v="59422"/>
    <n v="59422"/>
    <s v="Unidade Sao Jose"/>
    <n v="169141"/>
    <m/>
  </r>
  <r>
    <x v="15"/>
    <x v="8"/>
    <s v="Elrilane Santos dos Santos"/>
    <s v="Feminino"/>
    <x v="7"/>
    <x v="24"/>
    <s v="Sao José - 2 - Fisioterapia Ortopédica - Pacote (R$ 20,00)"/>
    <s v="Fisioterapia"/>
    <n v="170078"/>
    <s v="Finalizado (5/10)"/>
    <n v="15"/>
    <n v="5"/>
    <n v="20"/>
    <s v="Pago"/>
    <n v="59492"/>
    <n v="59492"/>
    <s v="Unidade Sao Jose"/>
    <n v="170078"/>
    <m/>
  </r>
  <r>
    <x v="15"/>
    <x v="8"/>
    <s v="Lucas Gloria da Costa"/>
    <s v="Masculino"/>
    <x v="7"/>
    <x v="24"/>
    <s v="Sao José - 2 - Fisioterapia Ortopédica - Pacote (R$ 20,00)"/>
    <s v="Fisioterapia"/>
    <n v="170074"/>
    <s v="Finalizado (2/10)"/>
    <n v="15"/>
    <n v="5"/>
    <n v="20"/>
    <s v="Pago"/>
    <n v="59490"/>
    <n v="59490"/>
    <s v="Unidade Sao Jose"/>
    <n v="170074"/>
    <m/>
  </r>
  <r>
    <x v="15"/>
    <x v="33"/>
    <s v="Maria Neide Oliveira Marques"/>
    <s v="Feminino"/>
    <x v="8"/>
    <x v="24"/>
    <s v="20103514 - Patologia Em Diferentes Segmentos da Coluna (R$ 14,83)"/>
    <s v="Fisioterapia"/>
    <n v="1702947006"/>
    <s v="Finalizado (4/5)"/>
    <n v="12.4572"/>
    <n v="2.3727999999999998"/>
    <n v="14.83"/>
    <s v="Sessão Faturada"/>
    <n v="954600008419020"/>
    <n v="52794"/>
    <s v="Unidade Sao Jose"/>
    <n v="1702947006"/>
    <m/>
  </r>
  <r>
    <x v="15"/>
    <x v="34"/>
    <s v="Maria Neide Oliveira Marques"/>
    <s v="Feminino"/>
    <x v="8"/>
    <x v="24"/>
    <s v="20103115 - Atividade Reflexa Cinesioterápica (R$ 20,81)"/>
    <s v="Fisioterapia"/>
    <n v="1702946762"/>
    <s v="Finalizado (4/5)"/>
    <n v="17.480399999999999"/>
    <n v="3.3296000000000001"/>
    <n v="20.81"/>
    <s v="Sessão Faturada"/>
    <n v="954600008419020"/>
    <n v="52794"/>
    <s v="Unidade Sao Jose"/>
    <n v="1702946762"/>
    <m/>
  </r>
  <r>
    <x v="15"/>
    <x v="10"/>
    <s v="Alessandro da Silva Vieira"/>
    <s v="Masculino"/>
    <x v="8"/>
    <x v="24"/>
    <s v="20103662 - Pos Operatorio Em Um Membro (R$ 14,99)"/>
    <s v="Fisioterapia"/>
    <n v="1704001598"/>
    <s v="Finalizado (4/5)"/>
    <n v="12.5916"/>
    <n v="2.3984000000000001"/>
    <n v="14.99"/>
    <s v="Sessão Faturada"/>
    <n v="954600024350000"/>
    <n v="57332"/>
    <s v="Unidade Sao Jose"/>
    <n v="1704001598"/>
    <m/>
  </r>
  <r>
    <x v="15"/>
    <x v="11"/>
    <s v="Alessandro da Silva Vieira"/>
    <s v="Masculino"/>
    <x v="8"/>
    <x v="24"/>
    <s v="20103115 - Atividade Reflexa Cinesioterápica (R$ 20,81)"/>
    <s v="Fisioterapia"/>
    <n v="1704001703"/>
    <s v="Finalizado (4/5)"/>
    <n v="17.480399999999999"/>
    <n v="3.3296000000000001"/>
    <n v="20.81"/>
    <s v="Sessão Faturada"/>
    <n v="954600024350000"/>
    <n v="57332"/>
    <s v="Unidade Sao Jose"/>
    <n v="1704001703"/>
    <m/>
  </r>
  <r>
    <x v="16"/>
    <x v="44"/>
    <s v="Kyssia Roberta Sena Batista de Souza"/>
    <s v="Feminino"/>
    <x v="8"/>
    <x v="24"/>
    <s v="20103662 - Pos Operatorio Em Um Membro (R$ 14,99)"/>
    <s v="Fisioterapia"/>
    <n v="1706660545"/>
    <s v="Finalizado (3/5)"/>
    <n v="12.5916"/>
    <n v="2.3984000000000001"/>
    <n v="14.99"/>
    <s v="Sessão Faturada"/>
    <n v="954600002461000"/>
    <n v="58661"/>
    <s v="Unidade Sao Jose"/>
    <n v="1706660545"/>
    <m/>
  </r>
  <r>
    <x v="16"/>
    <x v="44"/>
    <s v="Silvia Serrão de Figueiredo"/>
    <s v="Feminino"/>
    <x v="27"/>
    <x v="24"/>
    <s v="20103115 - Atividade Reflexa Cinesioterápica (R$ 20,81)"/>
    <s v="Fisioterapia"/>
    <n v="1705564727"/>
    <s v="Finalizado (3/3)"/>
    <n v="17.480399999999999"/>
    <n v="3.3296000000000001"/>
    <n v="20.81"/>
    <s v="Sessão Faturada"/>
    <n v="772133000485020"/>
    <n v="25348"/>
    <s v="Unidade Sao Jose"/>
    <n v="1705564727"/>
    <m/>
  </r>
  <r>
    <x v="16"/>
    <x v="44"/>
    <s v="Custodia Herminia de Sousa Filha"/>
    <s v="Feminino"/>
    <x v="7"/>
    <x v="24"/>
    <s v="Sao José - 2 - Fisioterapia Ortopédica - Pacote (R$ 20,00)"/>
    <s v="Fisioterapia"/>
    <n v="170248"/>
    <s v="Finalizado (2/10)"/>
    <n v="15"/>
    <n v="5"/>
    <n v="20"/>
    <s v="Pago"/>
    <n v="58051"/>
    <n v="58051"/>
    <s v="Unidade Sao Jose"/>
    <n v="170248"/>
    <m/>
  </r>
  <r>
    <x v="16"/>
    <x v="44"/>
    <s v="Ana Clara Santos Maia"/>
    <s v="Feminino"/>
    <x v="7"/>
    <x v="24"/>
    <s v="Sao José - 2 - Fisioterapia Ortopédica - Pacote (R$ 20,00)"/>
    <s v="Fisioterapia"/>
    <n v="169276"/>
    <s v="Finalizado (6/10)"/>
    <n v="15"/>
    <n v="5"/>
    <n v="20"/>
    <s v="Pago"/>
    <n v="59190"/>
    <n v="59190"/>
    <s v="Unidade Sao Jose"/>
    <n v="169276"/>
    <m/>
  </r>
  <r>
    <x v="16"/>
    <x v="73"/>
    <s v="Silvia Serrão de Figueiredo"/>
    <s v="Feminino"/>
    <x v="27"/>
    <x v="24"/>
    <s v="20103522 - Fisioterapia - Pac Com Dependencia de Vida Diária (R$ 23,59)"/>
    <s v="Fisioterapia"/>
    <n v="1705564431"/>
    <s v="Finalizado (3/5)"/>
    <n v="19.8156"/>
    <n v="3.7744"/>
    <n v="23.59"/>
    <s v="Sessão Faturada"/>
    <n v="772133000485020"/>
    <n v="25348"/>
    <s v="Unidade Sao Jose"/>
    <n v="1705564431"/>
    <m/>
  </r>
  <r>
    <x v="16"/>
    <x v="60"/>
    <s v="Kyssia Roberta Sena Batista de Souza"/>
    <s v="Feminino"/>
    <x v="8"/>
    <x v="24"/>
    <s v="20103115 - Atividade Reflexa Cinesioterápica (R$ 20,81)"/>
    <s v="Fisioterapia"/>
    <n v="1706661129"/>
    <s v="Finalizado (3/4)"/>
    <n v="17.480399999999999"/>
    <n v="3.3296000000000001"/>
    <n v="20.81"/>
    <s v="Sessão Faturada"/>
    <n v="954600002461000"/>
    <n v="58661"/>
    <s v="Unidade Sao Jose"/>
    <n v="1706661129"/>
    <m/>
  </r>
  <r>
    <x v="16"/>
    <x v="74"/>
    <s v="Silvia Serrão de Figueiredo"/>
    <s v="Feminino"/>
    <x v="27"/>
    <x v="24"/>
    <s v="20103492 - Patol. Em Dois Ou Mais Membros (R$ 14,83), 20103514 - Patol. Em Diferentes Segmentos da Coluna (R$ 14,83)"/>
    <s v="Fisioterapia"/>
    <n v="1706695150"/>
    <s v="Finalizado (2/5)"/>
    <n v="24.914400000000001"/>
    <n v="4.7455999999999996"/>
    <n v="29.66"/>
    <s v="Sessão Faturada"/>
    <n v="772133000485020"/>
    <n v="25348"/>
    <s v="Unidade Sao Jose"/>
    <n v="1706695150"/>
    <m/>
  </r>
  <r>
    <x v="16"/>
    <x v="41"/>
    <s v="Maria do Carmo Marinho"/>
    <s v="Feminino"/>
    <x v="7"/>
    <x v="24"/>
    <s v="Sao José - 2 - Fisioterapia Ortopédica - Pacote (R$ 20,00)"/>
    <s v="Fisioterapia"/>
    <n v="169944"/>
    <s v="Finalizado (3/10)"/>
    <n v="15"/>
    <n v="5"/>
    <n v="20"/>
    <s v="Pago"/>
    <n v="59484"/>
    <n v="59484"/>
    <s v="Unidade Sao Jose"/>
    <n v="169944"/>
    <m/>
  </r>
  <r>
    <x v="16"/>
    <x v="36"/>
    <s v="Simone Soares Franco"/>
    <s v="Feminino"/>
    <x v="8"/>
    <x v="24"/>
    <s v="20103115 - Atividade Reflexa Cinesioterápica (R$ 20,81)"/>
    <s v="Fisioterapia"/>
    <n v="1706706813"/>
    <s v="Finalizado (3/4)"/>
    <n v="17.480399999999999"/>
    <n v="3.3296000000000001"/>
    <n v="20.81"/>
    <s v="Sessão Faturada"/>
    <n v="954600000256000"/>
    <n v="24181"/>
    <s v="Unidade Sao Jose"/>
    <n v="1706706813"/>
    <m/>
  </r>
  <r>
    <x v="16"/>
    <x v="36"/>
    <s v="Manuela Soares de Freitas Mendonca"/>
    <s v="Feminino"/>
    <x v="8"/>
    <x v="24"/>
    <s v="20103115 - Atividade Reflexa Cinesioterápica (R$ 20,81)"/>
    <s v="Fisioterapia"/>
    <n v="1706715509"/>
    <s v="Finalizado (3/4)"/>
    <n v="17.480399999999999"/>
    <n v="3.3296000000000001"/>
    <n v="20.81"/>
    <s v="Sessão Faturada"/>
    <n v="954600000256030"/>
    <n v="53656"/>
    <s v="Unidade Sao Jose"/>
    <n v="1706715509"/>
    <m/>
  </r>
  <r>
    <x v="16"/>
    <x v="36"/>
    <s v="Dilson Pereira Dourado"/>
    <m/>
    <x v="27"/>
    <x v="24"/>
    <s v="20103492 - Patol. Em Dois Ou Mais Membros (R$ 14,83), 20103514 - Patol. Em Diferentes Segmentos da Coluna (R$ 14,83)"/>
    <s v="Fisioterapia"/>
    <n v="1705671875"/>
    <s v="Finalizado (5/5)"/>
    <n v="24.914400000000001"/>
    <n v="4.7455999999999996"/>
    <n v="29.66"/>
    <s v="Sessão Faturada"/>
    <n v="898081400019000"/>
    <n v="54845"/>
    <s v="Unidade Sao Jose"/>
    <n v="1705671875"/>
    <m/>
  </r>
  <r>
    <x v="16"/>
    <x v="36"/>
    <s v="Joycilene da Silva Carvalho"/>
    <s v="Feminino"/>
    <x v="7"/>
    <x v="24"/>
    <s v="Sao José - 2 - Fisioterapia Ortopédica - Pacote (R$ 20,00)"/>
    <s v="Fisioterapia"/>
    <n v="170324"/>
    <s v="Finalizado (3/10)"/>
    <n v="15"/>
    <n v="5"/>
    <n v="20"/>
    <s v="Pago"/>
    <n v="54386"/>
    <n v="54386"/>
    <s v="Unidade Sao Jose"/>
    <n v="170324"/>
    <m/>
  </r>
  <r>
    <x v="16"/>
    <x v="36"/>
    <s v="Kamila Marques da Silva"/>
    <s v="Feminino"/>
    <x v="7"/>
    <x v="24"/>
    <s v="Sao José - 2 - Fisioterapia Ortopédica - Pacote (R$ 20,00)"/>
    <s v="Fisioterapia"/>
    <n v="169541"/>
    <s v="Finalizado (5/10)"/>
    <n v="15"/>
    <n v="5"/>
    <n v="20"/>
    <s v="Pago"/>
    <n v="59454"/>
    <n v="59454"/>
    <s v="Unidade Sao Jose"/>
    <n v="169541"/>
    <m/>
  </r>
  <r>
    <x v="16"/>
    <x v="57"/>
    <s v="Simone Soares Franco"/>
    <s v="Feminino"/>
    <x v="8"/>
    <x v="24"/>
    <s v="20103522 - Fisioterapia - Pac Com Dependencia de Vida Diária (R$ 23,59)"/>
    <s v="Fisioterapia"/>
    <n v="1706703596"/>
    <s v="Finalizado (3/5)"/>
    <n v="19.8156"/>
    <n v="3.7744"/>
    <n v="23.59"/>
    <s v="Sessão Faturada"/>
    <n v="954600000256000"/>
    <n v="24181"/>
    <s v="Unidade Sao Jose"/>
    <n v="1706703596"/>
    <m/>
  </r>
  <r>
    <x v="16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06715129"/>
    <s v="Finalizado (3/5)"/>
    <n v="22.722000000000001"/>
    <n v="4.3280000000000003"/>
    <n v="27.05"/>
    <s v="Sessão Faturada"/>
    <n v="954600000256030"/>
    <n v="53656"/>
    <s v="Unidade Sao Jose"/>
    <n v="1706715129"/>
    <m/>
  </r>
  <r>
    <x v="16"/>
    <x v="61"/>
    <s v="Dilson Pereira Dourado"/>
    <m/>
    <x v="27"/>
    <x v="24"/>
    <s v="20103115 - Atividade Reflexa Cinesioterápica (R$ 20,81)"/>
    <s v="Fisioterapia"/>
    <n v="1705672226"/>
    <s v="Finalizado (5/5)"/>
    <n v="17.480399999999999"/>
    <n v="3.3296000000000001"/>
    <n v="20.81"/>
    <s v="Sessão Faturada"/>
    <n v="898081400019000"/>
    <n v="54845"/>
    <s v="Unidade Sao Jose"/>
    <n v="1705672226"/>
    <m/>
  </r>
  <r>
    <x v="16"/>
    <x v="67"/>
    <s v="Simone Soares Franco"/>
    <s v="Feminino"/>
    <x v="8"/>
    <x v="24"/>
    <s v="20103492 - Patologia Em Dois Ou Mais Membros (R$ 14,83)"/>
    <s v="Fisioterapia"/>
    <n v="1706706350"/>
    <s v="Finalizado (3/5)"/>
    <n v="12.4572"/>
    <n v="2.3727999999999998"/>
    <n v="14.83"/>
    <s v="Sessão Faturada"/>
    <n v="954600000256000"/>
    <n v="24181"/>
    <s v="Unidade Sao Jose"/>
    <n v="1706706350"/>
    <m/>
  </r>
  <r>
    <x v="16"/>
    <x v="40"/>
    <s v="Celia Medeiros Correa"/>
    <s v="Feminino"/>
    <x v="7"/>
    <x v="24"/>
    <s v="Sao José - 2 - Fisioterapia Ortopédica - Pacote (R$ 20,00)"/>
    <s v="Fisioterapia"/>
    <n v="170432"/>
    <s v="Finalizado (3/10)"/>
    <n v="15"/>
    <n v="5"/>
    <n v="20"/>
    <s v="Pago"/>
    <n v="59521"/>
    <n v="59521"/>
    <s v="Unidade Sao Jose"/>
    <n v="170432"/>
    <m/>
  </r>
  <r>
    <x v="16"/>
    <x v="40"/>
    <s v="Francisca Zuleide de Oliveira Araujo"/>
    <s v="Feminino"/>
    <x v="7"/>
    <x v="24"/>
    <s v="Sao José - 2 - Fisioterapia Ortopédica - Pacote (R$ 20,00)"/>
    <s v="Fisioterapia"/>
    <n v="170621"/>
    <s v="Finalizado (1/10)"/>
    <n v="15"/>
    <n v="5"/>
    <n v="20"/>
    <s v="Pago"/>
    <n v="59540"/>
    <n v="59540"/>
    <s v="Unidade Sao Jose"/>
    <n v="170621"/>
    <m/>
  </r>
  <r>
    <x v="16"/>
    <x v="37"/>
    <s v="Arlesson Ribeiro Correa"/>
    <s v="Masculino"/>
    <x v="7"/>
    <x v="24"/>
    <s v="Sao José - 2 - Fisioterapia Ortopédica - Pacote (R$ 20,00)"/>
    <s v="Fisioterapia"/>
    <n v="166722"/>
    <s v="Finalizado (6/10)"/>
    <n v="15"/>
    <n v="5"/>
    <n v="20"/>
    <s v="Pago"/>
    <n v="58435"/>
    <n v="58435"/>
    <s v="Unidade Sao Jose"/>
    <n v="166722"/>
    <m/>
  </r>
  <r>
    <x v="16"/>
    <x v="22"/>
    <s v="Jose Edson Moura de Melo"/>
    <s v="Masculino"/>
    <x v="2"/>
    <x v="24"/>
    <s v="20103662 - Fisioterapia - Pos Operatorio Em Um Membro (R$ 14,99)"/>
    <s v="Fisioterapia"/>
    <n v="1702153113"/>
    <s v="Finalizado (3/5)"/>
    <n v="12.5916"/>
    <n v="2.3984000000000001"/>
    <n v="14.99"/>
    <s v="Sessão Faturada"/>
    <n v="774722014389010"/>
    <n v="45960"/>
    <s v="Unidade Sao Jose"/>
    <n v="1702153113"/>
    <m/>
  </r>
  <r>
    <x v="16"/>
    <x v="22"/>
    <s v="Jose Edson Moura de Melo"/>
    <s v="Masculino"/>
    <x v="2"/>
    <x v="24"/>
    <s v="20103115 - Atividade Reflexa Cinesioterápica (R$ 20,81)"/>
    <s v="Fisioterapia"/>
    <n v="1702153425"/>
    <s v="Finalizado (3/3)"/>
    <n v="17.480399999999999"/>
    <n v="3.3296000000000001"/>
    <n v="20.81"/>
    <s v="Sessão Faturada"/>
    <n v="774722014389010"/>
    <n v="45960"/>
    <s v="Unidade Sao Jose"/>
    <n v="1702153425"/>
    <m/>
  </r>
  <r>
    <x v="16"/>
    <x v="0"/>
    <s v="Diane Pinto de Souza"/>
    <s v="Feminino"/>
    <x v="27"/>
    <x v="24"/>
    <s v="20103662 - Pos Operatorio Em Um Membro (R$ 14,99)"/>
    <s v="Fisioterapia"/>
    <n v="1707969765"/>
    <s v="Finalizado (1/4)"/>
    <n v="12.5916"/>
    <n v="2.3984000000000001"/>
    <n v="14.99"/>
    <s v="Sessão a Faturar"/>
    <n v="770179013056000"/>
    <n v="55682"/>
    <s v="Unidade Sao Jose"/>
    <n v="1707969765"/>
    <m/>
  </r>
  <r>
    <x v="16"/>
    <x v="0"/>
    <s v="Glívena Souza Félix"/>
    <s v="Feminino"/>
    <x v="7"/>
    <x v="24"/>
    <s v="Sao José - 4 - Fisioterapia Neurológica/Respiratória - Pacote (R$ 50,00)"/>
    <s v="Fisioterapia"/>
    <n v="170807"/>
    <s v="Finalizado (1/10)"/>
    <n v="37.5"/>
    <n v="12.5"/>
    <n v="50"/>
    <s v="Pago"/>
    <n v="57339"/>
    <n v="57339"/>
    <s v="Unidade Sao Jose"/>
    <n v="170807"/>
    <m/>
  </r>
  <r>
    <x v="16"/>
    <x v="0"/>
    <s v="Ângela Isabel Barbosa Rego"/>
    <s v="Feminino"/>
    <x v="7"/>
    <x v="24"/>
    <s v="Sao José - 2 - Fisioterapia Ortopédica - Pacote (R$ 20,00)"/>
    <s v="Fisioterapia"/>
    <n v="169554"/>
    <s v="Finalizado (6/10)"/>
    <n v="15"/>
    <n v="5"/>
    <n v="20"/>
    <s v="Pago"/>
    <n v="59455"/>
    <n v="59455"/>
    <s v="Unidade Sao Jose"/>
    <n v="169554"/>
    <m/>
  </r>
  <r>
    <x v="16"/>
    <x v="1"/>
    <s v="Diane Pinto de Souza"/>
    <s v="Feminino"/>
    <x v="27"/>
    <x v="24"/>
    <s v="20103115 - Atividade Reflexa Cinesioterápica (R$ 20,81)"/>
    <s v="Fisioterapia"/>
    <n v="1707969968"/>
    <s v="Finalizado (1/1)"/>
    <n v="17.480399999999999"/>
    <n v="3.3296000000000001"/>
    <n v="20.81"/>
    <s v="Sessão Faturada"/>
    <n v="770179013056000"/>
    <n v="55682"/>
    <s v="Unidade Sao Jose"/>
    <n v="1707969968"/>
    <m/>
  </r>
  <r>
    <x v="16"/>
    <x v="2"/>
    <s v="Cristiane Villar de Holanda"/>
    <s v="Feminino"/>
    <x v="7"/>
    <x v="24"/>
    <s v="Sao José - 2 - Fisioterapia Ortopédica - Pacote (R$ 20,00)"/>
    <s v="Fisioterapia"/>
    <n v="170499"/>
    <s v="Finalizado (2/10)"/>
    <n v="15"/>
    <n v="5"/>
    <n v="20"/>
    <s v="Pago"/>
    <n v="41493"/>
    <n v="41493"/>
    <s v="Unidade Sao Jose"/>
    <n v="170499"/>
    <m/>
  </r>
  <r>
    <x v="16"/>
    <x v="2"/>
    <s v="Bruna Naiana Alves Gonçalves"/>
    <m/>
    <x v="2"/>
    <x v="24"/>
    <s v="20103115 - Atividade Reflexa Cinesioterápica (R$ 20,81)"/>
    <s v="Fisioterapia"/>
    <n v="1699463585"/>
    <s v="Finalizado (4/4)"/>
    <n v="17.480399999999999"/>
    <n v="3.3296000000000001"/>
    <n v="20.81"/>
    <s v="Sessão Faturada"/>
    <n v="898786000019010"/>
    <n v="57518"/>
    <s v="Unidade Sao Jose"/>
    <n v="1699463585"/>
    <m/>
  </r>
  <r>
    <x v="16"/>
    <x v="3"/>
    <s v="Bruna Naiana Alves Gonçalves"/>
    <m/>
    <x v="2"/>
    <x v="24"/>
    <s v="20103514 - Fisioterapia - Patologia Em Diferentes Segmentos da Coluna (R$ 14,83)"/>
    <s v="Fisioterapia"/>
    <n v="1699463272"/>
    <s v="Finalizado (4/4)"/>
    <n v="12.4572"/>
    <n v="2.3727999999999998"/>
    <n v="14.83"/>
    <s v="Sessão Faturada"/>
    <n v="898786000019010"/>
    <n v="57518"/>
    <s v="Unidade Sao Jose"/>
    <n v="1699463272"/>
    <m/>
  </r>
  <r>
    <x v="16"/>
    <x v="4"/>
    <s v="Erick Ariel dos Santos Evangelista"/>
    <s v="Masculino"/>
    <x v="27"/>
    <x v="24"/>
    <s v="50000144 - Avaliação de Fisioterapia (R$ 51,42)"/>
    <s v="Fisioterapia"/>
    <n v="1708005092"/>
    <s v="Finalizado (1/1)"/>
    <n v="46.277999999999999"/>
    <n v="5.1420000000000003"/>
    <n v="51.42"/>
    <s v="Sessão Faturada"/>
    <n v="960019378522020"/>
    <n v="59549"/>
    <s v="Unidade Sao Jose"/>
    <n v="1708005092"/>
    <m/>
  </r>
  <r>
    <x v="16"/>
    <x v="4"/>
    <s v="Milza Santos"/>
    <s v="Feminino"/>
    <x v="14"/>
    <x v="24"/>
    <s v="20103492 - Fisioterapia - Patologia Em Dois Ou Mais Membros (R$ 14,83), 20103506 - Fisioterapia - Patologia Em Um Segmento da Coluna (R$ 12,22)"/>
    <s v="Fisioterapia"/>
    <n v="1705860320"/>
    <s v="Finalizado (2/5)"/>
    <n v="22.722000000000001"/>
    <n v="4.3280000000000003"/>
    <n v="27.05"/>
    <s v="Sessão Faturada"/>
    <n v="954600000493010"/>
    <n v="41659"/>
    <s v="Unidade Sao Jose"/>
    <n v="1705860320"/>
    <m/>
  </r>
  <r>
    <x v="16"/>
    <x v="5"/>
    <s v="Milza Santos"/>
    <s v="Feminino"/>
    <x v="14"/>
    <x v="24"/>
    <s v="20103115 - Atividade Reflexa Cinesioterápica (R$ 20,81)"/>
    <s v="Fisioterapia"/>
    <n v="1705844605"/>
    <s v="Finalizado (2/2)"/>
    <n v="17.480399999999999"/>
    <n v="3.3296000000000001"/>
    <n v="20.81"/>
    <s v="Sessão Faturada"/>
    <n v="954600000493010"/>
    <n v="41659"/>
    <s v="Unidade Sao Jose"/>
    <n v="1705844605"/>
    <m/>
  </r>
  <r>
    <x v="16"/>
    <x v="13"/>
    <s v="Fabiola da Silva Pinto"/>
    <s v="Feminino"/>
    <x v="7"/>
    <x v="24"/>
    <s v="Sao José - 2 - Fisioterapia Ortopédica - Pacote (R$ 20,00)"/>
    <s v="Fisioterapia"/>
    <n v="169388"/>
    <s v="Finalizado (5/10)"/>
    <n v="15"/>
    <n v="5"/>
    <n v="20"/>
    <s v="Pago"/>
    <n v="31794"/>
    <n v="31794"/>
    <s v="Unidade Sao Jose"/>
    <n v="169388"/>
    <m/>
  </r>
  <r>
    <x v="16"/>
    <x v="13"/>
    <s v="Ana Cleude Pantoja da Silva"/>
    <s v="Feminino"/>
    <x v="8"/>
    <x v="24"/>
    <s v="20103115 - Atividade Reflexa Cinesioterápica (R$ 20,81)"/>
    <s v="Fisioterapia"/>
    <n v="1704906377"/>
    <s v="Finalizado (3/3)"/>
    <n v="17.480399999999999"/>
    <n v="3.3296000000000001"/>
    <n v="20.81"/>
    <s v="Sessão Faturada"/>
    <n v="954600008567000"/>
    <n v="23678"/>
    <s v="Unidade Sao Jose"/>
    <n v="1704906377"/>
    <m/>
  </r>
  <r>
    <x v="16"/>
    <x v="13"/>
    <s v="Maria de Lourdes Batista Ferreira"/>
    <s v="Feminino"/>
    <x v="7"/>
    <x v="24"/>
    <s v="Sao José - 2 - Fisioterapia Ortopédica - Pacote (R$ 20,00)"/>
    <s v="Fisioterapia"/>
    <n v="169914"/>
    <s v="Finalizado (7/10)"/>
    <n v="15"/>
    <n v="5"/>
    <n v="20"/>
    <s v="Pago"/>
    <n v="59482"/>
    <n v="59482"/>
    <s v="Unidade Sao Jose"/>
    <n v="169914"/>
    <m/>
  </r>
  <r>
    <x v="16"/>
    <x v="14"/>
    <s v="Ana Cleude Pantoja da Silva"/>
    <s v="Feminino"/>
    <x v="8"/>
    <x v="24"/>
    <s v="20103492 - Patologia Em Dois Ou Mais Membros (R$ 14,83), 20103514 - Patologia Em Diferentes Segmentos da Coluna (R$ 14,83)"/>
    <s v="Fisioterapia"/>
    <n v="1704905703"/>
    <s v="Finalizado (3/5)"/>
    <n v="24.914400000000001"/>
    <n v="4.7455999999999996"/>
    <n v="29.66"/>
    <s v="Sessão Faturada"/>
    <n v="954600008567000"/>
    <n v="23678"/>
    <s v="Unidade Sao Jose"/>
    <n v="1704905703"/>
    <m/>
  </r>
  <r>
    <x v="16"/>
    <x v="15"/>
    <s v="Diana Costa Tavares Gonçalves"/>
    <s v="Feminino"/>
    <x v="27"/>
    <x v="24"/>
    <s v="20103115 - Atividade Reflexa Cinesioterápica (R$ 20,81)"/>
    <s v="Fisioterapia"/>
    <n v="1708027494"/>
    <s v="Finalizado (1/1)"/>
    <n v="17.480399999999999"/>
    <n v="3.3296000000000001"/>
    <n v="20.81"/>
    <s v="Sessão Faturada"/>
    <n v="813227000817000"/>
    <n v="52256"/>
    <s v="Unidade Sao Jose"/>
    <n v="1708027494"/>
    <m/>
  </r>
  <r>
    <x v="16"/>
    <x v="15"/>
    <s v="Diana Costa Tavares Gonçalves"/>
    <s v="Feminino"/>
    <x v="27"/>
    <x v="24"/>
    <s v="20103492 - Patol. Em Dois Ou Mais Membros (R$ 14,83), 20103514 - Patol. Em Diferentes Segmentos da Coluna (R$ 14,83)"/>
    <s v="Fisioterapia"/>
    <n v="1708027076"/>
    <s v="Finalizado (1/5)"/>
    <n v="24.914400000000001"/>
    <n v="4.7455999999999996"/>
    <n v="29.66"/>
    <s v="Sessão a Faturar"/>
    <n v="813227000817000"/>
    <n v="52256"/>
    <s v="Unidade Sao Jose"/>
    <n v="1708027076"/>
    <m/>
  </r>
  <r>
    <x v="16"/>
    <x v="17"/>
    <s v="Erick Ariel dos Santos Evangelista"/>
    <s v="Masculino"/>
    <x v="27"/>
    <x v="24"/>
    <s v="20103115 - Atividade Reflexa Cinesioterápica (R$ 20,81)"/>
    <s v="Fisioterapia"/>
    <n v="1708059434"/>
    <s v="Finalizado (1/2)"/>
    <n v="17.480399999999999"/>
    <n v="3.3296000000000001"/>
    <n v="20.81"/>
    <s v="Sessão Faturada"/>
    <n v="960019378522020"/>
    <n v="59549"/>
    <s v="Unidade Sao Jose"/>
    <n v="1708059434"/>
    <m/>
  </r>
  <r>
    <x v="16"/>
    <x v="18"/>
    <s v="Erick Ariel dos Santos Evangelista"/>
    <s v="Masculino"/>
    <x v="27"/>
    <x v="24"/>
    <s v="20103492 - Patol. Em Dois Ou Mais Membros (R$ 14,83)"/>
    <s v="Fisioterapia"/>
    <n v="1708059283"/>
    <s v="Finalizado (1/3)"/>
    <n v="12.4572"/>
    <n v="2.3727999999999998"/>
    <n v="14.83"/>
    <s v="Sessão Faturada"/>
    <n v="960019378522020"/>
    <n v="59549"/>
    <s v="Unidade Sao Jose"/>
    <n v="1708059283"/>
    <m/>
  </r>
  <r>
    <x v="16"/>
    <x v="8"/>
    <s v="Carlos Victor Lopes de Souza"/>
    <s v="Masculino"/>
    <x v="7"/>
    <x v="24"/>
    <s v="Sao José - 4 - Fisioterapia Neurológica/Respiratória - Pacote (R$ 50,00)"/>
    <s v="Fisioterapia"/>
    <n v="170555"/>
    <s v="Finalizado (2/10)"/>
    <n v="37.5"/>
    <n v="12.5"/>
    <n v="50"/>
    <s v="Pago"/>
    <n v="56621"/>
    <n v="56621"/>
    <s v="Unidade Sao Jose"/>
    <n v="170555"/>
    <m/>
  </r>
  <r>
    <x v="16"/>
    <x v="8"/>
    <s v="Elrilane Santos dos Santos"/>
    <s v="Feminino"/>
    <x v="7"/>
    <x v="24"/>
    <s v="Sao José - 2 - Fisioterapia Ortopédica - Pacote (R$ 20,00)"/>
    <s v="Fisioterapia"/>
    <n v="170078"/>
    <s v="Finalizado (6/10)"/>
    <n v="15"/>
    <n v="5"/>
    <n v="20"/>
    <s v="Pago"/>
    <n v="59492"/>
    <n v="59492"/>
    <s v="Unidade Sao Jose"/>
    <n v="170078"/>
    <m/>
  </r>
  <r>
    <x v="16"/>
    <x v="10"/>
    <s v="Alessandro da Silva Vieira"/>
    <s v="Masculino"/>
    <x v="8"/>
    <x v="24"/>
    <s v="20103662 - Pos Operatorio Em Um Membro (R$ 14,99)"/>
    <s v="Fisioterapia"/>
    <n v="1704001598"/>
    <s v="Finalizado (5/5)"/>
    <n v="12.5916"/>
    <n v="2.3984000000000001"/>
    <n v="14.99"/>
    <s v="Sessão Faturada"/>
    <n v="954600024350000"/>
    <n v="57332"/>
    <s v="Unidade Sao Jose"/>
    <n v="1704001598"/>
    <m/>
  </r>
  <r>
    <x v="16"/>
    <x v="11"/>
    <s v="Alessandro da Silva Vieira"/>
    <s v="Masculino"/>
    <x v="8"/>
    <x v="24"/>
    <s v="20103115 - Atividade Reflexa Cinesioterápica (R$ 20,81)"/>
    <s v="Fisioterapia"/>
    <n v="1704001703"/>
    <s v="Finalizado (5/5)"/>
    <n v="17.480399999999999"/>
    <n v="3.3296000000000001"/>
    <n v="20.81"/>
    <s v="Sessão Faturada"/>
    <n v="954600024350000"/>
    <n v="57332"/>
    <s v="Unidade Sao Jose"/>
    <n v="1704001703"/>
    <m/>
  </r>
  <r>
    <x v="21"/>
    <x v="44"/>
    <s v="Ruan de Souza Mesquita"/>
    <s v="Masculino"/>
    <x v="8"/>
    <x v="24"/>
    <s v="20103115 - Atividade Reflexa Cinesioterápica (R$ 20,81)"/>
    <s v="Fisioterapia"/>
    <n v="1705116947"/>
    <s v="Finalizado (2/2)"/>
    <n v="17.480399999999999"/>
    <n v="3.3296000000000001"/>
    <n v="20.81"/>
    <s v="Sessão Faturada"/>
    <n v="954600015873000"/>
    <n v="56318"/>
    <s v="Unidade Sao Jose"/>
    <n v="1705116947"/>
    <m/>
  </r>
  <r>
    <x v="21"/>
    <x v="44"/>
    <s v="Jean da Silva Melo"/>
    <s v="Masculino"/>
    <x v="8"/>
    <x v="24"/>
    <s v="20103492 - Patologia Em Dois Ou Mais Membros (R$ 14,83), 20103514 - Patologia Em Diferentes Segmentos da Coluna (R$ 14,83)"/>
    <s v="Fisioterapia"/>
    <n v="1705876674"/>
    <s v="Finalizado (5/5)"/>
    <n v="24.914400000000001"/>
    <n v="4.7455999999999996"/>
    <n v="29.66"/>
    <s v="Sessão Faturada"/>
    <n v="954600003042000"/>
    <n v="29915"/>
    <s v="Unidade Sao Jose"/>
    <n v="1705876674"/>
    <m/>
  </r>
  <r>
    <x v="21"/>
    <x v="44"/>
    <s v="Custodia Herminia de Sousa Filha"/>
    <s v="Feminino"/>
    <x v="7"/>
    <x v="24"/>
    <s v="Sao José - 2 - Fisioterapia Ortopédica - Pacote (R$ 20,00)"/>
    <s v="Fisioterapia"/>
    <n v="170248"/>
    <s v="Finalizado (3/10)"/>
    <n v="15"/>
    <n v="5"/>
    <n v="20"/>
    <s v="Pago"/>
    <n v="58051"/>
    <n v="58051"/>
    <s v="Unidade Sao Jose"/>
    <n v="170248"/>
    <m/>
  </r>
  <r>
    <x v="21"/>
    <x v="73"/>
    <s v="Jean da Silva Melo"/>
    <s v="Masculino"/>
    <x v="8"/>
    <x v="24"/>
    <s v="20103115 - Atividade Reflexa Cinesioterápica (R$ 20,81)"/>
    <s v="Fisioterapia"/>
    <n v="1705876261"/>
    <s v="Finalizado (5/5)"/>
    <n v="17.480399999999999"/>
    <n v="3.3296000000000001"/>
    <n v="20.81"/>
    <s v="Sessão Faturada"/>
    <n v="954600003042000"/>
    <n v="29915"/>
    <s v="Unidade Sao Jose"/>
    <n v="1705876261"/>
    <m/>
  </r>
  <r>
    <x v="21"/>
    <x v="60"/>
    <s v="Ruan de Souza Mesquita"/>
    <s v="Masculino"/>
    <x v="8"/>
    <x v="24"/>
    <s v="20103492 - Patologia Em Dois Ou Mais Membros (R$ 14,83)"/>
    <s v="Fisioterapia"/>
    <n v="1705116776"/>
    <s v="Finalizado (2/3)"/>
    <n v="12.4572"/>
    <n v="2.3727999999999998"/>
    <n v="14.83"/>
    <s v="Sessão Faturada"/>
    <n v="954600015873000"/>
    <n v="56318"/>
    <s v="Unidade Sao Jose"/>
    <n v="1705116776"/>
    <m/>
  </r>
  <r>
    <x v="21"/>
    <x v="74"/>
    <s v="Jean da Silva Melo"/>
    <s v="Masculino"/>
    <x v="8"/>
    <x v="24"/>
    <s v="20103662 - Pos Operatorio Em Um Membro (R$ 14,99)"/>
    <s v="Fisioterapia"/>
    <n v="1705875683"/>
    <s v="Finalizado (5/5)"/>
    <n v="12.5916"/>
    <n v="2.3984000000000001"/>
    <n v="14.99"/>
    <s v="Sessão Faturada"/>
    <n v="954600003042000"/>
    <n v="29915"/>
    <s v="Unidade Sao Jose"/>
    <n v="1705875683"/>
    <m/>
  </r>
  <r>
    <x v="21"/>
    <x v="41"/>
    <s v="Francisca Zuleide de Oliveira Araujo"/>
    <s v="Feminino"/>
    <x v="7"/>
    <x v="24"/>
    <s v="Sao José - 2 - Fisioterapia Ortopédica - Pacote (R$ 20,00)"/>
    <s v="Fisioterapia"/>
    <n v="170621"/>
    <s v="Finalizado (2/10)"/>
    <n v="15"/>
    <n v="5"/>
    <n v="20"/>
    <s v="Pago"/>
    <n v="59540"/>
    <n v="59540"/>
    <s v="Unidade Sao Jose"/>
    <n v="170621"/>
    <m/>
  </r>
  <r>
    <x v="21"/>
    <x v="36"/>
    <s v="Maria Neide Oliveira Marques"/>
    <s v="Feminino"/>
    <x v="8"/>
    <x v="24"/>
    <s v="20103522 - Fisioterapia - Pac Com Dependencia de Vida Diária (R$ 23,59)"/>
    <s v="Fisioterapia"/>
    <n v="1702947275"/>
    <s v="Finalizado (5/5)"/>
    <n v="19.8156"/>
    <n v="3.7744"/>
    <n v="23.59"/>
    <s v="Sessão Faturada"/>
    <n v="954600008419020"/>
    <n v="52794"/>
    <s v="Unidade Sao Jose"/>
    <n v="1702947275"/>
    <m/>
  </r>
  <r>
    <x v="21"/>
    <x v="57"/>
    <s v="Maria Neide Oliveira Marques"/>
    <s v="Feminino"/>
    <x v="8"/>
    <x v="24"/>
    <s v="20103514 - Patologia Em Diferentes Segmentos da Coluna (R$ 14,83)"/>
    <s v="Fisioterapia"/>
    <n v="1702947006"/>
    <s v="Finalizado (5/5)"/>
    <n v="12.4572"/>
    <n v="2.3727999999999998"/>
    <n v="14.83"/>
    <s v="Sessão Faturada"/>
    <n v="954600008419020"/>
    <n v="52794"/>
    <s v="Unidade Sao Jose"/>
    <n v="1702947006"/>
    <m/>
  </r>
  <r>
    <x v="21"/>
    <x v="67"/>
    <s v="Maria Neide Oliveira Marques"/>
    <s v="Feminino"/>
    <x v="8"/>
    <x v="24"/>
    <s v="20103115 - Atividade Reflexa Cinesioterápica (R$ 20,81)"/>
    <s v="Fisioterapia"/>
    <n v="1702946762"/>
    <s v="Finalizado (5/5)"/>
    <n v="17.480399999999999"/>
    <n v="3.3296000000000001"/>
    <n v="20.81"/>
    <s v="Sessão Faturada"/>
    <n v="954600008419020"/>
    <n v="52794"/>
    <s v="Unidade Sao Jose"/>
    <n v="1702946762"/>
    <m/>
  </r>
  <r>
    <x v="21"/>
    <x v="40"/>
    <s v="Celia Medeiros Correa"/>
    <s v="Feminino"/>
    <x v="7"/>
    <x v="24"/>
    <s v="Sao José - 2 - Fisioterapia Ortopédica - Pacote (R$ 20,00)"/>
    <s v="Fisioterapia"/>
    <n v="170432"/>
    <s v="Finalizado (4/10)"/>
    <n v="15"/>
    <n v="5"/>
    <n v="20"/>
    <s v="Pago"/>
    <n v="59521"/>
    <n v="59521"/>
    <s v="Unidade Sao Jose"/>
    <n v="170432"/>
    <m/>
  </r>
  <r>
    <x v="21"/>
    <x v="35"/>
    <s v="Inoru Uchigasaki"/>
    <s v="Masculino"/>
    <x v="7"/>
    <x v="24"/>
    <s v="Sao José - 4 - Fisioterapia Neurológica/Respiratória - Pacote (R$ 50,00)"/>
    <s v="Fisioterapia"/>
    <n v="169780"/>
    <s v="Finalizado (3/10)"/>
    <n v="37.5"/>
    <n v="12.5"/>
    <n v="50"/>
    <s v="Pago"/>
    <n v="59468"/>
    <n v="59468"/>
    <s v="Unidade Sao Jose"/>
    <n v="169780"/>
    <m/>
  </r>
  <r>
    <x v="21"/>
    <x v="38"/>
    <s v="Maria de Lourdes Batista Ferreira"/>
    <s v="Feminino"/>
    <x v="7"/>
    <x v="24"/>
    <s v="Sao José - 2 - Fisioterapia Ortopédica - Pacote (R$ 20,00)"/>
    <s v="Fisioterapia"/>
    <n v="169914"/>
    <s v="Finalizado (8/10)"/>
    <n v="15"/>
    <n v="5"/>
    <n v="20"/>
    <s v="Pago"/>
    <n v="59482"/>
    <n v="59482"/>
    <s v="Unidade Sao Jose"/>
    <n v="169914"/>
    <m/>
  </r>
  <r>
    <x v="21"/>
    <x v="39"/>
    <s v="Eucklinger da Costa Pereira"/>
    <s v="Masculino"/>
    <x v="27"/>
    <x v="24"/>
    <s v="20103522 - Fisioterapia - Pac Com Dependencia de Vida Diária (R$ 23,59)"/>
    <s v="Fisioterapia"/>
    <n v="1703275172"/>
    <s v="Finalizado (2/2)"/>
    <n v="19.8156"/>
    <n v="3.7744"/>
    <n v="23.59"/>
    <s v="Sessão Faturada"/>
    <n v="773458020540000"/>
    <n v="59426"/>
    <s v="Unidade Sao Jose"/>
    <n v="1703275172"/>
    <m/>
  </r>
  <r>
    <x v="17"/>
    <x v="44"/>
    <s v="Custodia Herminia de Sousa Filha"/>
    <s v="Feminino"/>
    <x v="7"/>
    <x v="24"/>
    <s v="Sao José - 2 - Fisioterapia Ortopédica - Pacote (R$ 20,00)"/>
    <s v="Fisioterapia"/>
    <n v="170248"/>
    <s v="Finalizado (4/10)"/>
    <n v="15"/>
    <n v="5"/>
    <n v="20"/>
    <s v="Pago"/>
    <n v="58051"/>
    <n v="58051"/>
    <s v="Unidade Sao Jose"/>
    <n v="170248"/>
    <m/>
  </r>
  <r>
    <x v="17"/>
    <x v="44"/>
    <s v="Dilson Pereira Dourado"/>
    <m/>
    <x v="27"/>
    <x v="24"/>
    <s v="20103115 - Atividade Reflexa Cinesioterápica (R$ 20,81)"/>
    <s v="Fisioterapia"/>
    <n v="1708808801"/>
    <s v="Finalizado (1/2)"/>
    <n v="17.480399999999999"/>
    <n v="3.3296000000000001"/>
    <n v="20.81"/>
    <s v="Sessão Faturada"/>
    <n v="898081400019000"/>
    <n v="54845"/>
    <s v="Unidade Sao Jose"/>
    <n v="1708808801"/>
    <m/>
  </r>
  <r>
    <x v="17"/>
    <x v="44"/>
    <s v="Kyssia Roberta Sena Batista de Souza"/>
    <s v="Feminino"/>
    <x v="8"/>
    <x v="24"/>
    <s v="20103662 - Pos Operatorio Em Um Membro (R$ 14,99)"/>
    <s v="Fisioterapia"/>
    <n v="1706660545"/>
    <s v="Finalizado (4/5)"/>
    <n v="12.5916"/>
    <n v="2.3984000000000001"/>
    <n v="14.99"/>
    <s v="Sessão Faturada"/>
    <n v="954600002461000"/>
    <n v="58661"/>
    <s v="Unidade Sao Jose"/>
    <n v="1706660545"/>
    <m/>
  </r>
  <r>
    <x v="17"/>
    <x v="44"/>
    <s v="Francisca Zuleide de Oliveira Araujo"/>
    <s v="Feminino"/>
    <x v="7"/>
    <x v="24"/>
    <s v="Sao José - 2 - Fisioterapia Ortopédica - Pacote (R$ 20,00)"/>
    <s v="Fisioterapia"/>
    <n v="170621"/>
    <s v="Finalizado (3/10)"/>
    <n v="15"/>
    <n v="5"/>
    <n v="20"/>
    <s v="Pago"/>
    <n v="59540"/>
    <n v="59540"/>
    <s v="Unidade Sao Jose"/>
    <n v="170621"/>
    <m/>
  </r>
  <r>
    <x v="17"/>
    <x v="44"/>
    <s v="Ana Clara Santos Maia"/>
    <s v="Feminino"/>
    <x v="7"/>
    <x v="24"/>
    <s v="Sao José - 2 - Fisioterapia Ortopédica - Pacote (R$ 20,00)"/>
    <s v="Fisioterapia"/>
    <n v="169276"/>
    <s v="Finalizado (7/10)"/>
    <n v="15"/>
    <n v="5"/>
    <n v="20"/>
    <s v="Pago"/>
    <n v="59190"/>
    <n v="59190"/>
    <s v="Unidade Sao Jose"/>
    <n v="169276"/>
    <m/>
  </r>
  <r>
    <x v="17"/>
    <x v="60"/>
    <s v="Dilson Pereira Dourado"/>
    <m/>
    <x v="27"/>
    <x v="24"/>
    <s v="20103492 - Patol. Em Dois Ou Mais Membros (R$ 14,83), 20103514 - Patol. Em Diferentes Segmentos da Coluna (R$ 14,83)"/>
    <s v="Fisioterapia"/>
    <n v="1708808219"/>
    <s v="Finalizado (1/5)"/>
    <n v="24.914400000000001"/>
    <n v="4.7455999999999996"/>
    <n v="29.66"/>
    <s v="Sessão a Faturar"/>
    <n v="898081400019000"/>
    <n v="54845"/>
    <s v="Unidade Sao Jose"/>
    <n v="1708808219"/>
    <m/>
  </r>
  <r>
    <x v="17"/>
    <x v="60"/>
    <s v="Kyssia Roberta Sena Batista de Souza"/>
    <s v="Feminino"/>
    <x v="8"/>
    <x v="24"/>
    <s v="20103115 - Atividade Reflexa Cinesioterápica (R$ 20,81)"/>
    <s v="Fisioterapia"/>
    <n v="1706661129"/>
    <s v="Finalizado (4/4)"/>
    <n v="17.480399999999999"/>
    <n v="3.3296000000000001"/>
    <n v="20.81"/>
    <s v="Sessão Faturada"/>
    <n v="954600002461000"/>
    <n v="58661"/>
    <s v="Unidade Sao Jose"/>
    <n v="1706661129"/>
    <m/>
  </r>
  <r>
    <x v="17"/>
    <x v="41"/>
    <s v="Marinete Torres Martins"/>
    <s v="Feminino"/>
    <x v="2"/>
    <x v="24"/>
    <s v="20103492 - Fisioterapia - Patologia Em Dois Ou Mais Membros (R$ 14,83), 20103514 - Fisioterapia - Patologia Em Diferentes Segmentos da Coluna (R$ 14,83)"/>
    <s v="Fisioterapia"/>
    <n v="1702543358"/>
    <s v="Finalizado (2/4)"/>
    <n v="24.914400000000001"/>
    <n v="4.7455999999999996"/>
    <n v="29.66"/>
    <s v="Sessão Faturada"/>
    <n v="775255000396000"/>
    <n v="50094"/>
    <s v="Unidade Sao Jose"/>
    <n v="1702543358"/>
    <m/>
  </r>
  <r>
    <x v="17"/>
    <x v="41"/>
    <s v="Maria Das Graças Pereira Tassinary"/>
    <s v="Feminino"/>
    <x v="14"/>
    <x v="24"/>
    <s v="20103492 - Fisioterapia - Patologia Em Dois Ou Mais Membros (R$ 14,83), 20103514 - Fisioterapia - Patologia Em Diferentes Segmentos da Coluna (R$ 14,83)"/>
    <s v="Fisioterapia"/>
    <n v="1703192902"/>
    <s v="Finalizado (4/4)"/>
    <n v="24.914400000000001"/>
    <n v="4.7455999999999996"/>
    <n v="29.66"/>
    <s v="Sessão Faturada"/>
    <n v="954390038288000"/>
    <n v="55581"/>
    <s v="Unidade Sao Jose"/>
    <n v="1703192902"/>
    <m/>
  </r>
  <r>
    <x v="17"/>
    <x v="41"/>
    <s v="Maria do Carmo Marinho"/>
    <s v="Feminino"/>
    <x v="7"/>
    <x v="24"/>
    <s v="Sao José - 2 - Fisioterapia Ortopédica - Pacote (R$ 20,00)"/>
    <s v="Fisioterapia"/>
    <n v="169944"/>
    <s v="Finalizado (4/10)"/>
    <n v="15"/>
    <n v="5"/>
    <n v="20"/>
    <s v="Pago"/>
    <n v="59484"/>
    <n v="59484"/>
    <s v="Unidade Sao Jose"/>
    <n v="169944"/>
    <m/>
  </r>
  <r>
    <x v="17"/>
    <x v="76"/>
    <s v="Maria Das Graças Pereira Tassinary"/>
    <s v="Feminino"/>
    <x v="14"/>
    <x v="24"/>
    <s v="20103115 - Atividade Reflexa Cinesioterápica (R$ 20,81)"/>
    <s v="Fisioterapia"/>
    <n v="1703193539"/>
    <s v="Finalizado (4/4)"/>
    <n v="17.480399999999999"/>
    <n v="3.3296000000000001"/>
    <n v="20.81"/>
    <s v="Sessão Faturada"/>
    <n v="954390038288000"/>
    <n v="55581"/>
    <s v="Unidade Sao Jose"/>
    <n v="1703193539"/>
    <m/>
  </r>
  <r>
    <x v="17"/>
    <x v="65"/>
    <s v="Marinete Torres Martins"/>
    <s v="Feminino"/>
    <x v="2"/>
    <x v="24"/>
    <s v="20103115 - Atividade Reflexa Cinesioterápica (R$ 20,81)"/>
    <s v="Fisioterapia"/>
    <n v="1702545348"/>
    <s v="Finalizado (2/2)"/>
    <n v="17.480399999999999"/>
    <n v="3.3296000000000001"/>
    <n v="20.81"/>
    <s v="Sessão Faturada"/>
    <n v="775255000396000"/>
    <n v="50094"/>
    <s v="Unidade Sao Jose"/>
    <n v="1702545348"/>
    <m/>
  </r>
  <r>
    <x v="17"/>
    <x v="48"/>
    <s v="Maria Das Graças Pereira Tassinary"/>
    <s v="Feminino"/>
    <x v="14"/>
    <x v="24"/>
    <s v="20103522 - Fisioterapia - Pac Com Dependencia de Vida Diária (R$ 23,59)"/>
    <s v="Fisioterapia"/>
    <n v="1703187612"/>
    <s v="Finalizado (4/4)"/>
    <n v="19.8156"/>
    <n v="3.7744"/>
    <n v="23.59"/>
    <s v="Sessão Faturada"/>
    <n v="954390038288000"/>
    <n v="55581"/>
    <s v="Unidade Sao Jose"/>
    <n v="1703187612"/>
    <m/>
  </r>
  <r>
    <x v="17"/>
    <x v="36"/>
    <s v="Josiane de Sousa Santos"/>
    <s v="Feminino"/>
    <x v="8"/>
    <x v="24"/>
    <s v="50000144 - Consulta de Fisioterapia (R$ 51,42)"/>
    <s v="Fisioterapia"/>
    <n v="1708867519"/>
    <s v="Finalizado (1/1)"/>
    <n v="46.277999999999999"/>
    <n v="5.1420000000000003"/>
    <n v="51.42"/>
    <s v="Sessão Faturada"/>
    <n v="954600005274010"/>
    <n v="23225"/>
    <s v="Unidade Sao Jose"/>
    <n v="1708867519"/>
    <m/>
  </r>
  <r>
    <x v="17"/>
    <x v="38"/>
    <s v="Josiane de Sousa Santos"/>
    <s v="Feminino"/>
    <x v="8"/>
    <x v="24"/>
    <s v="20103115 - Atividade Reflexa Cinesioterápica (R$ 20,81)"/>
    <s v="Fisioterapia"/>
    <n v="1708955497"/>
    <s v="Finalizado (1/2)"/>
    <n v="17.480399999999999"/>
    <n v="3.3296000000000001"/>
    <n v="20.81"/>
    <s v="Sessão Faturada"/>
    <n v="954600005274010"/>
    <n v="23225"/>
    <s v="Unidade Sao Jose"/>
    <n v="1708955497"/>
    <m/>
  </r>
  <r>
    <x v="17"/>
    <x v="62"/>
    <s v="Josiane de Sousa Santos"/>
    <s v="Feminino"/>
    <x v="8"/>
    <x v="24"/>
    <s v="20103492 - Patologia Em Dois Ou Mais Membros (R$ 14,83), 20103514 - Patologia Em Diferentes Segmentos da Coluna (R$ 14,83)"/>
    <s v="Fisioterapia"/>
    <n v="1708954638"/>
    <s v="Finalizado (1/5)"/>
    <n v="24.914400000000001"/>
    <n v="4.7455999999999996"/>
    <n v="29.66"/>
    <s v="Sessão Faturada"/>
    <n v="954600005274010"/>
    <n v="23225"/>
    <s v="Unidade Sao Jose"/>
    <n v="1708954638"/>
    <m/>
  </r>
  <r>
    <x v="17"/>
    <x v="39"/>
    <s v="Jacqueline Lima de Oliveira"/>
    <s v="Feminino"/>
    <x v="27"/>
    <x v="24"/>
    <s v="20103670 - Pos Operatorio Em Dois Ou Mais Membros (R$ 19,30)"/>
    <s v="Fisioterapia"/>
    <n v="1707298806"/>
    <s v="Finalizado (2/5)"/>
    <n v="16.212"/>
    <n v="3.0880000000000001"/>
    <n v="19.3"/>
    <s v="Sessão Faturada"/>
    <n v="611481880006000"/>
    <n v="59217"/>
    <s v="Unidade Sao Jose"/>
    <n v="1707298806"/>
    <m/>
  </r>
  <r>
    <x v="17"/>
    <x v="72"/>
    <s v="Jacqueline Lima de Oliveira"/>
    <s v="Feminino"/>
    <x v="27"/>
    <x v="24"/>
    <s v="20103522 - Fisioterapia - Pac Com Dependencia de Vida Diária (R$ 23,59)"/>
    <s v="Fisioterapia"/>
    <n v="1707299573"/>
    <s v="Finalizado (2/5)"/>
    <n v="19.8156"/>
    <n v="3.7744"/>
    <n v="23.59"/>
    <s v="Sessão Faturada"/>
    <n v="611481880006000"/>
    <n v="59217"/>
    <s v="Unidade Sao Jose"/>
    <n v="1707299573"/>
    <m/>
  </r>
  <r>
    <x v="17"/>
    <x v="59"/>
    <s v="Jacqueline Lima de Oliveira"/>
    <s v="Feminino"/>
    <x v="27"/>
    <x v="24"/>
    <s v="20103115 - Atividade Reflexa Cinesioterápica (R$ 20,81)"/>
    <s v="Fisioterapia"/>
    <n v="1707299930"/>
    <s v="Finalizado (2/2)"/>
    <n v="17.480399999999999"/>
    <n v="3.3296000000000001"/>
    <n v="20.81"/>
    <s v="Sessão Faturada"/>
    <n v="611481880006000"/>
    <n v="59217"/>
    <s v="Unidade Sao Jose"/>
    <n v="1707299930"/>
    <m/>
  </r>
  <r>
    <x v="17"/>
    <x v="22"/>
    <s v="Maria Sueide Pacheco"/>
    <s v="Feminino"/>
    <x v="12"/>
    <x v="24"/>
    <s v="20103662 - Pos Operatorio Em Um Membro (R$ 14,99)"/>
    <s v="Fisioterapia"/>
    <n v="168355"/>
    <s v="Finalizado (7/10)"/>
    <n v="12.5916"/>
    <n v="2.3984000000000001"/>
    <n v="14.99"/>
    <s v="Sessão Faturada"/>
    <s v="000432154994220501"/>
    <n v="26513"/>
    <s v="Unidade Sao Jose"/>
    <n v="168355"/>
    <m/>
  </r>
  <r>
    <x v="17"/>
    <x v="22"/>
    <s v="Ângela Isabel Barbosa Rego"/>
    <s v="Feminino"/>
    <x v="7"/>
    <x v="24"/>
    <s v="Sao José - 2 - Fisioterapia Ortopédica - Pacote (R$ 20,00)"/>
    <s v="Fisioterapia"/>
    <n v="169554"/>
    <s v="Finalizado (7/10)"/>
    <n v="15"/>
    <n v="5"/>
    <n v="20"/>
    <s v="Pago"/>
    <n v="59455"/>
    <n v="59455"/>
    <s v="Unidade Sao Jose"/>
    <n v="169554"/>
    <m/>
  </r>
  <r>
    <x v="17"/>
    <x v="23"/>
    <s v="Maria Sueide Pacheco"/>
    <s v="Feminino"/>
    <x v="12"/>
    <x v="24"/>
    <s v="31602185 - Estimulação Elétrica Transcutânea (Tens) (R$ 49,00)"/>
    <s v="Fisioterapia"/>
    <n v="10285188"/>
    <s v="Finalizado (7/10)"/>
    <n v="41.16"/>
    <n v="7.84"/>
    <n v="49"/>
    <s v="Sessão Faturada"/>
    <s v="000432154994220501"/>
    <n v="26513"/>
    <s v="Unidade Sao Jose"/>
    <n v="10285188"/>
    <m/>
  </r>
  <r>
    <x v="17"/>
    <x v="0"/>
    <s v="Luciana Mendoça Martins"/>
    <s v="Feminino"/>
    <x v="7"/>
    <x v="24"/>
    <s v="Sao José - 2 - Fisioterapia Ortopédica - Pacote (R$ 20,00)"/>
    <s v="Fisioterapia"/>
    <n v="171007"/>
    <s v="Finalizado (1/10)"/>
    <n v="15"/>
    <n v="5"/>
    <n v="20"/>
    <s v="Pago"/>
    <n v="59582"/>
    <n v="59582"/>
    <s v="Unidade Sao Jose"/>
    <n v="171007"/>
    <m/>
  </r>
  <r>
    <x v="17"/>
    <x v="0"/>
    <s v="Maria Francisca da Silva Carvalho"/>
    <s v="Feminino"/>
    <x v="7"/>
    <x v="24"/>
    <s v="Sao José - 4 - Fisioterapia Neurológica/Respiratória - Pacote (R$ 50,00)"/>
    <s v="Fisioterapia"/>
    <n v="170498"/>
    <s v="Finalizado (5/5)"/>
    <n v="37.5"/>
    <n v="12.5"/>
    <n v="50"/>
    <s v="Pago"/>
    <n v="58726"/>
    <n v="58726"/>
    <s v="Unidade Sao Jose"/>
    <n v="170498"/>
    <m/>
  </r>
  <r>
    <x v="17"/>
    <x v="0"/>
    <s v="Erick Ariel dos Santos Evangelista"/>
    <s v="Masculino"/>
    <x v="27"/>
    <x v="24"/>
    <s v="20103492 - Patol. Em Dois Ou Mais Membros (R$ 14,83)"/>
    <s v="Fisioterapia"/>
    <n v="1708059283"/>
    <s v="Finalizado (2/3)"/>
    <n v="12.4572"/>
    <n v="2.3727999999999998"/>
    <n v="14.83"/>
    <s v="Sessão Faturada"/>
    <n v="960019378522020"/>
    <n v="59549"/>
    <s v="Unidade Sao Jose"/>
    <n v="1708059283"/>
    <m/>
  </r>
  <r>
    <x v="17"/>
    <x v="53"/>
    <s v="Erick Ariel dos Santos Evangelista"/>
    <s v="Masculino"/>
    <x v="27"/>
    <x v="24"/>
    <s v="20103115 - Atividade Reflexa Cinesioterápica (R$ 20,81)"/>
    <s v="Fisioterapia"/>
    <n v="1708059434"/>
    <s v="Finalizado (2/2)"/>
    <n v="17.480399999999999"/>
    <n v="3.3296000000000001"/>
    <n v="20.81"/>
    <s v="Sessão Faturada"/>
    <n v="960019378522020"/>
    <n v="59549"/>
    <s v="Unidade Sao Jose"/>
    <n v="1708059434"/>
    <m/>
  </r>
  <r>
    <x v="17"/>
    <x v="91"/>
    <s v="Erick Ariel dos Santos Evangelista"/>
    <s v="Masculino"/>
    <x v="4"/>
    <x v="24"/>
    <s v="31602185 - Estimulação Elétrica Transcutânea - Removido 13/04/2026 (R$ 40,00)"/>
    <s v="Fisioterapia"/>
    <n v="1709131814"/>
    <s v="Finalizado (1/2)"/>
    <n v="33.6"/>
    <n v="6.4"/>
    <n v="40"/>
    <s v="Sessão Faturada"/>
    <n v="960019378522020"/>
    <n v="59549"/>
    <s v="Unidade Sao Jose"/>
    <n v="1709131814"/>
    <m/>
  </r>
  <r>
    <x v="17"/>
    <x v="2"/>
    <s v="Raimundo Marques Barreiros Junior"/>
    <s v="Masculino"/>
    <x v="8"/>
    <x v="24"/>
    <s v="20103492 - Patologia Em Dois Ou Mais Membros (R$ 14,83), 20103514 - Patologia Em Diferentes Segmentos da Coluna (R$ 14,83)"/>
    <s v="Fisioterapia"/>
    <n v="1709125136"/>
    <s v="Finalizado (1/2)"/>
    <n v="24.914400000000001"/>
    <n v="4.7455999999999996"/>
    <n v="29.66"/>
    <s v="Sessão Faturada"/>
    <n v="954290031526000"/>
    <n v="53139"/>
    <s v="Unidade Sao Jose"/>
    <n v="1709125136"/>
    <m/>
  </r>
  <r>
    <x v="17"/>
    <x v="2"/>
    <s v="Raimundo Marques Barreiros Junior"/>
    <s v="Masculino"/>
    <x v="8"/>
    <x v="24"/>
    <s v="50000144 - Consulta de Fisioterapia (R$ 51,42)"/>
    <s v="Fisioterapia"/>
    <n v="1709124852"/>
    <s v="Finalizado (1/1)"/>
    <n v="46.277999999999999"/>
    <n v="5.1420000000000003"/>
    <n v="51.42"/>
    <s v="Sessão Faturada"/>
    <n v="954290031526000"/>
    <n v="53139"/>
    <s v="Unidade Sao Jose"/>
    <n v="1709124852"/>
    <m/>
  </r>
  <r>
    <x v="17"/>
    <x v="2"/>
    <s v="Cristiane Villar de Holanda"/>
    <s v="Feminino"/>
    <x v="7"/>
    <x v="24"/>
    <s v="Sao José - 2 - Fisioterapia Ortopédica - Pacote (R$ 20,00)"/>
    <s v="Fisioterapia"/>
    <n v="170499"/>
    <s v="Finalizado (3/10)"/>
    <n v="15"/>
    <n v="5"/>
    <n v="20"/>
    <s v="Pago"/>
    <n v="41493"/>
    <n v="41493"/>
    <s v="Unidade Sao Jose"/>
    <n v="170499"/>
    <m/>
  </r>
  <r>
    <x v="17"/>
    <x v="3"/>
    <s v="Raimundo Marques Barreiros Junior"/>
    <s v="Masculino"/>
    <x v="8"/>
    <x v="24"/>
    <s v="20103115 - Atividade Reflexa Cinesioterápica (R$ 20,81)"/>
    <s v="Fisioterapia"/>
    <n v="1709125459"/>
    <s v="Finalizado (1/1)"/>
    <n v="17.480399999999999"/>
    <n v="3.3296000000000001"/>
    <n v="20.81"/>
    <s v="Sessão Faturada"/>
    <n v="954290031526000"/>
    <n v="53139"/>
    <s v="Unidade Sao Jose"/>
    <n v="1709125459"/>
    <m/>
  </r>
  <r>
    <x v="17"/>
    <x v="4"/>
    <s v="Victor Hugo Tavares Pereira"/>
    <s v="Masculino"/>
    <x v="27"/>
    <x v="24"/>
    <s v="20103662 - Pos Operatorio Em Um Membro (R$ 14,99)"/>
    <s v="Fisioterapia"/>
    <n v="1702839342"/>
    <s v="Finalizado (4/5)"/>
    <n v="12.5916"/>
    <n v="2.3984000000000001"/>
    <n v="14.99"/>
    <s v="Sessão Faturada"/>
    <n v="774642023205000"/>
    <n v="54184"/>
    <s v="Unidade Sao Jose"/>
    <n v="1702839342"/>
    <m/>
  </r>
  <r>
    <x v="17"/>
    <x v="4"/>
    <s v="Ana Cristina de Frota Palheta"/>
    <s v="Feminino"/>
    <x v="6"/>
    <x v="24"/>
    <s v="31602185 - Estimulação Elétrica Transcutanea (Tens) - 01/09/2025 (R$ 96,68)"/>
    <s v="Fisioterapia"/>
    <n v="151101"/>
    <s v="Finalizado (10/10)"/>
    <n v="81.211200000000005"/>
    <n v="15.4688"/>
    <n v="96.68"/>
    <s v="Sessão Faturada"/>
    <s v="54588888012065310011"/>
    <n v="20193"/>
    <s v="Unidade Sao Jose"/>
    <n v="151101"/>
    <m/>
  </r>
  <r>
    <x v="17"/>
    <x v="4"/>
    <s v="Celia Medeiros Correa"/>
    <s v="Feminino"/>
    <x v="7"/>
    <x v="24"/>
    <s v="Sao José - 2 - Fisioterapia Ortopédica - Pacote (R$ 20,00)"/>
    <s v="Fisioterapia"/>
    <n v="170432"/>
    <s v="Finalizado (5/10)"/>
    <n v="15"/>
    <n v="5"/>
    <n v="20"/>
    <s v="Pago"/>
    <n v="59521"/>
    <n v="59521"/>
    <s v="Unidade Sao Jose"/>
    <n v="170432"/>
    <m/>
  </r>
  <r>
    <x v="17"/>
    <x v="4"/>
    <s v="Joici Pinto de Freitas"/>
    <s v="Feminino"/>
    <x v="14"/>
    <x v="24"/>
    <s v="50000144 - Consulta de Fisioterapia (R$ 51,42)"/>
    <s v="Fisioterapia"/>
    <n v="1709133905"/>
    <s v="Finalizado (1/1)"/>
    <n v="46.277999999999999"/>
    <n v="5.1420000000000003"/>
    <n v="51.42"/>
    <s v="Sessão Faturada"/>
    <n v="954290031526020"/>
    <n v="59577"/>
    <s v="Unidade Sao Jose"/>
    <n v="1709133905"/>
    <m/>
  </r>
  <r>
    <x v="17"/>
    <x v="5"/>
    <s v="Victor Hugo Tavares Pereira"/>
    <s v="Masculino"/>
    <x v="27"/>
    <x v="24"/>
    <s v="20103115 - Atividade Reflexa Cinesioterápica (R$ 20,81)"/>
    <s v="Fisioterapia"/>
    <n v="1702839638"/>
    <s v="Finalizado (4/4)"/>
    <n v="17.480399999999999"/>
    <n v="3.3296000000000001"/>
    <n v="20.81"/>
    <s v="Sessão Faturada"/>
    <n v="774642023205000"/>
    <n v="54184"/>
    <s v="Unidade Sao Jose"/>
    <n v="1702839638"/>
    <m/>
  </r>
  <r>
    <x v="17"/>
    <x v="5"/>
    <s v="Ana Cristina de Frota Palheta"/>
    <s v="Feminino"/>
    <x v="6"/>
    <x v="24"/>
    <s v="20103476 - Patologia Neurologica (R$ 35,40)"/>
    <s v="Fisioterapia"/>
    <n v="169330"/>
    <s v="Finalizado (4/5)"/>
    <n v="29.736000000000001"/>
    <n v="5.6639999999999997"/>
    <n v="35.4"/>
    <s v="Sessão Faturada"/>
    <s v="54588888012065310011"/>
    <n v="20193"/>
    <s v="Unidade Sao Jose"/>
    <n v="169330"/>
    <m/>
  </r>
  <r>
    <x v="17"/>
    <x v="13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09158617"/>
    <s v="Finalizado (1/5)"/>
    <n v="24.914400000000001"/>
    <n v="4.7455999999999996"/>
    <n v="29.66"/>
    <s v="Sessão Faturada"/>
    <n v="954600003042000"/>
    <n v="29915"/>
    <s v="Unidade Sao Jose"/>
    <n v="1709158617"/>
    <m/>
  </r>
  <r>
    <x v="17"/>
    <x v="13"/>
    <s v="Fabiola da Silva Pinto"/>
    <s v="Feminino"/>
    <x v="7"/>
    <x v="24"/>
    <s v="Sao José - 2 - Fisioterapia Ortopédica - Pacote (R$ 20,00)"/>
    <s v="Fisioterapia"/>
    <n v="169388"/>
    <s v="Finalizado (6/10)"/>
    <n v="15"/>
    <n v="5"/>
    <n v="20"/>
    <s v="Pago"/>
    <n v="31794"/>
    <n v="31794"/>
    <s v="Unidade Sao Jose"/>
    <n v="169388"/>
    <m/>
  </r>
  <r>
    <x v="17"/>
    <x v="31"/>
    <s v="Jean da Silva Melo"/>
    <s v="Masculino"/>
    <x v="14"/>
    <x v="24"/>
    <s v="20103115 - Atividade Reflexa Cinesioterápica (R$ 20,81)"/>
    <s v="Fisioterapia"/>
    <n v="1709158979"/>
    <s v="Finalizado (1/1)"/>
    <n v="17.480399999999999"/>
    <n v="3.3296000000000001"/>
    <n v="20.81"/>
    <s v="Sessão Faturada"/>
    <n v="954600003042000"/>
    <n v="29915"/>
    <s v="Unidade Sao Jose"/>
    <n v="1709158979"/>
    <m/>
  </r>
  <r>
    <x v="17"/>
    <x v="32"/>
    <s v="Jean da Silva Melo"/>
    <s v="Masculino"/>
    <x v="14"/>
    <x v="24"/>
    <s v="20103662 - Fisioterapia - Pos Operatorio Em Um Membro (R$ 14,99)"/>
    <s v="Fisioterapia"/>
    <n v="1709222110"/>
    <s v="Finalizado (1/5)"/>
    <n v="12.5916"/>
    <n v="2.3984000000000001"/>
    <n v="14.99"/>
    <s v="Sessão Faturada"/>
    <n v="954600003042000"/>
    <n v="29915"/>
    <s v="Unidade Sao Jose"/>
    <n v="1709222110"/>
    <m/>
  </r>
  <r>
    <x v="17"/>
    <x v="6"/>
    <s v="Maria Ines Viana de Souza"/>
    <s v="Feminino"/>
    <x v="7"/>
    <x v="24"/>
    <s v="Sao José - 4 - Fisioterapia Neurológica/Respiratória - Pacote (R$ 50,00)"/>
    <s v="Fisioterapia"/>
    <n v="168404"/>
    <s v="Finalizado (9/10)"/>
    <n v="37.5"/>
    <n v="12.5"/>
    <n v="50"/>
    <s v="Pago"/>
    <n v="59105"/>
    <n v="59105"/>
    <s v="Unidade Sao Jose"/>
    <n v="168404"/>
    <m/>
  </r>
  <r>
    <x v="17"/>
    <x v="6"/>
    <s v="Joici Pinto de Freitas"/>
    <s v="Feminino"/>
    <x v="14"/>
    <x v="24"/>
    <s v="20103492 - Fisioterapia - Patologia Em Dois Ou Mais Membros (R$ 14,83), 20103514 - Fisioterapia - Patologia Em Diferentes Segmentos da Coluna (R$ 14,83)"/>
    <s v="Fisioterapia"/>
    <n v="1709201998"/>
    <s v="Finalizado (1/2)"/>
    <n v="24.914400000000001"/>
    <n v="4.7455999999999996"/>
    <n v="29.66"/>
    <s v="Sessão Faturada"/>
    <n v="954290031526020"/>
    <n v="59577"/>
    <s v="Unidade Sao Jose"/>
    <n v="1709201998"/>
    <m/>
  </r>
  <r>
    <x v="17"/>
    <x v="6"/>
    <s v="Maria de Lourdes Batista Ferreira"/>
    <s v="Feminino"/>
    <x v="7"/>
    <x v="24"/>
    <s v="Sao José - 2 - Fisioterapia Ortopédica - Pacote (R$ 20,00)"/>
    <s v="Fisioterapia"/>
    <n v="169914"/>
    <s v="Finalizado (9/10)"/>
    <n v="15"/>
    <n v="5"/>
    <n v="20"/>
    <s v="Pago"/>
    <n v="59482"/>
    <n v="59482"/>
    <s v="Unidade Sao Jose"/>
    <n v="169914"/>
    <m/>
  </r>
  <r>
    <x v="17"/>
    <x v="6"/>
    <s v="Ketlem Kamila Ribeiro dos Santos"/>
    <m/>
    <x v="27"/>
    <x v="24"/>
    <s v="20103514 - Patol. Em Diferentes Segmentos da Coluna (R$ 14,83)"/>
    <s v="Fisioterapia"/>
    <n v="1701690605"/>
    <s v="Finalizado (3/4)"/>
    <n v="12.4572"/>
    <n v="2.3727999999999998"/>
    <n v="14.83"/>
    <s v="Sessão a Faturar"/>
    <n v="881758800094000"/>
    <n v="52913"/>
    <s v="Unidade Sao Jose"/>
    <n v="1701690605"/>
    <m/>
  </r>
  <r>
    <x v="17"/>
    <x v="26"/>
    <s v="Ketlem Kamila Ribeiro dos Santos"/>
    <m/>
    <x v="27"/>
    <x v="24"/>
    <s v="20103522 - Fisioterapia - Pac Com Dependencia de Vida Diária (R$ 23,59)"/>
    <s v="Fisioterapia"/>
    <n v="1701688655"/>
    <s v="Finalizado (3/4)"/>
    <n v="19.8156"/>
    <n v="3.7744"/>
    <n v="23.59"/>
    <s v="Sessão Faturada"/>
    <n v="881758800094000"/>
    <n v="52913"/>
    <s v="Unidade Sao Jose"/>
    <n v="1701688655"/>
    <m/>
  </r>
  <r>
    <x v="17"/>
    <x v="7"/>
    <s v="Joici Pinto de Freitas"/>
    <s v="Feminino"/>
    <x v="14"/>
    <x v="24"/>
    <s v="20103115 - Atividade Reflexa Cinesioterápica (R$ 20,81)"/>
    <s v="Fisioterapia"/>
    <n v="1709202473"/>
    <s v="Finalizado (1/1)"/>
    <n v="17.480399999999999"/>
    <n v="3.3296000000000001"/>
    <n v="20.81"/>
    <s v="Sessão Faturada"/>
    <n v="954290031526020"/>
    <n v="59577"/>
    <s v="Unidade Sao Jose"/>
    <n v="1709202473"/>
    <m/>
  </r>
  <r>
    <x v="17"/>
    <x v="27"/>
    <s v="Ketlem Kamila Ribeiro dos Santos"/>
    <m/>
    <x v="27"/>
    <x v="24"/>
    <s v="20103115 - Atividade Reflexa Cinesioterápica (R$ 20,81)"/>
    <s v="Fisioterapia"/>
    <n v="1701689056"/>
    <s v="Finalizado (3/3)"/>
    <n v="17.480399999999999"/>
    <n v="3.3296000000000001"/>
    <n v="20.81"/>
    <s v="Sessão Faturada"/>
    <n v="881758800094000"/>
    <n v="52913"/>
    <s v="Unidade Sao Jose"/>
    <n v="1701689056"/>
    <m/>
  </r>
  <r>
    <x v="17"/>
    <x v="17"/>
    <s v="Maria Neide Oliveira Marques"/>
    <s v="Feminino"/>
    <x v="8"/>
    <x v="24"/>
    <s v="20103514 - Patologia Em Diferentes Segmentos da Coluna (R$ 14,83)"/>
    <s v="Fisioterapia"/>
    <n v="1709225829"/>
    <s v="Finalizado (1/5)"/>
    <n v="12.4572"/>
    <n v="2.3727999999999998"/>
    <n v="14.83"/>
    <s v="Sessão Faturada"/>
    <n v="954600008419020"/>
    <n v="52794"/>
    <s v="Unidade Sao Jose"/>
    <n v="1709225829"/>
    <m/>
  </r>
  <r>
    <x v="17"/>
    <x v="24"/>
    <s v="Maria Neide Oliveira Marques"/>
    <s v="Feminino"/>
    <x v="8"/>
    <x v="24"/>
    <s v="20103115 - Atividade Reflexa Cinesioterápica (R$ 20,81)"/>
    <s v="Fisioterapia"/>
    <n v="1709226006"/>
    <s v="Finalizado (1/1)"/>
    <n v="17.480399999999999"/>
    <n v="3.3296000000000001"/>
    <n v="20.81"/>
    <s v="Sessão Faturada"/>
    <n v="954600008419020"/>
    <n v="52794"/>
    <s v="Unidade Sao Jose"/>
    <n v="1709226006"/>
    <m/>
  </r>
  <r>
    <x v="17"/>
    <x v="25"/>
    <s v="Maria Neide Oliveira Marques"/>
    <s v="Feminino"/>
    <x v="8"/>
    <x v="24"/>
    <s v="20103522 - Fisioterapia - Pac Com Dependencia de Vida Diária (R$ 23,59)"/>
    <s v="Fisioterapia"/>
    <n v="1709226202"/>
    <s v="Finalizado (1/5)"/>
    <n v="19.8156"/>
    <n v="3.7744"/>
    <n v="23.59"/>
    <s v="Sessão Faturada"/>
    <n v="954600008419020"/>
    <n v="52794"/>
    <s v="Unidade Sao Jose"/>
    <n v="1709226202"/>
    <m/>
  </r>
  <r>
    <x v="17"/>
    <x v="8"/>
    <s v="Haila Vitoria Santos Gomes"/>
    <s v="Feminino"/>
    <x v="7"/>
    <x v="24"/>
    <s v="Sao José - 2 - Fisioterapia Ortopédica - Pacote (R$ 20,00)"/>
    <s v="Fisioterapia"/>
    <n v="169141"/>
    <s v="Finalizado (6/10)"/>
    <n v="15"/>
    <n v="5"/>
    <n v="20"/>
    <s v="Pago"/>
    <n v="59422"/>
    <n v="59422"/>
    <s v="Unidade Sao Jose"/>
    <n v="169141"/>
    <m/>
  </r>
  <r>
    <x v="17"/>
    <x v="8"/>
    <s v="Lucas Gloria da Costa"/>
    <s v="Masculino"/>
    <x v="7"/>
    <x v="24"/>
    <s v="Sao José - 2 - Fisioterapia Ortopédica - Pacote (R$ 20,00)"/>
    <s v="Fisioterapia"/>
    <n v="170074"/>
    <s v="Finalizado (3/10)"/>
    <n v="15"/>
    <n v="5"/>
    <n v="20"/>
    <s v="Pago"/>
    <n v="59490"/>
    <n v="59490"/>
    <s v="Unidade Sao Jose"/>
    <n v="170074"/>
    <m/>
  </r>
  <r>
    <x v="17"/>
    <x v="8"/>
    <s v="Elrilane Santos dos Santos"/>
    <s v="Feminino"/>
    <x v="7"/>
    <x v="24"/>
    <s v="Sao José - 2 - Fisioterapia Ortopédica - Pacote (R$ 20,00)"/>
    <s v="Fisioterapia"/>
    <n v="170078"/>
    <s v="Finalizado (7/10)"/>
    <n v="15"/>
    <n v="5"/>
    <n v="20"/>
    <s v="Pago"/>
    <n v="59492"/>
    <n v="59492"/>
    <s v="Unidade Sao Jose"/>
    <n v="170078"/>
    <m/>
  </r>
  <r>
    <x v="18"/>
    <x v="44"/>
    <s v="Marta Marcione Bentes Albuquerque"/>
    <s v="Feminino"/>
    <x v="8"/>
    <x v="24"/>
    <s v="20103115 - Atividade Reflexa Cinesioterápica (R$ 20,81)"/>
    <s v="Fisioterapia"/>
    <n v="1704613878"/>
    <s v="Finalizado (3/3)"/>
    <n v="17.480399999999999"/>
    <n v="3.3296000000000001"/>
    <n v="20.81"/>
    <s v="Sessão Faturada"/>
    <n v="954600004960000"/>
    <n v="40103"/>
    <s v="Unidade Sao Jose"/>
    <n v="1704613878"/>
    <m/>
  </r>
  <r>
    <x v="18"/>
    <x v="44"/>
    <s v="Custodia Herminia de Sousa Filha"/>
    <s v="Feminino"/>
    <x v="7"/>
    <x v="24"/>
    <s v="Sao José - 2 - Fisioterapia Ortopédica - Pacote (R$ 20,00)"/>
    <s v="Fisioterapia"/>
    <n v="170248"/>
    <s v="Finalizado (5/10)"/>
    <n v="15"/>
    <n v="5"/>
    <n v="20"/>
    <s v="Pago"/>
    <n v="58051"/>
    <n v="58051"/>
    <s v="Unidade Sao Jose"/>
    <n v="170248"/>
    <m/>
  </r>
  <r>
    <x v="18"/>
    <x v="73"/>
    <s v="Marta Marcione Bentes Albuquerque"/>
    <s v="Feminino"/>
    <x v="8"/>
    <x v="24"/>
    <s v="20103492 - Patologia Em Dois Ou Mais Membros (R$ 14,83), 20103514 - Patologia Em Diferentes Segmentos da Coluna (R$ 14,83)"/>
    <s v="Fisioterapia"/>
    <n v="1704614483"/>
    <s v="Finalizado (3/5)"/>
    <n v="24.914400000000001"/>
    <n v="4.7455999999999996"/>
    <n v="29.66"/>
    <s v="Sessão Faturada"/>
    <n v="954600004960000"/>
    <n v="40103"/>
    <s v="Unidade Sao Jose"/>
    <n v="1704614483"/>
    <m/>
  </r>
  <r>
    <x v="18"/>
    <x v="74"/>
    <s v="Marta Marcione Bentes Albuquerque"/>
    <s v="Feminino"/>
    <x v="8"/>
    <x v="24"/>
    <s v="20103670 - Pos Operatorio Em Dois Ou Mais Membros (R$ 19,30)"/>
    <s v="Fisioterapia"/>
    <n v="1704615184"/>
    <s v="Finalizado (3/5)"/>
    <n v="16.212"/>
    <n v="3.0880000000000001"/>
    <n v="19.3"/>
    <s v="Sessão Faturada"/>
    <n v="954600004960000"/>
    <n v="40103"/>
    <s v="Unidade Sao Jose"/>
    <n v="1704615184"/>
    <m/>
  </r>
  <r>
    <x v="18"/>
    <x v="41"/>
    <s v="Sheila Miranda de Brito"/>
    <s v="Feminino"/>
    <x v="8"/>
    <x v="24"/>
    <s v="20103662 - Pos Operatorio Em Um Membro (R$ 14,99)"/>
    <s v="Fisioterapia"/>
    <n v="1703790210"/>
    <s v="Finalizado (3/5)"/>
    <n v="12.5916"/>
    <n v="2.3984000000000001"/>
    <n v="14.99"/>
    <s v="Sessão Faturada"/>
    <n v="954440000590010"/>
    <n v="46121"/>
    <s v="Unidade Sao Jose"/>
    <n v="1703790210"/>
    <m/>
  </r>
  <r>
    <x v="18"/>
    <x v="41"/>
    <s v="Ana Cristina Soares dos Santos Nunes"/>
    <s v="Feminino"/>
    <x v="6"/>
    <x v="24"/>
    <s v="20103492 - Patologia Em Dois Ou Mais Membros (R$ 30,26), 20103514 - Patologia Em Dois Ou Mais Segmentos da Coluna (R$ 32,82)"/>
    <s v="Fisioterapia"/>
    <n v="168709"/>
    <s v="Finalizado (4/5)"/>
    <n v="52.987200000000001"/>
    <n v="10.0928"/>
    <n v="63.08"/>
    <s v="Sessão Faturada"/>
    <s v="56788888483384430019"/>
    <n v="46812"/>
    <s v="Unidade Sao Jose"/>
    <n v="168709"/>
    <m/>
  </r>
  <r>
    <x v="18"/>
    <x v="41"/>
    <s v="Juvencia Rosa de Melo"/>
    <s v="Feminino"/>
    <x v="7"/>
    <x v="24"/>
    <s v="Sao José - 3 - Fisioterapia Neurológica/Respiratória - Sessão (R$ 60,00)"/>
    <s v="Fisioterapia"/>
    <n v="170922"/>
    <s v="Finalizado (1/1)"/>
    <n v="45"/>
    <n v="15"/>
    <n v="60"/>
    <s v="Pago"/>
    <n v="59574"/>
    <n v="59574"/>
    <s v="Unidade Sao Jose"/>
    <n v="170922"/>
    <m/>
  </r>
  <r>
    <x v="18"/>
    <x v="65"/>
    <s v="Sheila Miranda de Brito"/>
    <s v="Feminino"/>
    <x v="8"/>
    <x v="24"/>
    <s v="20103115 - Atividade Reflexa Cinesioterápica (R$ 20,81)"/>
    <s v="Fisioterapia"/>
    <n v="1703790008"/>
    <s v="Finalizado (3/3)"/>
    <n v="17.480399999999999"/>
    <n v="3.3296000000000001"/>
    <n v="20.81"/>
    <s v="Sessão Faturada"/>
    <n v="954440000590010"/>
    <n v="46121"/>
    <s v="Unidade Sao Jose"/>
    <n v="1703790008"/>
    <m/>
  </r>
  <r>
    <x v="18"/>
    <x v="65"/>
    <s v="Ana Cristina Soares dos Santos Nunes"/>
    <s v="Feminino"/>
    <x v="6"/>
    <x v="24"/>
    <s v="31602185 - Estimulação Elétrica Transcutanea (Tens) (R$ 40,00)"/>
    <s v="Fisioterapia"/>
    <n v="168999"/>
    <s v="Finalizado (2/5)"/>
    <n v="33.6"/>
    <n v="6.4"/>
    <n v="40"/>
    <s v="Sessão Faturada"/>
    <s v="56788888483384430019"/>
    <n v="46812"/>
    <s v="Unidade Sao Jose"/>
    <n v="168999"/>
    <m/>
  </r>
  <r>
    <x v="18"/>
    <x v="36"/>
    <s v="Misleia Fernandes Mendes"/>
    <s v="Feminino"/>
    <x v="27"/>
    <x v="24"/>
    <s v="20103492 - Patol. Em Dois Ou Mais Membros (R$ 14,83), 20103514 - Patol. Em Diferentes Segmentos da Coluna (R$ 14,83)"/>
    <s v="Fisioterapia"/>
    <n v="1709494542"/>
    <s v="Finalizado (1/5)"/>
    <n v="24.914400000000001"/>
    <n v="4.7455999999999996"/>
    <n v="29.66"/>
    <s v="Sessão Faturada"/>
    <n v="770179020664010"/>
    <n v="44824"/>
    <s v="Unidade Sao Jose"/>
    <n v="1709494542"/>
    <m/>
  </r>
  <r>
    <x v="18"/>
    <x v="36"/>
    <s v="Joycilene da Silva Carvalho"/>
    <s v="Feminino"/>
    <x v="7"/>
    <x v="24"/>
    <s v="Sao José - 2 - Fisioterapia Ortopédica - Pacote (R$ 20,00)"/>
    <s v="Fisioterapia"/>
    <n v="170324"/>
    <s v="Finalizado (4/10)"/>
    <n v="15"/>
    <n v="5"/>
    <n v="20"/>
    <s v="Pago"/>
    <n v="54386"/>
    <n v="54386"/>
    <s v="Unidade Sao Jose"/>
    <n v="170324"/>
    <m/>
  </r>
  <r>
    <x v="18"/>
    <x v="36"/>
    <s v="Manuela Soares de Freitas Mendonca"/>
    <s v="Feminino"/>
    <x v="8"/>
    <x v="24"/>
    <s v="20103115 - Atividade Reflexa Cinesioterápica (R$ 20,81)"/>
    <s v="Fisioterapia"/>
    <n v="1706715509"/>
    <s v="Finalizado (4/4)"/>
    <n v="17.480399999999999"/>
    <n v="3.3296000000000001"/>
    <n v="20.81"/>
    <s v="Sessão Faturada"/>
    <n v="954600000256030"/>
    <n v="53656"/>
    <s v="Unidade Sao Jose"/>
    <n v="1706715509"/>
    <m/>
  </r>
  <r>
    <x v="18"/>
    <x v="36"/>
    <s v="Simone Soares Franco"/>
    <s v="Feminino"/>
    <x v="8"/>
    <x v="24"/>
    <s v="20103115 - Atividade Reflexa Cinesioterápica (R$ 20,81)"/>
    <s v="Fisioterapia"/>
    <n v="1706706813"/>
    <s v="Finalizado (4/4)"/>
    <n v="17.480399999999999"/>
    <n v="3.3296000000000001"/>
    <n v="20.81"/>
    <s v="Sessão Faturada"/>
    <n v="954600000256000"/>
    <n v="24181"/>
    <s v="Unidade Sao Jose"/>
    <n v="1706706813"/>
    <m/>
  </r>
  <r>
    <x v="18"/>
    <x v="36"/>
    <s v="Josiane de Sousa Santos"/>
    <s v="Feminino"/>
    <x v="8"/>
    <x v="24"/>
    <s v="20103115 - Atividade Reflexa Cinesioterápica (R$ 20,81)"/>
    <s v="Fisioterapia"/>
    <n v="1708955497"/>
    <s v="Finalizado (2/2)"/>
    <n v="17.480399999999999"/>
    <n v="3.3296000000000001"/>
    <n v="20.81"/>
    <s v="Sessão Faturada"/>
    <n v="954600005274010"/>
    <n v="23225"/>
    <s v="Unidade Sao Jose"/>
    <n v="1708955497"/>
    <m/>
  </r>
  <r>
    <x v="18"/>
    <x v="57"/>
    <s v="Misleia Fernandes Mendes"/>
    <s v="Feminino"/>
    <x v="27"/>
    <x v="24"/>
    <s v="20103522 - Fisioterapia - Pac Com Dependencia de Vida Diária (R$ 23,59)"/>
    <s v="Fisioterapia"/>
    <n v="1709495498"/>
    <s v="Finalizado (1/5)"/>
    <n v="19.8156"/>
    <n v="3.7744"/>
    <n v="23.59"/>
    <s v="Sessão Faturada"/>
    <n v="770179020664010"/>
    <n v="44824"/>
    <s v="Unidade Sao Jose"/>
    <n v="1709495498"/>
    <m/>
  </r>
  <r>
    <x v="18"/>
    <x v="57"/>
    <s v="Simone Soares Franco"/>
    <s v="Feminino"/>
    <x v="8"/>
    <x v="24"/>
    <s v="20103522 - Fisioterapia - Pac Com Dependencia de Vida Diária (R$ 23,59)"/>
    <s v="Fisioterapia"/>
    <n v="1706703596"/>
    <s v="Finalizado (4/5)"/>
    <n v="19.8156"/>
    <n v="3.7744"/>
    <n v="23.59"/>
    <s v="Sessão Faturada"/>
    <n v="954600000256000"/>
    <n v="24181"/>
    <s v="Unidade Sao Jose"/>
    <n v="1706703596"/>
    <m/>
  </r>
  <r>
    <x v="18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06715129"/>
    <s v="Finalizado (4/5)"/>
    <n v="22.722000000000001"/>
    <n v="4.3280000000000003"/>
    <n v="27.05"/>
    <s v="Sessão Faturada"/>
    <n v="954600000256030"/>
    <n v="53656"/>
    <s v="Unidade Sao Jose"/>
    <n v="1706715129"/>
    <m/>
  </r>
  <r>
    <x v="18"/>
    <x v="61"/>
    <s v="Josiane de Sousa Santos"/>
    <s v="Feminino"/>
    <x v="8"/>
    <x v="24"/>
    <s v="20103492 - Patologia Em Dois Ou Mais Membros (R$ 14,83), 20103514 - Patologia Em Diferentes Segmentos da Coluna (R$ 14,83)"/>
    <s v="Fisioterapia"/>
    <n v="1708954638"/>
    <s v="Finalizado (2/5)"/>
    <n v="24.914400000000001"/>
    <n v="4.7455999999999996"/>
    <n v="29.66"/>
    <s v="Sessão Faturada"/>
    <n v="954600005274010"/>
    <n v="23225"/>
    <s v="Unidade Sao Jose"/>
    <n v="1708954638"/>
    <m/>
  </r>
  <r>
    <x v="18"/>
    <x v="67"/>
    <s v="Simone Soares Franco"/>
    <s v="Feminino"/>
    <x v="8"/>
    <x v="24"/>
    <s v="20103492 - Patologia Em Dois Ou Mais Membros (R$ 14,83)"/>
    <s v="Fisioterapia"/>
    <n v="1706706350"/>
    <s v="Finalizado (4/5)"/>
    <n v="12.4572"/>
    <n v="2.3727999999999998"/>
    <n v="14.83"/>
    <s v="Sessão Faturada"/>
    <n v="954600000256000"/>
    <n v="24181"/>
    <s v="Unidade Sao Jose"/>
    <n v="1706706350"/>
    <m/>
  </r>
  <r>
    <x v="18"/>
    <x v="67"/>
    <s v="Misleia Fernandes Mendes"/>
    <s v="Feminino"/>
    <x v="27"/>
    <x v="24"/>
    <s v="20103115 - Atividade Reflexa Cinesioterápica (R$ 20,81)"/>
    <s v="Fisioterapia"/>
    <n v="1709493760"/>
    <s v="Finalizado (1/1)"/>
    <n v="17.480399999999999"/>
    <n v="3.3296000000000001"/>
    <n v="20.81"/>
    <s v="Sessão Faturada"/>
    <n v="770179020664010"/>
    <n v="44824"/>
    <s v="Unidade Sao Jose"/>
    <n v="1709493760"/>
    <m/>
  </r>
  <r>
    <x v="18"/>
    <x v="40"/>
    <s v="Ednelia de Castro Moreira"/>
    <s v="Feminino"/>
    <x v="2"/>
    <x v="24"/>
    <s v="20103115 - Atividade Reflexa Cinesioterápica (R$ 20,81)"/>
    <s v="Fisioterapia"/>
    <n v="1707254321"/>
    <s v="Finalizado (2/2)"/>
    <n v="17.480399999999999"/>
    <n v="3.3296000000000001"/>
    <n v="20.81"/>
    <s v="Sessão Faturada"/>
    <n v="771015041548020"/>
    <n v="58471"/>
    <s v="Unidade Sao Jose"/>
    <n v="1707254321"/>
    <m/>
  </r>
  <r>
    <x v="18"/>
    <x v="40"/>
    <s v="Inoru Uchigasaki"/>
    <s v="Masculino"/>
    <x v="7"/>
    <x v="24"/>
    <s v="Sao José - 4 - Fisioterapia Neurológica/Respiratória - Pacote (R$ 50,00)"/>
    <s v="Fisioterapia"/>
    <n v="169780"/>
    <s v="Finalizado (4/10)"/>
    <n v="37.5"/>
    <n v="12.5"/>
    <n v="50"/>
    <s v="Pago"/>
    <n v="59468"/>
    <n v="59468"/>
    <s v="Unidade Sao Jose"/>
    <n v="169780"/>
    <m/>
  </r>
  <r>
    <x v="18"/>
    <x v="40"/>
    <s v="Dilson Pereira Dourado"/>
    <m/>
    <x v="27"/>
    <x v="24"/>
    <s v="20103115 - Atividade Reflexa Cinesioterápica (R$ 20,81)"/>
    <s v="Fisioterapia"/>
    <n v="1708808801"/>
    <s v="Finalizado (2/2)"/>
    <n v="17.480399999999999"/>
    <n v="3.3296000000000001"/>
    <n v="20.81"/>
    <s v="Sessão Faturada"/>
    <n v="898081400019000"/>
    <n v="54845"/>
    <s v="Unidade Sao Jose"/>
    <n v="1708808801"/>
    <m/>
  </r>
  <r>
    <x v="18"/>
    <x v="40"/>
    <s v="Celia Medeiros Correa"/>
    <s v="Feminino"/>
    <x v="7"/>
    <x v="24"/>
    <s v="Sao José - 2 - Fisioterapia Ortopédica - Pacote (R$ 20,00)"/>
    <s v="Fisioterapia"/>
    <n v="170432"/>
    <s v="Finalizado (6/10)"/>
    <n v="15"/>
    <n v="5"/>
    <n v="20"/>
    <s v="Pago"/>
    <n v="59521"/>
    <n v="59521"/>
    <s v="Unidade Sao Jose"/>
    <n v="170432"/>
    <m/>
  </r>
  <r>
    <x v="18"/>
    <x v="40"/>
    <s v="Francisca Zuleide de Oliveira Araujo"/>
    <s v="Feminino"/>
    <x v="7"/>
    <x v="24"/>
    <s v="Sao José - 2 - Fisioterapia Ortopédica - Pacote (R$ 20,00)"/>
    <s v="Fisioterapia"/>
    <n v="170621"/>
    <s v="Finalizado (4/10)"/>
    <n v="15"/>
    <n v="5"/>
    <n v="20"/>
    <s v="Pago"/>
    <n v="59540"/>
    <n v="59540"/>
    <s v="Unidade Sao Jose"/>
    <n v="170621"/>
    <m/>
  </r>
  <r>
    <x v="18"/>
    <x v="45"/>
    <s v="Ednelia de Castro Moreira"/>
    <s v="Feminino"/>
    <x v="2"/>
    <x v="24"/>
    <s v="20103662 - Fisioterapia - Pos Operatorio Em Um Membro (R$ 14,99)"/>
    <s v="Fisioterapia"/>
    <n v="1707253872"/>
    <s v="Finalizado (2/5)"/>
    <n v="12.5916"/>
    <n v="2.3984000000000001"/>
    <n v="14.99"/>
    <s v="Sessão Faturada"/>
    <n v="771015041548020"/>
    <n v="58471"/>
    <s v="Unidade Sao Jose"/>
    <n v="1707253872"/>
    <m/>
  </r>
  <r>
    <x v="18"/>
    <x v="45"/>
    <s v="Dilson Pereira Dourado"/>
    <m/>
    <x v="27"/>
    <x v="24"/>
    <s v="20103492 - Patol. Em Dois Ou Mais Membros (R$ 14,83), 20103514 - Patol. Em Diferentes Segmentos da Coluna (R$ 14,83)"/>
    <s v="Fisioterapia"/>
    <n v="1708808219"/>
    <s v="Finalizado (2/5)"/>
    <n v="24.914400000000001"/>
    <n v="4.7455999999999996"/>
    <n v="29.66"/>
    <s v="Sessão a Faturar"/>
    <n v="898081400019000"/>
    <n v="54845"/>
    <s v="Unidade Sao Jose"/>
    <n v="1708808219"/>
    <m/>
  </r>
  <r>
    <x v="18"/>
    <x v="35"/>
    <s v="Luciana Mendoça Martins"/>
    <s v="Feminino"/>
    <x v="7"/>
    <x v="24"/>
    <s v="Sao José - 2 - Fisioterapia Ortopédica - Pacote (R$ 20,00)"/>
    <s v="Fisioterapia"/>
    <n v="171007"/>
    <s v="Finalizado (2/10)"/>
    <n v="15"/>
    <n v="5"/>
    <n v="20"/>
    <s v="Pago"/>
    <n v="59582"/>
    <n v="59582"/>
    <s v="Unidade Sao Jose"/>
    <n v="171007"/>
    <m/>
  </r>
  <r>
    <x v="18"/>
    <x v="37"/>
    <s v="Elisangela de Araujo Souza"/>
    <s v="Feminino"/>
    <x v="8"/>
    <x v="24"/>
    <s v="20103484 - Patologia Em Um Membro (R$ 12,22)"/>
    <s v="Fisioterapia"/>
    <n v="1707290569"/>
    <s v="Finalizado (2/5)"/>
    <n v="10.264799999999999"/>
    <n v="1.9552"/>
    <n v="12.22"/>
    <s v="Sessão Faturada"/>
    <n v="954600000884010"/>
    <n v="26307"/>
    <s v="Unidade Sao Jose"/>
    <n v="1707290569"/>
    <m/>
  </r>
  <r>
    <x v="18"/>
    <x v="37"/>
    <s v="Taynara Souza da Costa"/>
    <s v="Feminino"/>
    <x v="27"/>
    <x v="24"/>
    <s v="50000144 - Avaliação de Fisioterapia (R$ 51,42)"/>
    <s v="Fisioterapia"/>
    <n v="1709606706"/>
    <s v="Finalizado (1/1)"/>
    <n v="46.277999999999999"/>
    <n v="5.1420000000000003"/>
    <n v="51.42"/>
    <s v="Sessão Faturada"/>
    <n v="773626012580000"/>
    <n v="58767"/>
    <s v="Unidade Sao Jose"/>
    <n v="1709606706"/>
    <m/>
  </r>
  <r>
    <x v="18"/>
    <x v="39"/>
    <s v="Taynara Souza da Costa"/>
    <s v="Feminino"/>
    <x v="27"/>
    <x v="24"/>
    <s v="20103492 - Patol. Em Dois Ou Mais Membros (R$ 14,83), 20103514 - Patol. Em Diferentes Segmentos da Coluna (R$ 14,83)"/>
    <s v="Fisioterapia"/>
    <n v="1709633725"/>
    <s v="Finalizado (1/1)"/>
    <n v="24.914400000000001"/>
    <n v="4.7455999999999996"/>
    <n v="29.66"/>
    <s v="Sessão Faturada"/>
    <n v="773626012580000"/>
    <n v="58767"/>
    <s v="Unidade Sao Jose"/>
    <n v="1709633725"/>
    <m/>
  </r>
  <r>
    <x v="18"/>
    <x v="22"/>
    <s v="Maria Francisca da Silva Carvalho"/>
    <s v="Feminino"/>
    <x v="7"/>
    <x v="24"/>
    <s v="Sao José - 4 - Fisioterapia Neurológica/Respiratória - Pacote (R$ 50,00)"/>
    <s v="Fisioterapia"/>
    <n v="170498"/>
    <s v="Finalizado (3/5)"/>
    <n v="37.5"/>
    <n v="12.5"/>
    <n v="50"/>
    <s v="Pago"/>
    <n v="58726"/>
    <n v="58726"/>
    <s v="Unidade Sao Jose"/>
    <n v="170498"/>
    <m/>
  </r>
  <r>
    <x v="18"/>
    <x v="0"/>
    <s v="Glívena Souza Félix"/>
    <s v="Feminino"/>
    <x v="7"/>
    <x v="24"/>
    <s v="Sao José - 4 - Fisioterapia Neurológica/Respiratória - Pacote (R$ 50,00)"/>
    <s v="Fisioterapia"/>
    <n v="170807"/>
    <s v="Finalizado (2/10)"/>
    <n v="37.5"/>
    <n v="12.5"/>
    <n v="50"/>
    <s v="Pago"/>
    <n v="57339"/>
    <n v="57339"/>
    <s v="Unidade Sao Jose"/>
    <n v="170807"/>
    <m/>
  </r>
  <r>
    <x v="18"/>
    <x v="0"/>
    <s v="Rosangela Rodrigues Sabino"/>
    <s v="Feminino"/>
    <x v="7"/>
    <x v="24"/>
    <s v="Sao José - 2 - Fisioterapia Ortopédica - Pacote (R$ 20,00)"/>
    <s v="Fisioterapia"/>
    <n v="171193"/>
    <s v="Finalizado (1/10)"/>
    <n v="15"/>
    <n v="5"/>
    <n v="20"/>
    <s v="Pago"/>
    <n v="59595"/>
    <n v="59595"/>
    <s v="Unidade Sao Jose"/>
    <n v="171193"/>
    <m/>
  </r>
  <r>
    <x v="18"/>
    <x v="2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9760665"/>
    <s v="Finalizado (1/5)"/>
    <n v="24.914400000000001"/>
    <n v="4.7455999999999996"/>
    <n v="29.66"/>
    <s v="Sessão Faturada"/>
    <n v="843486100370000"/>
    <n v="49710"/>
    <s v="Unidade Sao Jose"/>
    <n v="1709760665"/>
    <m/>
  </r>
  <r>
    <x v="18"/>
    <x v="4"/>
    <s v="Maria da Conceição Bandeira de Oliveira"/>
    <s v="Feminino"/>
    <x v="7"/>
    <x v="24"/>
    <s v="Sao José - 2 - Fisioterapia Ortopédica - Pacote (R$ 20,00)"/>
    <s v="Fisioterapia"/>
    <n v="170977"/>
    <s v="Finalizado (1/10)"/>
    <n v="15"/>
    <n v="5"/>
    <n v="20"/>
    <s v="Pago"/>
    <n v="59578"/>
    <n v="59578"/>
    <s v="Unidade Sao Jose"/>
    <n v="170977"/>
    <m/>
  </r>
  <r>
    <x v="18"/>
    <x v="6"/>
    <s v="Maria Ines Viana de Souza"/>
    <s v="Feminino"/>
    <x v="7"/>
    <x v="24"/>
    <s v="Sao José - 4 - Fisioterapia Neurológica/Respiratória - Pacote (R$ 50,00)"/>
    <s v="Fisioterapia"/>
    <n v="168404"/>
    <s v="Finalizado (10/10)"/>
    <n v="37.5"/>
    <n v="12.5"/>
    <n v="50"/>
    <s v="Pago"/>
    <n v="59105"/>
    <n v="59105"/>
    <s v="Unidade Sao Jose"/>
    <n v="168404"/>
    <m/>
  </r>
  <r>
    <x v="18"/>
    <x v="6"/>
    <s v="Fernanda Neves Sabugosa"/>
    <s v="Feminino"/>
    <x v="27"/>
    <x v="24"/>
    <s v="20103492 - Patol. Em Dois Ou Mais Membros (R$ 14,83), 20103514 - Patol. Em Diferentes Segmentos da Coluna (R$ 14,83)"/>
    <s v="Fisioterapia"/>
    <n v="1702938125"/>
    <s v="Finalizado (5/5)"/>
    <n v="24.914400000000001"/>
    <n v="4.7455999999999996"/>
    <n v="29.66"/>
    <s v="Sessão Faturada"/>
    <n v="771015043370010"/>
    <n v="38199"/>
    <s v="Unidade Sao Jose"/>
    <n v="1702938125"/>
    <m/>
  </r>
  <r>
    <x v="18"/>
    <x v="15"/>
    <s v="Maria de Lourdes Batista Ferreira"/>
    <s v="Feminino"/>
    <x v="7"/>
    <x v="24"/>
    <s v="Sao José - 2 - Fisioterapia Ortopédica - Pacote (R$ 20,00)"/>
    <s v="Fisioterapia"/>
    <n v="169914"/>
    <s v="Finalizado (10/10)"/>
    <n v="15"/>
    <n v="5"/>
    <n v="20"/>
    <s v="Pago"/>
    <n v="59482"/>
    <n v="59482"/>
    <s v="Unidade Sao Jose"/>
    <n v="169914"/>
    <m/>
  </r>
  <r>
    <x v="18"/>
    <x v="8"/>
    <s v="Ana Cleude Pantoja da Silva"/>
    <s v="Feminino"/>
    <x v="8"/>
    <x v="24"/>
    <s v="20103492 - Patologia Em Dois Ou Mais Membros (R$ 14,83), 20103514 - Patologia Em Diferentes Segmentos da Coluna (R$ 14,83)"/>
    <s v="Fisioterapia"/>
    <n v="1704905703"/>
    <s v="Finalizado (4/5)"/>
    <n v="24.914400000000001"/>
    <n v="4.7455999999999996"/>
    <n v="29.66"/>
    <s v="Sessão Faturada"/>
    <n v="954600008567000"/>
    <n v="23678"/>
    <s v="Unidade Sao Jose"/>
    <n v="1704905703"/>
    <m/>
  </r>
  <r>
    <x v="18"/>
    <x v="10"/>
    <s v="Joici Pinto de Freitas"/>
    <s v="Feminino"/>
    <x v="9"/>
    <x v="24"/>
    <s v="31602185 - Estimulação Elétrica Transcutânea (Tens) - Removido 13/04/2026 (R$ 40,00)"/>
    <s v="Fisioterapia"/>
    <n v="1709859490"/>
    <s v="Finalizado (1/1)"/>
    <n v="33.6"/>
    <n v="6.4"/>
    <n v="40"/>
    <s v="Sessão Faturada"/>
    <n v="954290031526020"/>
    <n v="59577"/>
    <s v="Unidade Sao Jose"/>
    <n v="1709859490"/>
    <m/>
  </r>
  <r>
    <x v="18"/>
    <x v="10"/>
    <s v="Alessandro da Silva Vieira"/>
    <s v="Masculino"/>
    <x v="8"/>
    <x v="24"/>
    <s v="20103662 - Pos Operatorio Em Um Membro (R$ 14,99)"/>
    <s v="Fisioterapia"/>
    <n v="1709861239"/>
    <s v="Finalizado (1/5)"/>
    <n v="12.5916"/>
    <n v="2.3984000000000001"/>
    <n v="14.99"/>
    <s v="Sessão Faturada"/>
    <n v="954600024350000"/>
    <n v="57332"/>
    <s v="Unidade Sao Jose"/>
    <n v="1709861239"/>
    <m/>
  </r>
  <r>
    <x v="18"/>
    <x v="10"/>
    <s v="Raimundo Marques Barreiros Junior"/>
    <s v="Masculino"/>
    <x v="8"/>
    <x v="24"/>
    <s v="20103492 - Patologia Em Dois Ou Mais Membros (R$ 14,83), 20103514 - Patologia Em Diferentes Segmentos da Coluna (R$ 14,83)"/>
    <s v="Fisioterapia"/>
    <n v="1709125136"/>
    <s v="Finalizado (2/2)"/>
    <n v="24.914400000000001"/>
    <n v="4.7455999999999996"/>
    <n v="29.66"/>
    <s v="Sessão Faturada"/>
    <n v="954290031526000"/>
    <n v="53139"/>
    <s v="Unidade Sao Jose"/>
    <n v="1709125136"/>
    <m/>
  </r>
  <r>
    <x v="18"/>
    <x v="10"/>
    <s v="Carlos Victor Lopes de Souza"/>
    <s v="Masculino"/>
    <x v="7"/>
    <x v="24"/>
    <s v="Sao José - 4 - Fisioterapia Neurológica/Respiratória - Pacote (R$ 50,00)"/>
    <s v="Fisioterapia"/>
    <n v="170555"/>
    <s v="Finalizado (3/10)"/>
    <n v="37.5"/>
    <n v="12.5"/>
    <n v="50"/>
    <s v="Pago"/>
    <n v="56621"/>
    <n v="56621"/>
    <s v="Unidade Sao Jose"/>
    <n v="170555"/>
    <m/>
  </r>
  <r>
    <x v="18"/>
    <x v="11"/>
    <s v="Joici Pinto de Freitas"/>
    <s v="Feminino"/>
    <x v="14"/>
    <x v="24"/>
    <s v="20103492 - Fisioterapia - Patologia Em Dois Ou Mais Membros (R$ 14,83), 20103514 - Fisioterapia - Patologia Em Diferentes Segmentos da Coluna (R$ 14,83)"/>
    <s v="Fisioterapia"/>
    <n v="1709201998"/>
    <s v="Finalizado (2/2)"/>
    <n v="24.914400000000001"/>
    <n v="4.7455999999999996"/>
    <n v="29.66"/>
    <s v="Sessão Faturada"/>
    <n v="954290031526020"/>
    <n v="59577"/>
    <s v="Unidade Sao Jose"/>
    <n v="1709201998"/>
    <m/>
  </r>
  <r>
    <x v="18"/>
    <x v="11"/>
    <s v="Raimundo Marques Barreiros Junior"/>
    <s v="Masculino"/>
    <x v="9"/>
    <x v="24"/>
    <s v="31602185 - Estimulação Elétrica Transcutânea (Tens) - Removido 13/04/2026 (R$ 40,00)"/>
    <s v="Fisioterapia"/>
    <n v="1709877368"/>
    <s v="Finalizado (1/1)"/>
    <n v="33.6"/>
    <n v="6.4"/>
    <n v="40"/>
    <s v="Sessão Faturada"/>
    <n v="954290031526000"/>
    <n v="53139"/>
    <s v="Unidade Sao Jose"/>
    <n v="1709877368"/>
    <m/>
  </r>
  <r>
    <x v="22"/>
    <x v="44"/>
    <s v="Custodia Herminia de Sousa Filha"/>
    <s v="Feminino"/>
    <x v="7"/>
    <x v="24"/>
    <s v="Sao José - 2 - Fisioterapia Ortopédica - Pacote (R$ 20,00)"/>
    <s v="Fisioterapia"/>
    <n v="170248"/>
    <s v="Finalizado (6/10)"/>
    <n v="15"/>
    <n v="5"/>
    <n v="20"/>
    <s v="Pago"/>
    <n v="58051"/>
    <n v="58051"/>
    <s v="Unidade Sao Jose"/>
    <n v="170248"/>
    <m/>
  </r>
  <r>
    <x v="22"/>
    <x v="44"/>
    <s v="Josiane de Sousa Santos"/>
    <s v="Feminino"/>
    <x v="8"/>
    <x v="24"/>
    <s v="20103492 - Patologia Em Dois Ou Mais Membros (R$ 14,83), 20103514 - Patologia Em Diferentes Segmentos da Coluna (R$ 14,83)"/>
    <s v="Fisioterapia"/>
    <n v="1708954638"/>
    <s v="Finalizado (3/5)"/>
    <n v="24.914400000000001"/>
    <n v="4.7455999999999996"/>
    <n v="29.66"/>
    <s v="Sessão Faturada"/>
    <n v="954600005274010"/>
    <n v="23225"/>
    <s v="Unidade Sao Jose"/>
    <n v="1708954638"/>
    <m/>
  </r>
  <r>
    <x v="22"/>
    <x v="44"/>
    <s v="Ana Clara Santos Maia"/>
    <s v="Feminino"/>
    <x v="7"/>
    <x v="24"/>
    <s v="Sao José - 2 - Fisioterapia Ortopédica - Pacote (R$ 20,00)"/>
    <s v="Fisioterapia"/>
    <n v="169276"/>
    <s v="Finalizado (8/10)"/>
    <n v="15"/>
    <n v="5"/>
    <n v="20"/>
    <s v="Pago"/>
    <n v="59190"/>
    <n v="59190"/>
    <s v="Unidade Sao Jose"/>
    <n v="169276"/>
    <m/>
  </r>
  <r>
    <x v="22"/>
    <x v="44"/>
    <s v="Kyssia Roberta Sena Batista de Souza"/>
    <s v="Feminino"/>
    <x v="8"/>
    <x v="24"/>
    <s v="20103662 - Pos Operatorio Em Um Membro (R$ 14,99)"/>
    <s v="Fisioterapia"/>
    <n v="1706660545"/>
    <s v="Finalizado (5/5)"/>
    <n v="12.5916"/>
    <n v="2.3984000000000001"/>
    <n v="14.99"/>
    <s v="Sessão Faturada"/>
    <n v="954600002461000"/>
    <n v="58661"/>
    <s v="Unidade Sao Jose"/>
    <n v="1706660545"/>
    <m/>
  </r>
  <r>
    <x v="22"/>
    <x v="41"/>
    <s v="Maria do Carmo Marinho"/>
    <s v="Feminino"/>
    <x v="7"/>
    <x v="24"/>
    <s v="Sao José - 2 - Fisioterapia Ortopédica - Pacote (R$ 20,00)"/>
    <s v="Fisioterapia"/>
    <n v="169944"/>
    <s v="Finalizado (5/10)"/>
    <n v="15"/>
    <n v="5"/>
    <n v="20"/>
    <s v="Pago"/>
    <n v="59484"/>
    <n v="59484"/>
    <s v="Unidade Sao Jose"/>
    <n v="169944"/>
    <m/>
  </r>
  <r>
    <x v="22"/>
    <x v="41"/>
    <s v="Ketlem Kamila Ribeiro dos Santos"/>
    <m/>
    <x v="27"/>
    <x v="24"/>
    <s v="20103522 - Fisioterapia - Pac Com Dependencia de Vida Diária (R$ 23,59)"/>
    <s v="Fisioterapia"/>
    <n v="1701688655"/>
    <s v="Finalizado (4/4)"/>
    <n v="19.8156"/>
    <n v="3.7744"/>
    <n v="23.59"/>
    <s v="Sessão Faturada"/>
    <n v="881758800094000"/>
    <n v="52913"/>
    <s v="Unidade Sao Jose"/>
    <n v="1701688655"/>
    <m/>
  </r>
  <r>
    <x v="22"/>
    <x v="65"/>
    <s v="Ketlem Kamila Ribeiro dos Santos"/>
    <m/>
    <x v="27"/>
    <x v="24"/>
    <s v="20103514 - Patol. Em Diferentes Segmentos da Coluna (R$ 14,83)"/>
    <s v="Fisioterapia"/>
    <n v="1701690605"/>
    <s v="Finalizado (4/4)"/>
    <n v="12.4572"/>
    <n v="2.3727999999999998"/>
    <n v="14.83"/>
    <s v="Sessão a Faturar"/>
    <n v="881758800094000"/>
    <n v="52913"/>
    <s v="Unidade Sao Jose"/>
    <n v="1701690605"/>
    <m/>
  </r>
  <r>
    <x v="22"/>
    <x v="36"/>
    <s v="Kamila Marques da Silva"/>
    <s v="Feminino"/>
    <x v="7"/>
    <x v="24"/>
    <s v="Sao José - 2 - Fisioterapia Ortopédica - Pacote (R$ 20,00)"/>
    <s v="Fisioterapia"/>
    <n v="169541"/>
    <s v="Finalizado (6/10)"/>
    <n v="15"/>
    <n v="5"/>
    <n v="20"/>
    <s v="Pago"/>
    <n v="59454"/>
    <n v="59454"/>
    <s v="Unidade Sao Jose"/>
    <n v="169541"/>
    <m/>
  </r>
  <r>
    <x v="22"/>
    <x v="40"/>
    <s v="Francisca Zuleide de Oliveira Araujo"/>
    <s v="Feminino"/>
    <x v="7"/>
    <x v="24"/>
    <s v="Sao José - 2 - Fisioterapia Ortopédica - Pacote (R$ 20,00)"/>
    <s v="Fisioterapia"/>
    <n v="170621"/>
    <s v="Finalizado (5/10)"/>
    <n v="15"/>
    <n v="5"/>
    <n v="20"/>
    <s v="Pago"/>
    <n v="59540"/>
    <n v="59540"/>
    <s v="Unidade Sao Jose"/>
    <n v="170621"/>
    <m/>
  </r>
  <r>
    <x v="22"/>
    <x v="40"/>
    <s v="Ednelia de Castro Moreira"/>
    <s v="Feminino"/>
    <x v="2"/>
    <x v="24"/>
    <s v="20103662 - Fisioterapia - Pos Operatorio Em Um Membro (R$ 14,99)"/>
    <s v="Fisioterapia"/>
    <n v="1707253872"/>
    <s v="Finalizado (3/5)"/>
    <n v="12.5916"/>
    <n v="2.3984000000000001"/>
    <n v="14.99"/>
    <s v="Sessão Faturada"/>
    <n v="771015041548020"/>
    <n v="58471"/>
    <s v="Unidade Sao Jose"/>
    <n v="1707253872"/>
    <m/>
  </r>
  <r>
    <x v="22"/>
    <x v="35"/>
    <s v="Luciana Mendoça Martins"/>
    <s v="Feminino"/>
    <x v="7"/>
    <x v="24"/>
    <s v="Sao José - 2 - Fisioterapia Ortopédica - Pacote (R$ 20,00)"/>
    <s v="Fisioterapia"/>
    <n v="171007"/>
    <s v="Finalizado (3/10)"/>
    <n v="15"/>
    <n v="5"/>
    <n v="20"/>
    <s v="Pago"/>
    <n v="59582"/>
    <n v="59582"/>
    <s v="Unidade Sao Jose"/>
    <n v="171007"/>
    <m/>
  </r>
  <r>
    <x v="22"/>
    <x v="38"/>
    <s v="Dilson Pereira Dourado"/>
    <m/>
    <x v="27"/>
    <x v="24"/>
    <s v="20103492 - Patol. Em Dois Ou Mais Membros (R$ 14,83), 20103514 - Patol. Em Diferentes Segmentos da Coluna (R$ 14,83)"/>
    <s v="Fisioterapia"/>
    <n v="1708808219"/>
    <s v="Finalizado (3/5)"/>
    <n v="24.914400000000001"/>
    <n v="4.7455999999999996"/>
    <n v="29.66"/>
    <s v="Sessão a Faturar"/>
    <n v="898081400019000"/>
    <n v="54845"/>
    <s v="Unidade Sao Jose"/>
    <n v="1708808219"/>
    <m/>
  </r>
  <r>
    <x v="22"/>
    <x v="38"/>
    <s v="Elisangela de Araujo Souza"/>
    <s v="Feminino"/>
    <x v="8"/>
    <x v="24"/>
    <s v="20103484 - Patologia Em Um Membro (R$ 12,22)"/>
    <s v="Fisioterapia"/>
    <n v="1707290569"/>
    <s v="Finalizado (3/5)"/>
    <n v="10.264799999999999"/>
    <n v="1.9552"/>
    <n v="12.22"/>
    <s v="Sessão Faturada"/>
    <n v="954600000884010"/>
    <n v="26307"/>
    <s v="Unidade Sao Jose"/>
    <n v="1707290569"/>
    <m/>
  </r>
  <r>
    <x v="22"/>
    <x v="38"/>
    <s v="Milza Santos"/>
    <s v="Feminino"/>
    <x v="14"/>
    <x v="24"/>
    <s v="20103492 - Fisioterapia - Patologia Em Dois Ou Mais Membros (R$ 14,83), 20103506 - Fisioterapia - Patologia Em Um Segmento da Coluna (R$ 12,22)"/>
    <s v="Fisioterapia"/>
    <n v="1705860320"/>
    <s v="Finalizado (3/5)"/>
    <n v="22.722000000000001"/>
    <n v="4.3280000000000003"/>
    <n v="27.05"/>
    <s v="Sessão Faturada"/>
    <n v="954600000493010"/>
    <n v="41659"/>
    <s v="Unidade Sao Jose"/>
    <n v="1705860320"/>
    <m/>
  </r>
  <r>
    <x v="22"/>
    <x v="62"/>
    <s v="Dilson Pereira Dourado"/>
    <m/>
    <x v="4"/>
    <x v="24"/>
    <s v="31602185 - Estimulação Elétrica Transcutânea - Removido 13/04/2026 (R$ 40,00)"/>
    <s v="Fisioterapia"/>
    <n v="1710187903"/>
    <s v="Finalizado (1/3)"/>
    <n v="33.6"/>
    <n v="6.4"/>
    <n v="40"/>
    <s v="Sessão Faturada"/>
    <n v="898081400019000"/>
    <n v="54845"/>
    <s v="Unidade Sao Jose"/>
    <n v="1710187903"/>
    <m/>
  </r>
  <r>
    <x v="22"/>
    <x v="37"/>
    <s v="Jacqueline Lima de Oliveira"/>
    <s v="Feminino"/>
    <x v="4"/>
    <x v="24"/>
    <s v="31602185 - Estimulação Elétrica Transcutânea - Removido 13/04/2026 (R$ 40,00)"/>
    <s v="Fisioterapia"/>
    <n v="1710226070"/>
    <s v="Finalizado (1/5)"/>
    <n v="33.6"/>
    <n v="6.4"/>
    <n v="40"/>
    <s v="Sessão Faturada"/>
    <n v="611481880006000"/>
    <n v="59217"/>
    <s v="Unidade Sao Jose"/>
    <n v="1710226070"/>
    <m/>
  </r>
  <r>
    <x v="22"/>
    <x v="37"/>
    <s v="Jacqueline Lima de Oliveira"/>
    <s v="Feminino"/>
    <x v="27"/>
    <x v="24"/>
    <s v="20103522 - Fisioterapia - Pac Com Dependencia de Vida Diária (R$ 23,59)"/>
    <s v="Fisioterapia"/>
    <n v="1707299573"/>
    <s v="Finalizado (3/5)"/>
    <n v="19.8156"/>
    <n v="3.7744"/>
    <n v="23.59"/>
    <s v="Sessão Faturada"/>
    <n v="611481880006000"/>
    <n v="59217"/>
    <s v="Unidade Sao Jose"/>
    <n v="1707299573"/>
    <m/>
  </r>
  <r>
    <x v="22"/>
    <x v="37"/>
    <s v="Jacqueline Lima de Oliveira"/>
    <s v="Feminino"/>
    <x v="27"/>
    <x v="24"/>
    <s v="20103670 - Pos Operatorio Em Dois Ou Mais Membros (R$ 19,30)"/>
    <s v="Fisioterapia"/>
    <n v="1707298806"/>
    <s v="Finalizado (3/5)"/>
    <n v="16.212"/>
    <n v="3.0880000000000001"/>
    <n v="19.3"/>
    <s v="Sessão Faturada"/>
    <n v="611481880006000"/>
    <n v="59217"/>
    <s v="Unidade Sao Jose"/>
    <n v="1707298806"/>
    <m/>
  </r>
  <r>
    <x v="22"/>
    <x v="37"/>
    <s v="Wildson Costa dos Santos"/>
    <s v="Masculino"/>
    <x v="6"/>
    <x v="24"/>
    <s v="50000144 - Avaliação de Fisioterapia (R$ 56,52)"/>
    <s v="Fisioterapia"/>
    <n v="7700047173"/>
    <s v="Finalizado (1/1)"/>
    <n v="50.868000000000002"/>
    <n v="5.6520000000000001"/>
    <n v="56.52"/>
    <s v="Sessão Faturada"/>
    <s v="58201065998121610018"/>
    <n v="59580"/>
    <s v="Unidade Sao Jose"/>
    <n v="7700047173"/>
    <m/>
  </r>
  <r>
    <x v="22"/>
    <x v="39"/>
    <s v="Wildson Costa dos Santos"/>
    <s v="Masculino"/>
    <x v="6"/>
    <x v="24"/>
    <s v="20103662 - Pos Operatorio Em Um Membro (R$ 22,53)"/>
    <s v="Fisioterapia"/>
    <n v="171322"/>
    <s v="Finalizado (1/10)"/>
    <n v="18.9252"/>
    <n v="3.6048"/>
    <n v="22.53"/>
    <s v="Sessão Faturada"/>
    <s v="58201065998121610018"/>
    <n v="59580"/>
    <s v="Unidade Sao Jose"/>
    <n v="171322"/>
    <m/>
  </r>
  <r>
    <x v="22"/>
    <x v="39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1/10)"/>
    <n v="37.312800000000003"/>
    <n v="7.1071999999999997"/>
    <n v="44.42"/>
    <s v="Sessão Faturada"/>
    <s v="58201065998121610018"/>
    <n v="59580"/>
    <s v="Unidade Sao Jose"/>
    <n v="171323"/>
    <m/>
  </r>
  <r>
    <x v="22"/>
    <x v="39"/>
    <s v="Wildson Costa dos Santos"/>
    <s v="Masculino"/>
    <x v="6"/>
    <x v="24"/>
    <s v="31602185 - Estimulação Elétrica Transcutanea (Tens) (R$ 40,00)"/>
    <s v="Fisioterapia"/>
    <n v="171325"/>
    <s v="Finalizado (1/7)"/>
    <n v="33.6"/>
    <n v="6.4"/>
    <n v="40"/>
    <s v="Sessão Faturada"/>
    <s v="58201065998121610018"/>
    <n v="59580"/>
    <s v="Unidade Sao Jose"/>
    <n v="171325"/>
    <m/>
  </r>
  <r>
    <x v="22"/>
    <x v="43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1/10)"/>
    <n v="30"/>
    <n v="10"/>
    <n v="40"/>
    <s v="Pago"/>
    <n v="59611"/>
    <n v="59611"/>
    <s v="Unidade Sao Jose"/>
    <n v="171321"/>
    <m/>
  </r>
  <r>
    <x v="22"/>
    <x v="22"/>
    <s v="Maria Sueide Pacheco"/>
    <s v="Feminino"/>
    <x v="12"/>
    <x v="24"/>
    <s v="20103662 - Pos Operatorio Em Um Membro (R$ 14,99)"/>
    <s v="Fisioterapia"/>
    <n v="168355"/>
    <s v="Finalizado (8/10)"/>
    <n v="12.5916"/>
    <n v="2.3984000000000001"/>
    <n v="14.99"/>
    <s v="Sessão Faturada"/>
    <s v="000432154994220501"/>
    <n v="26513"/>
    <s v="Unidade Sao Jose"/>
    <n v="168355"/>
    <m/>
  </r>
  <r>
    <x v="22"/>
    <x v="22"/>
    <s v="Ângela Isabel Barbosa Rego"/>
    <s v="Feminino"/>
    <x v="7"/>
    <x v="24"/>
    <s v="Sao José - 2 - Fisioterapia Ortopédica - Pacote (R$ 20,00)"/>
    <s v="Fisioterapia"/>
    <n v="169554"/>
    <s v="Finalizado (8/10)"/>
    <n v="15"/>
    <n v="5"/>
    <n v="20"/>
    <s v="Pago"/>
    <n v="59455"/>
    <n v="59455"/>
    <s v="Unidade Sao Jose"/>
    <n v="169554"/>
    <m/>
  </r>
  <r>
    <x v="22"/>
    <x v="23"/>
    <s v="Maria Sueide Pacheco"/>
    <s v="Feminino"/>
    <x v="12"/>
    <x v="24"/>
    <s v="20103662 - Pos Operatorio Em Um Membro (R$ 14,99)"/>
    <s v="Fisioterapia"/>
    <n v="168355"/>
    <s v="Finalizado (9/10)"/>
    <n v="12.5916"/>
    <n v="2.3984000000000001"/>
    <n v="14.99"/>
    <s v="Sessão Faturada"/>
    <s v="000432154994220501"/>
    <n v="26513"/>
    <s v="Unidade Sao Jose"/>
    <n v="168355"/>
    <m/>
  </r>
  <r>
    <x v="22"/>
    <x v="0"/>
    <s v="Erick Ariel dos Santos Evangelista"/>
    <s v="Masculino"/>
    <x v="27"/>
    <x v="24"/>
    <s v="20103492 - Patol. Em Dois Ou Mais Membros (R$ 14,83)"/>
    <s v="Fisioterapia"/>
    <n v="1708059283"/>
    <s v="Finalizado (3/3)"/>
    <n v="12.4572"/>
    <n v="2.3727999999999998"/>
    <n v="14.83"/>
    <s v="Sessão Faturada"/>
    <n v="960019378522020"/>
    <n v="59549"/>
    <s v="Unidade Sao Jose"/>
    <n v="1708059283"/>
    <m/>
  </r>
  <r>
    <x v="22"/>
    <x v="0"/>
    <s v="Rosangela Rodrigues Sabino"/>
    <s v="Feminino"/>
    <x v="7"/>
    <x v="24"/>
    <s v="Sao José - 2 - Fisioterapia Ortopédica - Pacote (R$ 20,00)"/>
    <s v="Fisioterapia"/>
    <n v="171193"/>
    <s v="Finalizado (2/10)"/>
    <n v="15"/>
    <n v="5"/>
    <n v="20"/>
    <s v="Pago"/>
    <n v="59595"/>
    <n v="59595"/>
    <s v="Unidade Sao Jose"/>
    <n v="171193"/>
    <m/>
  </r>
  <r>
    <x v="22"/>
    <x v="0"/>
    <s v="Nádia Eunice Batalha de Pinho"/>
    <s v="Feminino"/>
    <x v="27"/>
    <x v="24"/>
    <s v="20103484 - Patologia Em Um Membro (R$ 12,22)"/>
    <s v="Fisioterapia"/>
    <n v="1710346187"/>
    <s v="Finalizado (1/5)"/>
    <n v="10.264799999999999"/>
    <n v="1.9552"/>
    <n v="12.22"/>
    <s v="Sessão Faturada"/>
    <n v="774385001546010"/>
    <n v="58963"/>
    <s v="Unidade Sao Jose"/>
    <n v="1710346187"/>
    <m/>
  </r>
  <r>
    <x v="22"/>
    <x v="0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9760665"/>
    <s v="Finalizado (2/5)"/>
    <n v="24.914400000000001"/>
    <n v="4.7455999999999996"/>
    <n v="29.66"/>
    <s v="Sessão Faturada"/>
    <n v="843486100370000"/>
    <n v="49710"/>
    <s v="Unidade Sao Jose"/>
    <n v="1709760665"/>
    <m/>
  </r>
  <r>
    <x v="22"/>
    <x v="1"/>
    <s v="Erick Ariel dos Santos Evangelista"/>
    <s v="Masculino"/>
    <x v="4"/>
    <x v="24"/>
    <s v="31602185 - Estimulação Elétrica Transcutânea - Removido 13/04/2026 (R$ 40,00)"/>
    <s v="Fisioterapia"/>
    <n v="1709131814"/>
    <s v="Finalizado (2/2)"/>
    <n v="33.6"/>
    <n v="6.4"/>
    <n v="40"/>
    <s v="Sessão Faturada"/>
    <n v="960019378522020"/>
    <n v="59549"/>
    <s v="Unidade Sao Jose"/>
    <n v="1709131814"/>
    <m/>
  </r>
  <r>
    <x v="22"/>
    <x v="2"/>
    <s v="Cristiane Villar de Holanda"/>
    <s v="Feminino"/>
    <x v="7"/>
    <x v="24"/>
    <s v="Sao José - 2 - Fisioterapia Ortopédica - Pacote (R$ 20,00)"/>
    <s v="Fisioterapia"/>
    <n v="170499"/>
    <s v="Finalizado (4/10)"/>
    <n v="15"/>
    <n v="5"/>
    <n v="20"/>
    <s v="Pago"/>
    <n v="41493"/>
    <n v="41493"/>
    <s v="Unidade Sao Jose"/>
    <n v="170499"/>
    <m/>
  </r>
  <r>
    <x v="22"/>
    <x v="2"/>
    <s v="Maria Francisca da Silva Carvalho"/>
    <s v="Feminino"/>
    <x v="7"/>
    <x v="24"/>
    <s v="Sao José - 4 - Fisioterapia Neurológica/Respiratória - Pacote (R$ 50,00)"/>
    <s v="Fisioterapia"/>
    <n v="170498"/>
    <s v="Finalizado (4/5)"/>
    <n v="37.5"/>
    <n v="12.5"/>
    <n v="50"/>
    <s v="Pago"/>
    <n v="58726"/>
    <n v="58726"/>
    <s v="Unidade Sao Jose"/>
    <n v="170498"/>
    <m/>
  </r>
  <r>
    <x v="22"/>
    <x v="2"/>
    <s v="Nádia Eunice Batalha de Pinho"/>
    <s v="Feminino"/>
    <x v="27"/>
    <x v="24"/>
    <s v="20103662 - Pos Operatorio Em Um Membro (R$ 14,99)"/>
    <s v="Fisioterapia"/>
    <n v="1710383583"/>
    <s v="Finalizado (1/5)"/>
    <n v="12.5916"/>
    <n v="2.3984000000000001"/>
    <n v="14.99"/>
    <s v="Sessão Faturada"/>
    <n v="774385001546010"/>
    <n v="58963"/>
    <s v="Unidade Sao Jose"/>
    <n v="1710383583"/>
    <m/>
  </r>
  <r>
    <x v="22"/>
    <x v="4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09158617"/>
    <s v="Finalizado (2/5)"/>
    <n v="24.914400000000001"/>
    <n v="4.7455999999999996"/>
    <n v="29.66"/>
    <s v="Sessão Faturada"/>
    <n v="954600003042000"/>
    <n v="29915"/>
    <s v="Unidade Sao Jose"/>
    <n v="1709158617"/>
    <m/>
  </r>
  <r>
    <x v="22"/>
    <x v="4"/>
    <s v="Celia Medeiros Correa"/>
    <s v="Feminino"/>
    <x v="7"/>
    <x v="24"/>
    <s v="Sao José - 2 - Fisioterapia Ortopédica - Pacote (R$ 20,00)"/>
    <s v="Fisioterapia"/>
    <n v="170432"/>
    <s v="Finalizado (7/10)"/>
    <n v="15"/>
    <n v="5"/>
    <n v="20"/>
    <s v="Pago"/>
    <n v="59521"/>
    <n v="59521"/>
    <s v="Unidade Sao Jose"/>
    <n v="170432"/>
    <m/>
  </r>
  <r>
    <x v="22"/>
    <x v="4"/>
    <s v="Fabiola da Silva Pinto"/>
    <s v="Feminino"/>
    <x v="7"/>
    <x v="24"/>
    <s v="Sao José - 2 - Fisioterapia Ortopédica - Pacote (R$ 20,00)"/>
    <s v="Fisioterapia"/>
    <n v="169388"/>
    <s v="Finalizado (7/10)"/>
    <n v="15"/>
    <n v="5"/>
    <n v="20"/>
    <s v="Pago"/>
    <n v="31794"/>
    <n v="31794"/>
    <s v="Unidade Sao Jose"/>
    <n v="169388"/>
    <m/>
  </r>
  <r>
    <x v="22"/>
    <x v="5"/>
    <s v="Jean da Silva Melo"/>
    <s v="Masculino"/>
    <x v="14"/>
    <x v="24"/>
    <s v="20103662 - Fisioterapia - Pos Operatorio Em Um Membro (R$ 14,99)"/>
    <s v="Fisioterapia"/>
    <n v="1709222110"/>
    <s v="Finalizado (2/5)"/>
    <n v="12.5916"/>
    <n v="2.3984000000000001"/>
    <n v="14.99"/>
    <s v="Sessão Faturada"/>
    <n v="954600003042000"/>
    <n v="29915"/>
    <s v="Unidade Sao Jose"/>
    <n v="1709222110"/>
    <m/>
  </r>
  <r>
    <x v="22"/>
    <x v="15"/>
    <s v="Jean da Silva Melo"/>
    <s v="Masculino"/>
    <x v="9"/>
    <x v="24"/>
    <s v="31602185 - Estimulação Elétrica Transcutânea (Tens) - Removido 13/04/2026 (R$ 40,00)"/>
    <s v="Fisioterapia"/>
    <n v="1710458934"/>
    <s v="Finalizado (1/5)"/>
    <n v="33.6"/>
    <n v="6.4"/>
    <n v="40"/>
    <s v="Sessão Faturada"/>
    <n v="954600003042000"/>
    <n v="29915"/>
    <s v="Unidade Sao Jose"/>
    <n v="1710458934"/>
    <m/>
  </r>
  <r>
    <x v="22"/>
    <x v="17"/>
    <s v="Maria Neide Oliveira Marques"/>
    <s v="Feminino"/>
    <x v="9"/>
    <x v="24"/>
    <s v="31602185 - Estimulação Elétrica Transcutânea (Tens) - Removido 13/04/2026 (R$ 40,00)"/>
    <s v="Fisioterapia"/>
    <n v="1710472621"/>
    <s v="Finalizado (1/5)"/>
    <n v="33.6"/>
    <n v="6.4"/>
    <n v="40"/>
    <s v="Sessão Faturada"/>
    <n v="954600008419020"/>
    <n v="52794"/>
    <s v="Unidade Sao Jose"/>
    <n v="1710472621"/>
    <m/>
  </r>
  <r>
    <x v="22"/>
    <x v="24"/>
    <s v="Maria Neide Oliveira Marques"/>
    <s v="Feminino"/>
    <x v="8"/>
    <x v="24"/>
    <s v="20103522 - Fisioterapia - Pac Com Dependencia de Vida Diária (R$ 23,59)"/>
    <s v="Fisioterapia"/>
    <n v="1709226202"/>
    <s v="Finalizado (2/5)"/>
    <n v="19.8156"/>
    <n v="3.7744"/>
    <n v="23.59"/>
    <s v="Sessão Faturada"/>
    <n v="954600008419020"/>
    <n v="52794"/>
    <s v="Unidade Sao Jose"/>
    <n v="1709226202"/>
    <m/>
  </r>
  <r>
    <x v="22"/>
    <x v="25"/>
    <s v="Maria Neide Oliveira Marques"/>
    <s v="Feminino"/>
    <x v="8"/>
    <x v="24"/>
    <s v="20103514 - Patologia Em Diferentes Segmentos da Coluna (R$ 14,83)"/>
    <s v="Fisioterapia"/>
    <n v="1709225829"/>
    <s v="Finalizado (2/5)"/>
    <n v="12.4572"/>
    <n v="2.3727999999999998"/>
    <n v="14.83"/>
    <s v="Sessão Faturada"/>
    <n v="954600008419020"/>
    <n v="52794"/>
    <s v="Unidade Sao Jose"/>
    <n v="1709225829"/>
    <m/>
  </r>
  <r>
    <x v="22"/>
    <x v="8"/>
    <s v="Haila Vitoria Santos Gomes"/>
    <s v="Feminino"/>
    <x v="7"/>
    <x v="24"/>
    <s v="Sao José - 2 - Fisioterapia Ortopédica - Pacote (R$ 20,00)"/>
    <s v="Fisioterapia"/>
    <n v="169141"/>
    <s v="Finalizado (7/10)"/>
    <n v="15"/>
    <n v="5"/>
    <n v="20"/>
    <s v="Pago"/>
    <n v="59422"/>
    <n v="59422"/>
    <s v="Unidade Sao Jose"/>
    <n v="169141"/>
    <m/>
  </r>
  <r>
    <x v="22"/>
    <x v="8"/>
    <s v="Fernanda Neves Sabugosa"/>
    <s v="Feminino"/>
    <x v="27"/>
    <x v="24"/>
    <s v="20103492 - Patol. Em Dois Ou Mais Membros (R$ 14,83), 20103514 - Patol. Em Diferentes Segmentos da Coluna (R$ 14,83)"/>
    <s v="Fisioterapia"/>
    <n v="1710485003"/>
    <s v="Finalizado (1/5)"/>
    <n v="24.914400000000001"/>
    <n v="4.7455999999999996"/>
    <n v="29.66"/>
    <s v="Sessão Faturada"/>
    <n v="771015043370010"/>
    <n v="38199"/>
    <s v="Unidade Sao Jose"/>
    <n v="1710485003"/>
    <m/>
  </r>
  <r>
    <x v="22"/>
    <x v="8"/>
    <s v="Diane Pinto de Souza"/>
    <s v="Feminino"/>
    <x v="27"/>
    <x v="24"/>
    <s v="20103662 - Pos Operatorio Em Um Membro (R$ 14,99)"/>
    <s v="Fisioterapia"/>
    <n v="1707969765"/>
    <s v="Finalizado (2/4)"/>
    <n v="12.5916"/>
    <n v="2.3984000000000001"/>
    <n v="14.99"/>
    <s v="Sessão a Faturar"/>
    <n v="770179013056000"/>
    <n v="55682"/>
    <s v="Unidade Sao Jose"/>
    <n v="1707969765"/>
    <m/>
  </r>
  <r>
    <x v="22"/>
    <x v="8"/>
    <s v="Elrilane Santos dos Santos"/>
    <s v="Feminino"/>
    <x v="7"/>
    <x v="24"/>
    <s v="Sao José - 2 - Fisioterapia Ortopédica - Pacote (R$ 20,00)"/>
    <s v="Fisioterapia"/>
    <n v="170078"/>
    <s v="Finalizado (8/10)"/>
    <n v="15"/>
    <n v="5"/>
    <n v="20"/>
    <s v="Pago"/>
    <n v="59492"/>
    <n v="59492"/>
    <s v="Unidade Sao Jose"/>
    <n v="170078"/>
    <m/>
  </r>
  <r>
    <x v="22"/>
    <x v="8"/>
    <s v="Francinete Lima de Souza"/>
    <s v="Feminino"/>
    <x v="7"/>
    <x v="24"/>
    <s v="Sao José - 2 - Fisioterapia Ortopédica - Pacote (R$ 20,00)"/>
    <s v="Fisioterapia"/>
    <n v="160701"/>
    <s v="Finalizado (7/10)"/>
    <n v="15"/>
    <n v="5"/>
    <n v="20"/>
    <s v="Pago"/>
    <n v="58537"/>
    <n v="58537"/>
    <s v="Unidade Sao Jose"/>
    <n v="160701"/>
    <m/>
  </r>
  <r>
    <x v="22"/>
    <x v="9"/>
    <s v="Fernanda Neves Sabugosa"/>
    <s v="Feminino"/>
    <x v="4"/>
    <x v="24"/>
    <s v="31602185 - Estimulação Elétrica Transcutânea - Removido 13/04/2026 (R$ 40,00)"/>
    <s v="Fisioterapia"/>
    <n v="1710484202"/>
    <s v="Finalizado (1/5)"/>
    <n v="33.6"/>
    <n v="6.4"/>
    <n v="40"/>
    <s v="Sessão Faturada"/>
    <n v="771015043370010"/>
    <n v="38199"/>
    <s v="Unidade Sao Jose"/>
    <n v="1710484202"/>
    <m/>
  </r>
  <r>
    <x v="22"/>
    <x v="10"/>
    <s v="Carlos Victor Lopes de Souza"/>
    <s v="Masculino"/>
    <x v="7"/>
    <x v="24"/>
    <s v="Sao José - 4 - Fisioterapia Neurológica/Respiratória - Pacote (R$ 50,00)"/>
    <s v="Fisioterapia"/>
    <n v="170555"/>
    <s v="Finalizado (4/10)"/>
    <n v="37.5"/>
    <n v="12.5"/>
    <n v="50"/>
    <s v="Pago"/>
    <n v="56621"/>
    <n v="56621"/>
    <s v="Unidade Sao Jose"/>
    <n v="170555"/>
    <m/>
  </r>
  <r>
    <x v="19"/>
    <x v="44"/>
    <s v="Custodia Herminia de Sousa Filha"/>
    <s v="Feminino"/>
    <x v="7"/>
    <x v="24"/>
    <s v="Sao José - 2 - Fisioterapia Ortopédica - Pacote (R$ 20,00)"/>
    <s v="Fisioterapia"/>
    <n v="170248"/>
    <s v="Finalizado (7/10)"/>
    <n v="15"/>
    <n v="5"/>
    <n v="20"/>
    <s v="Pago"/>
    <n v="58051"/>
    <n v="58051"/>
    <s v="Unidade Sao Jose"/>
    <n v="170248"/>
    <m/>
  </r>
  <r>
    <x v="19"/>
    <x v="44"/>
    <s v="Marta Marcione Bentes Albuquerque"/>
    <s v="Feminino"/>
    <x v="8"/>
    <x v="24"/>
    <s v="20103670 - Pos Operatorio Em Dois Ou Mais Membros (R$ 19,30)"/>
    <s v="Fisioterapia"/>
    <n v="1704615184"/>
    <s v="Finalizado (4/5)"/>
    <n v="16.212"/>
    <n v="3.0880000000000001"/>
    <n v="19.3"/>
    <s v="Sessão Faturada"/>
    <n v="954600004960000"/>
    <n v="40103"/>
    <s v="Unidade Sao Jose"/>
    <n v="1704615184"/>
    <m/>
  </r>
  <r>
    <x v="19"/>
    <x v="60"/>
    <s v="Marta Marcione Bentes Albuquerque"/>
    <s v="Feminino"/>
    <x v="8"/>
    <x v="24"/>
    <s v="20103492 - Patologia Em Dois Ou Mais Membros (R$ 14,83), 20103514 - Patologia Em Diferentes Segmentos da Coluna (R$ 14,83)"/>
    <s v="Fisioterapia"/>
    <n v="1704614483"/>
    <s v="Finalizado (4/5)"/>
    <n v="24.914400000000001"/>
    <n v="4.7455999999999996"/>
    <n v="29.66"/>
    <s v="Sessão Faturada"/>
    <n v="954600004960000"/>
    <n v="40103"/>
    <s v="Unidade Sao Jose"/>
    <n v="1704614483"/>
    <m/>
  </r>
  <r>
    <x v="19"/>
    <x v="41"/>
    <s v="Josiane de Sousa Santos"/>
    <s v="Feminino"/>
    <x v="8"/>
    <x v="24"/>
    <s v="20103492 - Patologia Em Dois Ou Mais Membros (R$ 14,83), 20103514 - Patologia Em Diferentes Segmentos da Coluna (R$ 14,83)"/>
    <s v="Fisioterapia"/>
    <n v="1708954638"/>
    <s v="Finalizado (4/5)"/>
    <n v="24.914400000000001"/>
    <n v="4.7455999999999996"/>
    <n v="29.66"/>
    <s v="Sessão Faturada"/>
    <n v="954600005274010"/>
    <n v="23225"/>
    <s v="Unidade Sao Jose"/>
    <n v="1708954638"/>
    <m/>
  </r>
  <r>
    <x v="19"/>
    <x v="36"/>
    <s v="Manuela Soares de Freitas Mendonca"/>
    <s v="Feminino"/>
    <x v="8"/>
    <x v="24"/>
    <s v="20103484 - Patologia Em Um Membro (R$ 12,22), 20103514 - Patologia Em Diferentes Segmentos da Coluna (R$ 14,83)"/>
    <s v="Fisioterapia"/>
    <n v="1706715129"/>
    <s v="Finalizado (5/5)"/>
    <n v="22.722000000000001"/>
    <n v="4.3280000000000003"/>
    <n v="27.05"/>
    <s v="Sessão Faturada"/>
    <n v="954600000256030"/>
    <n v="53656"/>
    <s v="Unidade Sao Jose"/>
    <n v="1706715129"/>
    <m/>
  </r>
  <r>
    <x v="19"/>
    <x v="36"/>
    <s v="Simone Soares Franco"/>
    <s v="Feminino"/>
    <x v="8"/>
    <x v="24"/>
    <s v="20103522 - Fisioterapia - Pac Com Dependencia de Vida Diária (R$ 23,59)"/>
    <s v="Fisioterapia"/>
    <n v="1706703596"/>
    <s v="Finalizado (5/5)"/>
    <n v="19.8156"/>
    <n v="3.7744"/>
    <n v="23.59"/>
    <s v="Sessão Faturada"/>
    <n v="954600000256000"/>
    <n v="24181"/>
    <s v="Unidade Sao Jose"/>
    <n v="1706703596"/>
    <m/>
  </r>
  <r>
    <x v="19"/>
    <x v="61"/>
    <s v="Simone Soares Franco"/>
    <s v="Feminino"/>
    <x v="8"/>
    <x v="24"/>
    <s v="20103492 - Patologia Em Dois Ou Mais Membros (R$ 14,83)"/>
    <s v="Fisioterapia"/>
    <n v="1706706350"/>
    <s v="Finalizado (5/5)"/>
    <n v="12.4572"/>
    <n v="2.3727999999999998"/>
    <n v="14.83"/>
    <s v="Sessão Faturada"/>
    <n v="954600000256000"/>
    <n v="24181"/>
    <s v="Unidade Sao Jose"/>
    <n v="1706706350"/>
    <m/>
  </r>
  <r>
    <x v="19"/>
    <x v="40"/>
    <s v="Francisca Zuleide de Oliveira Araujo"/>
    <s v="Feminino"/>
    <x v="7"/>
    <x v="24"/>
    <s v="Sao José - 2 - Fisioterapia Ortopédica - Pacote (R$ 20,00)"/>
    <s v="Fisioterapia"/>
    <n v="170621"/>
    <s v="Finalizado (6/10)"/>
    <n v="15"/>
    <n v="5"/>
    <n v="20"/>
    <s v="Pago"/>
    <n v="59540"/>
    <n v="59540"/>
    <s v="Unidade Sao Jose"/>
    <n v="170621"/>
    <m/>
  </r>
  <r>
    <x v="19"/>
    <x v="40"/>
    <s v="Dilson Pereira Dourado"/>
    <m/>
    <x v="27"/>
    <x v="24"/>
    <s v="20103492 - Patol. Em Dois Ou Mais Membros (R$ 14,83), 20103514 - Patol. Em Diferentes Segmentos da Coluna (R$ 14,83)"/>
    <s v="Fisioterapia"/>
    <n v="1708808219"/>
    <s v="Finalizado (4/5)"/>
    <n v="24.914400000000001"/>
    <n v="4.7455999999999996"/>
    <n v="29.66"/>
    <s v="Sessão a Faturar"/>
    <n v="898081400019000"/>
    <n v="54845"/>
    <s v="Unidade Sao Jose"/>
    <n v="1708808219"/>
    <m/>
  </r>
  <r>
    <x v="19"/>
    <x v="40"/>
    <s v="Ednelia de Castro Moreira"/>
    <s v="Feminino"/>
    <x v="2"/>
    <x v="24"/>
    <s v="20103662 - Fisioterapia - Pos Operatorio Em Um Membro (R$ 14,99)"/>
    <s v="Fisioterapia"/>
    <n v="1707253872"/>
    <s v="Finalizado (4/5)"/>
    <n v="12.5916"/>
    <n v="2.3984000000000001"/>
    <n v="14.99"/>
    <s v="Sessão Faturada"/>
    <n v="771015041548020"/>
    <n v="58471"/>
    <s v="Unidade Sao Jose"/>
    <n v="1707253872"/>
    <m/>
  </r>
  <r>
    <x v="19"/>
    <x v="45"/>
    <s v="Dilson Pereira Dourado"/>
    <m/>
    <x v="4"/>
    <x v="24"/>
    <s v="31602185 - Estimulação Elétrica Transcutânea - Removido 13/04/2026 (R$ 40,00)"/>
    <s v="Fisioterapia"/>
    <n v="1710187903"/>
    <s v="Finalizado (2/3)"/>
    <n v="33.6"/>
    <n v="6.4"/>
    <n v="40"/>
    <s v="Sessão Faturada"/>
    <n v="898081400019000"/>
    <n v="54845"/>
    <s v="Unidade Sao Jose"/>
    <n v="1710187903"/>
    <m/>
  </r>
  <r>
    <x v="19"/>
    <x v="45"/>
    <s v="Ednelia de Castro Moreira"/>
    <s v="Feminino"/>
    <x v="4"/>
    <x v="24"/>
    <s v="31602185 - Estimulação Elétrica Transcutânea - Removido 13/04/2026 (R$ 40,00)"/>
    <s v="Fisioterapia"/>
    <n v="1710766971"/>
    <s v="Finalizado (1/2)"/>
    <n v="33.6"/>
    <n v="6.4"/>
    <n v="40"/>
    <s v="Sessão Faturada"/>
    <n v="771015041548020"/>
    <n v="58471"/>
    <s v="Unidade Sao Jose"/>
    <n v="1710766971"/>
    <m/>
  </r>
  <r>
    <x v="19"/>
    <x v="35"/>
    <s v="Celia Medeiros Correa"/>
    <s v="Feminino"/>
    <x v="7"/>
    <x v="24"/>
    <s v="Sao José - 2 - Fisioterapia Ortopédica - Pacote (R$ 20,00)"/>
    <s v="Fisioterapia"/>
    <n v="170432"/>
    <s v="Finalizado (8/10)"/>
    <n v="15"/>
    <n v="5"/>
    <n v="20"/>
    <s v="Pago"/>
    <n v="59521"/>
    <n v="59521"/>
    <s v="Unidade Sao Jose"/>
    <n v="170432"/>
    <m/>
  </r>
  <r>
    <x v="19"/>
    <x v="37"/>
    <s v="Andrea de Moraes  Campos"/>
    <s v="Feminino"/>
    <x v="8"/>
    <x v="24"/>
    <s v="50000144 - Consulta de Fisioterapia (R$ 51,42)"/>
    <s v="Fisioterapia"/>
    <n v="1710819932"/>
    <s v="Finalizado (1/1)"/>
    <n v="46.277999999999999"/>
    <n v="5.1420000000000003"/>
    <n v="51.42"/>
    <s v="Sessão Faturada"/>
    <n v="954600006130000"/>
    <n v="50427"/>
    <s v="Unidade Sao Jose"/>
    <n v="1710819932"/>
    <m/>
  </r>
  <r>
    <x v="19"/>
    <x v="37"/>
    <s v="Wildson Costa dos Santos"/>
    <s v="Masculino"/>
    <x v="6"/>
    <x v="24"/>
    <s v="20103662 - Pos Operatorio Em Um Membro (R$ 22,53)"/>
    <s v="Fisioterapia"/>
    <n v="171322"/>
    <s v="Finalizado (2/10)"/>
    <n v="18.9252"/>
    <n v="3.6048"/>
    <n v="22.53"/>
    <s v="Sessão Faturada"/>
    <s v="58201065998121610018"/>
    <n v="59580"/>
    <s v="Unidade Sao Jose"/>
    <n v="171322"/>
    <m/>
  </r>
  <r>
    <x v="19"/>
    <x v="58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2/10)"/>
    <n v="37.312800000000003"/>
    <n v="7.1071999999999997"/>
    <n v="44.42"/>
    <s v="Sessão Faturada"/>
    <s v="58201065998121610018"/>
    <n v="59580"/>
    <s v="Unidade Sao Jose"/>
    <n v="171323"/>
    <m/>
  </r>
  <r>
    <x v="19"/>
    <x v="50"/>
    <s v="Wildson Costa dos Santos"/>
    <s v="Masculino"/>
    <x v="6"/>
    <x v="24"/>
    <s v="31602185 - Estimulação Elétrica Transcutanea (Tens) (R$ 40,00)"/>
    <s v="Fisioterapia"/>
    <n v="171325"/>
    <s v="Finalizado (2/7)"/>
    <n v="33.6"/>
    <n v="6.4"/>
    <n v="40"/>
    <s v="Sessão Faturada"/>
    <s v="58201065998121610018"/>
    <n v="59580"/>
    <s v="Unidade Sao Jose"/>
    <n v="171325"/>
    <m/>
  </r>
  <r>
    <x v="19"/>
    <x v="39"/>
    <s v="Andrea de Moraes  Campos"/>
    <s v="Feminino"/>
    <x v="8"/>
    <x v="24"/>
    <s v="20103514 - Patologia Em Diferentes Segmentos da Coluna (R$ 14,83)"/>
    <s v="Fisioterapia"/>
    <n v="1710853024"/>
    <s v="Finalizado (1/3)"/>
    <n v="12.4572"/>
    <n v="2.3727999999999998"/>
    <n v="14.83"/>
    <s v="Sessão Faturada"/>
    <n v="954600006130000"/>
    <n v="50427"/>
    <s v="Unidade Sao Jose"/>
    <n v="1710853024"/>
    <m/>
  </r>
  <r>
    <x v="19"/>
    <x v="39"/>
    <s v="Andrea de Moraes  Campos"/>
    <s v="Feminino"/>
    <x v="8"/>
    <x v="24"/>
    <s v="20103522 - Fisioterapia - Pac Com Dependencia de Vida Diária (R$ 23,59)"/>
    <s v="Fisioterapia"/>
    <n v="1710852500"/>
    <s v="Finalizado (1/3)"/>
    <n v="19.8156"/>
    <n v="3.7744"/>
    <n v="23.59"/>
    <s v="Sessão Faturada"/>
    <n v="954600006130000"/>
    <n v="50427"/>
    <s v="Unidade Sao Jose"/>
    <n v="1710852500"/>
    <m/>
  </r>
  <r>
    <x v="19"/>
    <x v="39"/>
    <s v="Andrea de Moraes  Campos"/>
    <s v="Feminino"/>
    <x v="8"/>
    <x v="24"/>
    <s v="20103670 - Pos Operatorio Em Dois Ou Mais Membros (R$ 19,30)"/>
    <s v="Fisioterapia"/>
    <n v="1710852078"/>
    <s v="Finalizado (1/3)"/>
    <n v="16.212"/>
    <n v="3.0880000000000001"/>
    <n v="19.3"/>
    <s v="Sessão Faturada"/>
    <n v="954600006130000"/>
    <n v="50427"/>
    <s v="Unidade Sao Jose"/>
    <n v="1710852078"/>
    <m/>
  </r>
  <r>
    <x v="19"/>
    <x v="39"/>
    <s v="Arlesson Ribeiro Correa"/>
    <s v="Masculino"/>
    <x v="7"/>
    <x v="24"/>
    <s v="Sao José - 2 - Fisioterapia Ortopédica - Pacote (R$ 20,00)"/>
    <s v="Fisioterapia"/>
    <n v="166722"/>
    <s v="Finalizado (7/10)"/>
    <n v="15"/>
    <n v="5"/>
    <n v="20"/>
    <s v="Pago"/>
    <n v="58435"/>
    <n v="58435"/>
    <s v="Unidade Sao Jose"/>
    <n v="166722"/>
    <m/>
  </r>
  <r>
    <x v="19"/>
    <x v="22"/>
    <s v="Rossylene de Jesus Pinto da Silva"/>
    <s v="Feminino"/>
    <x v="7"/>
    <x v="24"/>
    <s v="Sao José - 2 - Fisioterapia Ortopédica - Pacote (R$ 20,00)"/>
    <s v="Fisioterapia"/>
    <n v="171503"/>
    <s v="Finalizado (1/10)"/>
    <n v="15"/>
    <n v="5"/>
    <n v="20"/>
    <s v="Pago"/>
    <n v="58721"/>
    <n v="58721"/>
    <s v="Unidade Sao Jose"/>
    <n v="171503"/>
    <m/>
  </r>
  <r>
    <x v="19"/>
    <x v="22"/>
    <s v="Rosangela Rodrigues Sabino"/>
    <s v="Feminino"/>
    <x v="7"/>
    <x v="24"/>
    <s v="Sao José - 2 - Fisioterapia Ortopédica - Pacote (R$ 20,00)"/>
    <s v="Fisioterapia"/>
    <n v="171193"/>
    <s v="Finalizado (3/10)"/>
    <n v="15"/>
    <n v="5"/>
    <n v="20"/>
    <s v="Pago"/>
    <n v="59595"/>
    <n v="59595"/>
    <s v="Unidade Sao Jose"/>
    <n v="171193"/>
    <m/>
  </r>
  <r>
    <x v="19"/>
    <x v="0"/>
    <s v="Glívena Souza Félix"/>
    <s v="Feminino"/>
    <x v="7"/>
    <x v="24"/>
    <s v="Sao José - 4 - Fisioterapia Neurológica/Respiratória - Pacote (R$ 50,00)"/>
    <s v="Fisioterapia"/>
    <n v="170807"/>
    <s v="Finalizado (3/10)"/>
    <n v="37.5"/>
    <n v="12.5"/>
    <n v="50"/>
    <s v="Pago"/>
    <n v="57339"/>
    <n v="57339"/>
    <s v="Unidade Sao Jose"/>
    <n v="170807"/>
    <m/>
  </r>
  <r>
    <x v="19"/>
    <x v="4"/>
    <s v="Maria Francisca da Silva Carvalho"/>
    <s v="Feminino"/>
    <x v="7"/>
    <x v="24"/>
    <s v="Sao José - 4 - Fisioterapia Neurológica/Respiratória - Pacote (R$ 50,00)"/>
    <s v="Fisioterapia"/>
    <n v="171513"/>
    <s v="Finalizado (1/5)"/>
    <n v="37.5"/>
    <n v="12.5"/>
    <n v="50"/>
    <s v="Pago"/>
    <n v="58726"/>
    <n v="58726"/>
    <s v="Unidade Sao Jose"/>
    <n v="171513"/>
    <m/>
  </r>
  <r>
    <x v="19"/>
    <x v="4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09158617"/>
    <s v="Finalizado (3/5)"/>
    <n v="24.914400000000001"/>
    <n v="4.7455999999999996"/>
    <n v="29.66"/>
    <s v="Sessão Faturada"/>
    <n v="954600003042000"/>
    <n v="29915"/>
    <s v="Unidade Sao Jose"/>
    <n v="1709158617"/>
    <m/>
  </r>
  <r>
    <x v="19"/>
    <x v="29"/>
    <s v="Jean da Silva Melo"/>
    <s v="Masculino"/>
    <x v="14"/>
    <x v="24"/>
    <s v="20103662 - Fisioterapia - Pos Operatorio Em Um Membro (R$ 14,99)"/>
    <s v="Fisioterapia"/>
    <n v="1709222110"/>
    <s v="Finalizado (3/5)"/>
    <n v="12.5916"/>
    <n v="2.3984000000000001"/>
    <n v="14.99"/>
    <s v="Sessão Faturada"/>
    <n v="954600003042000"/>
    <n v="29915"/>
    <s v="Unidade Sao Jose"/>
    <n v="1709222110"/>
    <m/>
  </r>
  <r>
    <x v="19"/>
    <x v="30"/>
    <s v="Jean da Silva Melo"/>
    <s v="Masculino"/>
    <x v="9"/>
    <x v="24"/>
    <s v="31602185 - Estimulação Elétrica Transcutânea (Tens) - Removido 13/04/2026 (R$ 40,00)"/>
    <s v="Fisioterapia"/>
    <n v="1710458934"/>
    <s v="Finalizado (2/5)"/>
    <n v="33.6"/>
    <n v="6.4"/>
    <n v="40"/>
    <s v="Sessão Faturada"/>
    <n v="954600003042000"/>
    <n v="29915"/>
    <s v="Unidade Sao Jose"/>
    <n v="1710458934"/>
    <m/>
  </r>
  <r>
    <x v="19"/>
    <x v="13"/>
    <s v="Leonardo Batista de Souza"/>
    <s v="Masculino"/>
    <x v="5"/>
    <x v="24"/>
    <s v="98860020 - Fisioterapia Complexidade 2 - 04/03/2026 (R$ 70,79)"/>
    <s v="Fisioterapia"/>
    <n v="61519530"/>
    <s v="Finalizado (3/10)"/>
    <n v="59.4636"/>
    <n v="11.3264"/>
    <n v="70.790000000000006"/>
    <s v="Sessão Faturada"/>
    <s v="0101516639000159"/>
    <n v="54993"/>
    <s v="Unidade Sao Jose"/>
    <n v="61519530"/>
    <m/>
  </r>
  <r>
    <x v="19"/>
    <x v="13"/>
    <s v="Leonardo Batista de Souza"/>
    <s v="Masculino"/>
    <x v="5"/>
    <x v="24"/>
    <s v="50000144 - Avaliação de Fisioterapia (R$ 37,63)"/>
    <s v="Fisioterapia"/>
    <n v="171519"/>
    <s v="Finalizado (1/1)"/>
    <n v="33.866999999999997"/>
    <n v="3.7629999999999999"/>
    <n v="37.630000000000003"/>
    <s v="Sessão Faturada"/>
    <s v="0101516639000159"/>
    <n v="54993"/>
    <s v="Unidade Sao Jose"/>
    <n v="171519"/>
    <m/>
  </r>
  <r>
    <x v="19"/>
    <x v="6"/>
    <s v="Maria da Conceição Bandeira de Oliveira"/>
    <s v="Feminino"/>
    <x v="7"/>
    <x v="24"/>
    <s v="Sao José - 2 - Fisioterapia Ortopédica - Pacote (R$ 20,00)"/>
    <s v="Fisioterapia"/>
    <n v="170977"/>
    <s v="Finalizado (2/10)"/>
    <n v="15"/>
    <n v="5"/>
    <n v="20"/>
    <s v="Pago"/>
    <n v="59578"/>
    <n v="59578"/>
    <s v="Unidade Sao Jose"/>
    <n v="170977"/>
    <m/>
  </r>
  <r>
    <x v="19"/>
    <x v="17"/>
    <s v="Lucas Gloria da Costa"/>
    <s v="Masculino"/>
    <x v="7"/>
    <x v="24"/>
    <s v="Sao José - 2 - Fisioterapia Ortopédica - Pacote (R$ 20,00)"/>
    <s v="Fisioterapia"/>
    <n v="170074"/>
    <s v="Finalizado (4/10)"/>
    <n v="15"/>
    <n v="5"/>
    <n v="20"/>
    <s v="Pago"/>
    <n v="59490"/>
    <n v="59490"/>
    <s v="Unidade Sao Jose"/>
    <n v="170074"/>
    <m/>
  </r>
  <r>
    <x v="19"/>
    <x v="17"/>
    <s v="Ana Cleude Pantoja da Silva"/>
    <s v="Feminino"/>
    <x v="8"/>
    <x v="24"/>
    <s v="20103492 - Patologia Em Dois Ou Mais Membros (R$ 14,83), 20103514 - Patologia Em Diferentes Segmentos da Coluna (R$ 14,83)"/>
    <s v="Fisioterapia"/>
    <n v="1704905703"/>
    <s v="Finalizado (5/5)"/>
    <n v="24.914400000000001"/>
    <n v="4.7455999999999996"/>
    <n v="29.66"/>
    <s v="Sessão Faturada"/>
    <n v="954600008567000"/>
    <n v="23678"/>
    <s v="Unidade Sao Jose"/>
    <n v="1704905703"/>
    <m/>
  </r>
  <r>
    <x v="19"/>
    <x v="8"/>
    <s v="Francinete Lima de Souza"/>
    <s v="Feminino"/>
    <x v="7"/>
    <x v="24"/>
    <s v="Sao José - 2 - Fisioterapia Ortopédica - Pacote (R$ 20,00)"/>
    <s v="Fisioterapia"/>
    <n v="160701"/>
    <s v="Finalizado (8/10)"/>
    <n v="15"/>
    <n v="5"/>
    <n v="20"/>
    <s v="Pago"/>
    <n v="58537"/>
    <n v="58537"/>
    <s v="Unidade Sao Jose"/>
    <n v="160701"/>
    <m/>
  </r>
  <r>
    <x v="19"/>
    <x v="8"/>
    <s v="Elrilane Santos dos Santos"/>
    <s v="Feminino"/>
    <x v="7"/>
    <x v="24"/>
    <s v="Sao José - 2 - Fisioterapia Ortopédica - Pacote (R$ 20,00)"/>
    <s v="Fisioterapia"/>
    <n v="170078"/>
    <s v="Finalizado (9/10)"/>
    <n v="15"/>
    <n v="5"/>
    <n v="20"/>
    <s v="Pago"/>
    <n v="59492"/>
    <n v="59492"/>
    <s v="Unidade Sao Jose"/>
    <n v="170078"/>
    <m/>
  </r>
  <r>
    <x v="20"/>
    <x v="44"/>
    <s v="Ana Clara Santos Maia"/>
    <s v="Feminino"/>
    <x v="7"/>
    <x v="24"/>
    <s v="Sao José - 2 - Fisioterapia Ortopédica - Pacote (R$ 20,00)"/>
    <s v="Fisioterapia"/>
    <n v="169276"/>
    <s v="Finalizado (9/10)"/>
    <n v="15"/>
    <n v="5"/>
    <n v="20"/>
    <s v="Pago"/>
    <n v="59190"/>
    <n v="59190"/>
    <s v="Unidade Sao Jose"/>
    <n v="169276"/>
    <m/>
  </r>
  <r>
    <x v="20"/>
    <x v="44"/>
    <s v="Custodia Herminia de Sousa Filha"/>
    <s v="Feminino"/>
    <x v="7"/>
    <x v="24"/>
    <s v="Sao José - 2 - Fisioterapia Ortopédica - Pacote (R$ 20,00)"/>
    <s v="Fisioterapia"/>
    <n v="170248"/>
    <s v="Finalizado (8/10)"/>
    <n v="15"/>
    <n v="5"/>
    <n v="20"/>
    <s v="Pago"/>
    <n v="58051"/>
    <n v="58051"/>
    <s v="Unidade Sao Jose"/>
    <n v="170248"/>
    <m/>
  </r>
  <r>
    <x v="20"/>
    <x v="41"/>
    <s v="Andrea de Moraes  Campos"/>
    <s v="Feminino"/>
    <x v="8"/>
    <x v="24"/>
    <s v="20103514 - Patologia Em Diferentes Segmentos da Coluna (R$ 14,83)"/>
    <s v="Fisioterapia"/>
    <n v="1710853024"/>
    <s v="Finalizado (2/3)"/>
    <n v="12.4572"/>
    <n v="2.3727999999999998"/>
    <n v="14.83"/>
    <s v="Sessão Faturada"/>
    <n v="954600006130000"/>
    <n v="50427"/>
    <s v="Unidade Sao Jose"/>
    <n v="1710853024"/>
    <m/>
  </r>
  <r>
    <x v="20"/>
    <x v="41"/>
    <s v="Andrea de Moraes  Campos"/>
    <s v="Feminino"/>
    <x v="9"/>
    <x v="24"/>
    <s v="31602185 - Estimulação Elétrica Transcutânea (Tens) - Removido 13/04/2026 (R$ 40,00)"/>
    <s v="Fisioterapia"/>
    <n v="1711269519"/>
    <s v="Finalizado (1/2)"/>
    <n v="33.6"/>
    <n v="6.4"/>
    <n v="40"/>
    <s v="Sessão Faturada"/>
    <n v="954600006130000"/>
    <n v="50427"/>
    <s v="Unidade Sao Jose"/>
    <n v="1711269519"/>
    <m/>
  </r>
  <r>
    <x v="20"/>
    <x v="41"/>
    <s v="Marta Marcione Bentes Albuquerque"/>
    <s v="Feminino"/>
    <x v="9"/>
    <x v="24"/>
    <s v="31602185 - Estimulação Elétrica Transcutânea (Tens) - Removido 13/04/2026 (R$ 40,00)"/>
    <s v="Fisioterapia"/>
    <n v="1711270934"/>
    <s v="Finalizado (1/5)"/>
    <n v="33.6"/>
    <n v="6.4"/>
    <n v="40"/>
    <s v="Sessão Faturada"/>
    <n v="954600004960000"/>
    <n v="40103"/>
    <s v="Unidade Sao Jose"/>
    <n v="1711270934"/>
    <m/>
  </r>
  <r>
    <x v="20"/>
    <x v="41"/>
    <s v="Maria do Carmo Marinho"/>
    <s v="Feminino"/>
    <x v="7"/>
    <x v="24"/>
    <s v="Sao José - 2 - Fisioterapia Ortopédica - Pacote (R$ 20,00)"/>
    <s v="Fisioterapia"/>
    <n v="169944"/>
    <s v="Finalizado (6/10)"/>
    <n v="15"/>
    <n v="5"/>
    <n v="20"/>
    <s v="Pago"/>
    <n v="59484"/>
    <n v="59484"/>
    <s v="Unidade Sao Jose"/>
    <n v="169944"/>
    <m/>
  </r>
  <r>
    <x v="20"/>
    <x v="76"/>
    <s v="Andrea de Moraes  Campos"/>
    <s v="Feminino"/>
    <x v="8"/>
    <x v="24"/>
    <s v="20103522 - Fisioterapia - Pac Com Dependencia de Vida Diária (R$ 23,59)"/>
    <s v="Fisioterapia"/>
    <n v="1710852500"/>
    <s v="Finalizado (2/3)"/>
    <n v="19.8156"/>
    <n v="3.7744"/>
    <n v="23.59"/>
    <s v="Sessão Faturada"/>
    <n v="954600006130000"/>
    <n v="50427"/>
    <s v="Unidade Sao Jose"/>
    <n v="1710852500"/>
    <m/>
  </r>
  <r>
    <x v="20"/>
    <x v="76"/>
    <s v="Marta Marcione Bentes Albuquerque"/>
    <s v="Feminino"/>
    <x v="8"/>
    <x v="24"/>
    <s v="20103670 - Pos Operatorio Em Dois Ou Mais Membros (R$ 19,30)"/>
    <s v="Fisioterapia"/>
    <n v="1704615184"/>
    <s v="Finalizado (5/5)"/>
    <n v="16.212"/>
    <n v="3.0880000000000001"/>
    <n v="19.3"/>
    <s v="Sessão Faturada"/>
    <n v="954600004960000"/>
    <n v="40103"/>
    <s v="Unidade Sao Jose"/>
    <n v="1704615184"/>
    <m/>
  </r>
  <r>
    <x v="20"/>
    <x v="48"/>
    <s v="Andrea de Moraes  Campos"/>
    <s v="Feminino"/>
    <x v="8"/>
    <x v="24"/>
    <s v="20103670 - Pos Operatorio Em Dois Ou Mais Membros (R$ 19,30)"/>
    <s v="Fisioterapia"/>
    <n v="1710852078"/>
    <s v="Finalizado (2/3)"/>
    <n v="16.212"/>
    <n v="3.0880000000000001"/>
    <n v="19.3"/>
    <s v="Sessão Faturada"/>
    <n v="954600006130000"/>
    <n v="50427"/>
    <s v="Unidade Sao Jose"/>
    <n v="1710852078"/>
    <m/>
  </r>
  <r>
    <x v="20"/>
    <x v="48"/>
    <s v="Marta Marcione Bentes Albuquerque"/>
    <s v="Feminino"/>
    <x v="8"/>
    <x v="24"/>
    <s v="20103492 - Patologia Em Dois Ou Mais Membros (R$ 14,83), 20103514 - Patologia Em Diferentes Segmentos da Coluna (R$ 14,83)"/>
    <s v="Fisioterapia"/>
    <n v="1704614483"/>
    <s v="Finalizado (5/5)"/>
    <n v="24.914400000000001"/>
    <n v="4.7455999999999996"/>
    <n v="29.66"/>
    <s v="Sessão Faturada"/>
    <n v="954600004960000"/>
    <n v="40103"/>
    <s v="Unidade Sao Jose"/>
    <n v="1704614483"/>
    <m/>
  </r>
  <r>
    <x v="20"/>
    <x v="36"/>
    <s v="Manuela Soares de Freitas Mendonca"/>
    <s v="Feminino"/>
    <x v="8"/>
    <x v="24"/>
    <s v="20103484 - Patologia Em Um Membro (R$ 12,22), 20103514 - Patologia Em Diferentes Segmentos da Coluna (R$ 14,83)"/>
    <s v="Fisioterapia"/>
    <n v="1711332318"/>
    <s v="Finalizado (1/5)"/>
    <n v="22.722000000000001"/>
    <n v="4.3280000000000003"/>
    <n v="27.05"/>
    <s v="Sessão Faturada"/>
    <n v="954600000256030"/>
    <n v="53656"/>
    <s v="Unidade Sao Jose"/>
    <n v="1711332318"/>
    <m/>
  </r>
  <r>
    <x v="20"/>
    <x v="36"/>
    <s v="Simone Soares Franco"/>
    <s v="Feminino"/>
    <x v="8"/>
    <x v="24"/>
    <s v="20103522 - Fisioterapia - Pac Com Dependencia de Vida Diária (R$ 23,59)"/>
    <s v="Fisioterapia"/>
    <n v="1711330841"/>
    <s v="Finalizado (1/5)"/>
    <n v="19.8156"/>
    <n v="3.7744"/>
    <n v="23.59"/>
    <s v="Sessão Faturada"/>
    <n v="954600000256000"/>
    <n v="24181"/>
    <s v="Unidade Sao Jose"/>
    <n v="1711330841"/>
    <m/>
  </r>
  <r>
    <x v="20"/>
    <x v="36"/>
    <s v="Ednelia de Castro Moreira"/>
    <s v="Feminino"/>
    <x v="2"/>
    <x v="24"/>
    <s v="20103662 - Fisioterapia - Pos Operatorio Em Um Membro (R$ 14,99)"/>
    <s v="Fisioterapia"/>
    <n v="1707253872"/>
    <s v="Finalizado (5/5)"/>
    <n v="12.5916"/>
    <n v="2.3984000000000001"/>
    <n v="14.99"/>
    <s v="Sessão Faturada"/>
    <n v="771015041548020"/>
    <n v="58471"/>
    <s v="Unidade Sao Jose"/>
    <n v="1707253872"/>
    <m/>
  </r>
  <r>
    <x v="20"/>
    <x v="36"/>
    <s v="Simone Soares Franco"/>
    <s v="Feminino"/>
    <x v="8"/>
    <x v="24"/>
    <s v="20103492 - Patologia Em Dois Ou Mais Membros (R$ 14,83)"/>
    <s v="Fisioterapia"/>
    <n v="1711330110"/>
    <s v="Finalizado (1/5)"/>
    <n v="12.4572"/>
    <n v="2.3727999999999998"/>
    <n v="14.83"/>
    <s v="Sessão Faturada"/>
    <n v="954600000256000"/>
    <n v="24181"/>
    <s v="Unidade Sao Jose"/>
    <n v="1711330110"/>
    <m/>
  </r>
  <r>
    <x v="20"/>
    <x v="36"/>
    <s v="Kamila Marques da Silva"/>
    <s v="Feminino"/>
    <x v="7"/>
    <x v="24"/>
    <s v="Sao José - 2 - Fisioterapia Ortopédica - Pacote (R$ 20,00)"/>
    <s v="Fisioterapia"/>
    <n v="169541"/>
    <s v="Finalizado (7/10)"/>
    <n v="15"/>
    <n v="5"/>
    <n v="20"/>
    <s v="Pago"/>
    <n v="59454"/>
    <n v="59454"/>
    <s v="Unidade Sao Jose"/>
    <n v="169541"/>
    <m/>
  </r>
  <r>
    <x v="20"/>
    <x v="36"/>
    <s v="Dilson Pereira Dourado"/>
    <m/>
    <x v="27"/>
    <x v="24"/>
    <s v="20103492 - Patol. Em Dois Ou Mais Membros (R$ 14,83), 20103514 - Patol. Em Diferentes Segmentos da Coluna (R$ 14,83)"/>
    <s v="Fisioterapia"/>
    <n v="1708808219"/>
    <s v="Finalizado (5/5)"/>
    <n v="24.914400000000001"/>
    <n v="4.7455999999999996"/>
    <n v="29.66"/>
    <s v="Sessão a Faturar"/>
    <n v="898081400019000"/>
    <n v="54845"/>
    <s v="Unidade Sao Jose"/>
    <n v="1708808219"/>
    <m/>
  </r>
  <r>
    <x v="20"/>
    <x v="61"/>
    <s v="Dilson Pereira Dourado"/>
    <m/>
    <x v="4"/>
    <x v="24"/>
    <s v="31602185 - Estimulação Elétrica Transcutânea - Removido 13/04/2026 (R$ 40,00)"/>
    <s v="Fisioterapia"/>
    <n v="1710187903"/>
    <s v="Finalizado (3/3)"/>
    <n v="33.6"/>
    <n v="6.4"/>
    <n v="40"/>
    <s v="Sessão Faturada"/>
    <n v="898081400019000"/>
    <n v="54845"/>
    <s v="Unidade Sao Jose"/>
    <n v="1710187903"/>
    <m/>
  </r>
  <r>
    <x v="20"/>
    <x v="61"/>
    <s v="Manuela Soares de Freitas Mendonca"/>
    <s v="Feminino"/>
    <x v="9"/>
    <x v="24"/>
    <s v="31602185 - Estimulação Elétrica Transcutânea (Tens) - Removido 13/04/2026 (R$ 40,00)"/>
    <s v="Fisioterapia"/>
    <n v="1711333463"/>
    <s v="Finalizado (1/5)"/>
    <n v="33.6"/>
    <n v="6.4"/>
    <n v="40"/>
    <s v="Sessão Faturada"/>
    <n v="954600000256030"/>
    <n v="53656"/>
    <s v="Unidade Sao Jose"/>
    <n v="1711333463"/>
    <m/>
  </r>
  <r>
    <x v="20"/>
    <x v="61"/>
    <s v="Ednelia de Castro Moreira"/>
    <s v="Feminino"/>
    <x v="4"/>
    <x v="24"/>
    <s v="31602185 - Estimulação Elétrica Transcutânea - Removido 13/04/2026 (R$ 40,00)"/>
    <s v="Fisioterapia"/>
    <n v="1710766971"/>
    <s v="Finalizado (2/2)"/>
    <n v="33.6"/>
    <n v="6.4"/>
    <n v="40"/>
    <s v="Sessão Faturada"/>
    <n v="771015041548020"/>
    <n v="58471"/>
    <s v="Unidade Sao Jose"/>
    <n v="1710766971"/>
    <m/>
  </r>
  <r>
    <x v="20"/>
    <x v="40"/>
    <s v="Inoru Uchigasaki"/>
    <s v="Masculino"/>
    <x v="7"/>
    <x v="24"/>
    <s v="Sao José - 4 - Fisioterapia Neurológica/Respiratória - Pacote (R$ 50,00)"/>
    <s v="Fisioterapia"/>
    <n v="169780"/>
    <s v="Finalizado (5/10)"/>
    <n v="37.5"/>
    <n v="12.5"/>
    <n v="50"/>
    <s v="Pago"/>
    <n v="59468"/>
    <n v="59468"/>
    <s v="Unidade Sao Jose"/>
    <n v="169780"/>
    <m/>
  </r>
  <r>
    <x v="20"/>
    <x v="40"/>
    <s v="Francisca Zuleide de Oliveira Araujo"/>
    <s v="Feminino"/>
    <x v="7"/>
    <x v="24"/>
    <s v="Sao José - 2 - Fisioterapia Ortopédica - Pacote (R$ 20,00)"/>
    <s v="Fisioterapia"/>
    <n v="170621"/>
    <s v="Finalizado (7/10)"/>
    <n v="15"/>
    <n v="5"/>
    <n v="20"/>
    <s v="Pago"/>
    <n v="59540"/>
    <n v="59540"/>
    <s v="Unidade Sao Jose"/>
    <n v="170621"/>
    <m/>
  </r>
  <r>
    <x v="20"/>
    <x v="35"/>
    <s v="Celia Medeiros Correa"/>
    <s v="Feminino"/>
    <x v="7"/>
    <x v="24"/>
    <s v="Sao José - 2 - Fisioterapia Ortopédica - Pacote (R$ 20,00)"/>
    <s v="Fisioterapia"/>
    <n v="170432"/>
    <s v="Finalizado (9/10)"/>
    <n v="15"/>
    <n v="5"/>
    <n v="20"/>
    <s v="Pago"/>
    <n v="59521"/>
    <n v="59521"/>
    <s v="Unidade Sao Jose"/>
    <n v="170432"/>
    <m/>
  </r>
  <r>
    <x v="20"/>
    <x v="35"/>
    <s v="Luciana Mendoça Martins"/>
    <s v="Feminino"/>
    <x v="7"/>
    <x v="24"/>
    <s v="Sao José - 2 - Fisioterapia Ortopédica - Pacote (R$ 20,00)"/>
    <s v="Fisioterapia"/>
    <n v="171007"/>
    <s v="Finalizado (4/10)"/>
    <n v="15"/>
    <n v="5"/>
    <n v="20"/>
    <s v="Pago"/>
    <n v="59582"/>
    <n v="59582"/>
    <s v="Unidade Sao Jose"/>
    <n v="171007"/>
    <m/>
  </r>
  <r>
    <x v="20"/>
    <x v="35"/>
    <s v="Elisangela de Araujo Souza"/>
    <s v="Feminino"/>
    <x v="9"/>
    <x v="24"/>
    <s v="31602185 - Estimulação Elétrica Transcutânea (Tens) - Removido 13/04/2026 (R$ 40,00)"/>
    <s v="Fisioterapia"/>
    <n v="1711398536"/>
    <s v="Finalizado (1/2)"/>
    <n v="33.6"/>
    <n v="6.4"/>
    <n v="40"/>
    <s v="Sessão Faturada"/>
    <n v="954600000884010"/>
    <n v="26307"/>
    <s v="Unidade Sao Jose"/>
    <n v="1711398536"/>
    <m/>
  </r>
  <r>
    <x v="20"/>
    <x v="42"/>
    <s v="Elisangela de Araujo Souza"/>
    <s v="Feminino"/>
    <x v="8"/>
    <x v="24"/>
    <s v="20103484 - Patologia Em Um Membro (R$ 12,22)"/>
    <s v="Fisioterapia"/>
    <n v="1707290569"/>
    <s v="Finalizado (4/5)"/>
    <n v="10.264799999999999"/>
    <n v="1.9552"/>
    <n v="12.22"/>
    <s v="Sessão Faturada"/>
    <n v="954600000884010"/>
    <n v="26307"/>
    <s v="Unidade Sao Jose"/>
    <n v="1707290569"/>
    <m/>
  </r>
  <r>
    <x v="20"/>
    <x v="38"/>
    <s v="Juvencia Rosa de Melo"/>
    <s v="Feminino"/>
    <x v="7"/>
    <x v="24"/>
    <s v="Sao José - 3 - Fisioterapia Neurológica/Respiratória - Sessão (R$ 60,00)"/>
    <s v="Fisioterapia"/>
    <n v="171581"/>
    <s v="Finalizado (1/1)"/>
    <n v="45"/>
    <n v="15"/>
    <n v="60"/>
    <s v="Pago"/>
    <n v="59574"/>
    <n v="59574"/>
    <s v="Unidade Sao Jose"/>
    <n v="171581"/>
    <m/>
  </r>
  <r>
    <x v="20"/>
    <x v="38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2/10)"/>
    <n v="30"/>
    <n v="10"/>
    <n v="40"/>
    <s v="Pago"/>
    <n v="59611"/>
    <n v="59611"/>
    <s v="Unidade Sao Jose"/>
    <n v="171321"/>
    <m/>
  </r>
  <r>
    <x v="20"/>
    <x v="37"/>
    <s v="Wildson Costa dos Santos"/>
    <s v="Masculino"/>
    <x v="6"/>
    <x v="24"/>
    <s v="20103662 - Pos Operatorio Em Um Membro (R$ 22,53)"/>
    <s v="Fisioterapia"/>
    <n v="171322"/>
    <s v="Finalizado (3/10)"/>
    <n v="18.9252"/>
    <n v="3.6048"/>
    <n v="22.53"/>
    <s v="Sessão Faturada"/>
    <s v="58201065998121610018"/>
    <n v="59580"/>
    <s v="Unidade Sao Jose"/>
    <n v="171322"/>
    <m/>
  </r>
  <r>
    <x v="20"/>
    <x v="63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3/10)"/>
    <n v="37.312800000000003"/>
    <n v="7.1071999999999997"/>
    <n v="44.42"/>
    <s v="Sessão Faturada"/>
    <s v="58201065998121610018"/>
    <n v="59580"/>
    <s v="Unidade Sao Jose"/>
    <n v="171323"/>
    <m/>
  </r>
  <r>
    <x v="20"/>
    <x v="43"/>
    <s v="Victor Hugo Tavares Pereira"/>
    <s v="Masculino"/>
    <x v="27"/>
    <x v="24"/>
    <s v="20103662 - Pos Operatorio Em Um Membro (R$ 14,99)"/>
    <s v="Fisioterapia"/>
    <n v="1702839342"/>
    <s v="Finalizado (5/5)"/>
    <n v="12.5916"/>
    <n v="2.3984000000000001"/>
    <n v="14.99"/>
    <s v="Sessão Faturada"/>
    <n v="774642023205000"/>
    <n v="54184"/>
    <s v="Unidade Sao Jose"/>
    <n v="1702839342"/>
    <m/>
  </r>
  <r>
    <x v="20"/>
    <x v="22"/>
    <s v="Maria Sueide Pacheco"/>
    <s v="Feminino"/>
    <x v="12"/>
    <x v="24"/>
    <s v="20103662 - Pos Operatorio Em Um Membro (R$ 14,99)"/>
    <s v="Fisioterapia"/>
    <n v="168355"/>
    <s v="Finalizado (10/10)"/>
    <n v="12.5916"/>
    <n v="2.3984000000000001"/>
    <n v="14.99"/>
    <s v="Sessão Faturada"/>
    <s v="000432154994220501"/>
    <n v="26513"/>
    <s v="Unidade Sao Jose"/>
    <n v="168355"/>
    <m/>
  </r>
  <r>
    <x v="20"/>
    <x v="22"/>
    <s v="Rosangela Rodrigues Sabino"/>
    <s v="Feminino"/>
    <x v="7"/>
    <x v="24"/>
    <s v="Sao José - 2 - Fisioterapia Ortopédica - Pacote (R$ 20,00)"/>
    <s v="Fisioterapia"/>
    <n v="171193"/>
    <s v="Finalizado (4/10)"/>
    <n v="15"/>
    <n v="5"/>
    <n v="20"/>
    <s v="Pago"/>
    <n v="59595"/>
    <n v="59595"/>
    <s v="Unidade Sao Jose"/>
    <n v="171193"/>
    <m/>
  </r>
  <r>
    <x v="20"/>
    <x v="23"/>
    <s v="Maria Sueide Pacheco"/>
    <s v="Feminino"/>
    <x v="12"/>
    <x v="24"/>
    <s v="31602185 - Estimulação Elétrica Transcutânea (Tens) (R$ 49,00)"/>
    <s v="Fisioterapia"/>
    <n v="10285188"/>
    <s v="Finalizado (8/10)"/>
    <n v="41.16"/>
    <n v="7.84"/>
    <n v="49"/>
    <s v="Sessão Faturada"/>
    <s v="000432154994220501"/>
    <n v="26513"/>
    <s v="Unidade Sao Jose"/>
    <n v="10285188"/>
    <m/>
  </r>
  <r>
    <x v="20"/>
    <x v="0"/>
    <s v="Nádia Eunice Batalha de Pinho"/>
    <s v="Feminino"/>
    <x v="27"/>
    <x v="24"/>
    <s v="20103484 - Patologia Em Um Membro (R$ 12,22)"/>
    <s v="Fisioterapia"/>
    <n v="1710346187"/>
    <s v="Finalizado (2/5)"/>
    <n v="10.264799999999999"/>
    <n v="1.9552"/>
    <n v="12.22"/>
    <s v="Sessão Faturada"/>
    <n v="774385001546010"/>
    <n v="58963"/>
    <s v="Unidade Sao Jose"/>
    <n v="1710346187"/>
    <m/>
  </r>
  <r>
    <x v="20"/>
    <x v="53"/>
    <s v="Nádia Eunice Batalha de Pinho"/>
    <s v="Feminino"/>
    <x v="27"/>
    <x v="24"/>
    <s v="20103662 - Pos Operatorio Em Um Membro (R$ 14,99)"/>
    <s v="Fisioterapia"/>
    <n v="1710383583"/>
    <s v="Finalizado (2/5)"/>
    <n v="12.5916"/>
    <n v="2.3984000000000001"/>
    <n v="14.99"/>
    <s v="Sessão Faturada"/>
    <n v="774385001546010"/>
    <n v="58963"/>
    <s v="Unidade Sao Jose"/>
    <n v="1710383583"/>
    <m/>
  </r>
  <r>
    <x v="20"/>
    <x v="91"/>
    <s v="Nádia Eunice Batalha de Pinho"/>
    <s v="Feminino"/>
    <x v="4"/>
    <x v="24"/>
    <s v="31602185 - Estimulação Elétrica Transcutânea - Removido 13/04/2026 (R$ 40,00)"/>
    <s v="Fisioterapia"/>
    <n v="1711550565"/>
    <s v="Finalizado (1/4)"/>
    <n v="33.6"/>
    <n v="6.4"/>
    <n v="40"/>
    <s v="Sessão Faturada"/>
    <n v="774385001546010"/>
    <n v="58963"/>
    <s v="Unidade Sao Jose"/>
    <n v="1711550565"/>
    <m/>
  </r>
  <r>
    <x v="20"/>
    <x v="2"/>
    <s v="Cristiane Villar de Holanda"/>
    <s v="Feminino"/>
    <x v="7"/>
    <x v="24"/>
    <s v="Sao José - 2 - Fisioterapia Ortopédica - Pacote (R$ 20,00)"/>
    <s v="Fisioterapia"/>
    <n v="170499"/>
    <s v="Finalizado (5/10)"/>
    <n v="15"/>
    <n v="5"/>
    <n v="20"/>
    <s v="Pago"/>
    <n v="41493"/>
    <n v="41493"/>
    <s v="Unidade Sao Jose"/>
    <n v="170499"/>
    <m/>
  </r>
  <r>
    <x v="20"/>
    <x v="4"/>
    <s v="Larissa Ribeiro Ferreira"/>
    <s v="Feminino"/>
    <x v="7"/>
    <x v="24"/>
    <s v="Sao José - 2 - Fisioterapia Ortopédica - Pacote (R$ 20,00)"/>
    <s v="Fisioterapia"/>
    <n v="171610"/>
    <s v="Finalizado (1/10)"/>
    <n v="15"/>
    <n v="5"/>
    <n v="20"/>
    <s v="Pago"/>
    <n v="28555"/>
    <n v="28555"/>
    <s v="Unidade Sao Jose"/>
    <n v="171610"/>
    <m/>
  </r>
  <r>
    <x v="20"/>
    <x v="13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09158617"/>
    <s v="Finalizado (4/5)"/>
    <n v="24.914400000000001"/>
    <n v="4.7455999999999996"/>
    <n v="29.66"/>
    <s v="Sessão Faturada"/>
    <n v="954600003042000"/>
    <n v="29915"/>
    <s v="Unidade Sao Jose"/>
    <n v="1709158617"/>
    <m/>
  </r>
  <r>
    <x v="20"/>
    <x v="31"/>
    <s v="Jean da Silva Melo"/>
    <s v="Masculino"/>
    <x v="14"/>
    <x v="24"/>
    <s v="20103662 - Fisioterapia - Pos Operatorio Em Um Membro (R$ 14,99)"/>
    <s v="Fisioterapia"/>
    <n v="1709222110"/>
    <s v="Finalizado (4/5)"/>
    <n v="12.5916"/>
    <n v="2.3984000000000001"/>
    <n v="14.99"/>
    <s v="Sessão Faturada"/>
    <n v="954600003042000"/>
    <n v="29915"/>
    <s v="Unidade Sao Jose"/>
    <n v="1709222110"/>
    <m/>
  </r>
  <r>
    <x v="20"/>
    <x v="32"/>
    <s v="Jean da Silva Melo"/>
    <s v="Masculino"/>
    <x v="9"/>
    <x v="24"/>
    <s v="31602185 - Estimulação Elétrica Transcutânea (Tens) - Removido 13/04/2026 (R$ 40,00)"/>
    <s v="Fisioterapia"/>
    <n v="1710458934"/>
    <s v="Finalizado (3/5)"/>
    <n v="33.6"/>
    <n v="6.4"/>
    <n v="40"/>
    <s v="Sessão Faturada"/>
    <n v="954600003042000"/>
    <n v="29915"/>
    <s v="Unidade Sao Jose"/>
    <n v="1710458934"/>
    <m/>
  </r>
  <r>
    <x v="20"/>
    <x v="15"/>
    <s v="Rossylene de Jesus Pinto da Silva"/>
    <s v="Feminino"/>
    <x v="7"/>
    <x v="24"/>
    <s v="Sao José - 2 - Fisioterapia Ortopédica - Pacote (R$ 20,00)"/>
    <s v="Fisioterapia"/>
    <n v="171503"/>
    <s v="Finalizado (2/10)"/>
    <n v="15"/>
    <n v="5"/>
    <n v="20"/>
    <s v="Pago"/>
    <n v="58721"/>
    <n v="58721"/>
    <s v="Unidade Sao Jose"/>
    <n v="171503"/>
    <m/>
  </r>
  <r>
    <x v="20"/>
    <x v="17"/>
    <s v="Elrilane Santos dos Santos"/>
    <s v="Feminino"/>
    <x v="7"/>
    <x v="24"/>
    <s v="Sao José - 2 - Fisioterapia Ortopédica - Pacote (R$ 20,00)"/>
    <s v="Fisioterapia"/>
    <n v="170078"/>
    <s v="Finalizado (10/10)"/>
    <n v="15"/>
    <n v="5"/>
    <n v="20"/>
    <s v="Pago"/>
    <n v="59492"/>
    <n v="59492"/>
    <s v="Unidade Sao Jose"/>
    <n v="170078"/>
    <m/>
  </r>
  <r>
    <x v="20"/>
    <x v="17"/>
    <s v="Alessandro da Silva Vieira"/>
    <s v="Masculino"/>
    <x v="8"/>
    <x v="24"/>
    <s v="20103662 - Pos Operatorio Em Um Membro (R$ 14,99)"/>
    <s v="Fisioterapia"/>
    <n v="1709861239"/>
    <s v="Finalizado (2/5)"/>
    <n v="12.5916"/>
    <n v="2.3984000000000001"/>
    <n v="14.99"/>
    <s v="Sessão Faturada"/>
    <n v="954600024350000"/>
    <n v="57332"/>
    <s v="Unidade Sao Jose"/>
    <n v="1709861239"/>
    <m/>
  </r>
  <r>
    <x v="20"/>
    <x v="17"/>
    <s v="Maria Neide Oliveira Marques"/>
    <s v="Feminino"/>
    <x v="8"/>
    <x v="24"/>
    <s v="20103514 - Patologia Em Diferentes Segmentos da Coluna (R$ 14,83)"/>
    <s v="Fisioterapia"/>
    <n v="1709225829"/>
    <s v="Finalizado (3/5)"/>
    <n v="12.4572"/>
    <n v="2.3727999999999998"/>
    <n v="14.83"/>
    <s v="Sessão Faturada"/>
    <n v="954600008419020"/>
    <n v="52794"/>
    <s v="Unidade Sao Jose"/>
    <n v="1709225829"/>
    <m/>
  </r>
  <r>
    <x v="20"/>
    <x v="24"/>
    <s v="Maria Neide Oliveira Marques"/>
    <s v="Feminino"/>
    <x v="8"/>
    <x v="24"/>
    <s v="20103522 - Fisioterapia - Pac Com Dependencia de Vida Diária (R$ 23,59)"/>
    <s v="Fisioterapia"/>
    <n v="1709226202"/>
    <s v="Finalizado (3/5)"/>
    <n v="19.8156"/>
    <n v="3.7744"/>
    <n v="23.59"/>
    <s v="Sessão Faturada"/>
    <n v="954600008419020"/>
    <n v="52794"/>
    <s v="Unidade Sao Jose"/>
    <n v="1709226202"/>
    <m/>
  </r>
  <r>
    <x v="20"/>
    <x v="25"/>
    <s v="Maria Neide Oliveira Marques"/>
    <s v="Feminino"/>
    <x v="9"/>
    <x v="24"/>
    <s v="31602185 - Estimulação Elétrica Transcutânea (Tens) - Removido 13/04/2026 (R$ 40,00)"/>
    <s v="Fisioterapia"/>
    <n v="1710472621"/>
    <s v="Finalizado (2/5)"/>
    <n v="33.6"/>
    <n v="6.4"/>
    <n v="40"/>
    <s v="Sessão Faturada"/>
    <n v="954600008419020"/>
    <n v="52794"/>
    <s v="Unidade Sao Jose"/>
    <n v="1710472621"/>
    <m/>
  </r>
  <r>
    <x v="20"/>
    <x v="8"/>
    <s v="Carlos Victor Lopes de Souza"/>
    <s v="Masculino"/>
    <x v="7"/>
    <x v="24"/>
    <s v="Sao José - 4 - Fisioterapia Neurológica/Respiratória - Pacote (R$ 50,00)"/>
    <s v="Fisioterapia"/>
    <n v="170555"/>
    <s v="Finalizado (5/10)"/>
    <n v="37.5"/>
    <n v="12.5"/>
    <n v="50"/>
    <s v="Pago"/>
    <n v="56621"/>
    <n v="56621"/>
    <s v="Unidade Sao Jose"/>
    <n v="170555"/>
    <m/>
  </r>
  <r>
    <x v="23"/>
    <x v="44"/>
    <s v="Kyssia Roberta Sena Batista de Souza"/>
    <s v="Feminino"/>
    <x v="8"/>
    <x v="24"/>
    <s v="20103662 - Pos Operatorio Em Um Membro (R$ 14,99)"/>
    <s v="Fisioterapia"/>
    <n v="1711863303"/>
    <s v="Finalizado (1/5)"/>
    <n v="12.5916"/>
    <n v="2.3984000000000001"/>
    <n v="14.99"/>
    <s v="Sessão Faturada"/>
    <n v="954600002461000"/>
    <n v="58661"/>
    <s v="Unidade Sao Jose"/>
    <n v="1711863303"/>
    <m/>
  </r>
  <r>
    <x v="23"/>
    <x v="44"/>
    <s v="Rosangela Rodrigues Sabino"/>
    <s v="Feminino"/>
    <x v="7"/>
    <x v="24"/>
    <s v="Sao José - 2 - Fisioterapia Ortopédica - Pacote (R$ 20,00)"/>
    <s v="Fisioterapia"/>
    <n v="171193"/>
    <s v="Finalizado (5/10)"/>
    <n v="15"/>
    <n v="5"/>
    <n v="20"/>
    <s v="Pago"/>
    <n v="59595"/>
    <n v="59595"/>
    <s v="Unidade Sao Jose"/>
    <n v="171193"/>
    <m/>
  </r>
  <r>
    <x v="23"/>
    <x v="44"/>
    <s v="Francisca Zuleide de Oliveira Araujo"/>
    <s v="Feminino"/>
    <x v="7"/>
    <x v="24"/>
    <s v="Sao José - 2 - Fisioterapia Ortopédica - Pacote (R$ 20,00)"/>
    <s v="Fisioterapia"/>
    <n v="170621"/>
    <s v="Finalizado (8/10)"/>
    <n v="15"/>
    <n v="5"/>
    <n v="20"/>
    <s v="Pago"/>
    <n v="59540"/>
    <n v="59540"/>
    <s v="Unidade Sao Jose"/>
    <n v="170621"/>
    <m/>
  </r>
  <r>
    <x v="23"/>
    <x v="44"/>
    <s v="Ana Cristina Soares dos Santos Nunes"/>
    <s v="Feminino"/>
    <x v="6"/>
    <x v="24"/>
    <s v="20103492 - Patologia Em Dois Ou Mais Membros (R$ 30,26), 20103514 - Patologia Em Dois Ou Mais Segmentos da Coluna (R$ 32,82)"/>
    <s v="Fisioterapia"/>
    <n v="168709"/>
    <s v="Finalizado (5/5)"/>
    <n v="52.987200000000001"/>
    <n v="10.0928"/>
    <n v="63.08"/>
    <s v="Sessão Faturada"/>
    <s v="56788888483384430019"/>
    <n v="46812"/>
    <s v="Unidade Sao Jose"/>
    <n v="168709"/>
    <m/>
  </r>
  <r>
    <x v="23"/>
    <x v="60"/>
    <s v="Ana Cristina Soares dos Santos Nunes"/>
    <s v="Feminino"/>
    <x v="6"/>
    <x v="24"/>
    <s v="31602185 - Estimulação Elétrica Transcutanea (Tens) (R$ 40,00)"/>
    <s v="Fisioterapia"/>
    <n v="168999"/>
    <s v="Finalizado (3/5)"/>
    <n v="33.6"/>
    <n v="6.4"/>
    <n v="40"/>
    <s v="Sessão Faturada"/>
    <s v="56788888483384430019"/>
    <n v="46812"/>
    <s v="Unidade Sao Jose"/>
    <n v="168999"/>
    <m/>
  </r>
  <r>
    <x v="23"/>
    <x v="40"/>
    <s v="Milza Santos"/>
    <s v="Feminino"/>
    <x v="14"/>
    <x v="24"/>
    <s v="20103492 - Fisioterapia - Patologia Em Dois Ou Mais Membros (R$ 14,83), 20103506 - Fisioterapia - Patologia Em Um Segmento da Coluna (R$ 12,22)"/>
    <s v="Fisioterapia"/>
    <n v="1705860320"/>
    <s v="Finalizado (4/5)"/>
    <n v="22.722000000000001"/>
    <n v="4.3280000000000003"/>
    <n v="27.05"/>
    <s v="Sessão Faturada"/>
    <n v="954600000493010"/>
    <n v="41659"/>
    <s v="Unidade Sao Jose"/>
    <n v="1705860320"/>
    <m/>
  </r>
  <r>
    <x v="23"/>
    <x v="40"/>
    <s v="Celia Medeiros Correa"/>
    <s v="Feminino"/>
    <x v="7"/>
    <x v="24"/>
    <s v="Sao José - 2 - Fisioterapia Ortopédica - Pacote (R$ 20,00)"/>
    <s v="Fisioterapia"/>
    <n v="170432"/>
    <s v="Finalizado (10/10)"/>
    <n v="15"/>
    <n v="5"/>
    <n v="20"/>
    <s v="Pago"/>
    <n v="59521"/>
    <n v="59521"/>
    <s v="Unidade Sao Jose"/>
    <n v="170432"/>
    <m/>
  </r>
  <r>
    <x v="23"/>
    <x v="35"/>
    <s v="Tamires Cordeiro de Melo"/>
    <s v="Feminino"/>
    <x v="27"/>
    <x v="24"/>
    <s v="50000144 - Avaliação de Fisioterapia (R$ 51,42)"/>
    <s v="Fisioterapia"/>
    <n v="1711942445"/>
    <s v="Finalizado (1/1)"/>
    <n v="46.277999999999999"/>
    <n v="5.1420000000000003"/>
    <n v="51.42"/>
    <s v="Sessão Faturada"/>
    <n v="773626012483020"/>
    <n v="59648"/>
    <s v="Unidade Sao Jose"/>
    <n v="1711942445"/>
    <m/>
  </r>
  <r>
    <x v="23"/>
    <x v="38"/>
    <s v="Josinaldo Sampaio da Silva"/>
    <s v="Masculino"/>
    <x v="6"/>
    <x v="24"/>
    <s v="20103476 - Patologia Neurologica - 25/03/2025 (R$ 33,75)"/>
    <s v="Fisioterapia"/>
    <n v="126020"/>
    <s v="Finalizado (4/10)"/>
    <n v="28.35"/>
    <n v="5.4"/>
    <n v="33.75"/>
    <s v="Sessão Faturada"/>
    <s v="54588888004873420010"/>
    <n v="41506"/>
    <s v="Unidade Sao Jose"/>
    <n v="126020"/>
    <s v="assinada"/>
  </r>
  <r>
    <x v="23"/>
    <x v="37"/>
    <s v="Lucas Gloria da Costa"/>
    <s v="Masculino"/>
    <x v="7"/>
    <x v="24"/>
    <s v="Sao José - 2 - Fisioterapia Ortopédica - Pacote (R$ 20,00)"/>
    <s v="Fisioterapia"/>
    <n v="170074"/>
    <s v="Finalizado (5/10)"/>
    <n v="15"/>
    <n v="5"/>
    <n v="20"/>
    <s v="Pago"/>
    <n v="59490"/>
    <n v="59490"/>
    <s v="Unidade Sao Jose"/>
    <n v="170074"/>
    <m/>
  </r>
  <r>
    <x v="23"/>
    <x v="37"/>
    <s v="Tamires Cordeiro de Melo"/>
    <s v="Feminino"/>
    <x v="27"/>
    <x v="24"/>
    <s v="20103514 - Patol. Em Diferentes Segmentos da Coluna (R$ 14,83)"/>
    <s v="Fisioterapia"/>
    <n v="1711967516"/>
    <s v="Finalizado (1/5)"/>
    <n v="12.4572"/>
    <n v="2.3727999999999998"/>
    <n v="14.83"/>
    <s v="Sessão Faturada"/>
    <n v="773626012483020"/>
    <n v="59648"/>
    <s v="Unidade Sao Jose"/>
    <n v="1711967516"/>
    <m/>
  </r>
  <r>
    <x v="23"/>
    <x v="37"/>
    <s v="Tamires Cordeiro de Melo"/>
    <s v="Feminino"/>
    <x v="27"/>
    <x v="24"/>
    <s v="20103522 - Fisioterapia - Pac Com Dependencia de Vida Diária (R$ 23,59)"/>
    <s v="Fisioterapia"/>
    <n v="1711967663"/>
    <s v="Finalizado (1/5)"/>
    <n v="19.8156"/>
    <n v="3.7744"/>
    <n v="23.59"/>
    <s v="Sessão Faturada"/>
    <n v="773626012483020"/>
    <n v="59648"/>
    <s v="Unidade Sao Jose"/>
    <n v="1711967663"/>
    <m/>
  </r>
  <r>
    <x v="23"/>
    <x v="39"/>
    <s v="Josinaldo Sampaio da Silva"/>
    <s v="Masculino"/>
    <x v="6"/>
    <x v="24"/>
    <s v="50000144 - Avaliação de Fisioterapia (R$ 56,52)"/>
    <s v="Fisioterapia"/>
    <n v="7700047237"/>
    <s v="Finalizado (1/1)"/>
    <n v="50.868000000000002"/>
    <n v="5.6520000000000001"/>
    <n v="56.52"/>
    <s v="Sessão Faturada"/>
    <s v="54588888004873420010"/>
    <n v="41506"/>
    <s v="Unidade Sao Jose"/>
    <n v="7700047237"/>
    <m/>
  </r>
  <r>
    <x v="23"/>
    <x v="39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09158617"/>
    <s v="Finalizado (5/5)"/>
    <n v="24.914400000000001"/>
    <n v="4.7455999999999996"/>
    <n v="29.66"/>
    <s v="Sessão Faturada"/>
    <n v="954600003042000"/>
    <n v="29915"/>
    <s v="Unidade Sao Jose"/>
    <n v="1709158617"/>
    <m/>
  </r>
  <r>
    <x v="23"/>
    <x v="72"/>
    <s v="Jean da Silva Melo"/>
    <s v="Masculino"/>
    <x v="14"/>
    <x v="24"/>
    <s v="20103662 - Fisioterapia - Pos Operatorio Em Um Membro (R$ 14,99)"/>
    <s v="Fisioterapia"/>
    <n v="1709222110"/>
    <s v="Finalizado (5/5)"/>
    <n v="12.5916"/>
    <n v="2.3984000000000001"/>
    <n v="14.99"/>
    <s v="Sessão Faturada"/>
    <n v="954600003042000"/>
    <n v="29915"/>
    <s v="Unidade Sao Jose"/>
    <n v="1709222110"/>
    <m/>
  </r>
  <r>
    <x v="23"/>
    <x v="59"/>
    <s v="Jean da Silva Melo"/>
    <s v="Masculino"/>
    <x v="9"/>
    <x v="24"/>
    <s v="31602185 - Estimulação Elétrica Transcutânea (Tens) - Removido 13/04/2026 (R$ 40,00)"/>
    <s v="Fisioterapia"/>
    <n v="1710458934"/>
    <s v="Finalizado (4/5)"/>
    <n v="33.6"/>
    <n v="6.4"/>
    <n v="40"/>
    <s v="Sessão Faturada"/>
    <n v="954600003042000"/>
    <n v="29915"/>
    <s v="Unidade Sao Jose"/>
    <n v="1710458934"/>
    <m/>
  </r>
  <r>
    <x v="0"/>
    <x v="44"/>
    <s v="Francisca Zuleide de Oliveira Araujo"/>
    <s v="Feminino"/>
    <x v="7"/>
    <x v="24"/>
    <s v="Sao José - 2 - Fisioterapia Ortopédica - Pacote (R$ 20,00)"/>
    <s v="Fisioterapia"/>
    <n v="170621"/>
    <s v="Finalizado (9/10)"/>
    <n v="15"/>
    <n v="5"/>
    <n v="20"/>
    <s v="Pago"/>
    <n v="59540"/>
    <n v="59540"/>
    <s v="Unidade Sao Jose"/>
    <n v="170621"/>
    <m/>
  </r>
  <r>
    <x v="0"/>
    <x v="44"/>
    <s v="Custodia Herminia de Sousa Filha"/>
    <s v="Feminino"/>
    <x v="7"/>
    <x v="24"/>
    <s v="Sao José - 2 - Fisioterapia Ortopédica - Pacote (R$ 20,00)"/>
    <s v="Fisioterapia"/>
    <n v="170248"/>
    <s v="Finalizado (9/10)"/>
    <n v="15"/>
    <n v="5"/>
    <n v="20"/>
    <s v="Pago"/>
    <n v="58051"/>
    <n v="58051"/>
    <s v="Unidade Sao Jose"/>
    <n v="170248"/>
    <m/>
  </r>
  <r>
    <x v="0"/>
    <x v="44"/>
    <s v="Richelle Chris Oliveira Santos"/>
    <s v="Feminino"/>
    <x v="27"/>
    <x v="24"/>
    <s v="50000144 - Consulta de Fisioterapia (R$ 51,42)"/>
    <s v="Fisioterapia"/>
    <n v="1712561092"/>
    <s v="Finalizado (1/1)"/>
    <n v="46.277999999999999"/>
    <n v="5.1420000000000003"/>
    <n v="51.42"/>
    <s v="Sessão Faturada"/>
    <n v="960015883016010"/>
    <n v="59621"/>
    <s v="Unidade Sao Jose"/>
    <n v="1712561092"/>
    <m/>
  </r>
  <r>
    <x v="0"/>
    <x v="44"/>
    <s v="Marinete Torres Martins"/>
    <s v="Feminino"/>
    <x v="2"/>
    <x v="24"/>
    <s v="20103492 - Fisioterapia - Patologia Em Dois Ou Mais Membros (R$ 14,83), 20103514 - Fisioterapia - Patologia Em Diferentes Segmentos da Coluna (R$ 14,83)"/>
    <s v="Fisioterapia"/>
    <n v="1702543358"/>
    <s v="Finalizado (3/4)"/>
    <n v="24.914400000000001"/>
    <n v="4.7455999999999996"/>
    <n v="29.66"/>
    <s v="Sessão Faturada"/>
    <n v="775255000396000"/>
    <n v="50094"/>
    <s v="Unidade Sao Jose"/>
    <n v="1702543358"/>
    <m/>
  </r>
  <r>
    <x v="0"/>
    <x v="60"/>
    <s v="Marinete Torres Martins"/>
    <s v="Feminino"/>
    <x v="4"/>
    <x v="24"/>
    <s v="31602185 - Estimulação Elétrica Transcutânea - Removido 13/04/2026 (R$ 40,00)"/>
    <s v="Fisioterapia"/>
    <n v="1712538004"/>
    <s v="Finalizado (1/2)"/>
    <n v="33.6"/>
    <n v="6.4"/>
    <n v="40"/>
    <s v="Sessão Faturada"/>
    <n v="775255000396000"/>
    <n v="50094"/>
    <s v="Unidade Sao Jose"/>
    <n v="1712538004"/>
    <m/>
  </r>
  <r>
    <x v="0"/>
    <x v="41"/>
    <s v="Josiane de Sousa Santos"/>
    <s v="Feminino"/>
    <x v="8"/>
    <x v="24"/>
    <s v="20103492 - Patologia Em Dois Ou Mais Membros (R$ 14,83), 20103514 - Patologia Em Diferentes Segmentos da Coluna (R$ 14,83)"/>
    <s v="Fisioterapia"/>
    <n v="1708954638"/>
    <s v="Finalizado (5/5)"/>
    <n v="24.914400000000001"/>
    <n v="4.7455999999999996"/>
    <n v="29.66"/>
    <s v="Sessão Faturada"/>
    <n v="954600005274010"/>
    <n v="23225"/>
    <s v="Unidade Sao Jose"/>
    <n v="1708954638"/>
    <m/>
  </r>
  <r>
    <x v="0"/>
    <x v="41"/>
    <s v="Marta Marcione Bentes Albuquerque"/>
    <s v="Feminino"/>
    <x v="9"/>
    <x v="24"/>
    <s v="31602185 - Estimulação Elétrica Transcutânea (Tens) - Removido 13/04/2026 (R$ 40,00)"/>
    <s v="Fisioterapia"/>
    <n v="1711270934"/>
    <s v="Finalizado (2/5)"/>
    <n v="33.6"/>
    <n v="6.4"/>
    <n v="40"/>
    <s v="Sessão Faturada"/>
    <n v="954600004960000"/>
    <n v="40103"/>
    <s v="Unidade Sao Jose"/>
    <n v="1711270934"/>
    <m/>
  </r>
  <r>
    <x v="0"/>
    <x v="41"/>
    <s v="Marta Marcione Bentes Albuquerque"/>
    <s v="Feminino"/>
    <x v="8"/>
    <x v="24"/>
    <s v="20103670 - Pos Operatorio Em Dois Ou Mais Membros (R$ 19,30)"/>
    <s v="Fisioterapia"/>
    <n v="1712565823"/>
    <s v="Finalizado (1/5)"/>
    <n v="16.212"/>
    <n v="3.0880000000000001"/>
    <n v="19.3"/>
    <s v="Sessão Faturada"/>
    <n v="954600004960000"/>
    <n v="40103"/>
    <s v="Unidade Sao Jose"/>
    <n v="1712565823"/>
    <m/>
  </r>
  <r>
    <x v="0"/>
    <x v="41"/>
    <s v="Ana Clara Santos Maia"/>
    <s v="Feminino"/>
    <x v="7"/>
    <x v="24"/>
    <s v="Sao José - 2 - Fisioterapia Ortopédica - Pacote (R$ 20,00)"/>
    <s v="Fisioterapia"/>
    <n v="169276"/>
    <s v="Finalizado (10/10)"/>
    <n v="15"/>
    <n v="5"/>
    <n v="20"/>
    <s v="Pago"/>
    <n v="59190"/>
    <n v="59190"/>
    <s v="Unidade Sao Jose"/>
    <n v="169276"/>
    <m/>
  </r>
  <r>
    <x v="0"/>
    <x v="41"/>
    <s v="Silvia Serrão de Figueiredo"/>
    <s v="Feminino"/>
    <x v="27"/>
    <x v="24"/>
    <s v="20103522 - Fisioterapia - Pac Com Dependencia de Vida Diária (R$ 23,59)"/>
    <s v="Fisioterapia"/>
    <n v="1705564431"/>
    <s v="Finalizado (4/5)"/>
    <n v="19.8156"/>
    <n v="3.7744"/>
    <n v="23.59"/>
    <s v="Sessão Faturada"/>
    <n v="772133000485020"/>
    <n v="25348"/>
    <s v="Unidade Sao Jose"/>
    <n v="1705564431"/>
    <m/>
  </r>
  <r>
    <x v="0"/>
    <x v="41"/>
    <s v="Maria do Carmo Marinho"/>
    <s v="Feminino"/>
    <x v="7"/>
    <x v="24"/>
    <s v="Sao José - 2 - Fisioterapia Ortopédica - Pacote (R$ 20,00)"/>
    <s v="Fisioterapia"/>
    <n v="169944"/>
    <s v="Finalizado (7/10)"/>
    <n v="15"/>
    <n v="5"/>
    <n v="20"/>
    <s v="Pago"/>
    <n v="59484"/>
    <n v="59484"/>
    <s v="Unidade Sao Jose"/>
    <n v="169944"/>
    <m/>
  </r>
  <r>
    <x v="0"/>
    <x v="65"/>
    <s v="Marta Marcione Bentes Albuquerque"/>
    <s v="Feminino"/>
    <x v="8"/>
    <x v="24"/>
    <s v="20103492 - Patologia Em Dois Ou Mais Membros (R$ 14,83), 20103514 - Patologia Em Diferentes Segmentos da Coluna (R$ 14,83)"/>
    <s v="Fisioterapia"/>
    <n v="1712566763"/>
    <s v="Finalizado (1/5)"/>
    <n v="24.914400000000001"/>
    <n v="4.7455999999999996"/>
    <n v="29.66"/>
    <s v="Sessão Faturada"/>
    <n v="954600004960000"/>
    <n v="40103"/>
    <s v="Unidade Sao Jose"/>
    <n v="1712566763"/>
    <m/>
  </r>
  <r>
    <x v="0"/>
    <x v="65"/>
    <s v="Silvia Serrão de Figueiredo"/>
    <s v="Feminino"/>
    <x v="27"/>
    <x v="24"/>
    <s v="20103492 - Patol. Em Dois Ou Mais Membros (R$ 14,83), 20103514 - Patol. Em Diferentes Segmentos da Coluna (R$ 14,83)"/>
    <s v="Fisioterapia"/>
    <n v="1706695150"/>
    <s v="Finalizado (3/5)"/>
    <n v="24.914400000000001"/>
    <n v="4.7455999999999996"/>
    <n v="29.66"/>
    <s v="Sessão Faturada"/>
    <n v="772133000485020"/>
    <n v="25348"/>
    <s v="Unidade Sao Jose"/>
    <n v="1706695150"/>
    <m/>
  </r>
  <r>
    <x v="0"/>
    <x v="36"/>
    <s v="Josinaldo Sampaio da Silva"/>
    <s v="Masculino"/>
    <x v="6"/>
    <x v="24"/>
    <s v="20103476 - Patologia Neurologica - 25/03/2025 (R$ 33,75)"/>
    <s v="Fisioterapia"/>
    <n v="126020"/>
    <s v="Finalizado (5/10)"/>
    <n v="28.35"/>
    <n v="5.4"/>
    <n v="33.75"/>
    <s v="Sessão Faturada"/>
    <s v="54588888004873420010"/>
    <n v="41506"/>
    <s v="Unidade Sao Jose"/>
    <n v="126020"/>
    <s v="assinada"/>
  </r>
  <r>
    <x v="0"/>
    <x v="36"/>
    <s v="Richelle Chris Oliveira Santos"/>
    <s v="Feminino"/>
    <x v="27"/>
    <x v="24"/>
    <s v="20103492 - Patol. Em Dois Ou Mais Membros (R$ 14,83)"/>
    <s v="Fisioterapia"/>
    <n v="1712584759"/>
    <s v="Finalizado (1/5)"/>
    <n v="12.4572"/>
    <n v="2.3727999999999998"/>
    <n v="14.83"/>
    <s v="Sessão a Faturar"/>
    <n v="960015883016010"/>
    <n v="59621"/>
    <s v="Unidade Sao Jose"/>
    <n v="1712584759"/>
    <m/>
  </r>
  <r>
    <x v="0"/>
    <x v="36"/>
    <s v="Maria da Conceição Bandeira de Oliveira"/>
    <s v="Feminino"/>
    <x v="7"/>
    <x v="24"/>
    <s v="Sao José - 2 - Fisioterapia Ortopédica - Pacote (R$ 20,00)"/>
    <s v="Fisioterapia"/>
    <n v="170977"/>
    <s v="Finalizado (3/10)"/>
    <n v="15"/>
    <n v="5"/>
    <n v="20"/>
    <s v="Pago"/>
    <n v="59578"/>
    <n v="59578"/>
    <s v="Unidade Sao Jose"/>
    <n v="170977"/>
    <m/>
  </r>
  <r>
    <x v="0"/>
    <x v="61"/>
    <s v="Josinaldo Sampaio da Silva"/>
    <s v="Masculino"/>
    <x v="6"/>
    <x v="24"/>
    <s v="31602185 - Estimulação Elétrica Transcutanea (Tens) - 01/09/2025 (R$ 96,68)"/>
    <s v="Fisioterapia"/>
    <n v="126164"/>
    <s v="Finalizado (4/5)"/>
    <n v="81.211200000000005"/>
    <n v="15.4688"/>
    <n v="96.68"/>
    <s v="Sessão Faturada"/>
    <s v="54588888004873420010"/>
    <n v="41506"/>
    <s v="Unidade Sao Jose"/>
    <n v="126164"/>
    <s v="assinada"/>
  </r>
  <r>
    <x v="0"/>
    <x v="40"/>
    <s v="Cosme Pereira Borges"/>
    <s v="Masculino"/>
    <x v="7"/>
    <x v="24"/>
    <s v="Sao José - 2 - Fisioterapia Ortopédica - Pacote (R$ 20,00)"/>
    <s v="Fisioterapia"/>
    <n v="171796"/>
    <s v="Finalizado (1/10)"/>
    <n v="15"/>
    <n v="5"/>
    <n v="20"/>
    <s v="Pago"/>
    <n v="59654"/>
    <n v="59654"/>
    <s v="Unidade Sao Jose"/>
    <n v="171796"/>
    <m/>
  </r>
  <r>
    <x v="0"/>
    <x v="40"/>
    <s v="Sheila Miranda de Brito"/>
    <s v="Feminino"/>
    <x v="8"/>
    <x v="24"/>
    <s v="20103662 - Pos Operatorio Em Um Membro (R$ 14,99)"/>
    <s v="Fisioterapia"/>
    <n v="1703790210"/>
    <s v="Finalizado (4/5)"/>
    <n v="12.5916"/>
    <n v="2.3984000000000001"/>
    <n v="14.99"/>
    <s v="Sessão Faturada"/>
    <n v="954440000590010"/>
    <n v="46121"/>
    <s v="Unidade Sao Jose"/>
    <n v="1703790210"/>
    <m/>
  </r>
  <r>
    <x v="0"/>
    <x v="40"/>
    <s v="Manuela Soares de Freitas Mendonca"/>
    <s v="Feminino"/>
    <x v="9"/>
    <x v="24"/>
    <s v="31602185 - Estimulação Elétrica Transcutânea (Tens) - Removido 13/04/2026 (R$ 40,00)"/>
    <s v="Fisioterapia"/>
    <n v="1711333463"/>
    <s v="Finalizado (2/5)"/>
    <n v="33.6"/>
    <n v="6.4"/>
    <n v="40"/>
    <s v="Sessão Faturada"/>
    <n v="954600000256030"/>
    <n v="53656"/>
    <s v="Unidade Sao Jose"/>
    <n v="1711333463"/>
    <m/>
  </r>
  <r>
    <x v="0"/>
    <x v="40"/>
    <s v="Simone Soares Franco"/>
    <s v="Feminino"/>
    <x v="8"/>
    <x v="24"/>
    <s v="20103522 - Fisioterapia - Pac Com Dependencia de Vida Diária (R$ 23,59)"/>
    <s v="Fisioterapia"/>
    <n v="1711330841"/>
    <s v="Finalizado (2/5)"/>
    <n v="19.8156"/>
    <n v="3.7744"/>
    <n v="23.59"/>
    <s v="Sessão Faturada"/>
    <n v="954600000256000"/>
    <n v="24181"/>
    <s v="Unidade Sao Jose"/>
    <n v="1711330841"/>
    <m/>
  </r>
  <r>
    <x v="0"/>
    <x v="45"/>
    <s v="Manuela Soares de Freitas Mendonca"/>
    <s v="Feminino"/>
    <x v="8"/>
    <x v="24"/>
    <s v="20103484 - Patologia Em Um Membro (R$ 12,22), 20103514 - Patologia Em Diferentes Segmentos da Coluna (R$ 14,83)"/>
    <s v="Fisioterapia"/>
    <n v="1711332318"/>
    <s v="Finalizado (2/5)"/>
    <n v="22.722000000000001"/>
    <n v="4.3280000000000003"/>
    <n v="27.05"/>
    <s v="Sessão Faturada"/>
    <n v="954600000256030"/>
    <n v="53656"/>
    <s v="Unidade Sao Jose"/>
    <n v="1711332318"/>
    <m/>
  </r>
  <r>
    <x v="0"/>
    <x v="45"/>
    <s v="Simone Soares Franco"/>
    <s v="Feminino"/>
    <x v="8"/>
    <x v="24"/>
    <s v="20103492 - Patologia Em Dois Ou Mais Membros (R$ 14,83)"/>
    <s v="Fisioterapia"/>
    <n v="1711330110"/>
    <s v="Finalizado (2/5)"/>
    <n v="12.4572"/>
    <n v="2.3727999999999998"/>
    <n v="14.83"/>
    <s v="Sessão Faturada"/>
    <n v="954600000256000"/>
    <n v="24181"/>
    <s v="Unidade Sao Jose"/>
    <n v="1711330110"/>
    <m/>
  </r>
  <r>
    <x v="0"/>
    <x v="35"/>
    <s v="Juvencia Rosa de Melo"/>
    <s v="Feminino"/>
    <x v="7"/>
    <x v="24"/>
    <s v="Part Convenio - 7 - Fisioterapia Neurológica - Sessão (R$ 60,00)"/>
    <s v="Fisioterapia"/>
    <n v="171783"/>
    <s v="Finalizado (1/1)"/>
    <n v="45"/>
    <n v="15"/>
    <n v="60"/>
    <s v="Pago"/>
    <n v="59574"/>
    <n v="59574"/>
    <s v="Unidade Sao Jose"/>
    <n v="171783"/>
    <m/>
  </r>
  <r>
    <x v="0"/>
    <x v="38"/>
    <s v="Elisangela de Araujo Souza"/>
    <s v="Feminino"/>
    <x v="8"/>
    <x v="24"/>
    <s v="20103484 - Patologia Em Um Membro (R$ 12,22)"/>
    <s v="Fisioterapia"/>
    <n v="1707290569"/>
    <s v="Finalizado (5/5)"/>
    <n v="10.264799999999999"/>
    <n v="1.9552"/>
    <n v="12.22"/>
    <s v="Sessão Faturada"/>
    <n v="954600000884010"/>
    <n v="26307"/>
    <s v="Unidade Sao Jose"/>
    <n v="1707290569"/>
    <m/>
  </r>
  <r>
    <x v="0"/>
    <x v="62"/>
    <s v="Elisangela de Araujo Souza"/>
    <s v="Feminino"/>
    <x v="9"/>
    <x v="24"/>
    <s v="31602185 - Estimulação Elétrica Transcutânea (Tens) - Removido 13/04/2026 (R$ 40,00)"/>
    <s v="Fisioterapia"/>
    <n v="1711398536"/>
    <s v="Finalizado (2/2)"/>
    <n v="33.6"/>
    <n v="6.4"/>
    <n v="40"/>
    <s v="Sessão Faturada"/>
    <n v="954600000884010"/>
    <n v="26307"/>
    <s v="Unidade Sao Jose"/>
    <n v="1711398536"/>
    <m/>
  </r>
  <r>
    <x v="0"/>
    <x v="37"/>
    <s v="Jacqueline Lima de Oliveira"/>
    <s v="Feminino"/>
    <x v="27"/>
    <x v="24"/>
    <s v="20103670 - Pos Operatorio Em Dois Ou Mais Membros (R$ 19,30)"/>
    <s v="Fisioterapia"/>
    <n v="1707298806"/>
    <s v="Finalizado (4/5)"/>
    <n v="16.212"/>
    <n v="3.0880000000000001"/>
    <n v="19.3"/>
    <s v="Sessão Faturada"/>
    <n v="611481880006000"/>
    <n v="59217"/>
    <s v="Unidade Sao Jose"/>
    <n v="1707298806"/>
    <m/>
  </r>
  <r>
    <x v="0"/>
    <x v="58"/>
    <s v="Jacqueline Lima de Oliveira"/>
    <s v="Feminino"/>
    <x v="27"/>
    <x v="24"/>
    <s v="20103522 - Fisioterapia - Pac Com Dependencia de Vida Diária (R$ 23,59)"/>
    <s v="Fisioterapia"/>
    <n v="1707299573"/>
    <s v="Finalizado (4/5)"/>
    <n v="19.8156"/>
    <n v="3.7744"/>
    <n v="23.59"/>
    <s v="Sessão Faturada"/>
    <n v="611481880006000"/>
    <n v="59217"/>
    <s v="Unidade Sao Jose"/>
    <n v="1707299573"/>
    <m/>
  </r>
  <r>
    <x v="0"/>
    <x v="50"/>
    <s v="Jacqueline Lima de Oliveira"/>
    <s v="Feminino"/>
    <x v="4"/>
    <x v="24"/>
    <s v="31602185 - Estimulação Elétrica Transcutânea - Removido 13/04/2026 (R$ 40,00)"/>
    <s v="Fisioterapia"/>
    <n v="1710226070"/>
    <s v="Finalizado (2/5)"/>
    <n v="33.6"/>
    <n v="6.4"/>
    <n v="40"/>
    <s v="Sessão Faturada"/>
    <n v="611481880006000"/>
    <n v="59217"/>
    <s v="Unidade Sao Jose"/>
    <n v="1710226070"/>
    <m/>
  </r>
  <r>
    <x v="0"/>
    <x v="22"/>
    <s v="Luciana Mendoça Martins"/>
    <s v="Feminino"/>
    <x v="7"/>
    <x v="24"/>
    <s v="Sao José - 2 - Fisioterapia Ortopédica - Pacote (R$ 20,00)"/>
    <s v="Fisioterapia"/>
    <n v="171007"/>
    <s v="Finalizado (5/10)"/>
    <n v="15"/>
    <n v="5"/>
    <n v="20"/>
    <s v="Pago"/>
    <n v="59582"/>
    <n v="59582"/>
    <s v="Unidade Sao Jose"/>
    <n v="171007"/>
    <m/>
  </r>
  <r>
    <x v="0"/>
    <x v="22"/>
    <s v="Ângela Isabel Barbosa Rego"/>
    <s v="Feminino"/>
    <x v="7"/>
    <x v="24"/>
    <s v="Sao José - 2 - Fisioterapia Ortopédica - Pacote (R$ 20,00)"/>
    <s v="Fisioterapia"/>
    <n v="169554"/>
    <s v="Finalizado (9/10)"/>
    <n v="15"/>
    <n v="5"/>
    <n v="20"/>
    <s v="Pago"/>
    <n v="59455"/>
    <n v="59455"/>
    <s v="Unidade Sao Jose"/>
    <n v="169554"/>
    <m/>
  </r>
  <r>
    <x v="0"/>
    <x v="22"/>
    <s v="Marlene Pereira Lima"/>
    <s v="Feminino"/>
    <x v="7"/>
    <x v="24"/>
    <s v="Sao José - 2 - Fisioterapia Ortopédica - Pacote (R$ 20,00)"/>
    <s v="Fisioterapia"/>
    <n v="171851"/>
    <s v="Finalizado (1/10)"/>
    <n v="15"/>
    <n v="5"/>
    <n v="20"/>
    <s v="Pago"/>
    <n v="37569"/>
    <n v="37569"/>
    <s v="Unidade Sao Jose"/>
    <n v="171851"/>
    <m/>
  </r>
  <r>
    <x v="0"/>
    <x v="22"/>
    <s v="Jose Edson Moura de Melo"/>
    <s v="Masculino"/>
    <x v="2"/>
    <x v="24"/>
    <s v="20103662 - Fisioterapia - Pos Operatorio Em Um Membro (R$ 14,99)"/>
    <s v="Fisioterapia"/>
    <n v="1702153113"/>
    <s v="Finalizado (4/5)"/>
    <n v="12.5916"/>
    <n v="2.3984000000000001"/>
    <n v="14.99"/>
    <s v="Sessão Faturada"/>
    <n v="774722014389010"/>
    <n v="45960"/>
    <s v="Unidade Sao Jose"/>
    <n v="1702153113"/>
    <m/>
  </r>
  <r>
    <x v="0"/>
    <x v="0"/>
    <s v="Rosangela Rodrigues Sabino"/>
    <s v="Feminino"/>
    <x v="7"/>
    <x v="24"/>
    <s v="Sao José - 2 - Fisioterapia Ortopédica - Pacote (R$ 20,00)"/>
    <s v="Fisioterapia"/>
    <n v="171193"/>
    <s v="Finalizado (6/10)"/>
    <n v="15"/>
    <n v="5"/>
    <n v="20"/>
    <s v="Pago"/>
    <n v="59595"/>
    <n v="59595"/>
    <s v="Unidade Sao Jose"/>
    <n v="171193"/>
    <m/>
  </r>
  <r>
    <x v="0"/>
    <x v="4"/>
    <s v="Maria de Fátima Cardoso de Medeiros"/>
    <s v="Feminino"/>
    <x v="27"/>
    <x v="24"/>
    <s v="50000144 - Avaliação de Fisioterapia (R$ 51,42)"/>
    <s v="Fisioterapia"/>
    <n v="1712915177"/>
    <s v="Finalizado (1/1)"/>
    <n v="46.277999999999999"/>
    <n v="5.1420000000000003"/>
    <n v="51.42"/>
    <s v="Sessão Faturada"/>
    <n v="773458021210010"/>
    <n v="59643"/>
    <s v="Unidade Sao Jose"/>
    <n v="1712915177"/>
    <m/>
  </r>
  <r>
    <x v="0"/>
    <x v="4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9760665"/>
    <s v="Finalizado (3/5)"/>
    <n v="24.914400000000001"/>
    <n v="4.7455999999999996"/>
    <n v="29.66"/>
    <s v="Sessão Faturada"/>
    <n v="843486100370000"/>
    <n v="49710"/>
    <s v="Unidade Sao Jose"/>
    <n v="1709760665"/>
    <m/>
  </r>
  <r>
    <x v="0"/>
    <x v="4"/>
    <s v="Cristiane Villar de Holanda"/>
    <s v="Feminino"/>
    <x v="7"/>
    <x v="24"/>
    <s v="Sao José - 2 - Fisioterapia Ortopédica - Pacote (R$ 20,00)"/>
    <s v="Fisioterapia"/>
    <n v="170499"/>
    <s v="Finalizado (6/10)"/>
    <n v="15"/>
    <n v="5"/>
    <n v="20"/>
    <s v="Pago"/>
    <n v="41493"/>
    <n v="41493"/>
    <s v="Unidade Sao Jose"/>
    <n v="170499"/>
    <m/>
  </r>
  <r>
    <x v="0"/>
    <x v="4"/>
    <s v="Jean da Silva Melo"/>
    <s v="Masculino"/>
    <x v="9"/>
    <x v="24"/>
    <s v="31602185 - Estimulação Elétrica Transcutânea (Tens) - Removido 13/04/2026 (R$ 40,00)"/>
    <s v="Fisioterapia"/>
    <n v="1710458934"/>
    <s v="Finalizado (5/5)"/>
    <n v="33.6"/>
    <n v="6.4"/>
    <n v="40"/>
    <s v="Sessão Faturada"/>
    <n v="954600003042000"/>
    <n v="29915"/>
    <s v="Unidade Sao Jose"/>
    <n v="1710458934"/>
    <m/>
  </r>
  <r>
    <x v="0"/>
    <x v="29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2903368"/>
    <s v="Finalizado (1/5)"/>
    <n v="24.914400000000001"/>
    <n v="4.7455999999999996"/>
    <n v="29.66"/>
    <s v="Sessão Faturada"/>
    <n v="954600003042000"/>
    <n v="29915"/>
    <s v="Unidade Sao Jose"/>
    <n v="1712903368"/>
    <m/>
  </r>
  <r>
    <x v="0"/>
    <x v="5"/>
    <s v="Clicia Nayara Coimbra Soares"/>
    <s v="Feminino"/>
    <x v="4"/>
    <x v="24"/>
    <s v="31602185 - Estimulação Elétrica Transcutânea - Removido 13/04/2026 (R$ 40,00)"/>
    <s v="Fisioterapia"/>
    <n v="1712925805"/>
    <s v="Finalizado (1/3)"/>
    <n v="33.6"/>
    <n v="6.4"/>
    <n v="40"/>
    <s v="Sessão Faturada"/>
    <n v="843486100370000"/>
    <n v="49710"/>
    <s v="Unidade Sao Jose"/>
    <n v="1712925805"/>
    <m/>
  </r>
  <r>
    <x v="0"/>
    <x v="30"/>
    <s v="Jean da Silva Melo"/>
    <s v="Masculino"/>
    <x v="14"/>
    <x v="24"/>
    <s v="20103662 - Fisioterapia - Pos Operatorio Em Um Membro (R$ 14,99)"/>
    <s v="Fisioterapia"/>
    <n v="1712903695"/>
    <s v="Finalizado (1/5)"/>
    <n v="12.5916"/>
    <n v="2.3984000000000001"/>
    <n v="14.99"/>
    <s v="Sessão Faturada"/>
    <n v="954600003042000"/>
    <n v="29915"/>
    <s v="Unidade Sao Jose"/>
    <n v="1712903695"/>
    <m/>
  </r>
  <r>
    <x v="0"/>
    <x v="13"/>
    <s v="Maria de Fátima Cardoso de Medeiros"/>
    <s v="Feminino"/>
    <x v="27"/>
    <x v="24"/>
    <s v="20103662 - Pos Operatorio Em Um Membro (R$ 14,99)"/>
    <s v="Fisioterapia"/>
    <n v="1712932250"/>
    <s v="Finalizado (1/5)"/>
    <n v="12.5916"/>
    <n v="2.3984000000000001"/>
    <n v="14.99"/>
    <s v="Sessão a Faturar"/>
    <n v="773458021210010"/>
    <n v="59643"/>
    <s v="Unidade Sao Jose"/>
    <n v="1712932250"/>
    <m/>
  </r>
  <r>
    <x v="0"/>
    <x v="13"/>
    <s v="Maria de Fátima Cardoso de Medeiros"/>
    <s v="Feminino"/>
    <x v="27"/>
    <x v="24"/>
    <s v="20103484 - Patologia Em Um Membro (R$ 12,22)"/>
    <s v="Fisioterapia"/>
    <n v="1712932250"/>
    <s v="Finalizado (1/3)"/>
    <n v="10.264799999999999"/>
    <n v="1.9552"/>
    <n v="12.22"/>
    <s v="Sessão a Faturar"/>
    <n v="773458021210010"/>
    <n v="59643"/>
    <s v="Unidade Sao Jose"/>
    <n v="1712932250"/>
    <m/>
  </r>
  <r>
    <x v="0"/>
    <x v="6"/>
    <s v="Diana Costa Tavares Gonçalves"/>
    <s v="Feminino"/>
    <x v="4"/>
    <x v="24"/>
    <s v="31602185 - Estimulação Elétrica Transcutânea - Removido 13/04/2026 (R$ 40,00)"/>
    <s v="Fisioterapia"/>
    <n v="1712924637"/>
    <s v="Finalizado (1/3)"/>
    <n v="33.6"/>
    <n v="6.4"/>
    <n v="40"/>
    <s v="Sessão Faturada"/>
    <n v="813227000817000"/>
    <n v="52256"/>
    <s v="Unidade Sao Jose"/>
    <n v="1712924637"/>
    <m/>
  </r>
  <r>
    <x v="0"/>
    <x v="6"/>
    <s v="Leonardo Batista de Souza"/>
    <s v="Masculino"/>
    <x v="5"/>
    <x v="24"/>
    <s v="98860020 - Fisioterapia Complexidade 2 - 04/03/2026 (R$ 70,79)"/>
    <s v="Fisioterapia"/>
    <n v="61519530"/>
    <s v="Finalizado (4/10)"/>
    <n v="59.4636"/>
    <n v="11.3264"/>
    <n v="70.790000000000006"/>
    <s v="Sessão Faturada"/>
    <s v="0101516639000159"/>
    <n v="54993"/>
    <s v="Unidade Sao Jose"/>
    <n v="61519530"/>
    <m/>
  </r>
  <r>
    <x v="0"/>
    <x v="6"/>
    <s v="Rossylene de Jesus Pinto da Silva"/>
    <s v="Feminino"/>
    <x v="7"/>
    <x v="24"/>
    <s v="Sao José - 2 - Fisioterapia Ortopédica - Pacote (R$ 20,00)"/>
    <s v="Fisioterapia"/>
    <n v="171503"/>
    <s v="Finalizado (3/10)"/>
    <n v="15"/>
    <n v="5"/>
    <n v="20"/>
    <s v="Pago"/>
    <n v="58721"/>
    <n v="58721"/>
    <s v="Unidade Sao Jose"/>
    <n v="171503"/>
    <m/>
  </r>
  <r>
    <x v="0"/>
    <x v="7"/>
    <s v="Diana Costa Tavares Gonçalves"/>
    <s v="Feminino"/>
    <x v="27"/>
    <x v="24"/>
    <s v="20103492 - Patol. Em Dois Ou Mais Membros (R$ 14,83), 20103514 - Patol. Em Diferentes Segmentos da Coluna (R$ 14,83)"/>
    <s v="Fisioterapia"/>
    <n v="1708027076"/>
    <s v="Finalizado (2/5)"/>
    <n v="24.914400000000001"/>
    <n v="4.7455999999999996"/>
    <n v="29.66"/>
    <s v="Sessão a Faturar"/>
    <n v="813227000817000"/>
    <n v="52256"/>
    <s v="Unidade Sao Jose"/>
    <n v="1708027076"/>
    <m/>
  </r>
  <r>
    <x v="0"/>
    <x v="17"/>
    <s v="Jairo Barboza Domingues"/>
    <s v="Masculino"/>
    <x v="2"/>
    <x v="24"/>
    <s v="50000144 - Avaliação de Fisioterapia (R$ 51,42)"/>
    <s v="Fisioterapia"/>
    <n v="1712985113"/>
    <s v="Finalizado (1/1)"/>
    <n v="46.277999999999999"/>
    <n v="5.1420000000000003"/>
    <n v="51.42"/>
    <s v="Sessão Faturada"/>
    <n v="960016147828000"/>
    <n v="18356"/>
    <s v="Unidade Sao Jose"/>
    <n v="1712985113"/>
    <m/>
  </r>
  <r>
    <x v="0"/>
    <x v="8"/>
    <s v="Lucas Gloria da Costa"/>
    <s v="Masculino"/>
    <x v="7"/>
    <x v="24"/>
    <s v="Sao José - 2 - Fisioterapia Ortopédica - Pacote (R$ 20,00)"/>
    <s v="Fisioterapia"/>
    <n v="170074"/>
    <s v="Finalizado (6/10)"/>
    <n v="15"/>
    <n v="5"/>
    <n v="20"/>
    <s v="Pago"/>
    <n v="59490"/>
    <n v="59490"/>
    <s v="Unidade Sao Jose"/>
    <n v="170074"/>
    <m/>
  </r>
  <r>
    <x v="0"/>
    <x v="8"/>
    <s v="Haila Vitoria Santos Gomes"/>
    <s v="Feminino"/>
    <x v="7"/>
    <x v="24"/>
    <s v="Sao José - 2 - Fisioterapia Ortopédica - Pacote (R$ 20,00)"/>
    <s v="Fisioterapia"/>
    <n v="169141"/>
    <s v="Finalizado (8/10)"/>
    <n v="15"/>
    <n v="5"/>
    <n v="20"/>
    <s v="Pago"/>
    <n v="59422"/>
    <n v="59422"/>
    <s v="Unidade Sao Jose"/>
    <n v="169141"/>
    <m/>
  </r>
  <r>
    <x v="0"/>
    <x v="10"/>
    <s v="Diane Pinto de Souza"/>
    <s v="Feminino"/>
    <x v="27"/>
    <x v="24"/>
    <s v="20103662 - Pos Operatorio Em Um Membro (R$ 14,99)"/>
    <s v="Fisioterapia"/>
    <n v="1707969765"/>
    <s v="Finalizado (3/4)"/>
    <n v="12.5916"/>
    <n v="2.3984000000000001"/>
    <n v="14.99"/>
    <s v="Sessão a Faturar"/>
    <n v="770179013056000"/>
    <n v="55682"/>
    <s v="Unidade Sao Jose"/>
    <n v="1707969765"/>
    <m/>
  </r>
  <r>
    <x v="0"/>
    <x v="10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3002975"/>
    <s v="Finalizado (1/5)"/>
    <n v="24.914400000000001"/>
    <n v="4.7455999999999996"/>
    <n v="29.66"/>
    <s v="Sessão Faturada"/>
    <n v="960016147828000"/>
    <n v="18356"/>
    <s v="Unidade Sao Jose"/>
    <n v="1713002975"/>
    <m/>
  </r>
  <r>
    <x v="1"/>
    <x v="44"/>
    <s v="Kyssia Roberta Sena Batista de Souza"/>
    <s v="Feminino"/>
    <x v="8"/>
    <x v="24"/>
    <s v="20103662 - Pos Operatorio Em Um Membro (R$ 14,99)"/>
    <s v="Fisioterapia"/>
    <n v="1711863303"/>
    <s v="Finalizado (2/5)"/>
    <n v="12.5916"/>
    <n v="2.3984000000000001"/>
    <n v="14.99"/>
    <s v="Sessão Faturada"/>
    <n v="954600002461000"/>
    <n v="58661"/>
    <s v="Unidade Sao Jose"/>
    <n v="1711863303"/>
    <m/>
  </r>
  <r>
    <x v="1"/>
    <x v="44"/>
    <s v="Richelle Chris Oliveira Santos"/>
    <s v="Feminino"/>
    <x v="27"/>
    <x v="24"/>
    <s v="20103492 - Patol. Em Dois Ou Mais Membros (R$ 14,83)"/>
    <s v="Fisioterapia"/>
    <n v="1712584759"/>
    <s v="Finalizado (2/5)"/>
    <n v="12.4572"/>
    <n v="2.3727999999999998"/>
    <n v="14.83"/>
    <s v="Sessão a Faturar"/>
    <n v="960015883016010"/>
    <n v="59621"/>
    <s v="Unidade Sao Jose"/>
    <n v="1712584759"/>
    <m/>
  </r>
  <r>
    <x v="1"/>
    <x v="44"/>
    <s v="Marta Marcione Bentes Albuquerque"/>
    <s v="Feminino"/>
    <x v="9"/>
    <x v="24"/>
    <s v="31602185 - Estimulação Elétrica Transcutânea (Tens) - Removido 13/04/2026 (R$ 40,00)"/>
    <s v="Fisioterapia"/>
    <n v="1711270934"/>
    <s v="Finalizado (3/5)"/>
    <n v="33.6"/>
    <n v="6.4"/>
    <n v="40"/>
    <s v="Sessão Faturada"/>
    <n v="954600004960000"/>
    <n v="40103"/>
    <s v="Unidade Sao Jose"/>
    <n v="1711270934"/>
    <m/>
  </r>
  <r>
    <x v="1"/>
    <x v="73"/>
    <s v="Marta Marcione Bentes Albuquerque"/>
    <s v="Feminino"/>
    <x v="8"/>
    <x v="24"/>
    <s v="20103492 - Patologia Em Dois Ou Mais Membros (R$ 14,83), 20103514 - Patologia Em Diferentes Segmentos da Coluna (R$ 14,83)"/>
    <s v="Fisioterapia"/>
    <n v="1712566763"/>
    <s v="Finalizado (2/5)"/>
    <n v="24.914400000000001"/>
    <n v="4.7455999999999996"/>
    <n v="29.66"/>
    <s v="Sessão Faturada"/>
    <n v="954600004960000"/>
    <n v="40103"/>
    <s v="Unidade Sao Jose"/>
    <n v="1712566763"/>
    <m/>
  </r>
  <r>
    <x v="1"/>
    <x v="60"/>
    <s v="Kyssia Roberta Sena Batista de Souza"/>
    <s v="Feminino"/>
    <x v="9"/>
    <x v="24"/>
    <s v="31602185 - Estimulação Elétrica Transcutânea (Tens) - Removido 13/04/2026 (R$ 40,00)"/>
    <s v="Fisioterapia"/>
    <n v="1713218640"/>
    <s v="Finalizado (1/5)"/>
    <n v="33.6"/>
    <n v="6.4"/>
    <n v="40"/>
    <s v="Sessão Faturada"/>
    <n v="954600002461000"/>
    <n v="58661"/>
    <s v="Unidade Sao Jose"/>
    <n v="1713218640"/>
    <m/>
  </r>
  <r>
    <x v="1"/>
    <x v="60"/>
    <s v="Richelle Chris Oliveira Santos"/>
    <s v="Feminino"/>
    <x v="4"/>
    <x v="24"/>
    <s v="31602185 - Estimulação Elétrica Transcutânea - Removido 13/04/2026 (R$ 40,00)"/>
    <s v="Fisioterapia"/>
    <n v="1713224644"/>
    <s v="Finalizado (1/5)"/>
    <n v="33.6"/>
    <n v="6.4"/>
    <n v="40"/>
    <s v="Sessão a Faturar"/>
    <n v="960015883016010"/>
    <n v="59621"/>
    <s v="Unidade Sao Jose"/>
    <n v="1713224644"/>
    <m/>
  </r>
  <r>
    <x v="1"/>
    <x v="74"/>
    <s v="Marta Marcione Bentes Albuquerque"/>
    <s v="Feminino"/>
    <x v="8"/>
    <x v="24"/>
    <s v="20103670 - Pos Operatorio Em Dois Ou Mais Membros (R$ 19,30)"/>
    <s v="Fisioterapia"/>
    <n v="1712565823"/>
    <s v="Finalizado (2/5)"/>
    <n v="16.212"/>
    <n v="3.0880000000000001"/>
    <n v="19.3"/>
    <s v="Sessão Faturada"/>
    <n v="954600004960000"/>
    <n v="40103"/>
    <s v="Unidade Sao Jose"/>
    <n v="1712565823"/>
    <m/>
  </r>
  <r>
    <x v="1"/>
    <x v="41"/>
    <s v="Custodia Herminia de Sousa Filha"/>
    <s v="Feminino"/>
    <x v="7"/>
    <x v="24"/>
    <s v="Sao José - 2 - Fisioterapia Ortopédica - Pacote (R$ 20,00)"/>
    <s v="Fisioterapia"/>
    <n v="170248"/>
    <s v="Finalizado (10/10)"/>
    <n v="15"/>
    <n v="5"/>
    <n v="20"/>
    <s v="Pago"/>
    <n v="58051"/>
    <n v="58051"/>
    <s v="Unidade Sao Jose"/>
    <n v="170248"/>
    <m/>
  </r>
  <r>
    <x v="1"/>
    <x v="41"/>
    <s v="Josiane de Sousa Santos"/>
    <s v="Feminino"/>
    <x v="8"/>
    <x v="24"/>
    <s v="20103484 - Patologia Em Um Membro (R$ 12,22), 20103514 - Patologia Em Diferentes Segmentos da Coluna (R$ 14,83)"/>
    <s v="Fisioterapia"/>
    <n v="1713238117"/>
    <s v="Finalizado (1/1)"/>
    <n v="22.722000000000001"/>
    <n v="4.3280000000000003"/>
    <n v="27.05"/>
    <s v="Sessão Faturada"/>
    <n v="954600005274010"/>
    <n v="23225"/>
    <s v="Unidade Sao Jose"/>
    <n v="1713238117"/>
    <m/>
  </r>
  <r>
    <x v="1"/>
    <x v="36"/>
    <s v="Josiane de Sousa Santos"/>
    <s v="Feminino"/>
    <x v="9"/>
    <x v="24"/>
    <s v="31602185 - Estimulação Elétrica Transcutânea (Tens) - Removido 13/04/2026 (R$ 40,00)"/>
    <s v="Fisioterapia"/>
    <n v="1713283780"/>
    <s v="Finalizado (1/5)"/>
    <n v="33.6"/>
    <n v="6.4"/>
    <n v="40"/>
    <s v="Sessão Faturada"/>
    <n v="954600005274010"/>
    <n v="23225"/>
    <s v="Unidade Sao Jose"/>
    <n v="1713283780"/>
    <m/>
  </r>
  <r>
    <x v="1"/>
    <x v="36"/>
    <s v="Kamila Marques da Silva"/>
    <s v="Feminino"/>
    <x v="7"/>
    <x v="24"/>
    <s v="Sao José - 2 - Fisioterapia Ortopédica - Pacote (R$ 20,00)"/>
    <s v="Fisioterapia"/>
    <n v="169541"/>
    <s v="Finalizado (8/10)"/>
    <n v="15"/>
    <n v="5"/>
    <n v="20"/>
    <s v="Pago"/>
    <n v="59454"/>
    <n v="59454"/>
    <s v="Unidade Sao Jose"/>
    <n v="169541"/>
    <m/>
  </r>
  <r>
    <x v="1"/>
    <x v="40"/>
    <s v="Manuela Soares de Freitas Mendonca"/>
    <s v="Feminino"/>
    <x v="9"/>
    <x v="24"/>
    <s v="31602185 - Estimulação Elétrica Transcutânea (Tens) - Removido 13/04/2026 (R$ 40,00)"/>
    <s v="Fisioterapia"/>
    <n v="1711333463"/>
    <s v="Finalizado (3/5)"/>
    <n v="33.6"/>
    <n v="6.4"/>
    <n v="40"/>
    <s v="Sessão Faturada"/>
    <n v="954600000256030"/>
    <n v="53656"/>
    <s v="Unidade Sao Jose"/>
    <n v="1711333463"/>
    <m/>
  </r>
  <r>
    <x v="1"/>
    <x v="40"/>
    <s v="Simone Soares Franco"/>
    <s v="Feminino"/>
    <x v="9"/>
    <x v="24"/>
    <s v="31602185 - Estimulação Elétrica Transcutânea (Tens) - Removido 13/04/2026 (R$ 40,00)"/>
    <s v="Fisioterapia"/>
    <n v="1713269007"/>
    <s v="Finalizado (1/5)"/>
    <n v="33.6"/>
    <n v="6.4"/>
    <n v="40"/>
    <s v="Sessão Faturada"/>
    <n v="954600000256000"/>
    <n v="24181"/>
    <s v="Unidade Sao Jose"/>
    <n v="1713269007"/>
    <m/>
  </r>
  <r>
    <x v="1"/>
    <x v="40"/>
    <s v="Inoru Uchigasaki"/>
    <s v="Masculino"/>
    <x v="7"/>
    <x v="24"/>
    <s v="Sao José - 4 - Fisioterapia Neurológica/Respiratória - Pacote (R$ 50,00)"/>
    <s v="Fisioterapia"/>
    <n v="169780"/>
    <s v="Finalizado (6/10)"/>
    <n v="37.5"/>
    <n v="12.5"/>
    <n v="50"/>
    <s v="Pago"/>
    <n v="59468"/>
    <n v="59468"/>
    <s v="Unidade Sao Jose"/>
    <n v="169780"/>
    <m/>
  </r>
  <r>
    <x v="1"/>
    <x v="49"/>
    <s v="Simone Soares Franco"/>
    <s v="Feminino"/>
    <x v="8"/>
    <x v="24"/>
    <s v="20103522 - Fisioterapia - Pac Com Dependencia de Vida Diária (R$ 23,59)"/>
    <s v="Fisioterapia"/>
    <n v="1711330841"/>
    <s v="Finalizado (3/5)"/>
    <n v="19.8156"/>
    <n v="3.7744"/>
    <n v="23.59"/>
    <s v="Sessão Faturada"/>
    <n v="954600000256000"/>
    <n v="24181"/>
    <s v="Unidade Sao Jose"/>
    <n v="1711330841"/>
    <m/>
  </r>
  <r>
    <x v="1"/>
    <x v="45"/>
    <s v="Manuela Soares de Freitas Mendonca"/>
    <s v="Feminino"/>
    <x v="8"/>
    <x v="24"/>
    <s v="20103484 - Patologia Em Um Membro (R$ 12,22), 20103514 - Patologia Em Diferentes Segmentos da Coluna (R$ 14,83)"/>
    <s v="Fisioterapia"/>
    <n v="1711332318"/>
    <s v="Finalizado (3/5)"/>
    <n v="22.722000000000001"/>
    <n v="4.3280000000000003"/>
    <n v="27.05"/>
    <s v="Sessão Faturada"/>
    <n v="954600000256030"/>
    <n v="53656"/>
    <s v="Unidade Sao Jose"/>
    <n v="1711332318"/>
    <m/>
  </r>
  <r>
    <x v="1"/>
    <x v="55"/>
    <s v="Simone Soares Franco"/>
    <s v="Feminino"/>
    <x v="8"/>
    <x v="24"/>
    <s v="20103492 - Patologia Em Dois Ou Mais Membros (R$ 14,83)"/>
    <s v="Fisioterapia"/>
    <n v="1711330110"/>
    <s v="Finalizado (3/5)"/>
    <n v="12.4572"/>
    <n v="2.3727999999999998"/>
    <n v="14.83"/>
    <s v="Sessão Faturada"/>
    <n v="954600000256000"/>
    <n v="24181"/>
    <s v="Unidade Sao Jose"/>
    <n v="1711330110"/>
    <m/>
  </r>
  <r>
    <x v="1"/>
    <x v="35"/>
    <s v="Josinaldo Sampaio da Silva"/>
    <s v="Masculino"/>
    <x v="6"/>
    <x v="24"/>
    <s v="20103476 - Patologia Neurologica - 25/03/2025 (R$ 33,75)"/>
    <s v="Fisioterapia"/>
    <n v="126020"/>
    <s v="Não compareceu (6/10)"/>
    <n v="33.75"/>
    <n v="0"/>
    <n v="33.75"/>
    <s v="Sessão Faturada"/>
    <s v="54588888004873420010"/>
    <n v="41506"/>
    <s v="Unidade Sao Jose"/>
    <n v="126020"/>
    <s v="assinada"/>
  </r>
  <r>
    <x v="1"/>
    <x v="35"/>
    <s v="Luciana Mendoça Martins"/>
    <s v="Feminino"/>
    <x v="7"/>
    <x v="24"/>
    <s v="Sao José - 2 - Fisioterapia Ortopédica - Pacote (R$ 20,00)"/>
    <s v="Fisioterapia"/>
    <n v="171007"/>
    <s v="Finalizado (6/10)"/>
    <n v="15"/>
    <n v="5"/>
    <n v="20"/>
    <s v="Pago"/>
    <n v="59582"/>
    <n v="59582"/>
    <s v="Unidade Sao Jose"/>
    <n v="171007"/>
    <m/>
  </r>
  <r>
    <x v="1"/>
    <x v="35"/>
    <s v="Francisca Zuleide de Oliveira Araujo"/>
    <s v="Feminino"/>
    <x v="7"/>
    <x v="24"/>
    <s v="Sao José - 2 - Fisioterapia Ortopédica - Pacote (R$ 20,00)"/>
    <s v="Fisioterapia"/>
    <n v="170621"/>
    <s v="Finalizado (10/10)"/>
    <n v="15"/>
    <n v="5"/>
    <n v="20"/>
    <s v="Pago"/>
    <n v="59540"/>
    <n v="59540"/>
    <s v="Unidade Sao Jose"/>
    <n v="170621"/>
    <m/>
  </r>
  <r>
    <x v="1"/>
    <x v="42"/>
    <s v="Josinaldo Sampaio da Silva"/>
    <s v="Masculino"/>
    <x v="6"/>
    <x v="24"/>
    <s v="31602185 - Estimulação Elétrica Transcutanea (Tens) - 01/09/2025 (R$ 96,68)"/>
    <s v="Fisioterapia"/>
    <n v="126164"/>
    <s v="Não compareceu (5/5)"/>
    <n v="96.68"/>
    <n v="0"/>
    <n v="96.68"/>
    <s v="Sessão Faturada"/>
    <s v="54588888004873420010"/>
    <n v="41506"/>
    <s v="Unidade Sao Jose"/>
    <n v="126164"/>
    <s v="assinada"/>
  </r>
  <r>
    <x v="1"/>
    <x v="38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3/10)"/>
    <n v="30"/>
    <n v="10"/>
    <n v="40"/>
    <s v="Pago"/>
    <n v="59611"/>
    <n v="59611"/>
    <s v="Unidade Sao Jose"/>
    <n v="171321"/>
    <m/>
  </r>
  <r>
    <x v="1"/>
    <x v="38"/>
    <s v="Wildson Costa dos Santos"/>
    <s v="Masculino"/>
    <x v="6"/>
    <x v="24"/>
    <s v="20103662 - Pos Operatorio Em Um Membro (R$ 22,53)"/>
    <s v="Fisioterapia"/>
    <n v="171322"/>
    <s v="Finalizado (4/10)"/>
    <n v="18.9252"/>
    <n v="3.6048"/>
    <n v="22.53"/>
    <s v="Sessão Faturada"/>
    <s v="58201065998121610018"/>
    <n v="59580"/>
    <s v="Unidade Sao Jose"/>
    <n v="171322"/>
    <m/>
  </r>
  <r>
    <x v="1"/>
    <x v="68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4/10)"/>
    <n v="37.312800000000003"/>
    <n v="7.1071999999999997"/>
    <n v="44.42"/>
    <s v="Sessão Faturada"/>
    <s v="58201065998121610018"/>
    <n v="59580"/>
    <s v="Unidade Sao Jose"/>
    <n v="171323"/>
    <m/>
  </r>
  <r>
    <x v="1"/>
    <x v="69"/>
    <s v="Wildson Costa dos Santos"/>
    <s v="Masculino"/>
    <x v="6"/>
    <x v="24"/>
    <s v="31602185 - Estimulação Elétrica Transcutanea (Tens) (R$ 40,00)"/>
    <s v="Fisioterapia"/>
    <n v="171325"/>
    <s v="Finalizado (3/7)"/>
    <n v="33.6"/>
    <n v="6.4"/>
    <n v="40"/>
    <s v="Sessão Faturada"/>
    <s v="58201065998121610018"/>
    <n v="59580"/>
    <s v="Unidade Sao Jose"/>
    <n v="171325"/>
    <m/>
  </r>
  <r>
    <x v="1"/>
    <x v="37"/>
    <s v="Misleia Fernandes Mendes"/>
    <s v="Feminino"/>
    <x v="27"/>
    <x v="24"/>
    <s v="20103522 - Fisioterapia - Pac Com Dependencia de Vida Diária (R$ 23,59)"/>
    <s v="Fisioterapia"/>
    <n v="1709495498"/>
    <s v="Finalizado (2/5)"/>
    <n v="19.8156"/>
    <n v="3.7744"/>
    <n v="23.59"/>
    <s v="Sessão Faturada"/>
    <n v="770179020664010"/>
    <n v="44824"/>
    <s v="Unidade Sao Jose"/>
    <n v="1709495498"/>
    <m/>
  </r>
  <r>
    <x v="1"/>
    <x v="37"/>
    <s v="Arlesson Ribeiro Correa"/>
    <s v="Masculino"/>
    <x v="7"/>
    <x v="24"/>
    <s v="Sao José - 2 - Fisioterapia Ortopédica - Pacote (R$ 20,00)"/>
    <s v="Fisioterapia"/>
    <n v="166722"/>
    <s v="Finalizado (8/10)"/>
    <n v="15"/>
    <n v="5"/>
    <n v="20"/>
    <s v="Pago"/>
    <n v="58435"/>
    <n v="58435"/>
    <s v="Unidade Sao Jose"/>
    <n v="166722"/>
    <m/>
  </r>
  <r>
    <x v="1"/>
    <x v="37"/>
    <s v="Misleia Fernandes Mendes"/>
    <s v="Feminino"/>
    <x v="27"/>
    <x v="24"/>
    <s v="20103492 - Patol. Em Dois Ou Mais Membros (R$ 14,83), 20103514 - Patol. Em Diferentes Segmentos da Coluna (R$ 14,83)"/>
    <s v="Fisioterapia"/>
    <n v="1709494542"/>
    <s v="Finalizado (2/5)"/>
    <n v="24.914400000000001"/>
    <n v="4.7455999999999996"/>
    <n v="29.66"/>
    <s v="Sessão Faturada"/>
    <n v="770179020664010"/>
    <n v="44824"/>
    <s v="Unidade Sao Jose"/>
    <n v="1709494542"/>
    <m/>
  </r>
  <r>
    <x v="1"/>
    <x v="22"/>
    <s v="Jose Edson Moura de Melo"/>
    <s v="Masculino"/>
    <x v="2"/>
    <x v="24"/>
    <s v="20103662 - Fisioterapia - Pos Operatorio Em Um Membro (R$ 14,99)"/>
    <s v="Fisioterapia"/>
    <n v="1702153113"/>
    <s v="Finalizado (5/5)"/>
    <n v="12.5916"/>
    <n v="2.3984000000000001"/>
    <n v="14.99"/>
    <s v="Sessão Faturada"/>
    <n v="774722014389010"/>
    <n v="45960"/>
    <s v="Unidade Sao Jose"/>
    <n v="1702153113"/>
    <m/>
  </r>
  <r>
    <x v="1"/>
    <x v="0"/>
    <s v="Glívena Souza Félix"/>
    <s v="Feminino"/>
    <x v="7"/>
    <x v="24"/>
    <s v="Sao José - 4 - Fisioterapia Neurológica/Respiratória - Pacote (R$ 50,00)"/>
    <s v="Fisioterapia"/>
    <n v="170807"/>
    <s v="Finalizado (4/10)"/>
    <n v="37.5"/>
    <n v="12.5"/>
    <n v="50"/>
    <s v="Pago"/>
    <n v="57339"/>
    <n v="57339"/>
    <s v="Unidade Sao Jose"/>
    <n v="170807"/>
    <m/>
  </r>
  <r>
    <x v="1"/>
    <x v="0"/>
    <s v="Rosangela Rodrigues Sabino"/>
    <s v="Feminino"/>
    <x v="7"/>
    <x v="24"/>
    <s v="Sao José - 2 - Fisioterapia Ortopédica - Pacote (R$ 20,00)"/>
    <s v="Fisioterapia"/>
    <n v="171193"/>
    <s v="Finalizado (7/10)"/>
    <n v="15"/>
    <n v="5"/>
    <n v="20"/>
    <s v="Pago"/>
    <n v="59595"/>
    <n v="59595"/>
    <s v="Unidade Sao Jose"/>
    <n v="171193"/>
    <m/>
  </r>
  <r>
    <x v="1"/>
    <x v="2"/>
    <s v="Clicia Nayara Coimbra Soares"/>
    <s v="Feminino"/>
    <x v="4"/>
    <x v="24"/>
    <s v="31602185 - Estimulação Elétrica Transcutânea - Removido 13/04/2026 (R$ 40,00)"/>
    <s v="Fisioterapia"/>
    <n v="1712925805"/>
    <s v="Finalizado (2/3)"/>
    <n v="33.6"/>
    <n v="6.4"/>
    <n v="40"/>
    <s v="Sessão Faturada"/>
    <n v="843486100370000"/>
    <n v="49710"/>
    <s v="Unidade Sao Jose"/>
    <n v="1712925805"/>
    <m/>
  </r>
  <r>
    <x v="1"/>
    <x v="3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9760665"/>
    <s v="Finalizado (4/5)"/>
    <n v="24.914400000000001"/>
    <n v="4.7455999999999996"/>
    <n v="29.66"/>
    <s v="Sessão Faturada"/>
    <n v="843486100370000"/>
    <n v="49710"/>
    <s v="Unidade Sao Jose"/>
    <n v="1709760665"/>
    <m/>
  </r>
  <r>
    <x v="1"/>
    <x v="4"/>
    <s v="Andrea de Moraes  Campos"/>
    <s v="Feminino"/>
    <x v="8"/>
    <x v="24"/>
    <s v="20103514 - Patologia Em Diferentes Segmentos da Coluna (R$ 14,83)"/>
    <s v="Fisioterapia"/>
    <n v="1710853024"/>
    <s v="Finalizado (3/3)"/>
    <n v="12.4572"/>
    <n v="2.3727999999999998"/>
    <n v="14.83"/>
    <s v="Sessão Faturada"/>
    <n v="954600006130000"/>
    <n v="50427"/>
    <s v="Unidade Sao Jose"/>
    <n v="1710853024"/>
    <m/>
  </r>
  <r>
    <x v="1"/>
    <x v="4"/>
    <s v="Andrea de Moraes  Campos"/>
    <s v="Feminino"/>
    <x v="9"/>
    <x v="24"/>
    <s v="31602185 - Estimulação Elétrica Transcutânea (Tens) - Removido 13/04/2026 (R$ 40,00)"/>
    <s v="Fisioterapia"/>
    <n v="1711269519"/>
    <s v="Finalizado (2/2)"/>
    <n v="33.6"/>
    <n v="6.4"/>
    <n v="40"/>
    <s v="Sessão Faturada"/>
    <n v="954600006130000"/>
    <n v="50427"/>
    <s v="Unidade Sao Jose"/>
    <n v="1711269519"/>
    <m/>
  </r>
  <r>
    <x v="1"/>
    <x v="29"/>
    <s v="Andrea de Moraes  Campos"/>
    <s v="Feminino"/>
    <x v="8"/>
    <x v="24"/>
    <s v="20103522 - Fisioterapia - Pac Com Dependencia de Vida Diária (R$ 23,59)"/>
    <s v="Fisioterapia"/>
    <n v="1710852500"/>
    <s v="Finalizado (3/3)"/>
    <n v="19.8156"/>
    <n v="3.7744"/>
    <n v="23.59"/>
    <s v="Sessão Faturada"/>
    <n v="954600006130000"/>
    <n v="50427"/>
    <s v="Unidade Sao Jose"/>
    <n v="1710852500"/>
    <m/>
  </r>
  <r>
    <x v="1"/>
    <x v="30"/>
    <s v="Andrea de Moraes  Campos"/>
    <s v="Feminino"/>
    <x v="8"/>
    <x v="24"/>
    <s v="20103670 - Pos Operatorio Em Dois Ou Mais Membros (R$ 19,30)"/>
    <s v="Fisioterapia"/>
    <n v="1710852078"/>
    <s v="Finalizado (3/3)"/>
    <n v="16.212"/>
    <n v="3.0880000000000001"/>
    <n v="19.3"/>
    <s v="Sessão Faturada"/>
    <n v="954600006130000"/>
    <n v="50427"/>
    <s v="Unidade Sao Jose"/>
    <n v="1710852078"/>
    <m/>
  </r>
  <r>
    <x v="1"/>
    <x v="13"/>
    <s v="Jean da Silva Melo"/>
    <s v="Masculino"/>
    <x v="9"/>
    <x v="24"/>
    <s v="31602185 - Estimulação Elétrica Transcutânea (Tens) - Removido 13/04/2026 (R$ 40,00)"/>
    <s v="Fisioterapia"/>
    <n v="1713585717"/>
    <s v="Finalizado (1/5)"/>
    <n v="33.6"/>
    <n v="6.4"/>
    <n v="40"/>
    <s v="Sessão Faturada"/>
    <n v="954600003042000"/>
    <n v="29915"/>
    <s v="Unidade Sao Jose"/>
    <n v="1713585717"/>
    <m/>
  </r>
  <r>
    <x v="1"/>
    <x v="13"/>
    <s v="Jean da Silva Melo"/>
    <s v="Masculino"/>
    <x v="14"/>
    <x v="24"/>
    <s v="20103662 - Fisioterapia - Pos Operatorio Em Um Membro (R$ 14,99)"/>
    <s v="Fisioterapia"/>
    <n v="1712903695"/>
    <s v="Finalizado (2/5)"/>
    <n v="12.5916"/>
    <n v="2.3984000000000001"/>
    <n v="14.99"/>
    <s v="Sessão Faturada"/>
    <n v="954600003042000"/>
    <n v="29915"/>
    <s v="Unidade Sao Jose"/>
    <n v="1712903695"/>
    <m/>
  </r>
  <r>
    <x v="1"/>
    <x v="13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2903368"/>
    <s v="Finalizado (2/5)"/>
    <n v="24.914400000000001"/>
    <n v="4.7455999999999996"/>
    <n v="29.66"/>
    <s v="Sessão Faturada"/>
    <n v="954600003042000"/>
    <n v="29915"/>
    <s v="Unidade Sao Jose"/>
    <n v="1712903368"/>
    <m/>
  </r>
  <r>
    <x v="1"/>
    <x v="6"/>
    <s v="Fernanda Neves Sabugosa"/>
    <s v="Feminino"/>
    <x v="4"/>
    <x v="24"/>
    <s v="31602185 - Estimulação Elétrica Transcutânea - Removido 13/04/2026 (R$ 40,00)"/>
    <s v="Fisioterapia"/>
    <n v="1710484202"/>
    <s v="Finalizado (2/5)"/>
    <n v="33.6"/>
    <n v="6.4"/>
    <n v="40"/>
    <s v="Sessão Faturada"/>
    <n v="771015043370010"/>
    <n v="38199"/>
    <s v="Unidade Sao Jose"/>
    <n v="1710484202"/>
    <m/>
  </r>
  <r>
    <x v="1"/>
    <x v="6"/>
    <s v="Fernanda Neves Sabugosa"/>
    <s v="Feminino"/>
    <x v="27"/>
    <x v="24"/>
    <s v="20103492 - Patol. Em Dois Ou Mais Membros (R$ 14,83), 20103514 - Patol. Em Diferentes Segmentos da Coluna (R$ 14,83)"/>
    <s v="Fisioterapia"/>
    <n v="1710485003"/>
    <s v="Finalizado (2/5)"/>
    <n v="24.914400000000001"/>
    <n v="4.7455999999999996"/>
    <n v="29.66"/>
    <s v="Sessão Faturada"/>
    <n v="771015043370010"/>
    <n v="38199"/>
    <s v="Unidade Sao Jose"/>
    <n v="1710485003"/>
    <m/>
  </r>
  <r>
    <x v="1"/>
    <x v="15"/>
    <s v="Rossylene de Jesus Pinto da Silva"/>
    <s v="Feminino"/>
    <x v="7"/>
    <x v="24"/>
    <s v="Sao José - 2 - Fisioterapia Ortopédica - Pacote (R$ 20,00)"/>
    <s v="Fisioterapia"/>
    <n v="171503"/>
    <s v="Finalizado (4/10)"/>
    <n v="15"/>
    <n v="5"/>
    <n v="20"/>
    <s v="Pago"/>
    <n v="58721"/>
    <n v="58721"/>
    <s v="Unidade Sao Jose"/>
    <n v="171503"/>
    <m/>
  </r>
  <r>
    <x v="1"/>
    <x v="17"/>
    <s v="Jairo Barboza Domingues"/>
    <s v="Masculino"/>
    <x v="4"/>
    <x v="24"/>
    <s v="31602185 - Estimulação Elétrica Transcutânea - Removido 13/04/2026 (R$ 40,00)"/>
    <s v="Fisioterapia"/>
    <n v="1713626624"/>
    <s v="Finalizado (1/5)"/>
    <n v="33.6"/>
    <n v="6.4"/>
    <n v="40"/>
    <s v="Sessão Faturada"/>
    <n v="960016147828000"/>
    <n v="18356"/>
    <s v="Unidade Sao Jose"/>
    <n v="1713626624"/>
    <m/>
  </r>
  <r>
    <x v="1"/>
    <x v="17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3002975"/>
    <s v="Finalizado (2/5)"/>
    <n v="24.914400000000001"/>
    <n v="4.7455999999999996"/>
    <n v="29.66"/>
    <s v="Sessão Faturada"/>
    <n v="960016147828000"/>
    <n v="18356"/>
    <s v="Unidade Sao Jose"/>
    <n v="1713002975"/>
    <m/>
  </r>
  <r>
    <x v="1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1/10)"/>
    <n v="30"/>
    <n v="10"/>
    <n v="40"/>
    <s v="Pago"/>
    <n v="59492"/>
    <n v="59492"/>
    <s v="Unidade Sao Jose"/>
    <n v="171692"/>
    <m/>
  </r>
  <r>
    <x v="1"/>
    <x v="8"/>
    <s v="Danielle Mamede de Souza"/>
    <s v="Feminino"/>
    <x v="2"/>
    <x v="24"/>
    <s v="50000144 - Avaliação de Fisioterapia (R$ 51,42)"/>
    <s v="Fisioterapia"/>
    <n v="1713631115"/>
    <s v="Finalizado (1/1)"/>
    <n v="46.277999999999999"/>
    <n v="5.1420000000000003"/>
    <n v="51.42"/>
    <s v="Sessão Faturada"/>
    <n v="774634016160030"/>
    <n v="50058"/>
    <s v="Unidade Sao Jose"/>
    <n v="1713631115"/>
    <m/>
  </r>
  <r>
    <x v="1"/>
    <x v="8"/>
    <s v="Danielle Mamede de Souza"/>
    <s v="Feminino"/>
    <x v="2"/>
    <x v="24"/>
    <s v="20103662 - Fisioterapia - Pos Operatorio Em Um Membro (R$ 14,99)"/>
    <s v="Fisioterapia"/>
    <n v="1713631350"/>
    <s v="Finalizado (1/1)"/>
    <n v="12.5916"/>
    <n v="2.3984000000000001"/>
    <n v="14.99"/>
    <s v="Sessão Faturada"/>
    <n v="774634016160030"/>
    <n v="50058"/>
    <s v="Unidade Sao Jose"/>
    <n v="1713631350"/>
    <m/>
  </r>
  <r>
    <x v="1"/>
    <x v="8"/>
    <s v="Francinete Lima de Souza"/>
    <s v="Feminino"/>
    <x v="7"/>
    <x v="24"/>
    <s v="Sao José - 2 - Fisioterapia Ortopédica - Pacote (R$ 20,00)"/>
    <s v="Fisioterapia"/>
    <n v="160701"/>
    <s v="Finalizado (9/10)"/>
    <n v="15"/>
    <n v="5"/>
    <n v="20"/>
    <s v="Pago"/>
    <n v="58537"/>
    <n v="58537"/>
    <s v="Unidade Sao Jose"/>
    <n v="160701"/>
    <m/>
  </r>
  <r>
    <x v="1"/>
    <x v="9"/>
    <s v="Danielle Mamede de Souza"/>
    <s v="Feminino"/>
    <x v="2"/>
    <x v="24"/>
    <s v="20103522 - Fisioterapia - Pac Com Dependencia de Vida Diária (R$ 23,59)"/>
    <s v="Fisioterapia"/>
    <n v="1713631486"/>
    <s v="Finalizado (1/1)"/>
    <n v="19.8156"/>
    <n v="3.7744"/>
    <n v="23.59"/>
    <s v="Sessão Faturada"/>
    <n v="774634016160030"/>
    <n v="50058"/>
    <s v="Unidade Sao Jose"/>
    <n v="1713631486"/>
    <m/>
  </r>
  <r>
    <x v="1"/>
    <x v="10"/>
    <s v="Alessandro da Silva Vieira"/>
    <s v="Masculino"/>
    <x v="8"/>
    <x v="24"/>
    <s v="20103662 - Pos Operatorio Em Um Membro (R$ 14,99)"/>
    <s v="Fisioterapia"/>
    <n v="1709861239"/>
    <s v="Finalizado (3/5)"/>
    <n v="12.5916"/>
    <n v="2.3984000000000001"/>
    <n v="14.99"/>
    <s v="Sessão Faturada"/>
    <n v="954600024350000"/>
    <n v="57332"/>
    <s v="Unidade Sao Jose"/>
    <n v="1709861239"/>
    <m/>
  </r>
  <r>
    <x v="1"/>
    <x v="10"/>
    <s v="Alessandro da Silva Vieira"/>
    <s v="Masculino"/>
    <x v="9"/>
    <x v="24"/>
    <s v="31602185 - Estimulação Elétrica Transcutânea (Tens) - Removido 13/04/2026 (R$ 40,00)"/>
    <s v="Fisioterapia"/>
    <n v="1713639846"/>
    <s v="Finalizado (1/5)"/>
    <n v="33.6"/>
    <n v="6.4"/>
    <n v="40"/>
    <s v="Sessão Faturada"/>
    <n v="954600024350000"/>
    <n v="57332"/>
    <s v="Unidade Sao Jose"/>
    <n v="1713639846"/>
    <m/>
  </r>
  <r>
    <x v="1"/>
    <x v="10"/>
    <s v="Carlos Victor Lopes de Souza"/>
    <s v="Masculino"/>
    <x v="7"/>
    <x v="24"/>
    <s v="Sao José - 4 - Fisioterapia Neurológica/Respiratória - Pacote (R$ 50,00)"/>
    <s v="Fisioterapia"/>
    <n v="170555"/>
    <s v="Finalizado (6/10)"/>
    <n v="37.5"/>
    <n v="12.5"/>
    <n v="50"/>
    <s v="Pago"/>
    <n v="56621"/>
    <n v="56621"/>
    <s v="Unidade Sao Jose"/>
    <n v="170555"/>
    <m/>
  </r>
  <r>
    <x v="2"/>
    <x v="44"/>
    <s v="Ana Clara Santos Maia"/>
    <s v="Feminino"/>
    <x v="7"/>
    <x v="24"/>
    <s v="Sao José - 2 - Fisioterapia Ortopédica - Pacote (R$ 20,00)"/>
    <s v="Fisioterapia"/>
    <n v="172077"/>
    <s v="Finalizado (1/10)"/>
    <n v="15"/>
    <n v="5"/>
    <n v="20"/>
    <s v="Pago"/>
    <n v="59190"/>
    <n v="59190"/>
    <s v="Unidade Sao Jose"/>
    <n v="172077"/>
    <m/>
  </r>
  <r>
    <x v="2"/>
    <x v="44"/>
    <s v="Ana Cristina Soares dos Santos Nunes"/>
    <s v="Feminino"/>
    <x v="6"/>
    <x v="24"/>
    <s v="31602185 - Estimulação Elétrica Transcutanea (Tens) (R$ 40,00)"/>
    <s v="Fisioterapia"/>
    <n v="168999"/>
    <s v="Finalizado (4/5)"/>
    <n v="33.6"/>
    <n v="6.4"/>
    <n v="40"/>
    <s v="Sessão Faturada"/>
    <s v="56788888483384430019"/>
    <n v="46812"/>
    <s v="Unidade Sao Jose"/>
    <n v="168999"/>
    <m/>
  </r>
  <r>
    <x v="2"/>
    <x v="44"/>
    <s v="Kyssia Roberta Sena Batista de Souza"/>
    <s v="Feminino"/>
    <x v="8"/>
    <x v="24"/>
    <s v="20103662 - Pos Operatorio Em Um Membro (R$ 14,99)"/>
    <s v="Fisioterapia"/>
    <n v="1711863303"/>
    <s v="Finalizado (3/5)"/>
    <n v="12.5916"/>
    <n v="2.3984000000000001"/>
    <n v="14.99"/>
    <s v="Sessão Faturada"/>
    <n v="954600002461000"/>
    <n v="58661"/>
    <s v="Unidade Sao Jose"/>
    <n v="1711863303"/>
    <m/>
  </r>
  <r>
    <x v="2"/>
    <x v="44"/>
    <s v="Ana Cristina Soares dos Santos Nunes"/>
    <s v="Feminino"/>
    <x v="6"/>
    <x v="24"/>
    <s v="20103492 - Patologia Em Dois Ou Mais Membros (R$ 30,26), 20103514 - Patologia Em Dois Ou Mais Segmentos da Coluna (R$ 32,82)"/>
    <s v="Fisioterapia"/>
    <n v="172084"/>
    <s v="Finalizado (1/10)"/>
    <n v="52.987200000000001"/>
    <n v="10.0928"/>
    <n v="63.08"/>
    <s v="Sessão a Faturar"/>
    <s v="56788888483384430019"/>
    <n v="46812"/>
    <s v="Unidade Sao Jose"/>
    <n v="172084"/>
    <m/>
  </r>
  <r>
    <x v="2"/>
    <x v="44"/>
    <s v="Maria do Carmo Marinho"/>
    <s v="Feminino"/>
    <x v="7"/>
    <x v="24"/>
    <s v="Sao José - 2 - Fisioterapia Ortopédica - Pacote (R$ 20,00)"/>
    <s v="Fisioterapia"/>
    <n v="169944"/>
    <s v="Finalizado (8/10)"/>
    <n v="15"/>
    <n v="5"/>
    <n v="20"/>
    <s v="Pago"/>
    <n v="59484"/>
    <n v="59484"/>
    <s v="Unidade Sao Jose"/>
    <n v="169944"/>
    <m/>
  </r>
  <r>
    <x v="2"/>
    <x v="60"/>
    <s v="Kyssia Roberta Sena Batista de Souza"/>
    <s v="Feminino"/>
    <x v="9"/>
    <x v="24"/>
    <s v="31602185 - Estimulação Elétrica Transcutânea (Tens) - Removido 13/04/2026 (R$ 40,00)"/>
    <s v="Fisioterapia"/>
    <n v="1713218640"/>
    <s v="Finalizado (2/5)"/>
    <n v="33.6"/>
    <n v="6.4"/>
    <n v="40"/>
    <s v="Sessão Faturada"/>
    <n v="954600002461000"/>
    <n v="58661"/>
    <s v="Unidade Sao Jose"/>
    <n v="1713218640"/>
    <m/>
  </r>
  <r>
    <x v="2"/>
    <x v="41"/>
    <s v="Marinete Torres Martins"/>
    <s v="Feminino"/>
    <x v="2"/>
    <x v="24"/>
    <s v="20103492 - Fisioterapia - Patologia Em Dois Ou Mais Membros (R$ 14,83), 20103514 - Fisioterapia - Patologia Em Diferentes Segmentos da Coluna (R$ 14,83)"/>
    <s v="Fisioterapia"/>
    <n v="1702543358"/>
    <s v="Finalizado (4/4)"/>
    <n v="24.914400000000001"/>
    <n v="4.7455999999999996"/>
    <n v="29.66"/>
    <s v="Sessão Faturada"/>
    <n v="775255000396000"/>
    <n v="50094"/>
    <s v="Unidade Sao Jose"/>
    <n v="1702543358"/>
    <m/>
  </r>
  <r>
    <x v="2"/>
    <x v="41"/>
    <s v="Marta Marcione Bentes Albuquerque"/>
    <s v="Feminino"/>
    <x v="9"/>
    <x v="24"/>
    <s v="31602185 - Estimulação Elétrica Transcutânea (Tens) - Removido 13/04/2026 (R$ 40,00)"/>
    <s v="Fisioterapia"/>
    <n v="1711270934"/>
    <s v="Finalizado (4/5)"/>
    <n v="33.6"/>
    <n v="6.4"/>
    <n v="40"/>
    <s v="Sessão Faturada"/>
    <n v="954600004960000"/>
    <n v="40103"/>
    <s v="Unidade Sao Jose"/>
    <n v="1711270934"/>
    <m/>
  </r>
  <r>
    <x v="2"/>
    <x v="41"/>
    <s v="Custodia Herminia de Sousa Filha"/>
    <s v="Feminino"/>
    <x v="7"/>
    <x v="24"/>
    <s v="Sao José - 2 - Fisioterapia Ortopédica - Pacote (R$ 20,00)"/>
    <s v="Fisioterapia"/>
    <n v="171939"/>
    <s v="Finalizado (1/10)"/>
    <n v="15"/>
    <n v="5"/>
    <n v="20"/>
    <s v="Pago"/>
    <n v="58051"/>
    <n v="58051"/>
    <s v="Unidade Sao Jose"/>
    <n v="171939"/>
    <m/>
  </r>
  <r>
    <x v="2"/>
    <x v="76"/>
    <s v="Marta Marcione Bentes Albuquerque"/>
    <s v="Feminino"/>
    <x v="8"/>
    <x v="24"/>
    <s v="20103492 - Patologia Em Dois Ou Mais Membros (R$ 14,83), 20103514 - Patologia Em Diferentes Segmentos da Coluna (R$ 14,83)"/>
    <s v="Fisioterapia"/>
    <n v="1712566763"/>
    <s v="Finalizado (3/5)"/>
    <n v="24.914400000000001"/>
    <n v="4.7455999999999996"/>
    <n v="29.66"/>
    <s v="Sessão Faturada"/>
    <n v="954600004960000"/>
    <n v="40103"/>
    <s v="Unidade Sao Jose"/>
    <n v="1712566763"/>
    <m/>
  </r>
  <r>
    <x v="2"/>
    <x v="65"/>
    <s v="Marinete Torres Martins"/>
    <s v="Feminino"/>
    <x v="4"/>
    <x v="24"/>
    <s v="31602185 - Estimulação Elétrica Transcutânea - Removido 13/04/2026 (R$ 40,00)"/>
    <s v="Fisioterapia"/>
    <n v="1712538004"/>
    <s v="Finalizado (2/2)"/>
    <n v="33.6"/>
    <n v="6.4"/>
    <n v="40"/>
    <s v="Sessão Faturada"/>
    <n v="775255000396000"/>
    <n v="50094"/>
    <s v="Unidade Sao Jose"/>
    <n v="1712538004"/>
    <m/>
  </r>
  <r>
    <x v="2"/>
    <x v="48"/>
    <s v="Marta Marcione Bentes Albuquerque"/>
    <s v="Feminino"/>
    <x v="8"/>
    <x v="24"/>
    <s v="20103670 - Pos Operatorio Em Dois Ou Mais Membros (R$ 19,30)"/>
    <s v="Fisioterapia"/>
    <n v="1712565823"/>
    <s v="Finalizado (3/5)"/>
    <n v="16.212"/>
    <n v="3.0880000000000001"/>
    <n v="19.3"/>
    <s v="Sessão Faturada"/>
    <n v="954600004960000"/>
    <n v="40103"/>
    <s v="Unidade Sao Jose"/>
    <n v="1712565823"/>
    <m/>
  </r>
  <r>
    <x v="2"/>
    <x v="36"/>
    <s v="Manuela Soares de Freitas Mendonca"/>
    <s v="Feminino"/>
    <x v="9"/>
    <x v="24"/>
    <s v="31602185 - Estimulação Elétrica Transcutânea (Tens) - Removido 13/04/2026 (R$ 40,00)"/>
    <s v="Fisioterapia"/>
    <n v="1711333463"/>
    <s v="Finalizado (4/5)"/>
    <n v="33.6"/>
    <n v="6.4"/>
    <n v="40"/>
    <s v="Sessão Faturada"/>
    <n v="954600000256030"/>
    <n v="53656"/>
    <s v="Unidade Sao Jose"/>
    <n v="1711333463"/>
    <m/>
  </r>
  <r>
    <x v="2"/>
    <x v="36"/>
    <s v="Simone Soares Franco"/>
    <s v="Feminino"/>
    <x v="8"/>
    <x v="24"/>
    <s v="20103522 - Fisioterapia - Pac Com Dependencia de Vida Diária (R$ 23,59)"/>
    <s v="Fisioterapia"/>
    <n v="1711330841"/>
    <s v="Finalizado (4/5)"/>
    <n v="19.8156"/>
    <n v="3.7744"/>
    <n v="23.59"/>
    <s v="Sessão Faturada"/>
    <n v="954600000256000"/>
    <n v="24181"/>
    <s v="Unidade Sao Jose"/>
    <n v="1711330841"/>
    <m/>
  </r>
  <r>
    <x v="2"/>
    <x v="36"/>
    <s v="Misleia Fernandes Mendes"/>
    <s v="Feminino"/>
    <x v="27"/>
    <x v="24"/>
    <s v="20103492 - Patol. Em Dois Ou Mais Membros (R$ 14,83), 20103514 - Patol. Em Diferentes Segmentos da Coluna (R$ 14,83)"/>
    <s v="Fisioterapia"/>
    <n v="1709494542"/>
    <s v="Finalizado (3/5)"/>
    <n v="24.914400000000001"/>
    <n v="4.7455999999999996"/>
    <n v="29.66"/>
    <s v="Sessão Faturada"/>
    <n v="770179020664010"/>
    <n v="44824"/>
    <s v="Unidade Sao Jose"/>
    <n v="1709494542"/>
    <m/>
  </r>
  <r>
    <x v="2"/>
    <x v="36"/>
    <s v="Misleia Fernandes Mendes"/>
    <s v="Feminino"/>
    <x v="4"/>
    <x v="24"/>
    <s v="31602185 - Estimulação Elétrica Transcutânea - Removido 13/04/2026 (R$ 40,00)"/>
    <s v="Fisioterapia"/>
    <n v="1713867739"/>
    <s v="Finalizado (1/5)"/>
    <n v="33.6"/>
    <n v="6.4"/>
    <n v="40"/>
    <s v="Sessão a Faturar"/>
    <n v="770179020664010"/>
    <n v="44824"/>
    <s v="Unidade Sao Jose"/>
    <n v="1713867739"/>
    <m/>
  </r>
  <r>
    <x v="2"/>
    <x v="36"/>
    <s v="Josiane de Sousa Santos"/>
    <s v="Feminino"/>
    <x v="8"/>
    <x v="24"/>
    <s v="20103492 - Patologia Em Dois Ou Mais Membros (R$ 14,83), 20103514 - Patologia Em Diferentes Segmentos da Coluna (R$ 14,83)"/>
    <s v="Fisioterapia"/>
    <n v="1713892511"/>
    <s v="Finalizado (1/5)"/>
    <n v="24.914400000000001"/>
    <n v="4.7455999999999996"/>
    <n v="29.66"/>
    <s v="Sessão Faturada"/>
    <n v="954600005274010"/>
    <n v="23225"/>
    <s v="Unidade Sao Jose"/>
    <n v="1713892511"/>
    <m/>
  </r>
  <r>
    <x v="2"/>
    <x v="57"/>
    <s v="Simone Soares Franco"/>
    <s v="Feminino"/>
    <x v="8"/>
    <x v="24"/>
    <s v="20103492 - Patologia Em Dois Ou Mais Membros (R$ 14,83)"/>
    <s v="Fisioterapia"/>
    <n v="1711330110"/>
    <s v="Finalizado (4/5)"/>
    <n v="12.4572"/>
    <n v="2.3727999999999998"/>
    <n v="14.83"/>
    <s v="Sessão Faturada"/>
    <n v="954600000256000"/>
    <n v="24181"/>
    <s v="Unidade Sao Jose"/>
    <n v="1711330110"/>
    <m/>
  </r>
  <r>
    <x v="2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11332318"/>
    <s v="Finalizado (4/5)"/>
    <n v="22.722000000000001"/>
    <n v="4.3280000000000003"/>
    <n v="27.05"/>
    <s v="Sessão Faturada"/>
    <n v="954600000256030"/>
    <n v="53656"/>
    <s v="Unidade Sao Jose"/>
    <n v="1711332318"/>
    <m/>
  </r>
  <r>
    <x v="2"/>
    <x v="61"/>
    <s v="Misleia Fernandes Mendes"/>
    <s v="Feminino"/>
    <x v="27"/>
    <x v="24"/>
    <s v="20103522 - Fisioterapia - Pac Com Dependencia de Vida Diária (R$ 23,59)"/>
    <s v="Fisioterapia"/>
    <n v="1709495498"/>
    <s v="Finalizado (3/5)"/>
    <n v="19.8156"/>
    <n v="3.7744"/>
    <n v="23.59"/>
    <s v="Sessão Faturada"/>
    <n v="770179020664010"/>
    <n v="44824"/>
    <s v="Unidade Sao Jose"/>
    <n v="1709495498"/>
    <m/>
  </r>
  <r>
    <x v="2"/>
    <x v="61"/>
    <s v="Josiane de Sousa Santos"/>
    <s v="Feminino"/>
    <x v="9"/>
    <x v="24"/>
    <s v="31602185 - Estimulação Elétrica Transcutânea (Tens) - Removido 13/04/2026 (R$ 40,00)"/>
    <s v="Fisioterapia"/>
    <n v="1713283780"/>
    <s v="Finalizado (2/5)"/>
    <n v="33.6"/>
    <n v="6.4"/>
    <n v="40"/>
    <s v="Sessão Faturada"/>
    <n v="954600005274010"/>
    <n v="23225"/>
    <s v="Unidade Sao Jose"/>
    <n v="1713283780"/>
    <m/>
  </r>
  <r>
    <x v="2"/>
    <x v="67"/>
    <s v="Simone Soares Franco"/>
    <s v="Feminino"/>
    <x v="9"/>
    <x v="24"/>
    <s v="31602185 - Estimulação Elétrica Transcutânea (Tens) - Removido 13/04/2026 (R$ 40,00)"/>
    <s v="Fisioterapia"/>
    <n v="1713269007"/>
    <s v="Finalizado (2/5)"/>
    <n v="33.6"/>
    <n v="6.4"/>
    <n v="40"/>
    <s v="Sessão Faturada"/>
    <n v="954600000256000"/>
    <n v="24181"/>
    <s v="Unidade Sao Jose"/>
    <n v="1713269007"/>
    <m/>
  </r>
  <r>
    <x v="2"/>
    <x v="40"/>
    <s v="Jacqueline Lima de Oliveira"/>
    <s v="Feminino"/>
    <x v="27"/>
    <x v="24"/>
    <s v="20103522 - Fisioterapia - Pac Com Dependencia de Vida Diária (R$ 23,59)"/>
    <s v="Fisioterapia"/>
    <n v="1707299573"/>
    <s v="Finalizado (5/5)"/>
    <n v="19.8156"/>
    <n v="3.7744"/>
    <n v="23.59"/>
    <s v="Sessão Faturada"/>
    <n v="611481880006000"/>
    <n v="59217"/>
    <s v="Unidade Sao Jose"/>
    <n v="1707299573"/>
    <m/>
  </r>
  <r>
    <x v="2"/>
    <x v="40"/>
    <s v="Francisca Zuleide de Oliveira Araujo"/>
    <s v="Feminino"/>
    <x v="7"/>
    <x v="24"/>
    <s v="Sao José - 2 - Fisioterapia Ortopédica - Pacote (R$ 20,00)"/>
    <s v="Fisioterapia"/>
    <n v="171952"/>
    <s v="Finalizado (1/10)"/>
    <n v="15"/>
    <n v="5"/>
    <n v="20"/>
    <s v="Pago"/>
    <n v="59540"/>
    <n v="59540"/>
    <s v="Unidade Sao Jose"/>
    <n v="171952"/>
    <m/>
  </r>
  <r>
    <x v="2"/>
    <x v="40"/>
    <s v="Cosme Pereira Borges"/>
    <s v="Masculino"/>
    <x v="7"/>
    <x v="24"/>
    <s v="Sao José - 2 - Fisioterapia Ortopédica - Pacote (R$ 20,00)"/>
    <s v="Fisioterapia"/>
    <n v="171796"/>
    <s v="Finalizado (2/10)"/>
    <n v="15"/>
    <n v="5"/>
    <n v="20"/>
    <s v="Pago"/>
    <n v="59654"/>
    <n v="59654"/>
    <s v="Unidade Sao Jose"/>
    <n v="171796"/>
    <m/>
  </r>
  <r>
    <x v="2"/>
    <x v="49"/>
    <s v="Jacqueline Lima de Oliveira"/>
    <s v="Feminino"/>
    <x v="27"/>
    <x v="24"/>
    <s v="20103670 - Pos Operatorio Em Dois Ou Mais Membros (R$ 19,30)"/>
    <s v="Fisioterapia"/>
    <n v="1707298806"/>
    <s v="Finalizado (5/5)"/>
    <n v="16.212"/>
    <n v="3.0880000000000001"/>
    <n v="19.3"/>
    <s v="Sessão Faturada"/>
    <n v="611481880006000"/>
    <n v="59217"/>
    <s v="Unidade Sao Jose"/>
    <n v="1707298806"/>
    <m/>
  </r>
  <r>
    <x v="2"/>
    <x v="55"/>
    <s v="Jacqueline Lima de Oliveira"/>
    <s v="Feminino"/>
    <x v="4"/>
    <x v="24"/>
    <s v="31602185 - Estimulação Elétrica Transcutânea - Removido 13/04/2026 (R$ 40,00)"/>
    <s v="Fisioterapia"/>
    <n v="1710226070"/>
    <s v="Finalizado (3/5)"/>
    <n v="33.6"/>
    <n v="6.4"/>
    <n v="40"/>
    <s v="Sessão Faturada"/>
    <n v="611481880006000"/>
    <n v="59217"/>
    <s v="Unidade Sao Jose"/>
    <n v="1710226070"/>
    <m/>
  </r>
  <r>
    <x v="2"/>
    <x v="35"/>
    <s v="Sheila Miranda de Brito"/>
    <s v="Feminino"/>
    <x v="8"/>
    <x v="24"/>
    <s v="20103662 - Pos Operatorio Em Um Membro (R$ 14,99)"/>
    <s v="Fisioterapia"/>
    <n v="1703790210"/>
    <s v="Finalizado (5/5)"/>
    <n v="12.5916"/>
    <n v="2.3984000000000001"/>
    <n v="14.99"/>
    <s v="Sessão Faturada"/>
    <n v="954440000590010"/>
    <n v="46121"/>
    <s v="Unidade Sao Jose"/>
    <n v="1703790210"/>
    <m/>
  </r>
  <r>
    <x v="2"/>
    <x v="35"/>
    <s v="Milza Santos"/>
    <s v="Feminino"/>
    <x v="14"/>
    <x v="24"/>
    <s v="20103492 - Fisioterapia - Patologia Em Dois Ou Mais Membros (R$ 14,83), 20103506 - Fisioterapia - Patologia Em Um Segmento da Coluna (R$ 12,22)"/>
    <s v="Fisioterapia"/>
    <n v="1705860320"/>
    <s v="Finalizado (5/5)"/>
    <n v="22.722000000000001"/>
    <n v="4.3280000000000003"/>
    <n v="27.05"/>
    <s v="Sessão Faturada"/>
    <n v="954600000493010"/>
    <n v="41659"/>
    <s v="Unidade Sao Jose"/>
    <n v="1705860320"/>
    <m/>
  </r>
  <r>
    <x v="2"/>
    <x v="38"/>
    <s v="Luciana Mendoça Martins"/>
    <s v="Feminino"/>
    <x v="7"/>
    <x v="24"/>
    <s v="Sao José - 2 - Fisioterapia Ortopédica - Pacote (R$ 20,00)"/>
    <s v="Fisioterapia"/>
    <n v="171007"/>
    <s v="Finalizado (7/10)"/>
    <n v="15"/>
    <n v="5"/>
    <n v="20"/>
    <s v="Pago"/>
    <n v="59582"/>
    <n v="59582"/>
    <s v="Unidade Sao Jose"/>
    <n v="171007"/>
    <m/>
  </r>
  <r>
    <x v="2"/>
    <x v="37"/>
    <s v="Wildson Costa dos Santos"/>
    <s v="Masculino"/>
    <x v="6"/>
    <x v="24"/>
    <s v="20103662 - Pos Operatorio Em Um Membro (R$ 22,53)"/>
    <s v="Fisioterapia"/>
    <n v="171322"/>
    <s v="Finalizado (5/10)"/>
    <n v="18.9252"/>
    <n v="3.6048"/>
    <n v="22.53"/>
    <s v="Sessão Faturada"/>
    <s v="58201065998121610018"/>
    <n v="59580"/>
    <s v="Unidade Sao Jose"/>
    <n v="171322"/>
    <m/>
  </r>
  <r>
    <x v="2"/>
    <x v="37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5/10)"/>
    <n v="37.312800000000003"/>
    <n v="7.1071999999999997"/>
    <n v="44.42"/>
    <s v="Sessão Faturada"/>
    <s v="58201065998121610018"/>
    <n v="59580"/>
    <s v="Unidade Sao Jose"/>
    <n v="171323"/>
    <m/>
  </r>
  <r>
    <x v="2"/>
    <x v="37"/>
    <s v="Wildson Costa dos Santos"/>
    <s v="Masculino"/>
    <x v="6"/>
    <x v="24"/>
    <s v="31602185 - Estimulação Elétrica Transcutanea (Tens) (R$ 40,00)"/>
    <s v="Fisioterapia"/>
    <n v="171325"/>
    <s v="Finalizado (4/7)"/>
    <n v="33.6"/>
    <n v="6.4"/>
    <n v="40"/>
    <s v="Sessão Faturada"/>
    <s v="58201065998121610018"/>
    <n v="59580"/>
    <s v="Unidade Sao Jose"/>
    <n v="171325"/>
    <m/>
  </r>
  <r>
    <x v="2"/>
    <x v="39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4/10)"/>
    <n v="30"/>
    <n v="10"/>
    <n v="40"/>
    <s v="Pago"/>
    <n v="59611"/>
    <n v="59611"/>
    <s v="Unidade Sao Jose"/>
    <n v="171321"/>
    <m/>
  </r>
  <r>
    <x v="2"/>
    <x v="22"/>
    <s v="Rosangela Rodrigues Sabino"/>
    <s v="Feminino"/>
    <x v="7"/>
    <x v="24"/>
    <s v="Sao José - 2 - Fisioterapia Ortopédica - Pacote (R$ 20,00)"/>
    <s v="Fisioterapia"/>
    <n v="171193"/>
    <s v="Finalizado (8/10)"/>
    <n v="15"/>
    <n v="5"/>
    <n v="20"/>
    <s v="Pago"/>
    <n v="59595"/>
    <n v="59595"/>
    <s v="Unidade Sao Jose"/>
    <n v="171193"/>
    <m/>
  </r>
  <r>
    <x v="2"/>
    <x v="22"/>
    <s v="Nádia Eunice Batalha de Pinho"/>
    <s v="Feminino"/>
    <x v="27"/>
    <x v="24"/>
    <s v="20103484 - Patologia Em Um Membro (R$ 12,22)"/>
    <s v="Fisioterapia"/>
    <n v="1710346187"/>
    <s v="Finalizado (3/5)"/>
    <n v="10.264799999999999"/>
    <n v="1.9552"/>
    <n v="12.22"/>
    <s v="Sessão Faturada"/>
    <n v="774385001546010"/>
    <n v="58963"/>
    <s v="Unidade Sao Jose"/>
    <n v="1710346187"/>
    <m/>
  </r>
  <r>
    <x v="2"/>
    <x v="22"/>
    <s v="Ângela Isabel Barbosa Rego"/>
    <s v="Feminino"/>
    <x v="7"/>
    <x v="24"/>
    <s v="Sao José - 2 - Fisioterapia Ortopédica - Pacote (R$ 20,00)"/>
    <s v="Fisioterapia"/>
    <n v="169554"/>
    <s v="Finalizado (10/10)"/>
    <n v="15"/>
    <n v="5"/>
    <n v="20"/>
    <s v="Pago"/>
    <n v="59455"/>
    <n v="59455"/>
    <s v="Unidade Sao Jose"/>
    <n v="169554"/>
    <m/>
  </r>
  <r>
    <x v="2"/>
    <x v="47"/>
    <s v="Nádia Eunice Batalha de Pinho"/>
    <s v="Feminino"/>
    <x v="27"/>
    <x v="24"/>
    <s v="20103662 - Pos Operatorio Em Um Membro (R$ 14,99)"/>
    <s v="Fisioterapia"/>
    <n v="1710383583"/>
    <s v="Finalizado (3/5)"/>
    <n v="12.5916"/>
    <n v="2.3984000000000001"/>
    <n v="14.99"/>
    <s v="Sessão Faturada"/>
    <n v="774385001546010"/>
    <n v="58963"/>
    <s v="Unidade Sao Jose"/>
    <n v="1710383583"/>
    <m/>
  </r>
  <r>
    <x v="2"/>
    <x v="88"/>
    <s v="Nádia Eunice Batalha de Pinho"/>
    <s v="Feminino"/>
    <x v="4"/>
    <x v="24"/>
    <s v="31602185 - Estimulação Elétrica Transcutânea - Removido 13/04/2026 (R$ 40,00)"/>
    <s v="Fisioterapia"/>
    <n v="1711550565"/>
    <s v="Finalizado (2/4)"/>
    <n v="33.6"/>
    <n v="6.4"/>
    <n v="40"/>
    <s v="Sessão Faturada"/>
    <n v="774385001546010"/>
    <n v="58963"/>
    <s v="Unidade Sao Jose"/>
    <n v="1711550565"/>
    <m/>
  </r>
  <r>
    <x v="2"/>
    <x v="0"/>
    <s v="Silvia Serrão de Figueiredo"/>
    <s v="Feminino"/>
    <x v="27"/>
    <x v="24"/>
    <s v="20103522 - Fisioterapia - Pac Com Dependencia de Vida Diária (R$ 23,59)"/>
    <s v="Fisioterapia"/>
    <n v="1705564431"/>
    <s v="Finalizado (5/5)"/>
    <n v="19.8156"/>
    <n v="3.7744"/>
    <n v="23.59"/>
    <s v="Sessão Faturada"/>
    <n v="772133000485020"/>
    <n v="25348"/>
    <s v="Unidade Sao Jose"/>
    <n v="1705564431"/>
    <m/>
  </r>
  <r>
    <x v="2"/>
    <x v="1"/>
    <s v="Silvia Serrão de Figueiredo"/>
    <s v="Feminino"/>
    <x v="27"/>
    <x v="24"/>
    <s v="20103492 - Patol. Em Dois Ou Mais Membros (R$ 14,83), 20103514 - Patol. Em Diferentes Segmentos da Coluna (R$ 14,83)"/>
    <s v="Fisioterapia"/>
    <n v="1706695150"/>
    <s v="Finalizado (4/5)"/>
    <n v="24.914400000000001"/>
    <n v="4.7455999999999996"/>
    <n v="29.66"/>
    <s v="Sessão Faturada"/>
    <n v="772133000485020"/>
    <n v="25348"/>
    <s v="Unidade Sao Jose"/>
    <n v="1706695150"/>
    <m/>
  </r>
  <r>
    <x v="2"/>
    <x v="2"/>
    <s v="Clicia Nayara Coimbra Soares"/>
    <s v="Feminino"/>
    <x v="2"/>
    <x v="24"/>
    <s v="20103492 - Fisioterapia - Patologia Em Dois Ou Mais Membros (R$ 14,83), 20103514 - Fisioterapia - Patologia Em Diferentes Segmentos da Coluna (R$ 14,83)"/>
    <s v="Fisioterapia"/>
    <n v="1709760665"/>
    <s v="Finalizado (5/5)"/>
    <n v="24.914400000000001"/>
    <n v="4.7455999999999996"/>
    <n v="29.66"/>
    <s v="Sessão Faturada"/>
    <n v="843486100370000"/>
    <n v="49710"/>
    <s v="Unidade Sao Jose"/>
    <n v="1709760665"/>
    <m/>
  </r>
  <r>
    <x v="2"/>
    <x v="2"/>
    <s v="Cristiane Villar de Holanda"/>
    <s v="Feminino"/>
    <x v="7"/>
    <x v="24"/>
    <s v="Sao José - 2 - Fisioterapia Ortopédica - Pacote (R$ 20,00)"/>
    <s v="Fisioterapia"/>
    <n v="170499"/>
    <s v="Finalizado (7/10)"/>
    <n v="15"/>
    <n v="5"/>
    <n v="20"/>
    <s v="Pago"/>
    <n v="41493"/>
    <n v="41493"/>
    <s v="Unidade Sao Jose"/>
    <n v="170499"/>
    <m/>
  </r>
  <r>
    <x v="2"/>
    <x v="3"/>
    <s v="Clicia Nayara Coimbra Soares"/>
    <s v="Feminino"/>
    <x v="4"/>
    <x v="24"/>
    <s v="31602185 - Estimulação Elétrica Transcutânea - Removido 13/04/2026 (R$ 40,00)"/>
    <s v="Fisioterapia"/>
    <n v="1712925805"/>
    <s v="Finalizado (3/3)"/>
    <n v="33.6"/>
    <n v="6.4"/>
    <n v="40"/>
    <s v="Sessão Faturada"/>
    <n v="843486100370000"/>
    <n v="49710"/>
    <s v="Unidade Sao Jose"/>
    <n v="1712925805"/>
    <m/>
  </r>
  <r>
    <x v="2"/>
    <x v="4"/>
    <s v="Lidiane da Costa Alves"/>
    <s v="Feminino"/>
    <x v="8"/>
    <x v="24"/>
    <s v="20103514 - Patologia Em Diferentes Segmentos da Coluna (R$ 14,83)"/>
    <s v="Fisioterapia"/>
    <n v="1714172157"/>
    <s v="Finalizado (1/1)"/>
    <n v="12.4572"/>
    <n v="2.3727999999999998"/>
    <n v="14.83"/>
    <s v="Sessão Faturada"/>
    <n v="954600002690010"/>
    <n v="19324"/>
    <s v="Unidade Sao Jose"/>
    <n v="1714172157"/>
    <m/>
  </r>
  <r>
    <x v="2"/>
    <x v="4"/>
    <s v="Maria de Fátima Cardoso de Medeiros"/>
    <s v="Feminino"/>
    <x v="4"/>
    <x v="24"/>
    <s v="31602185 - Estimulação Elétrica Transcutânea - Removido 13/04/2026 (R$ 40,00)"/>
    <s v="Fisioterapia"/>
    <n v="1714172129"/>
    <s v="Finalizado (1/4)"/>
    <n v="33.6"/>
    <n v="6.4"/>
    <n v="40"/>
    <s v="Sessão a Faturar"/>
    <n v="773458021210010"/>
    <n v="59643"/>
    <s v="Unidade Sao Jose"/>
    <n v="1714172129"/>
    <m/>
  </r>
  <r>
    <x v="2"/>
    <x v="4"/>
    <s v="Maria Francisca da Silva Carvalho"/>
    <s v="Feminino"/>
    <x v="7"/>
    <x v="24"/>
    <s v="Sao José - 4 - Fisioterapia Neurológica/Respiratória - Pacote (R$ 50,00)"/>
    <s v="Fisioterapia"/>
    <n v="171513"/>
    <s v="Finalizado (2/5)"/>
    <n v="37.5"/>
    <n v="12.5"/>
    <n v="50"/>
    <s v="Pago"/>
    <n v="58726"/>
    <n v="58726"/>
    <s v="Unidade Sao Jose"/>
    <n v="171513"/>
    <m/>
  </r>
  <r>
    <x v="2"/>
    <x v="4"/>
    <s v="Maria de Fátima Cardoso de Medeiros"/>
    <s v="Feminino"/>
    <x v="27"/>
    <x v="24"/>
    <s v="20103662 - Pos Operatorio Em Um Membro (R$ 14,99)"/>
    <s v="Fisioterapia"/>
    <n v="1712932250"/>
    <s v="Finalizado (2/5)"/>
    <n v="12.5916"/>
    <n v="2.3984000000000001"/>
    <n v="14.99"/>
    <s v="Sessão a Faturar"/>
    <n v="773458021210010"/>
    <n v="59643"/>
    <s v="Unidade Sao Jose"/>
    <n v="1712932250"/>
    <m/>
  </r>
  <r>
    <x v="2"/>
    <x v="5"/>
    <s v="Maria de Fátima Cardoso de Medeiros"/>
    <s v="Feminino"/>
    <x v="27"/>
    <x v="24"/>
    <s v="20103484 - Patologia Em Um Membro (R$ 12,22)"/>
    <s v="Fisioterapia"/>
    <n v="1712932250"/>
    <s v="Finalizado (2/3)"/>
    <n v="10.264799999999999"/>
    <n v="1.9552"/>
    <n v="12.22"/>
    <s v="Sessão a Faturar"/>
    <n v="773458021210010"/>
    <n v="59643"/>
    <s v="Unidade Sao Jose"/>
    <n v="1712932250"/>
    <m/>
  </r>
  <r>
    <x v="2"/>
    <x v="5"/>
    <s v="Lidiane da Costa Alves"/>
    <s v="Feminino"/>
    <x v="8"/>
    <x v="24"/>
    <s v="20103662 - Pos Operatorio Em Um Membro (R$ 14,99)"/>
    <s v="Fisioterapia"/>
    <n v="1714171670"/>
    <s v="Finalizado (1/1)"/>
    <n v="12.5916"/>
    <n v="2.3984000000000001"/>
    <n v="14.99"/>
    <s v="Sessão Faturada"/>
    <n v="954600002690010"/>
    <n v="19324"/>
    <s v="Unidade Sao Jose"/>
    <n v="1714171670"/>
    <m/>
  </r>
  <r>
    <x v="2"/>
    <x v="13"/>
    <s v="Leonardo Batista de Souza"/>
    <s v="Masculino"/>
    <x v="5"/>
    <x v="24"/>
    <s v="98860020 - Fisioterapia Complexidade 2 - 04/03/2026 (R$ 70,79)"/>
    <s v="Fisioterapia"/>
    <n v="61519530"/>
    <s v="Finalizado (5/10)"/>
    <n v="59.4636"/>
    <n v="11.3264"/>
    <n v="70.790000000000006"/>
    <s v="Sessão Faturada"/>
    <s v="0101516639000159"/>
    <n v="54993"/>
    <s v="Unidade Sao Jose"/>
    <n v="61519530"/>
    <m/>
  </r>
  <r>
    <x v="2"/>
    <x v="6"/>
    <s v="Victor Hugo Tavares Pereira"/>
    <s v="Masculino"/>
    <x v="27"/>
    <x v="24"/>
    <s v="20103662 - Pos Operatorio Em Um Membro (R$ 14,99)"/>
    <s v="Fisioterapia"/>
    <n v="1714197725"/>
    <s v="Finalizado (1/5)"/>
    <n v="12.5916"/>
    <n v="2.3984000000000001"/>
    <n v="14.99"/>
    <s v="Sessão a Faturar"/>
    <n v="774642023205000"/>
    <n v="54184"/>
    <s v="Unidade Sao Jose"/>
    <n v="1714197725"/>
    <m/>
  </r>
  <r>
    <x v="2"/>
    <x v="6"/>
    <s v="Jean da Silva Melo"/>
    <s v="Masculino"/>
    <x v="14"/>
    <x v="24"/>
    <s v="20103662 - Fisioterapia - Pos Operatorio Em Um Membro (R$ 14,99)"/>
    <s v="Fisioterapia"/>
    <n v="1712903695"/>
    <s v="Finalizado (3/5)"/>
    <n v="12.5916"/>
    <n v="2.3984000000000001"/>
    <n v="14.99"/>
    <s v="Sessão Faturada"/>
    <n v="954600003042000"/>
    <n v="29915"/>
    <s v="Unidade Sao Jose"/>
    <n v="1712903695"/>
    <m/>
  </r>
  <r>
    <x v="2"/>
    <x v="6"/>
    <s v="Rossylene de Jesus Pinto da Silva"/>
    <s v="Feminino"/>
    <x v="7"/>
    <x v="24"/>
    <s v="Sao José - 2 - Fisioterapia Ortopédica - Pacote (R$ 20,00)"/>
    <s v="Fisioterapia"/>
    <n v="171503"/>
    <s v="Finalizado (5/10)"/>
    <n v="15"/>
    <n v="5"/>
    <n v="20"/>
    <s v="Pago"/>
    <n v="58721"/>
    <n v="58721"/>
    <s v="Unidade Sao Jose"/>
    <n v="171503"/>
    <m/>
  </r>
  <r>
    <x v="2"/>
    <x v="26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2903368"/>
    <s v="Finalizado (3/5)"/>
    <n v="24.914400000000001"/>
    <n v="4.7455999999999996"/>
    <n v="29.66"/>
    <s v="Sessão Faturada"/>
    <n v="954600003042000"/>
    <n v="29915"/>
    <s v="Unidade Sao Jose"/>
    <n v="1712903368"/>
    <m/>
  </r>
  <r>
    <x v="2"/>
    <x v="27"/>
    <s v="Jean da Silva Melo"/>
    <s v="Masculino"/>
    <x v="9"/>
    <x v="24"/>
    <s v="31602185 - Estimulação Elétrica Transcutânea (Tens) - Removido 13/04/2026 (R$ 40,00)"/>
    <s v="Fisioterapia"/>
    <n v="1713585717"/>
    <s v="Finalizado (2/5)"/>
    <n v="33.6"/>
    <n v="6.4"/>
    <n v="40"/>
    <s v="Sessão Faturada"/>
    <n v="954600003042000"/>
    <n v="29915"/>
    <s v="Unidade Sao Jose"/>
    <n v="1713585717"/>
    <m/>
  </r>
  <r>
    <x v="2"/>
    <x v="15"/>
    <s v="Francinete Lima de Souza"/>
    <s v="Feminino"/>
    <x v="7"/>
    <x v="24"/>
    <s v="Sao José - 2 - Fisioterapia Ortopédica - Pacote (R$ 20,00)"/>
    <s v="Fisioterapia"/>
    <n v="160701"/>
    <s v="Finalizado (10/10)"/>
    <n v="15"/>
    <n v="5"/>
    <n v="20"/>
    <s v="Pago"/>
    <n v="58537"/>
    <n v="58537"/>
    <s v="Unidade Sao Jose"/>
    <n v="160701"/>
    <m/>
  </r>
  <r>
    <x v="2"/>
    <x v="8"/>
    <s v="Haila Vitoria Santos Gomes"/>
    <s v="Feminino"/>
    <x v="7"/>
    <x v="24"/>
    <s v="Sao José - 2 - Fisioterapia Ortopédica - Pacote (R$ 20,00)"/>
    <s v="Fisioterapia"/>
    <n v="169141"/>
    <s v="Finalizado (9/10)"/>
    <n v="15"/>
    <n v="5"/>
    <n v="20"/>
    <s v="Pago"/>
    <n v="59422"/>
    <n v="59422"/>
    <s v="Unidade Sao Jose"/>
    <n v="169141"/>
    <m/>
  </r>
  <r>
    <x v="2"/>
    <x v="8"/>
    <s v="Lucas Gloria da Costa"/>
    <s v="Masculino"/>
    <x v="7"/>
    <x v="24"/>
    <s v="Sao José - 2 - Fisioterapia Ortopédica - Pacote (R$ 20,00)"/>
    <s v="Fisioterapia"/>
    <n v="170074"/>
    <s v="Finalizado (7/10)"/>
    <n v="15"/>
    <n v="5"/>
    <n v="20"/>
    <s v="Pago"/>
    <n v="59490"/>
    <n v="59490"/>
    <s v="Unidade Sao Jose"/>
    <n v="170074"/>
    <m/>
  </r>
  <r>
    <x v="2"/>
    <x v="8"/>
    <s v="Tamires Cordeiro de Melo"/>
    <s v="Feminino"/>
    <x v="27"/>
    <x v="24"/>
    <s v="20103514 - Patol. Em Diferentes Segmentos da Coluna (R$ 14,83)"/>
    <s v="Fisioterapia"/>
    <n v="1711967516"/>
    <s v="Finalizado (2/5)"/>
    <n v="12.4572"/>
    <n v="2.3727999999999998"/>
    <n v="14.83"/>
    <s v="Sessão Faturada"/>
    <n v="773626012483020"/>
    <n v="59648"/>
    <s v="Unidade Sao Jose"/>
    <n v="1711967516"/>
    <m/>
  </r>
  <r>
    <x v="2"/>
    <x v="8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3002975"/>
    <s v="Finalizado (3/5)"/>
    <n v="24.914400000000001"/>
    <n v="4.7455999999999996"/>
    <n v="29.66"/>
    <s v="Sessão Faturada"/>
    <n v="960016147828000"/>
    <n v="18356"/>
    <s v="Unidade Sao Jose"/>
    <n v="1713002975"/>
    <m/>
  </r>
  <r>
    <x v="2"/>
    <x v="9"/>
    <s v="Jairo Barboza Domingues"/>
    <s v="Masculino"/>
    <x v="4"/>
    <x v="24"/>
    <s v="31602185 - Estimulação Elétrica Transcutânea - Removido 13/04/2026 (R$ 40,00)"/>
    <s v="Fisioterapia"/>
    <n v="1713626624"/>
    <s v="Finalizado (2/5)"/>
    <n v="33.6"/>
    <n v="6.4"/>
    <n v="40"/>
    <s v="Sessão Faturada"/>
    <n v="960016147828000"/>
    <n v="18356"/>
    <s v="Unidade Sao Jose"/>
    <n v="1713626624"/>
    <m/>
  </r>
  <r>
    <x v="2"/>
    <x v="9"/>
    <s v="Tamires Cordeiro de Melo"/>
    <s v="Feminino"/>
    <x v="27"/>
    <x v="24"/>
    <s v="20103522 - Fisioterapia - Pac Com Dependencia de Vida Diária (R$ 23,59)"/>
    <s v="Fisioterapia"/>
    <n v="1711967663"/>
    <s v="Finalizado (2/5)"/>
    <n v="19.8156"/>
    <n v="3.7744"/>
    <n v="23.59"/>
    <s v="Sessão Faturada"/>
    <n v="773626012483020"/>
    <n v="59648"/>
    <s v="Unidade Sao Jose"/>
    <n v="1711967663"/>
    <m/>
  </r>
  <r>
    <x v="2"/>
    <x v="10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2/10)"/>
    <n v="30"/>
    <n v="10"/>
    <n v="40"/>
    <s v="Pago"/>
    <n v="59492"/>
    <n v="59492"/>
    <s v="Unidade Sao Jose"/>
    <n v="171692"/>
    <m/>
  </r>
  <r>
    <x v="3"/>
    <x v="44"/>
    <s v="Marta Marcione Bentes Albuquerque"/>
    <s v="Feminino"/>
    <x v="9"/>
    <x v="24"/>
    <s v="31602185 - Estimulação Elétrica Transcutânea (Tens) - Removido 13/04/2026 (R$ 40,00)"/>
    <s v="Fisioterapia"/>
    <n v="1711270934"/>
    <s v="Finalizado (5/5)"/>
    <n v="33.6"/>
    <n v="6.4"/>
    <n v="40"/>
    <s v="Sessão Faturada"/>
    <n v="954600004960000"/>
    <n v="40103"/>
    <s v="Unidade Sao Jose"/>
    <n v="1711270934"/>
    <m/>
  </r>
  <r>
    <x v="3"/>
    <x v="44"/>
    <s v="Richelle Chris Oliveira Santos"/>
    <s v="Feminino"/>
    <x v="27"/>
    <x v="24"/>
    <s v="20103492 - Patol. Em Dois Ou Mais Membros (R$ 14,83)"/>
    <s v="Fisioterapia"/>
    <n v="1712584759"/>
    <s v="Finalizado (3/5)"/>
    <n v="12.4572"/>
    <n v="2.3727999999999998"/>
    <n v="14.83"/>
    <s v="Sessão a Faturar"/>
    <n v="960015883016010"/>
    <n v="59621"/>
    <s v="Unidade Sao Jose"/>
    <n v="1712584759"/>
    <m/>
  </r>
  <r>
    <x v="3"/>
    <x v="73"/>
    <s v="Marta Marcione Bentes Albuquerque"/>
    <s v="Feminino"/>
    <x v="8"/>
    <x v="24"/>
    <s v="20103492 - Patologia Em Dois Ou Mais Membros (R$ 14,83), 20103514 - Patologia Em Diferentes Segmentos da Coluna (R$ 14,83)"/>
    <s v="Fisioterapia"/>
    <n v="1712566763"/>
    <s v="Finalizado (4/5)"/>
    <n v="24.914400000000001"/>
    <n v="4.7455999999999996"/>
    <n v="29.66"/>
    <s v="Sessão Faturada"/>
    <n v="954600004960000"/>
    <n v="40103"/>
    <s v="Unidade Sao Jose"/>
    <n v="1712566763"/>
    <m/>
  </r>
  <r>
    <x v="3"/>
    <x v="60"/>
    <s v="Richelle Chris Oliveira Santos"/>
    <s v="Feminino"/>
    <x v="4"/>
    <x v="24"/>
    <s v="31602185 - Estimulação Elétrica Transcutânea - Removido 13/04/2026 (R$ 40,00)"/>
    <s v="Fisioterapia"/>
    <n v="1713224644"/>
    <s v="Finalizado (2/5)"/>
    <n v="33.6"/>
    <n v="6.4"/>
    <n v="40"/>
    <s v="Sessão a Faturar"/>
    <n v="960015883016010"/>
    <n v="59621"/>
    <s v="Unidade Sao Jose"/>
    <n v="1713224644"/>
    <m/>
  </r>
  <r>
    <x v="3"/>
    <x v="74"/>
    <s v="Marta Marcione Bentes Albuquerque"/>
    <s v="Feminino"/>
    <x v="8"/>
    <x v="24"/>
    <s v="20103670 - Pos Operatorio Em Dois Ou Mais Membros (R$ 19,30)"/>
    <s v="Fisioterapia"/>
    <n v="1712565823"/>
    <s v="Finalizado (4/5)"/>
    <n v="16.212"/>
    <n v="3.0880000000000001"/>
    <n v="19.3"/>
    <s v="Sessão Faturada"/>
    <n v="954600004960000"/>
    <n v="40103"/>
    <s v="Unidade Sao Jose"/>
    <n v="1712565823"/>
    <m/>
  </r>
  <r>
    <x v="3"/>
    <x v="36"/>
    <s v="Simone Soares Franco"/>
    <s v="Feminino"/>
    <x v="9"/>
    <x v="24"/>
    <s v="31602185 - Estimulação Elétrica Transcutânea (Tens) - Removido 13/04/2026 (R$ 40,00)"/>
    <s v="Fisioterapia"/>
    <n v="1713269007"/>
    <s v="Finalizado (3/5)"/>
    <n v="33.6"/>
    <n v="6.4"/>
    <n v="40"/>
    <s v="Sessão Faturada"/>
    <n v="954600000256000"/>
    <n v="24181"/>
    <s v="Unidade Sao Jose"/>
    <n v="1713269007"/>
    <m/>
  </r>
  <r>
    <x v="3"/>
    <x v="36"/>
    <s v="Manuela Soares de Freitas Mendonca"/>
    <s v="Feminino"/>
    <x v="9"/>
    <x v="24"/>
    <s v="31602185 - Estimulação Elétrica Transcutânea (Tens) - Removido 13/04/2026 (R$ 40,00)"/>
    <s v="Fisioterapia"/>
    <n v="1711333463"/>
    <s v="Finalizado (5/5)"/>
    <n v="33.6"/>
    <n v="6.4"/>
    <n v="40"/>
    <s v="Sessão Faturada"/>
    <n v="954600000256030"/>
    <n v="53656"/>
    <s v="Unidade Sao Jose"/>
    <n v="1711333463"/>
    <m/>
  </r>
  <r>
    <x v="3"/>
    <x v="36"/>
    <s v="Simone Soares Franco"/>
    <s v="Feminino"/>
    <x v="8"/>
    <x v="24"/>
    <s v="20103522 - Fisioterapia - Pac Com Dependencia de Vida Diária (R$ 23,59)"/>
    <s v="Fisioterapia"/>
    <n v="1711330841"/>
    <s v="Finalizado (5/5)"/>
    <n v="19.8156"/>
    <n v="3.7744"/>
    <n v="23.59"/>
    <s v="Sessão Faturada"/>
    <n v="954600000256000"/>
    <n v="24181"/>
    <s v="Unidade Sao Jose"/>
    <n v="1711330841"/>
    <m/>
  </r>
  <r>
    <x v="3"/>
    <x v="61"/>
    <s v="Manuela Soares de Freitas Mendonca"/>
    <s v="Feminino"/>
    <x v="8"/>
    <x v="24"/>
    <s v="20103484 - Patologia Em Um Membro (R$ 12,22), 20103514 - Patologia Em Diferentes Segmentos da Coluna (R$ 14,83)"/>
    <s v="Fisioterapia"/>
    <n v="1711332318"/>
    <s v="Finalizado (5/5)"/>
    <n v="22.722000000000001"/>
    <n v="4.3280000000000003"/>
    <n v="27.05"/>
    <s v="Sessão Faturada"/>
    <n v="954600000256030"/>
    <n v="53656"/>
    <s v="Unidade Sao Jose"/>
    <n v="1711332318"/>
    <m/>
  </r>
  <r>
    <x v="3"/>
    <x v="61"/>
    <s v="Simone Soares Franco"/>
    <s v="Feminino"/>
    <x v="8"/>
    <x v="24"/>
    <s v="20103492 - Patologia Em Dois Ou Mais Membros (R$ 14,83)"/>
    <s v="Fisioterapia"/>
    <n v="1711330110"/>
    <s v="Finalizado (5/5)"/>
    <n v="12.4572"/>
    <n v="2.3727999999999998"/>
    <n v="14.83"/>
    <s v="Sessão Faturada"/>
    <n v="954600000256000"/>
    <n v="24181"/>
    <s v="Unidade Sao Jose"/>
    <n v="1711330110"/>
    <m/>
  </r>
  <r>
    <x v="3"/>
    <x v="40"/>
    <s v="Francisca Zuleide de Oliveira Araujo"/>
    <s v="Feminino"/>
    <x v="7"/>
    <x v="24"/>
    <s v="Sao José - 2 - Fisioterapia Ortopédica - Pacote (R$ 20,00)"/>
    <s v="Fisioterapia"/>
    <n v="171952"/>
    <s v="Finalizado (2/10)"/>
    <n v="15"/>
    <n v="5"/>
    <n v="20"/>
    <s v="Pago"/>
    <n v="59540"/>
    <n v="59540"/>
    <s v="Unidade Sao Jose"/>
    <n v="171952"/>
    <m/>
  </r>
  <r>
    <x v="3"/>
    <x v="38"/>
    <s v="Raynara Santos de Carvalho"/>
    <s v="Feminino"/>
    <x v="27"/>
    <x v="24"/>
    <s v="50000144 - Avaliação de Fisioterapia (R$ 51,42)"/>
    <s v="Fisioterapia"/>
    <n v="1714519821"/>
    <s v="Finalizado (1/1)"/>
    <n v="46.277999999999999"/>
    <n v="5.1420000000000003"/>
    <n v="51.42"/>
    <s v="Sessão Faturada"/>
    <n v="774634001384000"/>
    <n v="59689"/>
    <s v="Unidade Sao Jose"/>
    <n v="1714519821"/>
    <m/>
  </r>
  <r>
    <x v="3"/>
    <x v="39"/>
    <s v="Arlesson Ribeiro Correa"/>
    <s v="Masculino"/>
    <x v="7"/>
    <x v="24"/>
    <s v="Sao José - 2 - Fisioterapia Ortopédica - Pacote (R$ 20,00)"/>
    <s v="Fisioterapia"/>
    <n v="166722"/>
    <s v="Finalizado (9/10)"/>
    <n v="15"/>
    <n v="5"/>
    <n v="20"/>
    <s v="Pago"/>
    <n v="58435"/>
    <n v="58435"/>
    <s v="Unidade Sao Jose"/>
    <n v="166722"/>
    <m/>
  </r>
  <r>
    <x v="3"/>
    <x v="39"/>
    <s v="Raynara Santos de Carvalho"/>
    <s v="Feminino"/>
    <x v="27"/>
    <x v="24"/>
    <s v="20103514 - Patol. Em Diferentes Segmentos da Coluna (R$ 14,83)"/>
    <s v="Fisioterapia"/>
    <n v="1714562837"/>
    <s v="Finalizado (1/5)"/>
    <n v="12.4572"/>
    <n v="2.3727999999999998"/>
    <n v="14.83"/>
    <s v="Sessão Faturada"/>
    <n v="774634001384000"/>
    <n v="59689"/>
    <s v="Unidade Sao Jose"/>
    <n v="1714562837"/>
    <m/>
  </r>
  <r>
    <x v="3"/>
    <x v="39"/>
    <s v="Raynara Santos de Carvalho"/>
    <s v="Feminino"/>
    <x v="27"/>
    <x v="24"/>
    <s v="20103522 - Fisioterapia - Pac Com Dependencia de Vida Diária (R$ 23,59)"/>
    <s v="Fisioterapia"/>
    <n v="1714563881"/>
    <s v="Finalizado (1/5)"/>
    <n v="19.8156"/>
    <n v="3.7744"/>
    <n v="23.59"/>
    <s v="Sessão Faturada"/>
    <n v="774634001384000"/>
    <n v="59689"/>
    <s v="Unidade Sao Jose"/>
    <n v="1714563881"/>
    <m/>
  </r>
  <r>
    <x v="3"/>
    <x v="39"/>
    <s v="Raynara Santos de Carvalho"/>
    <s v="Feminino"/>
    <x v="27"/>
    <x v="24"/>
    <s v="20103220 - Fisioterapia Respiratoria (R$ 12,22)"/>
    <s v="Fisioterapia"/>
    <n v="1714564442"/>
    <s v="Finalizado (1/5)"/>
    <n v="10.264799999999999"/>
    <n v="1.9552"/>
    <n v="12.22"/>
    <s v="Sessão Faturada"/>
    <n v="774634001384000"/>
    <n v="59689"/>
    <s v="Unidade Sao Jose"/>
    <n v="1714564442"/>
    <m/>
  </r>
  <r>
    <x v="3"/>
    <x v="22"/>
    <s v="Wesley Simoes de Souza"/>
    <s v="Masculino"/>
    <x v="7"/>
    <x v="24"/>
    <s v="Sao José - 2 - Fisioterapia Ortopédica - Pacote (R$ 20,00)"/>
    <s v="Fisioterapia"/>
    <n v="170541"/>
    <s v="Finalizado (2/10)"/>
    <n v="15"/>
    <n v="5"/>
    <n v="20"/>
    <s v="Pago"/>
    <m/>
    <n v="59533"/>
    <s v="Unidade Sao Jose"/>
    <n v="170541"/>
    <m/>
  </r>
  <r>
    <x v="3"/>
    <x v="22"/>
    <s v="Larissa Ribeiro Ferreira"/>
    <s v="Feminino"/>
    <x v="7"/>
    <x v="24"/>
    <s v="Sao José - 2 - Fisioterapia Ortopédica - Pacote (R$ 20,00)"/>
    <s v="Fisioterapia"/>
    <n v="171610"/>
    <s v="Finalizado (2/10)"/>
    <n v="15"/>
    <n v="5"/>
    <n v="20"/>
    <s v="Pago"/>
    <n v="28555"/>
    <n v="28555"/>
    <s v="Unidade Sao Jose"/>
    <n v="171610"/>
    <m/>
  </r>
  <r>
    <x v="3"/>
    <x v="22"/>
    <s v="Marlene Pereira Lima"/>
    <s v="Feminino"/>
    <x v="7"/>
    <x v="24"/>
    <s v="Sao José - 2 - Fisioterapia Ortopédica - Pacote (R$ 20,00)"/>
    <s v="Fisioterapia"/>
    <n v="171851"/>
    <s v="Finalizado (2/10)"/>
    <n v="15"/>
    <n v="5"/>
    <n v="20"/>
    <s v="Pago"/>
    <n v="37569"/>
    <n v="37569"/>
    <s v="Unidade Sao Jose"/>
    <n v="171851"/>
    <m/>
  </r>
  <r>
    <x v="3"/>
    <x v="0"/>
    <s v="Luciana Mendoça Martins"/>
    <s v="Feminino"/>
    <x v="7"/>
    <x v="24"/>
    <s v="Sao José - 2 - Fisioterapia Ortopédica - Pacote (R$ 20,00)"/>
    <s v="Fisioterapia"/>
    <n v="171007"/>
    <s v="Finalizado (8/10)"/>
    <n v="15"/>
    <n v="5"/>
    <n v="20"/>
    <s v="Pago"/>
    <n v="59582"/>
    <n v="59582"/>
    <s v="Unidade Sao Jose"/>
    <n v="171007"/>
    <m/>
  </r>
  <r>
    <x v="3"/>
    <x v="0"/>
    <s v="Rosangela Rodrigues Sabino"/>
    <s v="Feminino"/>
    <x v="7"/>
    <x v="24"/>
    <s v="Sao José - 2 - Fisioterapia Ortopédica - Pacote (R$ 20,00)"/>
    <s v="Fisioterapia"/>
    <n v="171193"/>
    <s v="Finalizado (9/10)"/>
    <n v="15"/>
    <n v="5"/>
    <n v="20"/>
    <s v="Pago"/>
    <n v="59595"/>
    <n v="59595"/>
    <s v="Unidade Sao Jose"/>
    <n v="171193"/>
    <m/>
  </r>
  <r>
    <x v="3"/>
    <x v="2"/>
    <s v="Cristiane Villar de Holanda"/>
    <s v="Feminino"/>
    <x v="7"/>
    <x v="24"/>
    <s v="Sao José - 2 - Fisioterapia Ortopédica - Pacote (R$ 20,00)"/>
    <s v="Fisioterapia"/>
    <n v="170499"/>
    <s v="Finalizado (8/10)"/>
    <n v="15"/>
    <n v="5"/>
    <n v="20"/>
    <s v="Pago"/>
    <n v="41493"/>
    <n v="41493"/>
    <s v="Unidade Sao Jose"/>
    <n v="170499"/>
    <m/>
  </r>
  <r>
    <x v="3"/>
    <x v="13"/>
    <s v="Eunice Maria de Sena e Freitas"/>
    <s v="Feminino"/>
    <x v="6"/>
    <x v="24"/>
    <s v="50000144 - Avaliação de Fisioterapia (R$ 56,52)"/>
    <s v="Fisioterapia"/>
    <n v="7700047306"/>
    <s v="Finalizado (1/1)"/>
    <n v="50.868000000000002"/>
    <n v="5.6520000000000001"/>
    <n v="56.52"/>
    <s v="Sessão Faturada"/>
    <s v="58200789997228961026"/>
    <n v="38740"/>
    <s v="Unidade Sao Jose"/>
    <n v="7700047306"/>
    <m/>
  </r>
  <r>
    <x v="3"/>
    <x v="13"/>
    <s v="Eunice Maria de Sena e Freitas"/>
    <s v="Feminino"/>
    <x v="6"/>
    <x v="24"/>
    <s v="20103492 - Patologia Em Dois Ou Mais Membros - 01/09/2025 (R$ 29,09), 20103506 - Patologia Em Um Segmento da Coluna - 01/09/2025 (R$ 13,61)"/>
    <s v="Fisioterapia"/>
    <n v="147305"/>
    <s v="Finalizado (8/10)"/>
    <n v="35.868000000000002"/>
    <n v="6.8319999999999999"/>
    <n v="42.7"/>
    <s v="Sessão Faturada"/>
    <s v="58200789997228961026"/>
    <n v="38740"/>
    <s v="Unidade Sao Jose"/>
    <n v="147305"/>
    <m/>
  </r>
  <r>
    <x v="3"/>
    <x v="31"/>
    <s v="Eunice Maria de Sena e Freitas"/>
    <s v="Feminino"/>
    <x v="6"/>
    <x v="24"/>
    <s v="20103476 - Patologia Neurologica - 01/09/2025 (R$ 34,04)"/>
    <s v="Fisioterapia"/>
    <n v="147311"/>
    <s v="Finalizado (8/10)"/>
    <n v="28.593599999999999"/>
    <n v="5.4463999999999997"/>
    <n v="34.04"/>
    <s v="Sessão Faturada"/>
    <s v="58200789997228961026"/>
    <n v="38740"/>
    <s v="Unidade Sao Jose"/>
    <n v="147311"/>
    <m/>
  </r>
  <r>
    <x v="3"/>
    <x v="32"/>
    <s v="Eunice Maria de Sena e Freitas"/>
    <s v="Feminino"/>
    <x v="6"/>
    <x v="24"/>
    <s v="31602185 - Estimulação Elétrica Transcutanea (Tens) - 01/09/2025 (R$ 96,68)"/>
    <s v="Fisioterapia"/>
    <n v="148282"/>
    <s v="Finalizado (4/10)"/>
    <n v="81.211200000000005"/>
    <n v="15.4688"/>
    <n v="96.68"/>
    <s v="Sessão Faturada"/>
    <s v="58200789997228961026"/>
    <n v="38740"/>
    <s v="Unidade Sao Jose"/>
    <n v="148282"/>
    <m/>
  </r>
  <r>
    <x v="3"/>
    <x v="6"/>
    <s v="Jean da Silva Melo"/>
    <s v="Masculino"/>
    <x v="14"/>
    <x v="24"/>
    <s v="20103662 - Fisioterapia - Pos Operatorio Em Um Membro (R$ 14,99)"/>
    <s v="Fisioterapia"/>
    <n v="1712903695"/>
    <s v="Finalizado (4/5)"/>
    <n v="12.5916"/>
    <n v="2.3984000000000001"/>
    <n v="14.99"/>
    <s v="Sessão Faturada"/>
    <n v="954600003042000"/>
    <n v="29915"/>
    <s v="Unidade Sao Jose"/>
    <n v="1712903695"/>
    <m/>
  </r>
  <r>
    <x v="3"/>
    <x v="6"/>
    <s v="Rossylene de Jesus Pinto da Silva"/>
    <s v="Feminino"/>
    <x v="7"/>
    <x v="24"/>
    <s v="Sao José - 2 - Fisioterapia Ortopédica - Pacote (R$ 20,00)"/>
    <s v="Fisioterapia"/>
    <n v="171503"/>
    <s v="Finalizado (6/10)"/>
    <n v="15"/>
    <n v="5"/>
    <n v="20"/>
    <s v="Pago"/>
    <n v="58721"/>
    <n v="58721"/>
    <s v="Unidade Sao Jose"/>
    <n v="171503"/>
    <m/>
  </r>
  <r>
    <x v="3"/>
    <x v="6"/>
    <s v="Josinaldo Sampaio da Silva"/>
    <s v="Masculino"/>
    <x v="6"/>
    <x v="24"/>
    <s v="20103476 - Patologia Neurologica - 25/03/2025 (R$ 33,75)"/>
    <s v="Fisioterapia"/>
    <n v="126020"/>
    <s v="Finalizado (7/10)"/>
    <n v="28.35"/>
    <n v="5.4"/>
    <n v="33.75"/>
    <s v="Sessão Faturada"/>
    <s v="54588888004873420010"/>
    <n v="41506"/>
    <s v="Unidade Sao Jose"/>
    <n v="126020"/>
    <s v="assinada"/>
  </r>
  <r>
    <x v="3"/>
    <x v="26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2903368"/>
    <s v="Finalizado (4/5)"/>
    <n v="24.914400000000001"/>
    <n v="4.7455999999999996"/>
    <n v="29.66"/>
    <s v="Sessão Faturada"/>
    <n v="954600003042000"/>
    <n v="29915"/>
    <s v="Unidade Sao Jose"/>
    <n v="1712903368"/>
    <m/>
  </r>
  <r>
    <x v="3"/>
    <x v="27"/>
    <s v="Jean da Silva Melo"/>
    <s v="Masculino"/>
    <x v="9"/>
    <x v="24"/>
    <s v="31602185 - Estimulação Elétrica Transcutânea (Tens) - Removido 13/04/2026 (R$ 40,00)"/>
    <s v="Fisioterapia"/>
    <n v="1713585717"/>
    <s v="Finalizado (3/5)"/>
    <n v="33.6"/>
    <n v="6.4"/>
    <n v="40"/>
    <s v="Sessão Faturada"/>
    <n v="954600003042000"/>
    <n v="29915"/>
    <s v="Unidade Sao Jose"/>
    <n v="1713585717"/>
    <m/>
  </r>
  <r>
    <x v="3"/>
    <x v="15"/>
    <s v="Fernanda Neves Sabugosa"/>
    <s v="Feminino"/>
    <x v="4"/>
    <x v="24"/>
    <s v="31602185 - Estimulação Elétrica Transcutânea - Removido 13/04/2026 (R$ 40,00)"/>
    <s v="Fisioterapia"/>
    <n v="1710484202"/>
    <s v="Finalizado (3/5)"/>
    <n v="33.6"/>
    <n v="6.4"/>
    <n v="40"/>
    <s v="Sessão Faturada"/>
    <n v="771015043370010"/>
    <n v="38199"/>
    <s v="Unidade Sao Jose"/>
    <n v="1710484202"/>
    <m/>
  </r>
  <r>
    <x v="3"/>
    <x v="15"/>
    <s v="Fernanda Neves Sabugosa"/>
    <s v="Feminino"/>
    <x v="27"/>
    <x v="24"/>
    <s v="20103492 - Patol. Em Dois Ou Mais Membros (R$ 14,83), 20103514 - Patol. Em Diferentes Segmentos da Coluna (R$ 14,83)"/>
    <s v="Fisioterapia"/>
    <n v="1710485003"/>
    <s v="Finalizado (3/5)"/>
    <n v="24.914400000000001"/>
    <n v="4.7455999999999996"/>
    <n v="29.66"/>
    <s v="Sessão Faturada"/>
    <n v="771015043370010"/>
    <n v="38199"/>
    <s v="Unidade Sao Jose"/>
    <n v="1710485003"/>
    <m/>
  </r>
  <r>
    <x v="3"/>
    <x v="17"/>
    <s v="Maria Neide Oliveira Marques"/>
    <s v="Feminino"/>
    <x v="8"/>
    <x v="24"/>
    <s v="20103514 - Patologia Em Diferentes Segmentos da Coluna (R$ 14,83)"/>
    <s v="Fisioterapia"/>
    <n v="1709225829"/>
    <s v="Finalizado (4/5)"/>
    <n v="12.4572"/>
    <n v="2.3727999999999998"/>
    <n v="14.83"/>
    <s v="Sessão Faturada"/>
    <n v="954600008419020"/>
    <n v="52794"/>
    <s v="Unidade Sao Jose"/>
    <n v="1709225829"/>
    <m/>
  </r>
  <r>
    <x v="3"/>
    <x v="24"/>
    <s v="Maria Neide Oliveira Marques"/>
    <s v="Feminino"/>
    <x v="8"/>
    <x v="24"/>
    <s v="20103522 - Fisioterapia - Pac Com Dependencia de Vida Diária (R$ 23,59)"/>
    <s v="Fisioterapia"/>
    <n v="1709226202"/>
    <s v="Finalizado (4/5)"/>
    <n v="19.8156"/>
    <n v="3.7744"/>
    <n v="23.59"/>
    <s v="Sessão Faturada"/>
    <n v="954600008419020"/>
    <n v="52794"/>
    <s v="Unidade Sao Jose"/>
    <n v="1709226202"/>
    <m/>
  </r>
  <r>
    <x v="3"/>
    <x v="25"/>
    <s v="Maria Neide Oliveira Marques"/>
    <s v="Feminino"/>
    <x v="9"/>
    <x v="24"/>
    <s v="31602185 - Estimulação Elétrica Transcutânea (Tens) - Removido 13/04/2026 (R$ 40,00)"/>
    <s v="Fisioterapia"/>
    <n v="1710472621"/>
    <s v="Finalizado (3/5)"/>
    <n v="33.6"/>
    <n v="6.4"/>
    <n v="40"/>
    <s v="Sessão Faturada"/>
    <n v="954600008419020"/>
    <n v="52794"/>
    <s v="Unidade Sao Jose"/>
    <n v="1710472621"/>
    <m/>
  </r>
  <r>
    <x v="3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3/10)"/>
    <n v="30"/>
    <n v="10"/>
    <n v="40"/>
    <s v="Pago"/>
    <n v="59492"/>
    <n v="59492"/>
    <s v="Unidade Sao Jose"/>
    <n v="171692"/>
    <m/>
  </r>
  <r>
    <x v="3"/>
    <x v="8"/>
    <s v="Alessandro da Silva Vieira"/>
    <s v="Masculino"/>
    <x v="9"/>
    <x v="24"/>
    <s v="31602185 - Estimulação Elétrica Transcutânea (Tens) - Removido 13/04/2026 (R$ 40,00)"/>
    <s v="Fisioterapia"/>
    <n v="1713639846"/>
    <s v="Finalizado (2/5)"/>
    <n v="33.6"/>
    <n v="6.4"/>
    <n v="40"/>
    <s v="Sessão Faturada"/>
    <n v="954600024350000"/>
    <n v="57332"/>
    <s v="Unidade Sao Jose"/>
    <n v="1713639846"/>
    <m/>
  </r>
  <r>
    <x v="3"/>
    <x v="9"/>
    <s v="Alessandro da Silva Vieira"/>
    <s v="Masculino"/>
    <x v="8"/>
    <x v="24"/>
    <s v="20103662 - Pos Operatorio Em Um Membro (R$ 14,99)"/>
    <s v="Fisioterapia"/>
    <n v="1709861239"/>
    <s v="Finalizado (4/5)"/>
    <n v="12.5916"/>
    <n v="2.3984000000000001"/>
    <n v="14.99"/>
    <s v="Sessão Faturada"/>
    <n v="954600024350000"/>
    <n v="57332"/>
    <s v="Unidade Sao Jose"/>
    <n v="1709861239"/>
    <m/>
  </r>
  <r>
    <x v="4"/>
    <x v="44"/>
    <s v="Delma Costa Rodrigues"/>
    <s v="Feminino"/>
    <x v="27"/>
    <x v="24"/>
    <s v="50000144 - Avaliação de Fisioterapia (R$ 51,42)"/>
    <s v="Fisioterapia"/>
    <n v="1714896372"/>
    <s v="Finalizado (1/1)"/>
    <n v="46.277999999999999"/>
    <n v="5.1420000000000003"/>
    <n v="51.42"/>
    <s v="Sessão Faturada"/>
    <n v="773626006971000"/>
    <n v="40465"/>
    <s v="Unidade Sao Jose"/>
    <n v="1714896372"/>
    <m/>
  </r>
  <r>
    <x v="4"/>
    <x v="44"/>
    <s v="Kyssia Roberta Sena Batista de Souza"/>
    <s v="Feminino"/>
    <x v="8"/>
    <x v="24"/>
    <s v="20103662 - Pos Operatorio Em Um Membro (R$ 14,99)"/>
    <s v="Fisioterapia"/>
    <n v="1711863303"/>
    <s v="Finalizado (4/5)"/>
    <n v="12.5916"/>
    <n v="2.3984000000000001"/>
    <n v="14.99"/>
    <s v="Sessão Faturada"/>
    <n v="954600002461000"/>
    <n v="58661"/>
    <s v="Unidade Sao Jose"/>
    <n v="1711863303"/>
    <m/>
  </r>
  <r>
    <x v="4"/>
    <x v="44"/>
    <s v="Ana Clara Santos Maia"/>
    <s v="Feminino"/>
    <x v="7"/>
    <x v="24"/>
    <s v="Sao José - 2 - Fisioterapia Ortopédica - Pacote (R$ 20,00)"/>
    <s v="Fisioterapia"/>
    <n v="172077"/>
    <s v="Finalizado (2/10)"/>
    <n v="15"/>
    <n v="5"/>
    <n v="20"/>
    <s v="Pago"/>
    <n v="59190"/>
    <n v="59190"/>
    <s v="Unidade Sao Jose"/>
    <n v="172077"/>
    <m/>
  </r>
  <r>
    <x v="4"/>
    <x v="44"/>
    <s v="Ana Cristina Soares dos Santos Nunes"/>
    <s v="Feminino"/>
    <x v="6"/>
    <x v="24"/>
    <s v="31602185 - Estimulação Elétrica Transcutanea (Tens) (R$ 40,00)"/>
    <s v="Fisioterapia"/>
    <n v="168999"/>
    <s v="Finalizado (5/5)"/>
    <n v="33.6"/>
    <n v="6.4"/>
    <n v="40"/>
    <s v="Sessão Faturada"/>
    <s v="56788888483384430019"/>
    <n v="46812"/>
    <s v="Unidade Sao Jose"/>
    <n v="168999"/>
    <m/>
  </r>
  <r>
    <x v="4"/>
    <x v="60"/>
    <s v="Ana Cristina Soares dos Santos Nunes"/>
    <s v="Feminino"/>
    <x v="6"/>
    <x v="24"/>
    <s v="20103492 - Patologia Em Dois Ou Mais Membros (R$ 30,26), 20103514 - Patologia Em Dois Ou Mais Segmentos da Coluna (R$ 32,82)"/>
    <s v="Fisioterapia"/>
    <n v="172084"/>
    <s v="Finalizado (2/10)"/>
    <n v="52.987200000000001"/>
    <n v="10.0928"/>
    <n v="63.08"/>
    <s v="Sessão a Faturar"/>
    <s v="56788888483384430019"/>
    <n v="46812"/>
    <s v="Unidade Sao Jose"/>
    <n v="172084"/>
    <m/>
  </r>
  <r>
    <x v="4"/>
    <x v="60"/>
    <s v="Kyssia Roberta Sena Batista de Souza"/>
    <s v="Feminino"/>
    <x v="9"/>
    <x v="24"/>
    <s v="31602185 - Estimulação Elétrica Transcutânea (Tens) - Removido 13/04/2026 (R$ 40,00)"/>
    <s v="Fisioterapia"/>
    <n v="1713218640"/>
    <s v="Finalizado (3/5)"/>
    <n v="33.6"/>
    <n v="6.4"/>
    <n v="40"/>
    <s v="Sessão Faturada"/>
    <n v="954600002461000"/>
    <n v="58661"/>
    <s v="Unidade Sao Jose"/>
    <n v="1713218640"/>
    <m/>
  </r>
  <r>
    <x v="4"/>
    <x v="41"/>
    <s v="Marta Marcione Bentes Albuquerque"/>
    <s v="Feminino"/>
    <x v="8"/>
    <x v="24"/>
    <s v="20103492 - Patologia Em Dois Ou Mais Membros (R$ 14,83), 20103514 - Patologia Em Diferentes Segmentos da Coluna (R$ 14,83)"/>
    <s v="Fisioterapia"/>
    <n v="1712566763"/>
    <s v="Finalizado (5/5)"/>
    <n v="24.914400000000001"/>
    <n v="4.7455999999999996"/>
    <n v="29.66"/>
    <s v="Sessão Faturada"/>
    <n v="954600004960000"/>
    <n v="40103"/>
    <s v="Unidade Sao Jose"/>
    <n v="1712566763"/>
    <m/>
  </r>
  <r>
    <x v="4"/>
    <x v="41"/>
    <s v="Custodia Herminia de Sousa Filha"/>
    <s v="Feminino"/>
    <x v="7"/>
    <x v="24"/>
    <s v="Sao José - 2 - Fisioterapia Ortopédica - Pacote (R$ 20,00)"/>
    <s v="Fisioterapia"/>
    <n v="171939"/>
    <s v="Finalizado (2/10)"/>
    <n v="15"/>
    <n v="5"/>
    <n v="20"/>
    <s v="Pago"/>
    <n v="58051"/>
    <n v="58051"/>
    <s v="Unidade Sao Jose"/>
    <n v="171939"/>
    <m/>
  </r>
  <r>
    <x v="4"/>
    <x v="41"/>
    <s v="Rosangela Rodrigues Sabino"/>
    <s v="Feminino"/>
    <x v="7"/>
    <x v="24"/>
    <s v="Sao José - 2 - Fisioterapia Ortopédica - Pacote (R$ 20,00)"/>
    <s v="Fisioterapia"/>
    <n v="171193"/>
    <s v="Finalizado (10/10)"/>
    <n v="15"/>
    <n v="5"/>
    <n v="20"/>
    <s v="Pago"/>
    <n v="59595"/>
    <n v="59595"/>
    <s v="Unidade Sao Jose"/>
    <n v="171193"/>
    <m/>
  </r>
  <r>
    <x v="4"/>
    <x v="41"/>
    <s v="Maria do Carmo Marinho"/>
    <s v="Feminino"/>
    <x v="7"/>
    <x v="24"/>
    <s v="Sao José - 2 - Fisioterapia Ortopédica - Pacote (R$ 20,00)"/>
    <s v="Fisioterapia"/>
    <n v="169944"/>
    <s v="Finalizado (9/10)"/>
    <n v="15"/>
    <n v="5"/>
    <n v="20"/>
    <s v="Pago"/>
    <n v="59484"/>
    <n v="59484"/>
    <s v="Unidade Sao Jose"/>
    <n v="169944"/>
    <m/>
  </r>
  <r>
    <x v="4"/>
    <x v="41"/>
    <s v="Sheila Miranda de Brito"/>
    <s v="Feminino"/>
    <x v="8"/>
    <x v="24"/>
    <s v="20103662 - Pos Operatorio Em Um Membro (R$ 14,99)"/>
    <s v="Fisioterapia"/>
    <n v="1714943939"/>
    <s v="Finalizado (1/5)"/>
    <n v="12.5916"/>
    <n v="2.3984000000000001"/>
    <n v="14.99"/>
    <s v="Sessão Faturada"/>
    <n v="954440000590010"/>
    <n v="46121"/>
    <s v="Unidade Sao Jose"/>
    <n v="1714943939"/>
    <m/>
  </r>
  <r>
    <x v="4"/>
    <x v="65"/>
    <s v="Marta Marcione Bentes Albuquerque"/>
    <s v="Feminino"/>
    <x v="8"/>
    <x v="24"/>
    <s v="20103670 - Pos Operatorio Em Dois Ou Mais Membros (R$ 19,30)"/>
    <s v="Fisioterapia"/>
    <n v="1712565823"/>
    <s v="Finalizado (5/5)"/>
    <n v="16.212"/>
    <n v="3.0880000000000001"/>
    <n v="19.3"/>
    <s v="Sessão Faturada"/>
    <n v="954600004960000"/>
    <n v="40103"/>
    <s v="Unidade Sao Jose"/>
    <n v="1712565823"/>
    <m/>
  </r>
  <r>
    <x v="4"/>
    <x v="36"/>
    <s v="Josiane de Sousa Santos"/>
    <s v="Feminino"/>
    <x v="8"/>
    <x v="24"/>
    <s v="20103492 - Patologia Em Dois Ou Mais Membros (R$ 14,83), 20103514 - Patologia Em Diferentes Segmentos da Coluna (R$ 14,83)"/>
    <s v="Fisioterapia"/>
    <n v="1713892511"/>
    <s v="Finalizado (2/5)"/>
    <n v="24.914400000000001"/>
    <n v="4.7455999999999996"/>
    <n v="29.66"/>
    <s v="Sessão Faturada"/>
    <n v="954600005274010"/>
    <n v="23225"/>
    <s v="Unidade Sao Jose"/>
    <n v="1713892511"/>
    <m/>
  </r>
  <r>
    <x v="4"/>
    <x v="36"/>
    <s v="Eunice Maria de Sena e Freitas"/>
    <s v="Feminino"/>
    <x v="6"/>
    <x v="24"/>
    <s v="20103492 - Patologia Em Dois Ou Mais Membros - 01/09/2025 (R$ 29,09), 20103506 - Patologia Em Um Segmento da Coluna - 01/09/2025 (R$ 13,61)"/>
    <s v="Fisioterapia"/>
    <n v="147305"/>
    <s v="Finalizado (9/10)"/>
    <n v="35.868000000000002"/>
    <n v="6.8319999999999999"/>
    <n v="42.7"/>
    <s v="Sessão Faturada"/>
    <s v="58200789997228961026"/>
    <n v="38740"/>
    <s v="Unidade Sao Jose"/>
    <n v="147305"/>
    <m/>
  </r>
  <r>
    <x v="4"/>
    <x v="36"/>
    <s v="Josiane de Sousa Santos"/>
    <s v="Feminino"/>
    <x v="9"/>
    <x v="24"/>
    <s v="31602185 - Estimulação Elétrica Transcutânea (Tens) - Removido 13/04/2026 (R$ 40,00)"/>
    <s v="Fisioterapia"/>
    <n v="1713283780"/>
    <s v="Finalizado (3/5)"/>
    <n v="33.6"/>
    <n v="6.4"/>
    <n v="40"/>
    <s v="Sessão Faturada"/>
    <n v="954600005274010"/>
    <n v="23225"/>
    <s v="Unidade Sao Jose"/>
    <n v="1713283780"/>
    <m/>
  </r>
  <r>
    <x v="4"/>
    <x v="36"/>
    <s v="Josiel Gonçalves Pelaes"/>
    <s v="Masculino"/>
    <x v="7"/>
    <x v="24"/>
    <s v="Sao José - 2 - Fisioterapia Ortopédica - Pacote (R$ 20,00)"/>
    <s v="Fisioterapia"/>
    <n v="159134"/>
    <s v="Finalizado (10/30)"/>
    <n v="15"/>
    <n v="5"/>
    <n v="20"/>
    <s v="Pago"/>
    <n v="56927"/>
    <n v="56927"/>
    <s v="Unidade Sao Jose"/>
    <n v="159134"/>
    <m/>
  </r>
  <r>
    <x v="4"/>
    <x v="57"/>
    <s v="Eunice Maria de Sena e Freitas"/>
    <s v="Feminino"/>
    <x v="6"/>
    <x v="24"/>
    <s v="20103476 - Patologia Neurologica - 01/09/2025 (R$ 34,04)"/>
    <s v="Fisioterapia"/>
    <n v="147311"/>
    <s v="Finalizado (9/10)"/>
    <n v="28.593599999999999"/>
    <n v="5.4463999999999997"/>
    <n v="34.04"/>
    <s v="Sessão Faturada"/>
    <s v="58200789997228961026"/>
    <n v="38740"/>
    <s v="Unidade Sao Jose"/>
    <n v="147311"/>
    <m/>
  </r>
  <r>
    <x v="4"/>
    <x v="67"/>
    <s v="Eunice Maria de Sena e Freitas"/>
    <s v="Feminino"/>
    <x v="6"/>
    <x v="24"/>
    <s v="31602185 - Estimulação Elétrica Transcutanea (Tens) - 01/09/2025 (R$ 96,68)"/>
    <s v="Fisioterapia"/>
    <n v="148282"/>
    <s v="Finalizado (5/10)"/>
    <n v="81.211200000000005"/>
    <n v="15.4688"/>
    <n v="96.68"/>
    <s v="Sessão Faturada"/>
    <s v="58200789997228961026"/>
    <n v="38740"/>
    <s v="Unidade Sao Jose"/>
    <n v="148282"/>
    <m/>
  </r>
  <r>
    <x v="4"/>
    <x v="40"/>
    <s v="Delma Costa Rodrigues"/>
    <s v="Feminino"/>
    <x v="27"/>
    <x v="24"/>
    <s v="20103522 - Fisioterapia - Pac Com Dependencia de Vida Diária (R$ 23,59)"/>
    <s v="Fisioterapia"/>
    <n v="1714972759"/>
    <s v="Finalizado (1/5)"/>
    <n v="19.8156"/>
    <n v="3.7744"/>
    <n v="23.59"/>
    <s v="Sessão Faturada"/>
    <n v="773626006971000"/>
    <n v="40465"/>
    <s v="Unidade Sao Jose"/>
    <n v="1714972759"/>
    <m/>
  </r>
  <r>
    <x v="4"/>
    <x v="40"/>
    <s v="Cosme Pereira Borges"/>
    <s v="Masculino"/>
    <x v="7"/>
    <x v="24"/>
    <s v="Sao José - 2 - Fisioterapia Ortopédica - Pacote (R$ 20,00)"/>
    <s v="Fisioterapia"/>
    <n v="171796"/>
    <s v="Finalizado (3/10)"/>
    <n v="15"/>
    <n v="5"/>
    <n v="20"/>
    <s v="Pago"/>
    <n v="59654"/>
    <n v="59654"/>
    <s v="Unidade Sao Jose"/>
    <n v="171796"/>
    <m/>
  </r>
  <r>
    <x v="4"/>
    <x v="40"/>
    <s v="Francisca Zuleide de Oliveira Araujo"/>
    <s v="Feminino"/>
    <x v="7"/>
    <x v="24"/>
    <s v="Sao José - 2 - Fisioterapia Ortopédica - Pacote (R$ 20,00)"/>
    <s v="Fisioterapia"/>
    <n v="171952"/>
    <s v="Finalizado (3/10)"/>
    <n v="15"/>
    <n v="5"/>
    <n v="20"/>
    <s v="Pago"/>
    <n v="59540"/>
    <n v="59540"/>
    <s v="Unidade Sao Jose"/>
    <n v="171952"/>
    <m/>
  </r>
  <r>
    <x v="4"/>
    <x v="49"/>
    <s v="Delma Costa Rodrigues"/>
    <s v="Feminino"/>
    <x v="27"/>
    <x v="24"/>
    <s v="20103662 - Pos Operatorio Em Um Membro (R$ 14,99)"/>
    <s v="Fisioterapia"/>
    <n v="1714971282"/>
    <s v="Finalizado (1/5)"/>
    <n v="12.5916"/>
    <n v="2.3984000000000001"/>
    <n v="14.99"/>
    <s v="Sessão Faturada"/>
    <n v="773626006971000"/>
    <n v="40465"/>
    <s v="Unidade Sao Jose"/>
    <n v="1714971282"/>
    <m/>
  </r>
  <r>
    <x v="4"/>
    <x v="55"/>
    <s v="Delma Costa Rodrigues"/>
    <s v="Feminino"/>
    <x v="27"/>
    <x v="24"/>
    <s v="20103514 - Patol. Em Diferentes Segmentos da Coluna (R$ 14,83)"/>
    <s v="Fisioterapia"/>
    <n v="1714972044"/>
    <s v="Finalizado (1/5)"/>
    <n v="12.4572"/>
    <n v="2.3727999999999998"/>
    <n v="14.83"/>
    <s v="Sessão Faturada"/>
    <n v="773626006971000"/>
    <n v="40465"/>
    <s v="Unidade Sao Jose"/>
    <n v="1714972044"/>
    <m/>
  </r>
  <r>
    <x v="4"/>
    <x v="35"/>
    <s v="Ana Cristina de Frota Palheta"/>
    <s v="Feminino"/>
    <x v="6"/>
    <x v="24"/>
    <s v="20103476 - Patologia Neurologica (R$ 35,40)"/>
    <s v="Fisioterapia"/>
    <n v="169330"/>
    <s v="Finalizado (5/5)"/>
    <n v="29.736000000000001"/>
    <n v="5.6639999999999997"/>
    <n v="35.4"/>
    <s v="Sessão Faturada"/>
    <s v="54588888012065310011"/>
    <n v="20193"/>
    <s v="Unidade Sao Jose"/>
    <n v="169330"/>
    <m/>
  </r>
  <r>
    <x v="4"/>
    <x v="35"/>
    <s v="Kamila Marques da Silva"/>
    <s v="Feminino"/>
    <x v="7"/>
    <x v="24"/>
    <s v="Sao José - 2 - Fisioterapia Ortopédica - Pacote (R$ 20,00)"/>
    <s v="Fisioterapia"/>
    <n v="169541"/>
    <s v="Finalizado (9/10)"/>
    <n v="15"/>
    <n v="5"/>
    <n v="20"/>
    <s v="Pago"/>
    <n v="59454"/>
    <n v="59454"/>
    <s v="Unidade Sao Jose"/>
    <n v="169541"/>
    <m/>
  </r>
  <r>
    <x v="4"/>
    <x v="42"/>
    <s v="Ana Cristina de Frota Palheta"/>
    <s v="Feminino"/>
    <x v="6"/>
    <x v="24"/>
    <s v="31602185 - Estimulação Elétrica Transcutanea (Tens) (R$ 40,00)"/>
    <s v="Fisioterapia"/>
    <n v="172385"/>
    <s v="Finalizado (1/6)"/>
    <n v="33.6"/>
    <n v="6.4"/>
    <n v="40"/>
    <s v="Sessão Faturada"/>
    <s v="54588888012065310011"/>
    <n v="20193"/>
    <s v="Unidade Sao Jose"/>
    <n v="172385"/>
    <m/>
  </r>
  <r>
    <x v="4"/>
    <x v="38"/>
    <s v="Raynara Santos de Carvalho"/>
    <s v="Feminino"/>
    <x v="4"/>
    <x v="24"/>
    <s v="31602185 - Estimulação Elétrica Transcutânea - Removido 13/04/2026 (R$ 40,00)"/>
    <s v="Fisioterapia"/>
    <n v="1714986312"/>
    <s v="Finalizado (1/5)"/>
    <n v="33.6"/>
    <n v="6.4"/>
    <n v="40"/>
    <s v="Sessão Faturada"/>
    <n v="774634001384000"/>
    <n v="59689"/>
    <s v="Unidade Sao Jose"/>
    <n v="1714986312"/>
    <m/>
  </r>
  <r>
    <x v="4"/>
    <x v="38"/>
    <s v="Wildson Costa dos Santos"/>
    <s v="Masculino"/>
    <x v="6"/>
    <x v="24"/>
    <s v="20103662 - Pos Operatorio Em Um Membro (R$ 22,53)"/>
    <s v="Fisioterapia"/>
    <n v="171322"/>
    <s v="Finalizado (6/10)"/>
    <n v="18.9252"/>
    <n v="3.6048"/>
    <n v="22.53"/>
    <s v="Sessão Faturada"/>
    <s v="58201065998121610018"/>
    <n v="59580"/>
    <s v="Unidade Sao Jose"/>
    <n v="171322"/>
    <m/>
  </r>
  <r>
    <x v="4"/>
    <x v="38"/>
    <s v="Raynara Santos de Carvalho"/>
    <s v="Feminino"/>
    <x v="27"/>
    <x v="24"/>
    <s v="20103514 - Patol. Em Diferentes Segmentos da Coluna (R$ 14,83)"/>
    <s v="Fisioterapia"/>
    <n v="1714562837"/>
    <s v="Finalizado (2/5)"/>
    <n v="12.4572"/>
    <n v="2.3727999999999998"/>
    <n v="14.83"/>
    <s v="Sessão Faturada"/>
    <n v="774634001384000"/>
    <n v="59689"/>
    <s v="Unidade Sao Jose"/>
    <n v="1714562837"/>
    <m/>
  </r>
  <r>
    <x v="4"/>
    <x v="38"/>
    <s v="Misleia Fernandes Mendes"/>
    <s v="Feminino"/>
    <x v="27"/>
    <x v="24"/>
    <s v="20103492 - Patol. Em Dois Ou Mais Membros (R$ 14,83), 20103514 - Patol. Em Diferentes Segmentos da Coluna (R$ 14,83)"/>
    <s v="Fisioterapia"/>
    <n v="1709494542"/>
    <s v="Finalizado (4/5)"/>
    <n v="24.914400000000001"/>
    <n v="4.7455999999999996"/>
    <n v="29.66"/>
    <s v="Sessão Faturada"/>
    <n v="770179020664010"/>
    <n v="44824"/>
    <s v="Unidade Sao Jose"/>
    <n v="1709494542"/>
    <m/>
  </r>
  <r>
    <x v="4"/>
    <x v="38"/>
    <s v="Luciana Mendoça Martins"/>
    <s v="Feminino"/>
    <x v="7"/>
    <x v="24"/>
    <s v="Sao José - 2 - Fisioterapia Ortopédica - Pacote (R$ 20,00)"/>
    <s v="Fisioterapia"/>
    <n v="171007"/>
    <s v="Finalizado (9/10)"/>
    <n v="15"/>
    <n v="5"/>
    <n v="20"/>
    <s v="Pago"/>
    <n v="59582"/>
    <n v="59582"/>
    <s v="Unidade Sao Jose"/>
    <n v="171007"/>
    <m/>
  </r>
  <r>
    <x v="4"/>
    <x v="68"/>
    <s v="Misleia Fernandes Mendes"/>
    <s v="Feminino"/>
    <x v="27"/>
    <x v="24"/>
    <s v="20103522 - Fisioterapia - Pac Com Dependencia de Vida Diária (R$ 23,59)"/>
    <s v="Fisioterapia"/>
    <n v="1709495498"/>
    <s v="Finalizado (4/5)"/>
    <n v="19.8156"/>
    <n v="3.7744"/>
    <n v="23.59"/>
    <s v="Sessão Faturada"/>
    <n v="770179020664010"/>
    <n v="44824"/>
    <s v="Unidade Sao Jose"/>
    <n v="1709495498"/>
    <m/>
  </r>
  <r>
    <x v="4"/>
    <x v="68"/>
    <s v="Raynara Santos de Carvalho"/>
    <s v="Feminino"/>
    <x v="27"/>
    <x v="24"/>
    <s v="20103220 - Fisioterapia Respiratoria (R$ 12,22)"/>
    <s v="Fisioterapia"/>
    <n v="1714564442"/>
    <s v="Finalizado (2/5)"/>
    <n v="10.264799999999999"/>
    <n v="1.9552"/>
    <n v="12.22"/>
    <s v="Sessão Faturada"/>
    <n v="774634001384000"/>
    <n v="59689"/>
    <s v="Unidade Sao Jose"/>
    <n v="1714564442"/>
    <m/>
  </r>
  <r>
    <x v="4"/>
    <x v="62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6/10)"/>
    <n v="37.312800000000003"/>
    <n v="7.1071999999999997"/>
    <n v="44.42"/>
    <s v="Sessão Faturada"/>
    <s v="58201065998121610018"/>
    <n v="59580"/>
    <s v="Unidade Sao Jose"/>
    <n v="171323"/>
    <m/>
  </r>
  <r>
    <x v="4"/>
    <x v="69"/>
    <s v="Raynara Santos de Carvalho"/>
    <s v="Feminino"/>
    <x v="27"/>
    <x v="24"/>
    <s v="20103522 - Fisioterapia - Pac Com Dependencia de Vida Diária (R$ 23,59)"/>
    <s v="Fisioterapia"/>
    <n v="1714563881"/>
    <s v="Finalizado (2/5)"/>
    <n v="19.8156"/>
    <n v="3.7744"/>
    <n v="23.59"/>
    <s v="Sessão Faturada"/>
    <n v="774634001384000"/>
    <n v="59689"/>
    <s v="Unidade Sao Jose"/>
    <n v="1714563881"/>
    <m/>
  </r>
  <r>
    <x v="4"/>
    <x v="69"/>
    <s v="Misleia Fernandes Mendes"/>
    <s v="Feminino"/>
    <x v="4"/>
    <x v="24"/>
    <s v="31602185 - Estimulação Elétrica Transcutânea - Removido 13/04/2026 (R$ 40,00)"/>
    <s v="Fisioterapia"/>
    <n v="1713867739"/>
    <s v="Finalizado (2/5)"/>
    <n v="33.6"/>
    <n v="6.4"/>
    <n v="40"/>
    <s v="Sessão a Faturar"/>
    <n v="770179020664010"/>
    <n v="44824"/>
    <s v="Unidade Sao Jose"/>
    <n v="1713867739"/>
    <m/>
  </r>
  <r>
    <x v="4"/>
    <x v="37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5/10)"/>
    <n v="30"/>
    <n v="10"/>
    <n v="40"/>
    <s v="Pago"/>
    <n v="59611"/>
    <n v="59611"/>
    <s v="Unidade Sao Jose"/>
    <n v="171321"/>
    <m/>
  </r>
  <r>
    <x v="4"/>
    <x v="39"/>
    <s v="Tamires Cordeiro de Melo"/>
    <s v="Feminino"/>
    <x v="27"/>
    <x v="24"/>
    <s v="20103514 - Patol. Em Diferentes Segmentos da Coluna (R$ 14,83)"/>
    <s v="Fisioterapia"/>
    <n v="1711967516"/>
    <s v="Finalizado (3/5)"/>
    <n v="12.4572"/>
    <n v="2.3727999999999998"/>
    <n v="14.83"/>
    <s v="Sessão Faturada"/>
    <n v="773626012483020"/>
    <n v="59648"/>
    <s v="Unidade Sao Jose"/>
    <n v="1711967516"/>
    <m/>
  </r>
  <r>
    <x v="4"/>
    <x v="64"/>
    <s v="Tamires Cordeiro de Melo"/>
    <s v="Feminino"/>
    <x v="27"/>
    <x v="24"/>
    <s v="20103522 - Fisioterapia - Pac Com Dependencia de Vida Diária (R$ 23,59)"/>
    <s v="Fisioterapia"/>
    <n v="1711967663"/>
    <s v="Finalizado (3/5)"/>
    <n v="19.8156"/>
    <n v="3.7744"/>
    <n v="23.59"/>
    <s v="Sessão Faturada"/>
    <n v="773626012483020"/>
    <n v="59648"/>
    <s v="Unidade Sao Jose"/>
    <n v="1711967663"/>
    <m/>
  </r>
  <r>
    <x v="4"/>
    <x v="22"/>
    <s v="Maria Sueide Pacheco"/>
    <s v="Feminino"/>
    <x v="12"/>
    <x v="24"/>
    <s v="31602185 - Estimulação Elétrica Transcutânea (Tens) (R$ 49,00)"/>
    <s v="Fisioterapia"/>
    <n v="10285188"/>
    <s v="Finalizado (9/10)"/>
    <n v="41.16"/>
    <n v="7.84"/>
    <n v="49"/>
    <s v="Sessão Faturada"/>
    <s v="000432154994220501"/>
    <n v="26513"/>
    <s v="Unidade Sao Jose"/>
    <n v="10285188"/>
    <m/>
  </r>
  <r>
    <x v="4"/>
    <x v="22"/>
    <s v="Ângela Isabel Barbosa Rego"/>
    <s v="Feminino"/>
    <x v="7"/>
    <x v="24"/>
    <s v="Sao José - 2 - Fisioterapia Ortopédica - Pacote (R$ 20,00)"/>
    <s v="Fisioterapia"/>
    <n v="172175"/>
    <s v="Finalizado (1/10)"/>
    <n v="15"/>
    <n v="5"/>
    <n v="20"/>
    <s v="Pago"/>
    <n v="59455"/>
    <n v="59455"/>
    <s v="Unidade Sao Jose"/>
    <n v="172175"/>
    <m/>
  </r>
  <r>
    <x v="4"/>
    <x v="23"/>
    <s v="Maria Sueide Pacheco"/>
    <s v="Feminino"/>
    <x v="12"/>
    <x v="24"/>
    <s v="31602185 - Estimulação Elétrica Transcutânea (Tens) (R$ 49,00)"/>
    <s v="Fisioterapia"/>
    <n v="10285188"/>
    <s v="Finalizado (10/10)"/>
    <n v="41.16"/>
    <n v="7.84"/>
    <n v="49"/>
    <s v="Sessão Faturada"/>
    <s v="000432154994220501"/>
    <n v="26513"/>
    <s v="Unidade Sao Jose"/>
    <n v="10285188"/>
    <m/>
  </r>
  <r>
    <x v="4"/>
    <x v="0"/>
    <s v="Nádia Eunice Batalha de Pinho"/>
    <s v="Feminino"/>
    <x v="27"/>
    <x v="24"/>
    <s v="20103484 - Patologia Em Um Membro (R$ 12,22)"/>
    <s v="Fisioterapia"/>
    <n v="1710346187"/>
    <s v="Finalizado (4/5)"/>
    <n v="10.264799999999999"/>
    <n v="1.9552"/>
    <n v="12.22"/>
    <s v="Sessão Faturada"/>
    <n v="774385001546010"/>
    <n v="58963"/>
    <s v="Unidade Sao Jose"/>
    <n v="1710346187"/>
    <m/>
  </r>
  <r>
    <x v="4"/>
    <x v="53"/>
    <s v="Nádia Eunice Batalha de Pinho"/>
    <s v="Feminino"/>
    <x v="27"/>
    <x v="24"/>
    <s v="20103662 - Pos Operatorio Em Um Membro (R$ 14,99)"/>
    <s v="Fisioterapia"/>
    <n v="1710383583"/>
    <s v="Finalizado (4/5)"/>
    <n v="12.5916"/>
    <n v="2.3984000000000001"/>
    <n v="14.99"/>
    <s v="Sessão Faturada"/>
    <n v="774385001546010"/>
    <n v="58963"/>
    <s v="Unidade Sao Jose"/>
    <n v="1710383583"/>
    <m/>
  </r>
  <r>
    <x v="4"/>
    <x v="91"/>
    <s v="Nádia Eunice Batalha de Pinho"/>
    <s v="Feminino"/>
    <x v="4"/>
    <x v="24"/>
    <s v="31602185 - Estimulação Elétrica Transcutânea - Removido 13/04/2026 (R$ 40,00)"/>
    <s v="Fisioterapia"/>
    <n v="1711550565"/>
    <s v="Finalizado (3/4)"/>
    <n v="33.6"/>
    <n v="6.4"/>
    <n v="40"/>
    <s v="Sessão Faturada"/>
    <n v="774385001546010"/>
    <n v="58963"/>
    <s v="Unidade Sao Jose"/>
    <n v="1711550565"/>
    <m/>
  </r>
  <r>
    <x v="4"/>
    <x v="2"/>
    <s v="Milza Santos"/>
    <s v="Feminino"/>
    <x v="14"/>
    <x v="24"/>
    <s v="20103492 - Fisioterapia - Patologia Em Dois Ou Mais Membros (R$ 14,83), 20103506 - Fisioterapia - Patologia Em Um Segmento da Coluna (R$ 12,22)"/>
    <s v="Fisioterapia"/>
    <n v="1715180048"/>
    <s v="Finalizado (1/5)"/>
    <n v="22.722000000000001"/>
    <n v="4.3280000000000003"/>
    <n v="27.05"/>
    <s v="Sessão a Faturar"/>
    <n v="954600000493010"/>
    <n v="41659"/>
    <s v="Unidade Sao Jose"/>
    <n v="1715180048"/>
    <m/>
  </r>
  <r>
    <x v="4"/>
    <x v="2"/>
    <s v="Larissa Ribeiro Ferreira"/>
    <s v="Feminino"/>
    <x v="7"/>
    <x v="24"/>
    <s v="Sao José - 2 - Fisioterapia Ortopédica - Pacote (R$ 20,00)"/>
    <s v="Fisioterapia"/>
    <n v="171610"/>
    <s v="Finalizado (3/10)"/>
    <n v="15"/>
    <n v="5"/>
    <n v="20"/>
    <s v="Pago"/>
    <n v="28555"/>
    <n v="28555"/>
    <s v="Unidade Sao Jose"/>
    <n v="171610"/>
    <m/>
  </r>
  <r>
    <x v="4"/>
    <x v="2"/>
    <s v="Glívena Souza Félix"/>
    <s v="Feminino"/>
    <x v="7"/>
    <x v="24"/>
    <s v="Sao José - 4 - Fisioterapia Neurológica/Respiratória - Pacote (R$ 50,00)"/>
    <s v="Fisioterapia"/>
    <n v="170807"/>
    <s v="Finalizado (5/10)"/>
    <n v="37.5"/>
    <n v="12.5"/>
    <n v="50"/>
    <s v="Pago"/>
    <n v="57339"/>
    <n v="57339"/>
    <s v="Unidade Sao Jose"/>
    <n v="170807"/>
    <m/>
  </r>
  <r>
    <x v="4"/>
    <x v="3"/>
    <s v="Milza Santos"/>
    <s v="Feminino"/>
    <x v="9"/>
    <x v="24"/>
    <s v="31602185 - Estimulação Elétrica Transcutânea (Tens) - Removido 13/04/2026 (R$ 40,00)"/>
    <s v="Fisioterapia"/>
    <n v="1715180958"/>
    <s v="Finalizado (1/5)"/>
    <n v="33.6"/>
    <n v="6.4"/>
    <n v="40"/>
    <s v="Sessão a Faturar"/>
    <n v="954600000493010"/>
    <n v="41659"/>
    <s v="Unidade Sao Jose"/>
    <n v="1715180958"/>
    <m/>
  </r>
  <r>
    <x v="4"/>
    <x v="4"/>
    <s v="Maria de Fátima Cardoso de Medeiros"/>
    <s v="Feminino"/>
    <x v="4"/>
    <x v="24"/>
    <s v="31602185 - Estimulação Elétrica Transcutânea - Removido 13/04/2026 (R$ 40,00)"/>
    <s v="Fisioterapia"/>
    <n v="1714172129"/>
    <s v="Finalizado (2/4)"/>
    <n v="33.6"/>
    <n v="6.4"/>
    <n v="40"/>
    <s v="Sessão a Faturar"/>
    <n v="773458021210010"/>
    <n v="59643"/>
    <s v="Unidade Sao Jose"/>
    <n v="1714172129"/>
    <m/>
  </r>
  <r>
    <x v="4"/>
    <x v="4"/>
    <s v="Maria de Fátima Cardoso de Medeiros"/>
    <s v="Feminino"/>
    <x v="27"/>
    <x v="24"/>
    <s v="20103662 - Pos Operatorio Em Um Membro (R$ 14,99)"/>
    <s v="Fisioterapia"/>
    <n v="1712932250"/>
    <s v="Finalizado (3/5)"/>
    <n v="12.5916"/>
    <n v="2.3984000000000001"/>
    <n v="14.99"/>
    <s v="Sessão a Faturar"/>
    <n v="773458021210010"/>
    <n v="59643"/>
    <s v="Unidade Sao Jose"/>
    <n v="1712932250"/>
    <m/>
  </r>
  <r>
    <x v="4"/>
    <x v="5"/>
    <s v="Maria de Fátima Cardoso de Medeiros"/>
    <s v="Feminino"/>
    <x v="27"/>
    <x v="24"/>
    <s v="20103484 - Patologia Em Um Membro (R$ 12,22)"/>
    <s v="Fisioterapia"/>
    <n v="1712932250"/>
    <s v="Finalizado (3/3)"/>
    <n v="10.264799999999999"/>
    <n v="1.9552"/>
    <n v="12.22"/>
    <s v="Sessão a Faturar"/>
    <n v="773458021210010"/>
    <n v="59643"/>
    <s v="Unidade Sao Jose"/>
    <n v="1712932250"/>
    <m/>
  </r>
  <r>
    <x v="4"/>
    <x v="13"/>
    <s v="Jean da Silva Melo"/>
    <s v="Masculino"/>
    <x v="14"/>
    <x v="24"/>
    <s v="20103662 - Fisioterapia - Pos Operatorio Em Um Membro (R$ 14,99)"/>
    <s v="Fisioterapia"/>
    <n v="1712903695"/>
    <s v="Finalizado (5/5)"/>
    <n v="12.5916"/>
    <n v="2.3984000000000001"/>
    <n v="14.99"/>
    <s v="Sessão Faturada"/>
    <n v="954600003042000"/>
    <n v="29915"/>
    <s v="Unidade Sao Jose"/>
    <n v="1712903695"/>
    <m/>
  </r>
  <r>
    <x v="4"/>
    <x v="31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2903368"/>
    <s v="Finalizado (5/5)"/>
    <n v="24.914400000000001"/>
    <n v="4.7455999999999996"/>
    <n v="29.66"/>
    <s v="Sessão Faturada"/>
    <n v="954600003042000"/>
    <n v="29915"/>
    <s v="Unidade Sao Jose"/>
    <n v="1712903368"/>
    <m/>
  </r>
  <r>
    <x v="4"/>
    <x v="32"/>
    <s v="Jean da Silva Melo"/>
    <s v="Masculino"/>
    <x v="9"/>
    <x v="24"/>
    <s v="31602185 - Estimulação Elétrica Transcutânea (Tens) - Removido 13/04/2026 (R$ 40,00)"/>
    <s v="Fisioterapia"/>
    <n v="1713585717"/>
    <s v="Finalizado (4/5)"/>
    <n v="33.6"/>
    <n v="6.4"/>
    <n v="40"/>
    <s v="Sessão Faturada"/>
    <n v="954600003042000"/>
    <n v="29915"/>
    <s v="Unidade Sao Jose"/>
    <n v="1713585717"/>
    <m/>
  </r>
  <r>
    <x v="4"/>
    <x v="6"/>
    <s v="Rossylene de Jesus Pinto da Silva"/>
    <s v="Feminino"/>
    <x v="7"/>
    <x v="24"/>
    <s v="Sao José - 2 - Fisioterapia Ortopédica - Pacote (R$ 20,00)"/>
    <s v="Fisioterapia"/>
    <n v="171503"/>
    <s v="Finalizado (7/10)"/>
    <n v="15"/>
    <n v="5"/>
    <n v="20"/>
    <s v="Pago"/>
    <n v="58721"/>
    <n v="58721"/>
    <s v="Unidade Sao Jose"/>
    <n v="171503"/>
    <m/>
  </r>
  <r>
    <x v="4"/>
    <x v="17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3002975"/>
    <s v="Finalizado (4/5)"/>
    <n v="24.914400000000001"/>
    <n v="4.7455999999999996"/>
    <n v="29.66"/>
    <s v="Sessão Faturada"/>
    <n v="960016147828000"/>
    <n v="18356"/>
    <s v="Unidade Sao Jose"/>
    <n v="1713002975"/>
    <m/>
  </r>
  <r>
    <x v="4"/>
    <x v="18"/>
    <s v="Jairo Barboza Domingues"/>
    <s v="Masculino"/>
    <x v="4"/>
    <x v="24"/>
    <s v="31602185 - Estimulação Elétrica Transcutânea - Removido 13/04/2026 (R$ 40,00)"/>
    <s v="Fisioterapia"/>
    <n v="1713626624"/>
    <s v="Finalizado (3/5)"/>
    <n v="33.6"/>
    <n v="6.4"/>
    <n v="40"/>
    <s v="Sessão Faturada"/>
    <n v="960016147828000"/>
    <n v="18356"/>
    <s v="Unidade Sao Jose"/>
    <n v="1713626624"/>
    <m/>
  </r>
  <r>
    <x v="4"/>
    <x v="8"/>
    <s v="Lucas Gloria da Costa"/>
    <s v="Masculino"/>
    <x v="7"/>
    <x v="24"/>
    <s v="Sao José - 2 - Fisioterapia Ortopédica - Pacote (R$ 20,00)"/>
    <s v="Fisioterapia"/>
    <n v="170074"/>
    <s v="Finalizado (8/10)"/>
    <n v="15"/>
    <n v="5"/>
    <n v="20"/>
    <s v="Pago"/>
    <n v="59490"/>
    <n v="59490"/>
    <s v="Unidade Sao Jose"/>
    <n v="170074"/>
    <m/>
  </r>
  <r>
    <x v="4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4/10)"/>
    <n v="30"/>
    <n v="10"/>
    <n v="40"/>
    <s v="Pago"/>
    <n v="59492"/>
    <n v="59492"/>
    <s v="Unidade Sao Jose"/>
    <n v="171692"/>
    <m/>
  </r>
  <r>
    <x v="4"/>
    <x v="10"/>
    <s v="Alessandro da Silva Vieira"/>
    <s v="Masculino"/>
    <x v="9"/>
    <x v="24"/>
    <s v="31602185 - Estimulação Elétrica Transcutânea (Tens) - Removido 13/04/2026 (R$ 40,00)"/>
    <s v="Fisioterapia"/>
    <n v="1713639846"/>
    <s v="Finalizado (3/5)"/>
    <n v="33.6"/>
    <n v="6.4"/>
    <n v="40"/>
    <s v="Sessão Faturada"/>
    <n v="954600024350000"/>
    <n v="57332"/>
    <s v="Unidade Sao Jose"/>
    <n v="1713639846"/>
    <m/>
  </r>
  <r>
    <x v="4"/>
    <x v="10"/>
    <s v="Carlos Victor Lopes de Souza"/>
    <s v="Masculino"/>
    <x v="7"/>
    <x v="24"/>
    <s v="Sao José - 4 - Fisioterapia Neurológica/Respiratória - Pacote (R$ 50,00)"/>
    <s v="Fisioterapia"/>
    <n v="170555"/>
    <s v="Finalizado (7/10)"/>
    <n v="37.5"/>
    <n v="12.5"/>
    <n v="50"/>
    <s v="Pago"/>
    <n v="56621"/>
    <n v="56621"/>
    <s v="Unidade Sao Jose"/>
    <n v="170555"/>
    <m/>
  </r>
  <r>
    <x v="4"/>
    <x v="11"/>
    <s v="Alessandro da Silva Vieira"/>
    <s v="Masculino"/>
    <x v="8"/>
    <x v="24"/>
    <s v="20103662 - Pos Operatorio Em Um Membro (R$ 14,99)"/>
    <s v="Fisioterapia"/>
    <n v="1709861239"/>
    <s v="Finalizado (5/5)"/>
    <n v="12.5916"/>
    <n v="2.3984000000000001"/>
    <n v="14.99"/>
    <s v="Sessão Faturada"/>
    <n v="954600024350000"/>
    <n v="57332"/>
    <s v="Unidade Sao Jose"/>
    <n v="1709861239"/>
    <m/>
  </r>
  <r>
    <x v="5"/>
    <x v="44"/>
    <s v="Delma Costa Rodrigues"/>
    <s v="Feminino"/>
    <x v="27"/>
    <x v="24"/>
    <s v="20103522 - Fisioterapia - Pac Com Dependencia de Vida Diária (R$ 23,59)"/>
    <s v="Fisioterapia"/>
    <n v="1714972759"/>
    <s v="Finalizado (2/5)"/>
    <n v="19.8156"/>
    <n v="3.7744"/>
    <n v="23.59"/>
    <s v="Sessão Faturada"/>
    <n v="773626006971000"/>
    <n v="40465"/>
    <s v="Unidade Sao Jose"/>
    <n v="1714972759"/>
    <m/>
  </r>
  <r>
    <x v="5"/>
    <x v="44"/>
    <s v="Ana Clara Santos Maia"/>
    <s v="Feminino"/>
    <x v="7"/>
    <x v="24"/>
    <s v="Sao José - 2 - Fisioterapia Ortopédica - Pacote (R$ 20,00)"/>
    <s v="Fisioterapia"/>
    <n v="172077"/>
    <s v="Finalizado (3/10)"/>
    <n v="15"/>
    <n v="5"/>
    <n v="20"/>
    <s v="Pago"/>
    <n v="59190"/>
    <n v="59190"/>
    <s v="Unidade Sao Jose"/>
    <n v="172077"/>
    <m/>
  </r>
  <r>
    <x v="5"/>
    <x v="44"/>
    <s v="Delma Costa Rodrigues"/>
    <s v="Feminino"/>
    <x v="4"/>
    <x v="24"/>
    <s v="31602185 - Estimulação Elétrica Transcutânea - Removido 13/04/2026 (R$ 40,00)"/>
    <s v="Fisioterapia"/>
    <n v="1715849294"/>
    <s v="Finalizado (1/5)"/>
    <n v="33.6"/>
    <n v="6.4"/>
    <n v="40"/>
    <s v="Sessão Faturada"/>
    <n v="773626006971000"/>
    <n v="40465"/>
    <s v="Unidade Sao Jose"/>
    <n v="1715849294"/>
    <m/>
  </r>
  <r>
    <x v="5"/>
    <x v="44"/>
    <s v="Kyssia Roberta Sena Batista de Souza"/>
    <s v="Feminino"/>
    <x v="9"/>
    <x v="24"/>
    <s v="31602185 - Estimulação Elétrica Transcutânea (Tens) - Removido 13/04/2026 (R$ 40,00)"/>
    <s v="Fisioterapia"/>
    <n v="1713218640"/>
    <s v="Finalizado (5/5)"/>
    <n v="33.6"/>
    <n v="6.4"/>
    <n v="40"/>
    <s v="Sessão Faturada"/>
    <n v="954600002461000"/>
    <n v="58661"/>
    <s v="Unidade Sao Jose"/>
    <n v="1713218640"/>
    <m/>
  </r>
  <r>
    <x v="5"/>
    <x v="44"/>
    <s v="Kyssia Roberta Sena Batista de Souza"/>
    <s v="Feminino"/>
    <x v="8"/>
    <x v="24"/>
    <s v="20103662 - Pos Operatorio Em Um Membro (R$ 14,99)"/>
    <s v="Fisioterapia"/>
    <n v="1715865710"/>
    <s v="Finalizado (1/5)"/>
    <n v="12.5916"/>
    <n v="2.3984000000000001"/>
    <n v="14.99"/>
    <s v="Sessão Faturada"/>
    <n v="954600002461000"/>
    <n v="58661"/>
    <s v="Unidade Sao Jose"/>
    <n v="1715865710"/>
    <m/>
  </r>
  <r>
    <x v="5"/>
    <x v="73"/>
    <s v="Delma Costa Rodrigues"/>
    <s v="Feminino"/>
    <x v="27"/>
    <x v="24"/>
    <s v="20103514 - Patol. Em Diferentes Segmentos da Coluna (R$ 14,83)"/>
    <s v="Fisioterapia"/>
    <n v="1714972044"/>
    <s v="Finalizado (2/5)"/>
    <n v="12.4572"/>
    <n v="2.3727999999999998"/>
    <n v="14.83"/>
    <s v="Sessão Faturada"/>
    <n v="773626006971000"/>
    <n v="40465"/>
    <s v="Unidade Sao Jose"/>
    <n v="1714972044"/>
    <m/>
  </r>
  <r>
    <x v="5"/>
    <x v="74"/>
    <s v="Delma Costa Rodrigues"/>
    <s v="Feminino"/>
    <x v="27"/>
    <x v="24"/>
    <s v="20103662 - Pos Operatorio Em Um Membro (R$ 14,99)"/>
    <s v="Fisioterapia"/>
    <n v="1714971282"/>
    <s v="Finalizado (2/5)"/>
    <n v="12.5916"/>
    <n v="2.3984000000000001"/>
    <n v="14.99"/>
    <s v="Sessão Faturada"/>
    <n v="773626006971000"/>
    <n v="40465"/>
    <s v="Unidade Sao Jose"/>
    <n v="1714971282"/>
    <m/>
  </r>
  <r>
    <x v="5"/>
    <x v="41"/>
    <s v="Josiane de Sousa Santos"/>
    <s v="Feminino"/>
    <x v="8"/>
    <x v="24"/>
    <s v="20103492 - Patologia Em Dois Ou Mais Membros (R$ 14,83), 20103514 - Patologia Em Diferentes Segmentos da Coluna (R$ 14,83)"/>
    <s v="Fisioterapia"/>
    <n v="1713892511"/>
    <s v="Finalizado (3/5)"/>
    <n v="24.914400000000001"/>
    <n v="4.7455999999999996"/>
    <n v="29.66"/>
    <s v="Sessão Faturada"/>
    <n v="954600005274010"/>
    <n v="23225"/>
    <s v="Unidade Sao Jose"/>
    <n v="1713892511"/>
    <m/>
  </r>
  <r>
    <x v="5"/>
    <x v="41"/>
    <s v="Ruan de Souza Mesquita"/>
    <s v="Masculino"/>
    <x v="8"/>
    <x v="24"/>
    <s v="20103492 - Patologia Em Dois Ou Mais Membros (R$ 14,83)"/>
    <s v="Fisioterapia"/>
    <n v="1705116776"/>
    <s v="Finalizado (3/3)"/>
    <n v="12.4572"/>
    <n v="2.3727999999999998"/>
    <n v="14.83"/>
    <s v="Sessão Faturada"/>
    <n v="954600015873000"/>
    <n v="56318"/>
    <s v="Unidade Sao Jose"/>
    <n v="1705116776"/>
    <m/>
  </r>
  <r>
    <x v="5"/>
    <x v="41"/>
    <s v="Neude Araujo de Menezes"/>
    <s v="Masculino"/>
    <x v="7"/>
    <x v="24"/>
    <s v="Sao José - 2 - Fisioterapia Ortopédica - Pacote (R$ 20,00)"/>
    <s v="Fisioterapia"/>
    <n v="172521"/>
    <s v="Finalizado (1/10)"/>
    <n v="15"/>
    <n v="5"/>
    <n v="20"/>
    <s v="Pago"/>
    <n v="59733"/>
    <n v="59733"/>
    <s v="Unidade Sao Jose"/>
    <n v="172521"/>
    <m/>
  </r>
  <r>
    <x v="5"/>
    <x v="65"/>
    <s v="Josiane de Sousa Santos"/>
    <s v="Feminino"/>
    <x v="9"/>
    <x v="24"/>
    <s v="31602185 - Estimulação Elétrica Transcutânea (Tens) - Removido 13/04/2026 (R$ 40,00)"/>
    <s v="Fisioterapia"/>
    <n v="1713283780"/>
    <s v="Finalizado (4/5)"/>
    <n v="33.6"/>
    <n v="6.4"/>
    <n v="40"/>
    <s v="Sessão Faturada"/>
    <n v="954600005274010"/>
    <n v="23225"/>
    <s v="Unidade Sao Jose"/>
    <n v="1713283780"/>
    <m/>
  </r>
  <r>
    <x v="5"/>
    <x v="36"/>
    <s v="Natanael Costa Cruz"/>
    <s v="Masculino"/>
    <x v="27"/>
    <x v="24"/>
    <s v="50000144 - Avaliação de Fisioterapia (R$ 51,42)"/>
    <s v="Fisioterapia"/>
    <n v="1715916742"/>
    <s v="Finalizado (1/1)"/>
    <n v="46.277999999999999"/>
    <n v="5.1420000000000003"/>
    <n v="51.42"/>
    <s v="Sessão Faturada"/>
    <n v="775072015105020"/>
    <n v="59724"/>
    <s v="Unidade Sao Jose"/>
    <n v="1715916742"/>
    <m/>
  </r>
  <r>
    <x v="5"/>
    <x v="36"/>
    <s v="Custodia Herminia de Sousa Filha"/>
    <s v="Feminino"/>
    <x v="7"/>
    <x v="24"/>
    <s v="Sao José - 2 - Fisioterapia Ortopédica - Pacote (R$ 20,00)"/>
    <s v="Fisioterapia"/>
    <n v="171939"/>
    <s v="Finalizado (3/10)"/>
    <n v="15"/>
    <n v="5"/>
    <n v="20"/>
    <s v="Pago"/>
    <n v="58051"/>
    <n v="58051"/>
    <s v="Unidade Sao Jose"/>
    <n v="171939"/>
    <m/>
  </r>
  <r>
    <x v="5"/>
    <x v="36"/>
    <s v="Maria do Carmo Marinho"/>
    <s v="Feminino"/>
    <x v="7"/>
    <x v="24"/>
    <s v="Sao José - 2 - Fisioterapia Ortopédica - Pacote (R$ 20,00)"/>
    <s v="Fisioterapia"/>
    <n v="169944"/>
    <s v="Finalizado (10/10)"/>
    <n v="15"/>
    <n v="5"/>
    <n v="20"/>
    <s v="Pago"/>
    <n v="59484"/>
    <n v="59484"/>
    <s v="Unidade Sao Jose"/>
    <n v="169944"/>
    <m/>
  </r>
  <r>
    <x v="5"/>
    <x v="40"/>
    <s v="Joycilene da Silva Carvalho"/>
    <s v="Feminino"/>
    <x v="7"/>
    <x v="24"/>
    <s v="Sao José - 2 - Fisioterapia Ortopédica - Pacote (R$ 20,00)"/>
    <s v="Fisioterapia"/>
    <n v="170324"/>
    <s v="Finalizado (5/10)"/>
    <n v="15"/>
    <n v="5"/>
    <n v="20"/>
    <s v="Pago"/>
    <n v="54386"/>
    <n v="54386"/>
    <s v="Unidade Sao Jose"/>
    <n v="170324"/>
    <m/>
  </r>
  <r>
    <x v="5"/>
    <x v="40"/>
    <s v="Cosme Pereira Borges"/>
    <s v="Masculino"/>
    <x v="7"/>
    <x v="24"/>
    <s v="Sao José - 2 - Fisioterapia Ortopédica - Pacote (R$ 20,00)"/>
    <s v="Fisioterapia"/>
    <n v="171796"/>
    <s v="Finalizado (5/10)"/>
    <n v="15"/>
    <n v="5"/>
    <n v="20"/>
    <s v="Pago"/>
    <n v="59654"/>
    <n v="59654"/>
    <s v="Unidade Sao Jose"/>
    <n v="171796"/>
    <m/>
  </r>
  <r>
    <x v="5"/>
    <x v="40"/>
    <s v="Francisca Zuleide de Oliveira Araujo"/>
    <s v="Feminino"/>
    <x v="7"/>
    <x v="24"/>
    <s v="Sao José - 2 - Fisioterapia Ortopédica - Pacote (R$ 20,00)"/>
    <s v="Fisioterapia"/>
    <n v="171952"/>
    <s v="Finalizado (5/10)"/>
    <n v="15"/>
    <n v="5"/>
    <n v="20"/>
    <s v="Pago"/>
    <n v="59540"/>
    <n v="59540"/>
    <s v="Unidade Sao Jose"/>
    <n v="171952"/>
    <m/>
  </r>
  <r>
    <x v="5"/>
    <x v="40"/>
    <s v="Aldenir de Lima Rolim Aquino"/>
    <s v="Feminino"/>
    <x v="7"/>
    <x v="24"/>
    <s v="Sao José - 2 - Fisioterapia Ortopédica - Pacote (R$ 20,00)"/>
    <s v="Fisioterapia"/>
    <n v="172176"/>
    <s v="Finalizado (1/10)"/>
    <n v="15"/>
    <n v="5"/>
    <n v="20"/>
    <s v="Pago"/>
    <n v="39454"/>
    <n v="39454"/>
    <s v="Unidade Sao Jose"/>
    <n v="172176"/>
    <m/>
  </r>
  <r>
    <x v="5"/>
    <x v="35"/>
    <s v="Luciana Mendoça Martins"/>
    <s v="Feminino"/>
    <x v="7"/>
    <x v="24"/>
    <s v="Sao José - 2 - Fisioterapia Ortopédica - Pacote (R$ 20,00)"/>
    <s v="Fisioterapia"/>
    <n v="171007"/>
    <s v="Finalizado (10/10)"/>
    <n v="15"/>
    <n v="5"/>
    <n v="20"/>
    <s v="Pago"/>
    <n v="59582"/>
    <n v="59582"/>
    <s v="Unidade Sao Jose"/>
    <n v="171007"/>
    <m/>
  </r>
  <r>
    <x v="5"/>
    <x v="35"/>
    <s v="Raynara Santos de Carvalho"/>
    <s v="Feminino"/>
    <x v="27"/>
    <x v="24"/>
    <s v="20103514 - Patol. Em Diferentes Segmentos da Coluna (R$ 14,83)"/>
    <s v="Fisioterapia"/>
    <n v="1714562837"/>
    <s v="Finalizado (3/5)"/>
    <n v="12.4572"/>
    <n v="2.3727999999999998"/>
    <n v="14.83"/>
    <s v="Sessão Faturada"/>
    <n v="774634001384000"/>
    <n v="59689"/>
    <s v="Unidade Sao Jose"/>
    <n v="1714562837"/>
    <m/>
  </r>
  <r>
    <x v="5"/>
    <x v="35"/>
    <s v="Raynara Santos de Carvalho"/>
    <s v="Feminino"/>
    <x v="4"/>
    <x v="24"/>
    <s v="31602185 - Estimulação Elétrica Transcutânea - Removido 13/04/2026 (R$ 40,00)"/>
    <s v="Fisioterapia"/>
    <n v="1714986312"/>
    <s v="Finalizado (2/5)"/>
    <n v="33.6"/>
    <n v="6.4"/>
    <n v="40"/>
    <s v="Sessão Faturada"/>
    <n v="774634001384000"/>
    <n v="59689"/>
    <s v="Unidade Sao Jose"/>
    <n v="1714986312"/>
    <m/>
  </r>
  <r>
    <x v="5"/>
    <x v="35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5477511"/>
    <s v="Finalizado (2/5)"/>
    <n v="24.914400000000001"/>
    <n v="4.7455999999999996"/>
    <n v="29.66"/>
    <s v="Sessão a Faturar"/>
    <n v="954600003042000"/>
    <n v="29915"/>
    <s v="Unidade Sao Jose"/>
    <n v="1715477511"/>
    <m/>
  </r>
  <r>
    <x v="5"/>
    <x v="70"/>
    <s v="Raynara Santos de Carvalho"/>
    <s v="Feminino"/>
    <x v="27"/>
    <x v="24"/>
    <s v="20103522 - Fisioterapia - Pac Com Dependencia de Vida Diária (R$ 23,59)"/>
    <s v="Fisioterapia"/>
    <n v="1714563881"/>
    <s v="Finalizado (3/5)"/>
    <n v="19.8156"/>
    <n v="3.7744"/>
    <n v="23.59"/>
    <s v="Sessão Faturada"/>
    <n v="774634001384000"/>
    <n v="59689"/>
    <s v="Unidade Sao Jose"/>
    <n v="1714563881"/>
    <m/>
  </r>
  <r>
    <x v="5"/>
    <x v="42"/>
    <s v="Jean da Silva Melo"/>
    <s v="Masculino"/>
    <x v="14"/>
    <x v="24"/>
    <s v="20103662 - Fisioterapia - Pos Operatorio Em Um Membro (R$ 14,99)"/>
    <s v="Fisioterapia"/>
    <n v="1715477961"/>
    <s v="Finalizado (2/5)"/>
    <n v="12.5916"/>
    <n v="2.3984000000000001"/>
    <n v="14.99"/>
    <s v="Sessão Faturada"/>
    <n v="954600003042000"/>
    <n v="29915"/>
    <s v="Unidade Sao Jose"/>
    <n v="1715477961"/>
    <m/>
  </r>
  <r>
    <x v="5"/>
    <x v="71"/>
    <s v="Raynara Santos de Carvalho"/>
    <s v="Feminino"/>
    <x v="27"/>
    <x v="24"/>
    <s v="20103220 - Fisioterapia Respiratoria (R$ 12,22)"/>
    <s v="Fisioterapia"/>
    <n v="1714564442"/>
    <s v="Finalizado (3/5)"/>
    <n v="10.264799999999999"/>
    <n v="1.9552"/>
    <n v="12.22"/>
    <s v="Sessão Faturada"/>
    <n v="774634001384000"/>
    <n v="59689"/>
    <s v="Unidade Sao Jose"/>
    <n v="1714564442"/>
    <m/>
  </r>
  <r>
    <x v="5"/>
    <x v="38"/>
    <s v="Glívena Souza Félix"/>
    <s v="Feminino"/>
    <x v="7"/>
    <x v="24"/>
    <s v="Sao José - 4 - Fisioterapia Neurológica/Respiratória - Pacote (R$ 50,00)"/>
    <s v="Fisioterapia"/>
    <n v="170807"/>
    <s v="Finalizado (6/10)"/>
    <n v="37.5"/>
    <n v="12.5"/>
    <n v="50"/>
    <s v="Pago"/>
    <n v="57339"/>
    <n v="57339"/>
    <s v="Unidade Sao Jose"/>
    <n v="170807"/>
    <m/>
  </r>
  <r>
    <x v="5"/>
    <x v="37"/>
    <s v="Natanael Costa Cruz"/>
    <s v="Masculino"/>
    <x v="27"/>
    <x v="24"/>
    <s v="20103484 - Patologia Em Um Membro (R$ 12,22)"/>
    <s v="Fisioterapia"/>
    <n v="1716017996"/>
    <s v="Finalizado (1/5)"/>
    <n v="10.264799999999999"/>
    <n v="1.9552"/>
    <n v="12.22"/>
    <s v="Sessão Faturada"/>
    <n v="775072015105020"/>
    <n v="59724"/>
    <s v="Unidade Sao Jose"/>
    <n v="1716017996"/>
    <m/>
  </r>
  <r>
    <x v="5"/>
    <x v="37"/>
    <s v="Arlesson Ribeiro Correa"/>
    <s v="Masculino"/>
    <x v="7"/>
    <x v="24"/>
    <s v="Sao José - 2 - Fisioterapia Ortopédica - Pacote (R$ 20,00)"/>
    <s v="Fisioterapia"/>
    <n v="166722"/>
    <s v="Finalizado (10/10)"/>
    <n v="15"/>
    <n v="5"/>
    <n v="20"/>
    <s v="Pago"/>
    <n v="58435"/>
    <n v="58435"/>
    <s v="Unidade Sao Jose"/>
    <n v="166722"/>
    <m/>
  </r>
  <r>
    <x v="5"/>
    <x v="22"/>
    <s v="Bruno Nascimento Gomes"/>
    <s v="Masculino"/>
    <x v="7"/>
    <x v="24"/>
    <s v="Sao José - 14 - Fisioterapia Pós Operatória - Pacote (R$ 50,00)"/>
    <s v="Fisioterapia"/>
    <n v="172266"/>
    <s v="Finalizado (1/5)"/>
    <n v="37.5"/>
    <n v="12.5"/>
    <n v="50"/>
    <s v="Pago"/>
    <n v="59713"/>
    <n v="59713"/>
    <s v="Unidade Sao Jose"/>
    <n v="172266"/>
    <m/>
  </r>
  <r>
    <x v="5"/>
    <x v="0"/>
    <s v="Nádia Eunice Batalha de Pinho"/>
    <s v="Feminino"/>
    <x v="27"/>
    <x v="24"/>
    <s v="20103484 - Patologia Em Um Membro (R$ 12,22)"/>
    <s v="Fisioterapia"/>
    <n v="1710346187"/>
    <s v="Finalizado (5/5)"/>
    <n v="10.264799999999999"/>
    <n v="1.9552"/>
    <n v="12.22"/>
    <s v="Sessão Faturada"/>
    <n v="774385001546010"/>
    <n v="58963"/>
    <s v="Unidade Sao Jose"/>
    <n v="1710346187"/>
    <m/>
  </r>
  <r>
    <x v="5"/>
    <x v="53"/>
    <s v="Nádia Eunice Batalha de Pinho"/>
    <s v="Feminino"/>
    <x v="27"/>
    <x v="24"/>
    <s v="20103662 - Pos Operatorio Em Um Membro (R$ 14,99)"/>
    <s v="Fisioterapia"/>
    <n v="1710383583"/>
    <s v="Finalizado (5/5)"/>
    <n v="12.5916"/>
    <n v="2.3984000000000001"/>
    <n v="14.99"/>
    <s v="Sessão Faturada"/>
    <n v="774385001546010"/>
    <n v="58963"/>
    <s v="Unidade Sao Jose"/>
    <n v="1710383583"/>
    <m/>
  </r>
  <r>
    <x v="5"/>
    <x v="91"/>
    <s v="Nádia Eunice Batalha de Pinho"/>
    <s v="Feminino"/>
    <x v="4"/>
    <x v="24"/>
    <s v="31602185 - Estimulação Elétrica Transcutânea - Removido 13/04/2026 (R$ 40,00)"/>
    <s v="Fisioterapia"/>
    <n v="1711550565"/>
    <s v="Finalizado (4/4)"/>
    <n v="33.6"/>
    <n v="6.4"/>
    <n v="40"/>
    <s v="Sessão Faturada"/>
    <n v="774385001546010"/>
    <n v="58963"/>
    <s v="Unidade Sao Jose"/>
    <n v="1711550565"/>
    <m/>
  </r>
  <r>
    <x v="5"/>
    <x v="2"/>
    <s v="Cristiane Villar de Holanda"/>
    <s v="Feminino"/>
    <x v="7"/>
    <x v="24"/>
    <s v="Sao José - 2 - Fisioterapia Ortopédica - Pacote (R$ 20,00)"/>
    <s v="Fisioterapia"/>
    <n v="170499"/>
    <s v="Finalizado (9/10)"/>
    <n v="15"/>
    <n v="5"/>
    <n v="20"/>
    <s v="Pago"/>
    <n v="41493"/>
    <n v="41493"/>
    <s v="Unidade Sao Jose"/>
    <n v="170499"/>
    <m/>
  </r>
  <r>
    <x v="5"/>
    <x v="4"/>
    <s v="Nazare Pedroza Alves"/>
    <s v="Masculino"/>
    <x v="7"/>
    <x v="24"/>
    <s v="Sao José - 2 - Fisioterapia Ortopédica - Pacote (R$ 20,00)"/>
    <s v="Fisioterapia"/>
    <n v="168948"/>
    <s v="Finalizado (7/10)"/>
    <n v="15"/>
    <n v="5"/>
    <n v="20"/>
    <s v="Pago"/>
    <n v="143890"/>
    <n v="43890"/>
    <s v="Unidade Sao Jose"/>
    <n v="168948"/>
    <m/>
  </r>
  <r>
    <x v="5"/>
    <x v="4"/>
    <s v="Ana Cristina de Frota Palheta"/>
    <s v="Feminino"/>
    <x v="6"/>
    <x v="24"/>
    <s v="31602185 - Estimulação Elétrica Transcutanea (Tens) (R$ 40,00)"/>
    <s v="Fisioterapia"/>
    <n v="172385"/>
    <s v="Finalizado (3/6)"/>
    <n v="33.6"/>
    <n v="6.4"/>
    <n v="40"/>
    <s v="Sessão Faturada"/>
    <s v="54588888012065310011"/>
    <n v="20193"/>
    <s v="Unidade Sao Jose"/>
    <n v="172385"/>
    <m/>
  </r>
  <r>
    <x v="5"/>
    <x v="5"/>
    <s v="Ana Cristina de Frota Palheta"/>
    <s v="Feminino"/>
    <x v="6"/>
    <x v="24"/>
    <s v="20103476 - Patologia Neurologica (R$ 35,40)"/>
    <s v="Fisioterapia"/>
    <n v="172502"/>
    <s v="Finalizado (2/7)"/>
    <n v="29.736000000000001"/>
    <n v="5.6639999999999997"/>
    <n v="35.4"/>
    <s v="Sessão Faturada"/>
    <s v="54588888012065310011"/>
    <n v="20193"/>
    <s v="Unidade Sao Jose"/>
    <n v="172502"/>
    <m/>
  </r>
  <r>
    <x v="5"/>
    <x v="13"/>
    <s v="Leonardo Batista de Souza"/>
    <s v="Masculino"/>
    <x v="5"/>
    <x v="24"/>
    <s v="98860020 - Fisioterapia Complexidade 2 - 04/03/2026 (R$ 70,79)"/>
    <s v="Fisioterapia"/>
    <n v="61519530"/>
    <s v="Finalizado (6/10)"/>
    <n v="59.4636"/>
    <n v="11.3264"/>
    <n v="70.790000000000006"/>
    <s v="Sessão Faturada"/>
    <s v="0101516639000159"/>
    <n v="54993"/>
    <s v="Unidade Sao Jose"/>
    <n v="61519530"/>
    <m/>
  </r>
  <r>
    <x v="5"/>
    <x v="15"/>
    <s v="Jailson da Silva Teixeira"/>
    <s v="Masculino"/>
    <x v="27"/>
    <x v="24"/>
    <s v="20103514 - Patol. Em Diferentes Segmentos da Coluna (R$ 14,83)"/>
    <s v="Fisioterapia"/>
    <n v="1716260357"/>
    <s v="Finalizado (1/5)"/>
    <n v="12.4572"/>
    <n v="2.3727999999999998"/>
    <n v="14.83"/>
    <s v="Sessão a Faturar"/>
    <n v="771015056251000"/>
    <n v="49655"/>
    <s v="Unidade Sao Jose"/>
    <n v="1716260357"/>
    <m/>
  </r>
  <r>
    <x v="5"/>
    <x v="17"/>
    <s v="Vicente de Paula Alburquerque Monteiro"/>
    <s v="Masculino"/>
    <x v="7"/>
    <x v="24"/>
    <s v="Sao José - 2 - Fisioterapia Ortopédica - Pacote (R$ 20,00)"/>
    <s v="Fisioterapia"/>
    <n v="168491"/>
    <s v="Finalizado (6/10)"/>
    <n v="15"/>
    <n v="5"/>
    <n v="20"/>
    <s v="Pago"/>
    <n v="59379"/>
    <n v="59379"/>
    <s v="Unidade Sao Jose"/>
    <n v="168491"/>
    <m/>
  </r>
  <r>
    <x v="5"/>
    <x v="17"/>
    <s v="Diane Pinto de Souza"/>
    <s v="Feminino"/>
    <x v="27"/>
    <x v="24"/>
    <s v="20103662 - Pos Operatorio Em Um Membro (R$ 14,99)"/>
    <s v="Fisioterapia"/>
    <n v="1707969765"/>
    <s v="Finalizado (4/4)"/>
    <n v="12.5916"/>
    <n v="2.3984000000000001"/>
    <n v="14.99"/>
    <s v="Sessão a Faturar"/>
    <n v="770179013056000"/>
    <n v="55682"/>
    <s v="Unidade Sao Jose"/>
    <n v="1707969765"/>
    <m/>
  </r>
  <r>
    <x v="5"/>
    <x v="17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3002975"/>
    <s v="Finalizado (5/5)"/>
    <n v="24.914400000000001"/>
    <n v="4.7455999999999996"/>
    <n v="29.66"/>
    <s v="Sessão Faturada"/>
    <n v="960016147828000"/>
    <n v="18356"/>
    <s v="Unidade Sao Jose"/>
    <n v="1713002975"/>
    <m/>
  </r>
  <r>
    <x v="5"/>
    <x v="18"/>
    <s v="Jairo Barboza Domingues"/>
    <s v="Masculino"/>
    <x v="4"/>
    <x v="24"/>
    <s v="31602185 - Estimulação Elétrica Transcutânea - Removido 13/04/2026 (R$ 40,00)"/>
    <s v="Fisioterapia"/>
    <n v="1713626624"/>
    <s v="Finalizado (4/5)"/>
    <n v="33.6"/>
    <n v="6.4"/>
    <n v="40"/>
    <s v="Sessão Faturada"/>
    <n v="960016147828000"/>
    <n v="18356"/>
    <s v="Unidade Sao Jose"/>
    <n v="1713626624"/>
    <m/>
  </r>
  <r>
    <x v="5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5/10)"/>
    <n v="30"/>
    <n v="10"/>
    <n v="40"/>
    <s v="Pago"/>
    <n v="59492"/>
    <n v="59492"/>
    <s v="Unidade Sao Jose"/>
    <n v="171692"/>
    <m/>
  </r>
  <r>
    <x v="5"/>
    <x v="8"/>
    <s v="Lucas Gloria da Costa"/>
    <s v="Masculino"/>
    <x v="7"/>
    <x v="24"/>
    <s v="Sao José - 2 - Fisioterapia Ortopédica - Pacote (R$ 20,00)"/>
    <s v="Fisioterapia"/>
    <n v="170074"/>
    <s v="Finalizado (9/10)"/>
    <n v="15"/>
    <n v="5"/>
    <n v="20"/>
    <s v="Pago"/>
    <n v="59490"/>
    <n v="59490"/>
    <s v="Unidade Sao Jose"/>
    <n v="170074"/>
    <m/>
  </r>
  <r>
    <x v="6"/>
    <x v="44"/>
    <s v="Natanael Costa Cruz"/>
    <s v="Masculino"/>
    <x v="27"/>
    <x v="24"/>
    <s v="20103484 - Patologia Em Um Membro (R$ 12,22)"/>
    <s v="Fisioterapia"/>
    <n v="1716017996"/>
    <s v="Finalizado (2/5)"/>
    <n v="10.264799999999999"/>
    <n v="1.9552"/>
    <n v="12.22"/>
    <s v="Sessão Faturada"/>
    <n v="775072015105020"/>
    <n v="59724"/>
    <s v="Unidade Sao Jose"/>
    <n v="1716017996"/>
    <m/>
  </r>
  <r>
    <x v="6"/>
    <x v="41"/>
    <s v="Neude Araujo de Menezes"/>
    <s v="Masculino"/>
    <x v="7"/>
    <x v="24"/>
    <s v="Sao José - 2 - Fisioterapia Ortopédica - Pacote (R$ 20,00)"/>
    <s v="Fisioterapia"/>
    <n v="172521"/>
    <s v="Finalizado (2/10)"/>
    <n v="15"/>
    <n v="5"/>
    <n v="20"/>
    <s v="Pago"/>
    <n v="59733"/>
    <n v="59733"/>
    <s v="Unidade Sao Jose"/>
    <n v="172521"/>
    <m/>
  </r>
  <r>
    <x v="6"/>
    <x v="41"/>
    <s v="Silvia Serrão de Figueiredo"/>
    <s v="Feminino"/>
    <x v="27"/>
    <x v="24"/>
    <s v="20103522 - Fisioterapia - Pac Com Dependencia de Vida Diária (R$ 23,59)"/>
    <s v="Fisioterapia"/>
    <n v="1715388796"/>
    <s v="Finalizado (2/5)"/>
    <n v="19.8156"/>
    <n v="3.7744"/>
    <n v="23.59"/>
    <s v="Sessão Faturada"/>
    <n v="772133000485020"/>
    <n v="25348"/>
    <s v="Unidade Sao Jose"/>
    <n v="1715388796"/>
    <m/>
  </r>
  <r>
    <x v="6"/>
    <x v="41"/>
    <s v="Custodia Herminia de Sousa Filha"/>
    <s v="Feminino"/>
    <x v="7"/>
    <x v="24"/>
    <s v="Sao José - 2 - Fisioterapia Ortopédica - Pacote (R$ 20,00)"/>
    <s v="Fisioterapia"/>
    <n v="171939"/>
    <s v="Finalizado (4/10)"/>
    <n v="15"/>
    <n v="5"/>
    <n v="20"/>
    <s v="Pago"/>
    <n v="58051"/>
    <n v="58051"/>
    <s v="Unidade Sao Jose"/>
    <n v="171939"/>
    <m/>
  </r>
  <r>
    <x v="6"/>
    <x v="36"/>
    <s v="Maria Chaves da Rocha"/>
    <s v="Feminino"/>
    <x v="7"/>
    <x v="24"/>
    <s v="Sao José - 1 - Fisioterapia Ortopédica - Sessão (R$ 45,00), Sao José - 2 - Fisioterapia Ortopédica - Pacote (R$ 20,00)"/>
    <s v="Fisioterapia"/>
    <n v="172049"/>
    <s v="Finalizado (1/10)"/>
    <n v="48.75"/>
    <n v="16.25"/>
    <n v="65"/>
    <s v="Pago"/>
    <n v="59684"/>
    <n v="59684"/>
    <s v="Unidade Sao Jose"/>
    <n v="172049"/>
    <m/>
  </r>
  <r>
    <x v="6"/>
    <x v="36"/>
    <s v="Josiane de Sousa Santos"/>
    <s v="Feminino"/>
    <x v="8"/>
    <x v="24"/>
    <s v="20103492 - Patologia Em Dois Ou Mais Membros (R$ 14,83), 20103514 - Patologia Em Diferentes Segmentos da Coluna (R$ 14,83)"/>
    <s v="Fisioterapia"/>
    <n v="1713892511"/>
    <s v="Finalizado (4/5)"/>
    <n v="24.914400000000001"/>
    <n v="4.7455999999999996"/>
    <n v="29.66"/>
    <s v="Sessão Faturada"/>
    <n v="954600005274010"/>
    <n v="23225"/>
    <s v="Unidade Sao Jose"/>
    <n v="1713892511"/>
    <m/>
  </r>
  <r>
    <x v="6"/>
    <x v="36"/>
    <s v="Josinaldo Sampaio da Silva"/>
    <s v="Masculino"/>
    <x v="6"/>
    <x v="24"/>
    <s v="20103476 - Patologia Neurologica - 25/03/2025 (R$ 33,75)"/>
    <s v="Fisioterapia"/>
    <n v="126020"/>
    <s v="Não compareceu (8/10)"/>
    <n v="33.75"/>
    <n v="0"/>
    <n v="33.75"/>
    <s v="Sessão Faturada"/>
    <s v="54588888004873420010"/>
    <n v="41506"/>
    <s v="Unidade Sao Jose"/>
    <n v="126020"/>
    <s v="assinada"/>
  </r>
  <r>
    <x v="6"/>
    <x v="36"/>
    <s v="Aldenir de Lima Rolim Aquino"/>
    <s v="Feminino"/>
    <x v="7"/>
    <x v="24"/>
    <s v="Sao José - 2 - Fisioterapia Ortopédica - Pacote (R$ 20,00)"/>
    <s v="Fisioterapia"/>
    <n v="172176"/>
    <s v="Finalizado (2/10)"/>
    <n v="15"/>
    <n v="5"/>
    <n v="20"/>
    <s v="Pago"/>
    <n v="39454"/>
    <n v="39454"/>
    <s v="Unidade Sao Jose"/>
    <n v="172176"/>
    <m/>
  </r>
  <r>
    <x v="6"/>
    <x v="61"/>
    <s v="Josiane de Sousa Santos"/>
    <s v="Feminino"/>
    <x v="9"/>
    <x v="24"/>
    <s v="31602185 - Estimulação Elétrica Transcutânea (Tens) - Removido 13/04/2026 (R$ 40,00)"/>
    <s v="Fisioterapia"/>
    <n v="1713283780"/>
    <s v="Finalizado (5/5)"/>
    <n v="33.6"/>
    <n v="6.4"/>
    <n v="40"/>
    <s v="Sessão Faturada"/>
    <n v="954600005274010"/>
    <n v="23225"/>
    <s v="Unidade Sao Jose"/>
    <n v="1713283780"/>
    <m/>
  </r>
  <r>
    <x v="6"/>
    <x v="40"/>
    <s v="Bruno Nascimento Gomes"/>
    <s v="Masculino"/>
    <x v="7"/>
    <x v="24"/>
    <s v="Sao José - 14 - Fisioterapia Pós Operatória - Pacote (R$ 50,00)"/>
    <s v="Fisioterapia"/>
    <n v="172266"/>
    <s v="Finalizado (2/5)"/>
    <n v="37.5"/>
    <n v="12.5"/>
    <n v="50"/>
    <s v="Pago"/>
    <n v="59713"/>
    <n v="59713"/>
    <s v="Unidade Sao Jose"/>
    <n v="172266"/>
    <m/>
  </r>
  <r>
    <x v="6"/>
    <x v="35"/>
    <s v="Songila da Silva Lopes Morato"/>
    <s v="Feminino"/>
    <x v="27"/>
    <x v="24"/>
    <s v="20103484 - Patologia Em Um Membro (R$ 12,22)"/>
    <s v="Fisioterapia"/>
    <n v="1716532361"/>
    <s v="Finalizado (1/1)"/>
    <n v="10.264799999999999"/>
    <n v="1.9552"/>
    <n v="12.22"/>
    <s v="Sessão Faturada"/>
    <n v="773626002577020"/>
    <n v="38761"/>
    <s v="Unidade Sao Jose"/>
    <n v="1716532361"/>
    <m/>
  </r>
  <r>
    <x v="6"/>
    <x v="35"/>
    <s v="Raynara Santos de Carvalho"/>
    <s v="Feminino"/>
    <x v="4"/>
    <x v="24"/>
    <s v="31602185 - Estimulação Elétrica Transcutânea - Removido 13/04/2026 (R$ 40,00)"/>
    <s v="Fisioterapia"/>
    <n v="1714986312"/>
    <s v="Finalizado (3/5)"/>
    <n v="33.6"/>
    <n v="6.4"/>
    <n v="40"/>
    <s v="Sessão Faturada"/>
    <n v="774634001384000"/>
    <n v="59689"/>
    <s v="Unidade Sao Jose"/>
    <n v="1714986312"/>
    <m/>
  </r>
  <r>
    <x v="6"/>
    <x v="35"/>
    <s v="Raynara Santos de Carvalho"/>
    <s v="Feminino"/>
    <x v="27"/>
    <x v="24"/>
    <s v="20103220 - Fisioterapia Respiratoria (R$ 12,22)"/>
    <s v="Fisioterapia"/>
    <n v="1714564442"/>
    <s v="Finalizado (4/5)"/>
    <n v="10.264799999999999"/>
    <n v="1.9552"/>
    <n v="12.22"/>
    <s v="Sessão Faturada"/>
    <n v="774634001384000"/>
    <n v="59689"/>
    <s v="Unidade Sao Jose"/>
    <n v="1714564442"/>
    <m/>
  </r>
  <r>
    <x v="6"/>
    <x v="70"/>
    <s v="Raynara Santos de Carvalho"/>
    <s v="Feminino"/>
    <x v="27"/>
    <x v="24"/>
    <s v="20103522 - Fisioterapia - Pac Com Dependencia de Vida Diária (R$ 23,59)"/>
    <s v="Fisioterapia"/>
    <n v="1714563881"/>
    <s v="Finalizado (4/5)"/>
    <n v="19.8156"/>
    <n v="3.7744"/>
    <n v="23.59"/>
    <s v="Sessão Faturada"/>
    <n v="774634001384000"/>
    <n v="59689"/>
    <s v="Unidade Sao Jose"/>
    <n v="1714563881"/>
    <m/>
  </r>
  <r>
    <x v="6"/>
    <x v="71"/>
    <s v="Raynara Santos de Carvalho"/>
    <s v="Feminino"/>
    <x v="27"/>
    <x v="24"/>
    <s v="20103514 - Patol. Em Diferentes Segmentos da Coluna (R$ 14,83)"/>
    <s v="Fisioterapia"/>
    <n v="1714562837"/>
    <s v="Finalizado (4/5)"/>
    <n v="12.4572"/>
    <n v="2.3727999999999998"/>
    <n v="14.83"/>
    <s v="Sessão Faturada"/>
    <n v="774634001384000"/>
    <n v="59689"/>
    <s v="Unidade Sao Jose"/>
    <n v="1714562837"/>
    <m/>
  </r>
  <r>
    <x v="6"/>
    <x v="37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6/10)"/>
    <n v="30"/>
    <n v="10"/>
    <n v="40"/>
    <s v="Pago"/>
    <n v="59611"/>
    <n v="59611"/>
    <s v="Unidade Sao Jose"/>
    <n v="171321"/>
    <m/>
  </r>
  <r>
    <x v="6"/>
    <x v="22"/>
    <s v="Rossylene de Jesus Pinto da Silva"/>
    <s v="Feminino"/>
    <x v="7"/>
    <x v="24"/>
    <s v="Sao José - 2 - Fisioterapia Ortopédica - Pacote (R$ 20,00)"/>
    <s v="Fisioterapia"/>
    <n v="171503"/>
    <s v="Finalizado (8/10)"/>
    <n v="15"/>
    <n v="5"/>
    <n v="20"/>
    <s v="Pago"/>
    <n v="58721"/>
    <n v="58721"/>
    <s v="Unidade Sao Jose"/>
    <n v="171503"/>
    <m/>
  </r>
  <r>
    <x v="6"/>
    <x v="22"/>
    <s v="Marlene Pereira Lima"/>
    <s v="Feminino"/>
    <x v="7"/>
    <x v="24"/>
    <s v="Sao José - 2 - Fisioterapia Ortopédica - Pacote (R$ 20,00)"/>
    <s v="Fisioterapia"/>
    <n v="171851"/>
    <s v="Finalizado (3/10)"/>
    <n v="15"/>
    <n v="5"/>
    <n v="20"/>
    <s v="Pago"/>
    <n v="37569"/>
    <n v="37569"/>
    <s v="Unidade Sao Jose"/>
    <n v="171851"/>
    <m/>
  </r>
  <r>
    <x v="6"/>
    <x v="22"/>
    <s v="Jose Edson Moura de Melo"/>
    <s v="Masculino"/>
    <x v="2"/>
    <x v="24"/>
    <s v="20103662 - Fisioterapia - Pos Operatorio Em Um Membro (R$ 14,99)"/>
    <s v="Fisioterapia"/>
    <n v="1716674013"/>
    <s v="Finalizado (1/5)"/>
    <n v="12.5916"/>
    <n v="2.3984000000000001"/>
    <n v="14.99"/>
    <s v="Sessão a Faturar"/>
    <n v="774722014389010"/>
    <n v="45960"/>
    <s v="Unidade Sao Jose"/>
    <n v="1716674013"/>
    <m/>
  </r>
  <r>
    <x v="6"/>
    <x v="0"/>
    <s v="Ângela Isabel Barbosa Rego"/>
    <s v="Feminino"/>
    <x v="7"/>
    <x v="24"/>
    <s v="Sao José - 2 - Fisioterapia Ortopédica - Pacote (R$ 20,00)"/>
    <s v="Fisioterapia"/>
    <n v="172175"/>
    <s v="Finalizado (2/10)"/>
    <n v="15"/>
    <n v="5"/>
    <n v="20"/>
    <s v="Pago"/>
    <n v="59455"/>
    <n v="59455"/>
    <s v="Unidade Sao Jose"/>
    <n v="172175"/>
    <m/>
  </r>
  <r>
    <x v="6"/>
    <x v="0"/>
    <s v="Glívena Souza Félix"/>
    <s v="Feminino"/>
    <x v="7"/>
    <x v="24"/>
    <s v="Sao José - 4 - Fisioterapia Neurológica/Respiratória - Pacote (R$ 50,00)"/>
    <s v="Fisioterapia"/>
    <n v="170807"/>
    <s v="Finalizado (7/10)"/>
    <n v="37.5"/>
    <n v="12.5"/>
    <n v="50"/>
    <s v="Pago"/>
    <n v="57339"/>
    <n v="57339"/>
    <s v="Unidade Sao Jose"/>
    <n v="170807"/>
    <m/>
  </r>
  <r>
    <x v="6"/>
    <x v="2"/>
    <s v="Mauro Marcelo Barros"/>
    <s v="Masculino"/>
    <x v="7"/>
    <x v="24"/>
    <s v="Sao José - 2 - Fisioterapia Ortopédica - Pacote (R$ 20,00)"/>
    <s v="Fisioterapia"/>
    <n v="172744"/>
    <s v="Finalizado (1/10)"/>
    <n v="15"/>
    <n v="5"/>
    <n v="20"/>
    <s v="Pago"/>
    <n v="55880"/>
    <n v="55880"/>
    <s v="Unidade Sao Jose"/>
    <n v="172744"/>
    <m/>
  </r>
  <r>
    <x v="6"/>
    <x v="4"/>
    <s v="Ana Cleude Pantoja da Silva"/>
    <s v="Feminino"/>
    <x v="8"/>
    <x v="24"/>
    <s v="20103492 - Patologia Em Dois Ou Mais Membros (R$ 14,83), 20103514 - Patologia Em Diferentes Segmentos da Coluna (R$ 14,83)"/>
    <s v="Fisioterapia"/>
    <n v="1716730948"/>
    <s v="Finalizado (1/5)"/>
    <n v="24.914400000000001"/>
    <n v="4.7455999999999996"/>
    <n v="29.66"/>
    <s v="Sessão a Faturar"/>
    <n v="954600008567000"/>
    <n v="23678"/>
    <s v="Unidade Sao Jose"/>
    <n v="1716730948"/>
    <m/>
  </r>
  <r>
    <x v="6"/>
    <x v="4"/>
    <s v="Delma Costa Rodrigues"/>
    <s v="Feminino"/>
    <x v="27"/>
    <x v="24"/>
    <s v="20103522 - Fisioterapia - Pac Com Dependencia de Vida Diária (R$ 23,59)"/>
    <s v="Fisioterapia"/>
    <n v="1714972759"/>
    <s v="Finalizado (3/5)"/>
    <n v="19.8156"/>
    <n v="3.7744"/>
    <n v="23.59"/>
    <s v="Sessão Faturada"/>
    <n v="773626006971000"/>
    <n v="40465"/>
    <s v="Unidade Sao Jose"/>
    <n v="1714972759"/>
    <m/>
  </r>
  <r>
    <x v="6"/>
    <x v="4"/>
    <s v="Delma Costa Rodrigues"/>
    <s v="Feminino"/>
    <x v="4"/>
    <x v="24"/>
    <s v="31602185 - Estimulação Elétrica Transcutânea - Removido 13/04/2026 (R$ 40,00)"/>
    <s v="Fisioterapia"/>
    <n v="1715849294"/>
    <s v="Finalizado (2/5)"/>
    <n v="33.6"/>
    <n v="6.4"/>
    <n v="40"/>
    <s v="Sessão Faturada"/>
    <n v="773626006971000"/>
    <n v="40465"/>
    <s v="Unidade Sao Jose"/>
    <n v="1715849294"/>
    <m/>
  </r>
  <r>
    <x v="6"/>
    <x v="4"/>
    <s v="Eliana Valente Frota"/>
    <m/>
    <x v="7"/>
    <x v="24"/>
    <s v="Sao José - 2 - Fisioterapia Ortopédica - Pacote (R$ 20,00)"/>
    <s v="Fisioterapia"/>
    <n v="172580"/>
    <s v="Finalizado (1/10)"/>
    <n v="15"/>
    <n v="5"/>
    <n v="20"/>
    <s v="Pago"/>
    <n v="59744"/>
    <n v="59744"/>
    <s v="Unidade Sao Jose"/>
    <n v="172580"/>
    <m/>
  </r>
  <r>
    <x v="6"/>
    <x v="4"/>
    <s v="Cristiane Villar de Holanda"/>
    <s v="Feminino"/>
    <x v="7"/>
    <x v="24"/>
    <s v="Sao José - 2 - Fisioterapia Ortopédica - Pacote (R$ 20,00)"/>
    <s v="Fisioterapia"/>
    <n v="170499"/>
    <s v="Finalizado (10/10)"/>
    <n v="15"/>
    <n v="5"/>
    <n v="20"/>
    <s v="Pago"/>
    <n v="41493"/>
    <n v="41493"/>
    <s v="Unidade Sao Jose"/>
    <n v="170499"/>
    <m/>
  </r>
  <r>
    <x v="6"/>
    <x v="29"/>
    <s v="Delma Costa Rodrigues"/>
    <s v="Feminino"/>
    <x v="27"/>
    <x v="24"/>
    <s v="20103514 - Patol. Em Diferentes Segmentos da Coluna (R$ 14,83)"/>
    <s v="Fisioterapia"/>
    <n v="1714972044"/>
    <s v="Finalizado (3/5)"/>
    <n v="12.4572"/>
    <n v="2.3727999999999998"/>
    <n v="14.83"/>
    <s v="Sessão Faturada"/>
    <n v="773626006971000"/>
    <n v="40465"/>
    <s v="Unidade Sao Jose"/>
    <n v="1714972044"/>
    <m/>
  </r>
  <r>
    <x v="6"/>
    <x v="30"/>
    <s v="Delma Costa Rodrigues"/>
    <s v="Feminino"/>
    <x v="27"/>
    <x v="24"/>
    <s v="20103662 - Pos Operatorio Em Um Membro (R$ 14,99)"/>
    <s v="Fisioterapia"/>
    <n v="1714971282"/>
    <s v="Finalizado (3/5)"/>
    <n v="12.5916"/>
    <n v="2.3984000000000001"/>
    <n v="14.99"/>
    <s v="Sessão Faturada"/>
    <n v="773626006971000"/>
    <n v="40465"/>
    <s v="Unidade Sao Jose"/>
    <n v="1714971282"/>
    <m/>
  </r>
  <r>
    <x v="6"/>
    <x v="13"/>
    <s v="Claudenice Sales de Matos"/>
    <s v="Feminino"/>
    <x v="7"/>
    <x v="24"/>
    <s v="Sao José - 2 - Fisioterapia Ortopédica - Pacote (R$ 20,00)"/>
    <s v="Fisioterapia"/>
    <n v="172694"/>
    <s v="Finalizado (1/10)"/>
    <n v="15"/>
    <n v="5"/>
    <n v="20"/>
    <s v="No Prazo"/>
    <n v="59758"/>
    <n v="59758"/>
    <s v="Unidade Sao Jose"/>
    <n v="172694"/>
    <m/>
  </r>
  <r>
    <x v="6"/>
    <x v="6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5477511"/>
    <s v="Finalizado (3/5)"/>
    <n v="24.914400000000001"/>
    <n v="4.7455999999999996"/>
    <n v="29.66"/>
    <s v="Sessão a Faturar"/>
    <n v="954600003042000"/>
    <n v="29915"/>
    <s v="Unidade Sao Jose"/>
    <n v="1715477511"/>
    <m/>
  </r>
  <r>
    <x v="6"/>
    <x v="6"/>
    <s v="Fernanda Neves Sabugosa"/>
    <s v="Feminino"/>
    <x v="27"/>
    <x v="24"/>
    <s v="20103492 - Patol. Em Dois Ou Mais Membros (R$ 14,83), 20103514 - Patol. Em Diferentes Segmentos da Coluna (R$ 14,83)"/>
    <s v="Fisioterapia"/>
    <n v="1710485003"/>
    <s v="Finalizado (4/5)"/>
    <n v="24.914400000000001"/>
    <n v="4.7455999999999996"/>
    <n v="29.66"/>
    <s v="Sessão Faturada"/>
    <n v="771015043370010"/>
    <n v="38199"/>
    <s v="Unidade Sao Jose"/>
    <n v="1710485003"/>
    <m/>
  </r>
  <r>
    <x v="6"/>
    <x v="7"/>
    <s v="Fernanda Neves Sabugosa"/>
    <s v="Feminino"/>
    <x v="4"/>
    <x v="24"/>
    <s v="31602185 - Estimulação Elétrica Transcutânea - Removido 13/04/2026 (R$ 40,00)"/>
    <s v="Fisioterapia"/>
    <n v="1710484202"/>
    <s v="Finalizado (4/5)"/>
    <n v="33.6"/>
    <n v="6.4"/>
    <n v="40"/>
    <s v="Sessão Faturada"/>
    <n v="771015043370010"/>
    <n v="38199"/>
    <s v="Unidade Sao Jose"/>
    <n v="1710484202"/>
    <m/>
  </r>
  <r>
    <x v="6"/>
    <x v="7"/>
    <s v="Jean da Silva Melo"/>
    <s v="Masculino"/>
    <x v="14"/>
    <x v="24"/>
    <s v="20103662 - Fisioterapia - Pos Operatorio Em Um Membro (R$ 14,99)"/>
    <s v="Fisioterapia"/>
    <n v="1715477961"/>
    <s v="Finalizado (3/5)"/>
    <n v="12.5916"/>
    <n v="2.3984000000000001"/>
    <n v="14.99"/>
    <s v="Sessão Faturada"/>
    <n v="954600003042000"/>
    <n v="29915"/>
    <s v="Unidade Sao Jose"/>
    <n v="1715477961"/>
    <m/>
  </r>
  <r>
    <x v="6"/>
    <x v="15"/>
    <s v="Jailson da Silva Teixeira"/>
    <s v="Masculino"/>
    <x v="27"/>
    <x v="24"/>
    <s v="20103514 - Patol. Em Diferentes Segmentos da Coluna (R$ 14,83)"/>
    <s v="Fisioterapia"/>
    <n v="1716260357"/>
    <s v="Finalizado (2/5)"/>
    <n v="12.4572"/>
    <n v="2.3727999999999998"/>
    <n v="14.83"/>
    <s v="Sessão a Faturar"/>
    <n v="771015056251000"/>
    <n v="49655"/>
    <s v="Unidade Sao Jose"/>
    <n v="1716260357"/>
    <m/>
  </r>
  <r>
    <x v="6"/>
    <x v="17"/>
    <s v="Vicente de Paula Alburquerque Monteiro"/>
    <s v="Masculino"/>
    <x v="7"/>
    <x v="24"/>
    <s v="Sao José - 2 - Fisioterapia Ortopédica - Pacote (R$ 20,00)"/>
    <s v="Fisioterapia"/>
    <n v="168491"/>
    <s v="Finalizado (7/10)"/>
    <n v="15"/>
    <n v="5"/>
    <n v="20"/>
    <s v="Pago"/>
    <n v="59379"/>
    <n v="59379"/>
    <s v="Unidade Sao Jose"/>
    <n v="168491"/>
    <m/>
  </r>
  <r>
    <x v="6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6/10)"/>
    <n v="30"/>
    <n v="10"/>
    <n v="40"/>
    <s v="Pago"/>
    <n v="59492"/>
    <n v="59492"/>
    <s v="Unidade Sao Jose"/>
    <n v="171692"/>
    <m/>
  </r>
  <r>
    <x v="6"/>
    <x v="10"/>
    <s v="Alessandro da Silva Vieira"/>
    <s v="Masculino"/>
    <x v="9"/>
    <x v="24"/>
    <s v="31602185 - Estimulação Elétrica Transcutânea (Tens) - Removido 13/04/2026 (R$ 40,00)"/>
    <s v="Fisioterapia"/>
    <n v="1713639846"/>
    <s v="Finalizado (4/5)"/>
    <n v="33.6"/>
    <n v="6.4"/>
    <n v="40"/>
    <s v="Sessão Faturada"/>
    <n v="954600024350000"/>
    <n v="57332"/>
    <s v="Unidade Sao Jose"/>
    <n v="1713639846"/>
    <m/>
  </r>
  <r>
    <x v="6"/>
    <x v="10"/>
    <s v="Alessandro da Silva Vieira"/>
    <s v="Masculino"/>
    <x v="8"/>
    <x v="24"/>
    <s v="20103662 - Pos Operatorio Em Um Membro (R$ 14,99)"/>
    <s v="Fisioterapia"/>
    <n v="1716811862"/>
    <s v="Finalizado (1/5)"/>
    <n v="12.5916"/>
    <n v="2.3984000000000001"/>
    <n v="14.99"/>
    <s v="Sessão Faturada"/>
    <n v="954600024350000"/>
    <n v="57332"/>
    <s v="Unidade Sao Jose"/>
    <n v="1716811862"/>
    <m/>
  </r>
  <r>
    <x v="7"/>
    <x v="44"/>
    <s v="Kyssia Roberta Sena Batista de Souza"/>
    <s v="Feminino"/>
    <x v="9"/>
    <x v="24"/>
    <s v="31602185 - Estimulação Elétrica Transcutânea (Tens) - Removido 13/04/2026 (R$ 40,00)"/>
    <s v="Fisioterapia"/>
    <n v="1716927182"/>
    <s v="Finalizado (1/5)"/>
    <n v="33.6"/>
    <n v="6.4"/>
    <n v="40"/>
    <s v="Sessão Faturada"/>
    <n v="954600002461000"/>
    <n v="58661"/>
    <s v="Unidade Sao Jose"/>
    <n v="1716927182"/>
    <m/>
  </r>
  <r>
    <x v="7"/>
    <x v="44"/>
    <s v="Natanael Costa Cruz"/>
    <s v="Masculino"/>
    <x v="27"/>
    <x v="24"/>
    <s v="20103484 - Patologia Em Um Membro (R$ 12,22)"/>
    <s v="Fisioterapia"/>
    <n v="1716017996"/>
    <s v="Finalizado (3/5)"/>
    <n v="10.264799999999999"/>
    <n v="1.9552"/>
    <n v="12.22"/>
    <s v="Sessão Faturada"/>
    <n v="775072015105020"/>
    <n v="59724"/>
    <s v="Unidade Sao Jose"/>
    <n v="1716017996"/>
    <m/>
  </r>
  <r>
    <x v="7"/>
    <x v="44"/>
    <s v="Ana Clara Santos Maia"/>
    <s v="Feminino"/>
    <x v="7"/>
    <x v="24"/>
    <s v="Sao José - 2 - Fisioterapia Ortopédica - Pacote (R$ 20,00)"/>
    <s v="Fisioterapia"/>
    <n v="172077"/>
    <s v="Finalizado (4/10)"/>
    <n v="15"/>
    <n v="5"/>
    <n v="20"/>
    <s v="Pago"/>
    <n v="59190"/>
    <n v="59190"/>
    <s v="Unidade Sao Jose"/>
    <n v="172077"/>
    <m/>
  </r>
  <r>
    <x v="7"/>
    <x v="44"/>
    <s v="Cosme Pereira Borges"/>
    <s v="Masculino"/>
    <x v="7"/>
    <x v="24"/>
    <s v="Sao José - 2 - Fisioterapia Ortopédica - Pacote (R$ 20,00)"/>
    <s v="Fisioterapia"/>
    <n v="171796"/>
    <s v="Finalizado (6/10)"/>
    <n v="15"/>
    <n v="5"/>
    <n v="20"/>
    <s v="Pago"/>
    <n v="59654"/>
    <n v="59654"/>
    <s v="Unidade Sao Jose"/>
    <n v="171796"/>
    <m/>
  </r>
  <r>
    <x v="7"/>
    <x v="60"/>
    <s v="Kyssia Roberta Sena Batista de Souza"/>
    <s v="Feminino"/>
    <x v="8"/>
    <x v="24"/>
    <s v="20103662 - Pos Operatorio Em Um Membro (R$ 14,99)"/>
    <s v="Fisioterapia"/>
    <n v="1715865710"/>
    <s v="Finalizado (2/5)"/>
    <n v="12.5916"/>
    <n v="2.3984000000000001"/>
    <n v="14.99"/>
    <s v="Sessão Faturada"/>
    <n v="954600002461000"/>
    <n v="58661"/>
    <s v="Unidade Sao Jose"/>
    <n v="1715865710"/>
    <m/>
  </r>
  <r>
    <x v="7"/>
    <x v="41"/>
    <s v="Neude Araujo de Menezes"/>
    <s v="Masculino"/>
    <x v="7"/>
    <x v="24"/>
    <s v="Sao José - 2 - Fisioterapia Ortopédica - Pacote (R$ 20,00)"/>
    <s v="Fisioterapia"/>
    <n v="172521"/>
    <s v="Finalizado (3/10)"/>
    <n v="15"/>
    <n v="5"/>
    <n v="20"/>
    <s v="Pago"/>
    <n v="59733"/>
    <n v="59733"/>
    <s v="Unidade Sao Jose"/>
    <n v="172521"/>
    <m/>
  </r>
  <r>
    <x v="7"/>
    <x v="41"/>
    <s v="Silvia Serrão de Figueiredo"/>
    <s v="Feminino"/>
    <x v="27"/>
    <x v="24"/>
    <s v="20103522 - Fisioterapia - Pac Com Dependencia de Vida Diária (R$ 23,59)"/>
    <s v="Fisioterapia"/>
    <n v="1715388796"/>
    <s v="Finalizado (3/5)"/>
    <n v="19.8156"/>
    <n v="3.7744"/>
    <n v="23.59"/>
    <s v="Sessão Faturada"/>
    <n v="772133000485020"/>
    <n v="25348"/>
    <s v="Unidade Sao Jose"/>
    <n v="1715388796"/>
    <m/>
  </r>
  <r>
    <x v="7"/>
    <x v="41"/>
    <s v="Custodia Herminia de Sousa Filha"/>
    <s v="Feminino"/>
    <x v="7"/>
    <x v="24"/>
    <s v="Sao José - 2 - Fisioterapia Ortopédica - Pacote (R$ 20,00)"/>
    <s v="Fisioterapia"/>
    <n v="171939"/>
    <s v="Finalizado (5/10)"/>
    <n v="15"/>
    <n v="5"/>
    <n v="20"/>
    <s v="Pago"/>
    <n v="58051"/>
    <n v="58051"/>
    <s v="Unidade Sao Jose"/>
    <n v="171939"/>
    <m/>
  </r>
  <r>
    <x v="7"/>
    <x v="76"/>
    <s v="Silvia Serrão de Figueiredo"/>
    <s v="Feminino"/>
    <x v="27"/>
    <x v="24"/>
    <s v="20103492 - Patol. Em Dois Ou Mais Membros (R$ 14,83), 20103514 - Patol. Em Diferentes Segmentos da Coluna (R$ 14,83)"/>
    <s v="Fisioterapia"/>
    <n v="1716943722"/>
    <s v="Finalizado (1/10)"/>
    <n v="24.914400000000001"/>
    <n v="4.7455999999999996"/>
    <n v="29.66"/>
    <s v="Sessão a Faturar"/>
    <n v="772133000485020"/>
    <n v="25348"/>
    <s v="Unidade Sao Jose"/>
    <n v="1716943722"/>
    <m/>
  </r>
  <r>
    <x v="7"/>
    <x v="48"/>
    <s v="Silvia Serrão de Figueiredo"/>
    <s v="Feminino"/>
    <x v="4"/>
    <x v="24"/>
    <s v="31602185 - Estimulação Elétrica Transcutânea - Removido 13/04/2026 (R$ 40,00)"/>
    <s v="Fisioterapia"/>
    <n v="1716948779"/>
    <s v="Finalizado (1/5)"/>
    <n v="33.6"/>
    <n v="6.4"/>
    <n v="40"/>
    <s v="Sessão Faturada"/>
    <n v="772133000485020"/>
    <n v="25348"/>
    <s v="Unidade Sao Jose"/>
    <n v="1716948779"/>
    <m/>
  </r>
  <r>
    <x v="7"/>
    <x v="36"/>
    <s v="Aldenir de Lima Rolim Aquino"/>
    <s v="Feminino"/>
    <x v="7"/>
    <x v="24"/>
    <s v="Sao José - 2 - Fisioterapia Ortopédica - Pacote (R$ 20,00)"/>
    <s v="Fisioterapia"/>
    <n v="172176"/>
    <s v="Finalizado (3/10)"/>
    <n v="15"/>
    <n v="5"/>
    <n v="20"/>
    <s v="Pago"/>
    <n v="39454"/>
    <n v="39454"/>
    <s v="Unidade Sao Jose"/>
    <n v="172176"/>
    <m/>
  </r>
  <r>
    <x v="7"/>
    <x v="36"/>
    <s v="Maria Raimunda da Fonseca Coutinho"/>
    <s v="Feminino"/>
    <x v="7"/>
    <x v="24"/>
    <s v="Sao José - 2 - Fisioterapia Ortopédica - Pacote (R$ 20,00)"/>
    <s v="Fisioterapia"/>
    <n v="164022"/>
    <s v="Finalizado (7/10)"/>
    <n v="15"/>
    <n v="5"/>
    <n v="20"/>
    <s v="Pago"/>
    <s v="000004975"/>
    <n v="32891"/>
    <s v="Unidade Sao Jose"/>
    <n v="164022"/>
    <m/>
  </r>
  <r>
    <x v="7"/>
    <x v="40"/>
    <s v="Francisca Zuleide de Oliveira Araujo"/>
    <s v="Feminino"/>
    <x v="7"/>
    <x v="24"/>
    <s v="Sao José - 2 - Fisioterapia Ortopédica - Pacote (R$ 20,00)"/>
    <s v="Fisioterapia"/>
    <n v="171952"/>
    <s v="Finalizado (6/10)"/>
    <n v="15"/>
    <n v="5"/>
    <n v="20"/>
    <s v="Pago"/>
    <n v="59540"/>
    <n v="59540"/>
    <s v="Unidade Sao Jose"/>
    <n v="171952"/>
    <m/>
  </r>
  <r>
    <x v="7"/>
    <x v="35"/>
    <s v="Raynara Santos de Carvalho"/>
    <s v="Feminino"/>
    <x v="27"/>
    <x v="24"/>
    <s v="20103514 - Patol. Em Diferentes Segmentos da Coluna (R$ 14,83)"/>
    <s v="Fisioterapia"/>
    <n v="1714562837"/>
    <s v="Finalizado (5/5)"/>
    <n v="12.4572"/>
    <n v="2.3727999999999998"/>
    <n v="14.83"/>
    <s v="Sessão Faturada"/>
    <n v="774634001384000"/>
    <n v="59689"/>
    <s v="Unidade Sao Jose"/>
    <n v="1714562837"/>
    <m/>
  </r>
  <r>
    <x v="7"/>
    <x v="35"/>
    <s v="Raynara Santos de Carvalho"/>
    <s v="Feminino"/>
    <x v="4"/>
    <x v="24"/>
    <s v="31602185 - Estimulação Elétrica Transcutânea - Removido 13/04/2026 (R$ 40,00)"/>
    <s v="Fisioterapia"/>
    <n v="1714986312"/>
    <s v="Finalizado (4/5)"/>
    <n v="33.6"/>
    <n v="6.4"/>
    <n v="40"/>
    <s v="Sessão Faturada"/>
    <n v="774634001384000"/>
    <n v="59689"/>
    <s v="Unidade Sao Jose"/>
    <n v="1714986312"/>
    <m/>
  </r>
  <r>
    <x v="7"/>
    <x v="35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5477511"/>
    <s v="Finalizado (4/5)"/>
    <n v="24.914400000000001"/>
    <n v="4.7455999999999996"/>
    <n v="29.66"/>
    <s v="Sessão a Faturar"/>
    <n v="954600003042000"/>
    <n v="29915"/>
    <s v="Unidade Sao Jose"/>
    <n v="1715477511"/>
    <m/>
  </r>
  <r>
    <x v="7"/>
    <x v="35"/>
    <s v="Jean da Silva Melo"/>
    <s v="Masculino"/>
    <x v="9"/>
    <x v="24"/>
    <s v="31602185 - Estimulação Elétrica Transcutânea (Tens) - Removido 13/04/2026 (R$ 40,00)"/>
    <s v="Fisioterapia"/>
    <n v="1717034698"/>
    <s v="Finalizado (1/5)"/>
    <n v="33.6"/>
    <n v="6.4"/>
    <n v="40"/>
    <s v="Sessão Faturada"/>
    <n v="954600003042000"/>
    <n v="29915"/>
    <s v="Unidade Sao Jose"/>
    <n v="1717034698"/>
    <m/>
  </r>
  <r>
    <x v="7"/>
    <x v="70"/>
    <s v="Raynara Santos de Carvalho"/>
    <s v="Feminino"/>
    <x v="27"/>
    <x v="24"/>
    <s v="20103522 - Fisioterapia - Pac Com Dependencia de Vida Diária (R$ 23,59)"/>
    <s v="Fisioterapia"/>
    <n v="1714563881"/>
    <s v="Finalizado (5/5)"/>
    <n v="19.8156"/>
    <n v="3.7744"/>
    <n v="23.59"/>
    <s v="Sessão Faturada"/>
    <n v="774634001384000"/>
    <n v="59689"/>
    <s v="Unidade Sao Jose"/>
    <n v="1714563881"/>
    <m/>
  </r>
  <r>
    <x v="7"/>
    <x v="42"/>
    <s v="Jean da Silva Melo"/>
    <s v="Masculino"/>
    <x v="14"/>
    <x v="24"/>
    <s v="20103662 - Fisioterapia - Pos Operatorio Em Um Membro (R$ 14,99)"/>
    <s v="Fisioterapia"/>
    <n v="1715477961"/>
    <s v="Finalizado (4/5)"/>
    <n v="12.5916"/>
    <n v="2.3984000000000001"/>
    <n v="14.99"/>
    <s v="Sessão Faturada"/>
    <n v="954600003042000"/>
    <n v="29915"/>
    <s v="Unidade Sao Jose"/>
    <n v="1715477961"/>
    <m/>
  </r>
  <r>
    <x v="7"/>
    <x v="71"/>
    <s v="Raynara Santos de Carvalho"/>
    <s v="Feminino"/>
    <x v="27"/>
    <x v="24"/>
    <s v="20103220 - Fisioterapia Respiratoria (R$ 12,22)"/>
    <s v="Fisioterapia"/>
    <n v="1714564442"/>
    <s v="Finalizado (5/5)"/>
    <n v="10.264799999999999"/>
    <n v="1.9552"/>
    <n v="12.22"/>
    <s v="Sessão Faturada"/>
    <n v="774634001384000"/>
    <n v="59689"/>
    <s v="Unidade Sao Jose"/>
    <n v="1714564442"/>
    <m/>
  </r>
  <r>
    <x v="7"/>
    <x v="38"/>
    <s v="Maria da Conceição Silva de Sa"/>
    <s v="Feminino"/>
    <x v="7"/>
    <x v="24"/>
    <s v="Sao José - 2 - Fisioterapia Ortopédica - Pacote (R$ 20,00)"/>
    <s v="Fisioterapia"/>
    <n v="172700"/>
    <s v="Finalizado (1/10)"/>
    <n v="15"/>
    <n v="5"/>
    <n v="20"/>
    <s v="Pago"/>
    <n v="59759"/>
    <n v="59759"/>
    <s v="Unidade Sao Jose"/>
    <n v="172700"/>
    <m/>
  </r>
  <r>
    <x v="7"/>
    <x v="37"/>
    <s v="Wildson Costa dos Santos"/>
    <s v="Masculino"/>
    <x v="6"/>
    <x v="24"/>
    <s v="20103662 - Pos Operatorio Em Um Membro (R$ 22,53)"/>
    <s v="Fisioterapia"/>
    <n v="171322"/>
    <s v="Finalizado (7/10)"/>
    <n v="18.9252"/>
    <n v="3.6048"/>
    <n v="22.53"/>
    <s v="Sessão Faturada"/>
    <s v="58201065998121610018"/>
    <n v="59580"/>
    <s v="Unidade Sao Jose"/>
    <n v="171322"/>
    <m/>
  </r>
  <r>
    <x v="7"/>
    <x v="37"/>
    <s v="Carlos Victor Lopes de Souza"/>
    <s v="Masculino"/>
    <x v="7"/>
    <x v="24"/>
    <s v="Sao José - 4 - Fisioterapia Neurológica/Respiratória - Pacote (R$ 50,00)"/>
    <s v="Fisioterapia"/>
    <n v="170555"/>
    <s v="Finalizado (8/10)"/>
    <n v="37.5"/>
    <n v="12.5"/>
    <n v="50"/>
    <s v="Pago"/>
    <n v="56621"/>
    <n v="56621"/>
    <s v="Unidade Sao Jose"/>
    <n v="170555"/>
    <m/>
  </r>
  <r>
    <x v="7"/>
    <x v="37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7/10)"/>
    <n v="30"/>
    <n v="10"/>
    <n v="40"/>
    <s v="Pago"/>
    <n v="59611"/>
    <n v="59611"/>
    <s v="Unidade Sao Jose"/>
    <n v="171321"/>
    <m/>
  </r>
  <r>
    <x v="7"/>
    <x v="58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7/10)"/>
    <n v="37.312800000000003"/>
    <n v="7.1071999999999997"/>
    <n v="44.42"/>
    <s v="Sessão Faturada"/>
    <s v="58201065998121610018"/>
    <n v="59580"/>
    <s v="Unidade Sao Jose"/>
    <n v="171323"/>
    <m/>
  </r>
  <r>
    <x v="7"/>
    <x v="50"/>
    <s v="Wildson Costa dos Santos"/>
    <s v="Masculino"/>
    <x v="6"/>
    <x v="24"/>
    <s v="31602185 - Estimulação Elétrica Transcutanea (Tens) (R$ 40,00)"/>
    <s v="Fisioterapia"/>
    <n v="171325"/>
    <s v="Finalizado (5/7)"/>
    <n v="33.6"/>
    <n v="6.4"/>
    <n v="40"/>
    <s v="Sessão Faturada"/>
    <s v="58201065998121610018"/>
    <n v="59580"/>
    <s v="Unidade Sao Jose"/>
    <n v="171325"/>
    <m/>
  </r>
  <r>
    <x v="7"/>
    <x v="39"/>
    <s v="Tamires Cordeiro de Melo"/>
    <s v="Feminino"/>
    <x v="27"/>
    <x v="24"/>
    <s v="20103514 - Patol. Em Diferentes Segmentos da Coluna (R$ 14,83)"/>
    <s v="Fisioterapia"/>
    <n v="1711967516"/>
    <s v="Finalizado (4/5)"/>
    <n v="12.4572"/>
    <n v="2.3727999999999998"/>
    <n v="14.83"/>
    <s v="Sessão Faturada"/>
    <n v="773626012483020"/>
    <n v="59648"/>
    <s v="Unidade Sao Jose"/>
    <n v="1711967516"/>
    <m/>
  </r>
  <r>
    <x v="7"/>
    <x v="64"/>
    <s v="Tamires Cordeiro de Melo"/>
    <s v="Feminino"/>
    <x v="27"/>
    <x v="24"/>
    <s v="20103522 - Fisioterapia - Pac Com Dependencia de Vida Diária (R$ 23,59)"/>
    <s v="Fisioterapia"/>
    <n v="1711967663"/>
    <s v="Finalizado (4/5)"/>
    <n v="19.8156"/>
    <n v="3.7744"/>
    <n v="23.59"/>
    <s v="Sessão Faturada"/>
    <n v="773626012483020"/>
    <n v="59648"/>
    <s v="Unidade Sao Jose"/>
    <n v="1711967663"/>
    <m/>
  </r>
  <r>
    <x v="7"/>
    <x v="22"/>
    <s v="Rossylene de Jesus Pinto da Silva"/>
    <s v="Feminino"/>
    <x v="7"/>
    <x v="24"/>
    <s v="Sao José - 2 - Fisioterapia Ortopédica - Pacote (R$ 20,00)"/>
    <s v="Fisioterapia"/>
    <n v="171503"/>
    <s v="Finalizado (9/10)"/>
    <n v="15"/>
    <n v="5"/>
    <n v="20"/>
    <s v="Pago"/>
    <n v="58721"/>
    <n v="58721"/>
    <s v="Unidade Sao Jose"/>
    <n v="171503"/>
    <m/>
  </r>
  <r>
    <x v="7"/>
    <x v="22"/>
    <s v="Bruno Nascimento Gomes"/>
    <s v="Masculino"/>
    <x v="7"/>
    <x v="24"/>
    <s v="Sao José - 14 - Fisioterapia Pós Operatória - Pacote (R$ 50,00)"/>
    <s v="Fisioterapia"/>
    <n v="172266"/>
    <s v="Finalizado (3/5)"/>
    <n v="37.5"/>
    <n v="12.5"/>
    <n v="50"/>
    <s v="Pago"/>
    <n v="59713"/>
    <n v="59713"/>
    <s v="Unidade Sao Jose"/>
    <n v="172266"/>
    <m/>
  </r>
  <r>
    <x v="7"/>
    <x v="0"/>
    <s v="Mauro Marcelo Barros"/>
    <s v="Masculino"/>
    <x v="7"/>
    <x v="24"/>
    <s v="Sao José - 2 - Fisioterapia Ortopédica - Pacote (R$ 20,00)"/>
    <s v="Fisioterapia"/>
    <n v="172744"/>
    <s v="Finalizado (2/10)"/>
    <n v="15"/>
    <n v="5"/>
    <n v="20"/>
    <s v="Pago"/>
    <n v="55880"/>
    <n v="55880"/>
    <s v="Unidade Sao Jose"/>
    <n v="172744"/>
    <m/>
  </r>
  <r>
    <x v="7"/>
    <x v="0"/>
    <s v="Ângela Isabel Barbosa Rego"/>
    <s v="Feminino"/>
    <x v="7"/>
    <x v="24"/>
    <s v="Sao José - 2 - Fisioterapia Ortopédica - Pacote (R$ 20,00)"/>
    <s v="Fisioterapia"/>
    <n v="172175"/>
    <s v="Finalizado (3/10)"/>
    <n v="15"/>
    <n v="5"/>
    <n v="20"/>
    <s v="Pago"/>
    <n v="59455"/>
    <n v="59455"/>
    <s v="Unidade Sao Jose"/>
    <n v="172175"/>
    <m/>
  </r>
  <r>
    <x v="7"/>
    <x v="2"/>
    <s v="Ketlem Kamila Ribeiro dos Santos"/>
    <m/>
    <x v="27"/>
    <x v="24"/>
    <s v="20103514 - Patol. Em Diferentes Segmentos da Coluna (R$ 14,83)"/>
    <s v="Fisioterapia"/>
    <n v="1717206930"/>
    <s v="Finalizado (1/5)"/>
    <n v="12.4572"/>
    <n v="2.3727999999999998"/>
    <n v="14.83"/>
    <s v="Sessão a Faturar"/>
    <n v="881758800094000"/>
    <n v="52913"/>
    <s v="Unidade Sao Jose"/>
    <n v="1717206930"/>
    <m/>
  </r>
  <r>
    <x v="7"/>
    <x v="3"/>
    <s v="Ketlem Kamila Ribeiro dos Santos"/>
    <m/>
    <x v="27"/>
    <x v="24"/>
    <s v="20103522 - Fisioterapia - Pac Com Dependencia de Vida Diária (R$ 23,59)"/>
    <s v="Fisioterapia"/>
    <n v="1717206437"/>
    <s v="Finalizado (1/5)"/>
    <n v="19.8156"/>
    <n v="3.7744"/>
    <n v="23.59"/>
    <s v="Sessão a Faturar"/>
    <n v="881758800094000"/>
    <n v="52913"/>
    <s v="Unidade Sao Jose"/>
    <n v="1717206437"/>
    <m/>
  </r>
  <r>
    <x v="7"/>
    <x v="8"/>
    <s v="Jairo Barboza Domingues"/>
    <s v="Masculino"/>
    <x v="4"/>
    <x v="24"/>
    <s v="31602185 - Estimulação Elétrica Transcutânea - Removido 13/04/2026 (R$ 40,00)"/>
    <s v="Fisioterapia"/>
    <n v="1713626624"/>
    <s v="Finalizado (5/5)"/>
    <n v="33.6"/>
    <n v="6.4"/>
    <n v="40"/>
    <s v="Sessão Faturada"/>
    <n v="960016147828000"/>
    <n v="18356"/>
    <s v="Unidade Sao Jose"/>
    <n v="1713626624"/>
    <m/>
  </r>
  <r>
    <x v="7"/>
    <x v="8"/>
    <s v="Lucas Gloria da Costa"/>
    <s v="Masculino"/>
    <x v="7"/>
    <x v="24"/>
    <s v="Sao José - 2 - Fisioterapia Ortopédica - Pacote (R$ 20,00)"/>
    <s v="Fisioterapia"/>
    <n v="170074"/>
    <s v="Finalizado (10/10)"/>
    <n v="15"/>
    <n v="5"/>
    <n v="20"/>
    <s v="Pago"/>
    <n v="59490"/>
    <n v="59490"/>
    <s v="Unidade Sao Jose"/>
    <n v="170074"/>
    <m/>
  </r>
  <r>
    <x v="7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7/10)"/>
    <n v="30"/>
    <n v="10"/>
    <n v="40"/>
    <s v="Pago"/>
    <n v="59492"/>
    <n v="59492"/>
    <s v="Unidade Sao Jose"/>
    <n v="171692"/>
    <m/>
  </r>
  <r>
    <x v="7"/>
    <x v="9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7298892"/>
    <s v="Finalizado (1/4)"/>
    <n v="24.914400000000001"/>
    <n v="4.7455999999999996"/>
    <n v="29.66"/>
    <s v="Sessão Faturada"/>
    <n v="960016147828000"/>
    <n v="18356"/>
    <s v="Unidade Sao Jose"/>
    <n v="1717298892"/>
    <m/>
  </r>
  <r>
    <x v="7"/>
    <x v="10"/>
    <s v="Vicente de Paula Alburquerque Monteiro"/>
    <s v="Masculino"/>
    <x v="7"/>
    <x v="24"/>
    <s v="Sao José - 2 - Fisioterapia Ortopédica - Pacote (R$ 20,00)"/>
    <s v="Fisioterapia"/>
    <n v="168491"/>
    <s v="Finalizado (8/10)"/>
    <n v="15"/>
    <n v="5"/>
    <n v="20"/>
    <s v="Pago"/>
    <n v="59379"/>
    <n v="59379"/>
    <s v="Unidade Sao Jose"/>
    <n v="168491"/>
    <m/>
  </r>
  <r>
    <x v="8"/>
    <x v="44"/>
    <s v="Natanael Costa Cruz"/>
    <s v="Masculino"/>
    <x v="27"/>
    <x v="24"/>
    <s v="20103484 - Patologia Em Um Membro (R$ 12,22)"/>
    <s v="Fisioterapia"/>
    <n v="1716017996"/>
    <s v="Finalizado (4/5)"/>
    <n v="10.264799999999999"/>
    <n v="1.9552"/>
    <n v="12.22"/>
    <s v="Sessão Faturada"/>
    <n v="775072015105020"/>
    <n v="59724"/>
    <s v="Unidade Sao Jose"/>
    <n v="1716017996"/>
    <m/>
  </r>
  <r>
    <x v="8"/>
    <x v="60"/>
    <s v="Natanael Costa Cruz"/>
    <s v="Masculino"/>
    <x v="4"/>
    <x v="24"/>
    <s v="31602185 - Estimulação Elétrica Transcutânea - Removido 13/04/2026 (R$ 40,00)"/>
    <s v="Fisioterapia"/>
    <n v="1717458345"/>
    <s v="Finalizado (1/5)"/>
    <n v="33.6"/>
    <n v="6.4"/>
    <n v="40"/>
    <s v="Sessão Faturada"/>
    <n v="775072015105020"/>
    <n v="59724"/>
    <s v="Unidade Sao Jose"/>
    <n v="1717458345"/>
    <m/>
  </r>
  <r>
    <x v="8"/>
    <x v="41"/>
    <s v="Neude Araujo de Menezes"/>
    <s v="Masculino"/>
    <x v="7"/>
    <x v="24"/>
    <s v="Sao José - 2 - Fisioterapia Ortopédica - Pacote (R$ 20,00)"/>
    <s v="Fisioterapia"/>
    <n v="172521"/>
    <s v="Finalizado (4/10)"/>
    <n v="15"/>
    <n v="5"/>
    <n v="20"/>
    <s v="Pago"/>
    <n v="59733"/>
    <n v="59733"/>
    <s v="Unidade Sao Jose"/>
    <n v="172521"/>
    <m/>
  </r>
  <r>
    <x v="8"/>
    <x v="41"/>
    <s v="Custodia Herminia de Sousa Filha"/>
    <s v="Feminino"/>
    <x v="7"/>
    <x v="24"/>
    <s v="Sao José - 2 - Fisioterapia Ortopédica - Pacote (R$ 20,00)"/>
    <s v="Fisioterapia"/>
    <n v="171939"/>
    <s v="Finalizado (6/10)"/>
    <n v="15"/>
    <n v="5"/>
    <n v="20"/>
    <s v="Pago"/>
    <n v="58051"/>
    <n v="58051"/>
    <s v="Unidade Sao Jose"/>
    <n v="171939"/>
    <m/>
  </r>
  <r>
    <x v="8"/>
    <x v="36"/>
    <s v="Josiane de Sousa Santos"/>
    <s v="Feminino"/>
    <x v="8"/>
    <x v="24"/>
    <s v="20103492 - Patologia Em Dois Ou Mais Membros (R$ 14,83), 20103514 - Patologia Em Diferentes Segmentos da Coluna (R$ 14,83)"/>
    <s v="Fisioterapia"/>
    <n v="1713892511"/>
    <s v="Finalizado (5/5)"/>
    <n v="24.914400000000001"/>
    <n v="4.7455999999999996"/>
    <n v="29.66"/>
    <s v="Sessão Faturada"/>
    <n v="954600005274010"/>
    <n v="23225"/>
    <s v="Unidade Sao Jose"/>
    <n v="1713892511"/>
    <m/>
  </r>
  <r>
    <x v="8"/>
    <x v="36"/>
    <s v="Aldenir de Lima Rolim Aquino"/>
    <s v="Feminino"/>
    <x v="7"/>
    <x v="24"/>
    <s v="Sao José - 2 - Fisioterapia Ortopédica - Pacote (R$ 20,00)"/>
    <s v="Fisioterapia"/>
    <n v="172176"/>
    <s v="Finalizado (4/10)"/>
    <n v="15"/>
    <n v="5"/>
    <n v="20"/>
    <s v="Pago"/>
    <n v="39454"/>
    <n v="39454"/>
    <s v="Unidade Sao Jose"/>
    <n v="172176"/>
    <m/>
  </r>
  <r>
    <x v="8"/>
    <x v="36"/>
    <s v="Adan Williams Campos dos Santos"/>
    <s v="Masculino"/>
    <x v="27"/>
    <x v="24"/>
    <s v="50000144 - Avaliação de Fisioterapia (R$ 51,42)"/>
    <s v="Fisioterapia"/>
    <n v="1717515883"/>
    <s v="Finalizado (1/1)"/>
    <n v="46.277999999999999"/>
    <n v="5.1420000000000003"/>
    <n v="51.42"/>
    <s v="Sessão Faturada"/>
    <n v="775252004774010"/>
    <n v="59766"/>
    <s v="Unidade Sao Jose"/>
    <n v="1717515883"/>
    <m/>
  </r>
  <r>
    <x v="8"/>
    <x v="36"/>
    <s v="Sheila Miranda de Brito"/>
    <s v="Feminino"/>
    <x v="8"/>
    <x v="24"/>
    <s v="20103662 - Pos Operatorio Em Um Membro (R$ 14,99)"/>
    <s v="Fisioterapia"/>
    <n v="1714943939"/>
    <s v="Finalizado (2/5)"/>
    <n v="12.5916"/>
    <n v="2.3984000000000001"/>
    <n v="14.99"/>
    <s v="Sessão Faturada"/>
    <n v="954440000590010"/>
    <n v="46121"/>
    <s v="Unidade Sao Jose"/>
    <n v="1714943939"/>
    <m/>
  </r>
  <r>
    <x v="8"/>
    <x v="61"/>
    <s v="Josiane de Sousa Santos"/>
    <s v="Feminino"/>
    <x v="9"/>
    <x v="24"/>
    <s v="31602185 - Estimulação Elétrica Transcutânea (Tens) - Removido 13/04/2026 (R$ 40,00)"/>
    <s v="Fisioterapia"/>
    <n v="1717527842"/>
    <s v="Finalizado (1/5)"/>
    <n v="33.6"/>
    <n v="6.4"/>
    <n v="40"/>
    <s v="Sessão Faturada"/>
    <n v="954600005274010"/>
    <n v="23225"/>
    <s v="Unidade Sao Jose"/>
    <n v="1717527842"/>
    <m/>
  </r>
  <r>
    <x v="8"/>
    <x v="40"/>
    <s v="Joycilene da Silva Carvalho"/>
    <s v="Feminino"/>
    <x v="7"/>
    <x v="24"/>
    <s v="Sao José - 2 - Fisioterapia Ortopédica - Pacote (R$ 20,00)"/>
    <s v="Fisioterapia"/>
    <n v="170324"/>
    <s v="Finalizado (6/10)"/>
    <n v="15"/>
    <n v="5"/>
    <n v="20"/>
    <s v="Pago"/>
    <n v="54386"/>
    <n v="54386"/>
    <s v="Unidade Sao Jose"/>
    <n v="170324"/>
    <m/>
  </r>
  <r>
    <x v="8"/>
    <x v="35"/>
    <s v="Francisca Zuleide de Oliveira Araujo"/>
    <s v="Feminino"/>
    <x v="7"/>
    <x v="24"/>
    <s v="Sao José - 2 - Fisioterapia Ortopédica - Pacote (R$ 20,00)"/>
    <s v="Fisioterapia"/>
    <n v="171952"/>
    <s v="Finalizado (7/10)"/>
    <n v="15"/>
    <n v="5"/>
    <n v="20"/>
    <s v="Pago"/>
    <n v="59540"/>
    <n v="59540"/>
    <s v="Unidade Sao Jose"/>
    <n v="171952"/>
    <m/>
  </r>
  <r>
    <x v="8"/>
    <x v="38"/>
    <s v="Maria da Conceição Silva de Sa"/>
    <s v="Feminino"/>
    <x v="7"/>
    <x v="24"/>
    <s v="Sao José - 2 - Fisioterapia Ortopédica - Pacote (R$ 20,00)"/>
    <s v="Fisioterapia"/>
    <n v="172700"/>
    <s v="Finalizado (2/10)"/>
    <n v="15"/>
    <n v="5"/>
    <n v="20"/>
    <s v="Pago"/>
    <n v="59759"/>
    <n v="59759"/>
    <s v="Unidade Sao Jose"/>
    <n v="172700"/>
    <m/>
  </r>
  <r>
    <x v="8"/>
    <x v="38"/>
    <s v="Raynara Santos de Carvalho"/>
    <s v="Feminino"/>
    <x v="4"/>
    <x v="24"/>
    <s v="31602185 - Estimulação Elétrica Transcutânea - Removido 13/04/2026 (R$ 40,00)"/>
    <s v="Fisioterapia"/>
    <n v="1714986312"/>
    <s v="Finalizado (5/5)"/>
    <n v="33.6"/>
    <n v="6.4"/>
    <n v="40"/>
    <s v="Sessão Faturada"/>
    <n v="774634001384000"/>
    <n v="59689"/>
    <s v="Unidade Sao Jose"/>
    <n v="1714986312"/>
    <m/>
  </r>
  <r>
    <x v="8"/>
    <x v="38"/>
    <s v="Raynara Santos de Carvalho"/>
    <s v="Feminino"/>
    <x v="27"/>
    <x v="24"/>
    <s v="20103522 - Fisioterapia - Pac Com Dependencia de Vida Diária (R$ 23,59)"/>
    <s v="Fisioterapia"/>
    <n v="1717565070"/>
    <s v="Finalizado (1/5)"/>
    <n v="19.8156"/>
    <n v="3.7744"/>
    <n v="23.59"/>
    <s v="Sessão a Faturar"/>
    <n v="774634001384000"/>
    <n v="59689"/>
    <s v="Unidade Sao Jose"/>
    <n v="1717565070"/>
    <m/>
  </r>
  <r>
    <x v="8"/>
    <x v="38"/>
    <s v="Adan Williams Campos dos Santos"/>
    <s v="Masculino"/>
    <x v="27"/>
    <x v="24"/>
    <s v="20103514 - Patol. Em Diferentes Segmentos da Coluna (R$ 14,83)"/>
    <s v="Fisioterapia"/>
    <n v="1717582167"/>
    <s v="Finalizado (1/5)"/>
    <n v="12.4572"/>
    <n v="2.3727999999999998"/>
    <n v="14.83"/>
    <s v="Sessão a Faturar"/>
    <n v="775252004774010"/>
    <n v="59766"/>
    <s v="Unidade Sao Jose"/>
    <n v="1717582167"/>
    <m/>
  </r>
  <r>
    <x v="8"/>
    <x v="68"/>
    <s v="Raynara Santos de Carvalho"/>
    <s v="Feminino"/>
    <x v="27"/>
    <x v="24"/>
    <s v="20103220 - Fisioterapia Respiratoria (R$ 12,22)"/>
    <s v="Fisioterapia"/>
    <n v="1717564579"/>
    <s v="Finalizado (1/5)"/>
    <n v="10.264799999999999"/>
    <n v="1.9552"/>
    <n v="12.22"/>
    <s v="Sessão a Faturar"/>
    <n v="774634001384000"/>
    <n v="59689"/>
    <s v="Unidade Sao Jose"/>
    <n v="1717564579"/>
    <m/>
  </r>
  <r>
    <x v="8"/>
    <x v="69"/>
    <s v="Raynara Santos de Carvalho"/>
    <s v="Feminino"/>
    <x v="27"/>
    <x v="24"/>
    <s v="20103514 - Patol. Em Diferentes Segmentos da Coluna (R$ 14,83)"/>
    <s v="Fisioterapia"/>
    <n v="1717563939"/>
    <s v="Finalizado (1/5)"/>
    <n v="12.4572"/>
    <n v="2.3727999999999998"/>
    <n v="14.83"/>
    <s v="Sessão a Faturar"/>
    <n v="774634001384000"/>
    <n v="59689"/>
    <s v="Unidade Sao Jose"/>
    <n v="1717563939"/>
    <m/>
  </r>
  <r>
    <x v="8"/>
    <x v="37"/>
    <s v="Wildson Costa dos Santos"/>
    <s v="Masculino"/>
    <x v="6"/>
    <x v="24"/>
    <s v="20103662 - Pos Operatorio Em Um Membro (R$ 22,53)"/>
    <s v="Fisioterapia"/>
    <n v="171322"/>
    <s v="Finalizado (8/10)"/>
    <n v="18.9252"/>
    <n v="3.6048"/>
    <n v="22.53"/>
    <s v="Sessão Faturada"/>
    <s v="58201065998121610018"/>
    <n v="59580"/>
    <s v="Unidade Sao Jose"/>
    <n v="171322"/>
    <m/>
  </r>
  <r>
    <x v="8"/>
    <x v="37"/>
    <s v="Paulo Ryan Silva da Costa"/>
    <s v="Masculino"/>
    <x v="7"/>
    <x v="24"/>
    <s v="Sao José - 2 - Fisioterapia Ortopédica - Pacote (R$ 20,00)"/>
    <s v="Fisioterapia"/>
    <n v="173012"/>
    <s v="Finalizado (1/30)"/>
    <n v="15"/>
    <n v="5"/>
    <n v="20"/>
    <s v="No Prazo"/>
    <n v="59798"/>
    <n v="59798"/>
    <s v="Unidade Sao Jose"/>
    <n v="173012"/>
    <m/>
  </r>
  <r>
    <x v="8"/>
    <x v="58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8/10)"/>
    <n v="37.312800000000003"/>
    <n v="7.1071999999999997"/>
    <n v="44.42"/>
    <s v="Sessão Faturada"/>
    <s v="58201065998121610018"/>
    <n v="59580"/>
    <s v="Unidade Sao Jose"/>
    <n v="171323"/>
    <m/>
  </r>
  <r>
    <x v="8"/>
    <x v="50"/>
    <s v="Wildson Costa dos Santos"/>
    <s v="Masculino"/>
    <x v="6"/>
    <x v="24"/>
    <s v="31602185 - Estimulação Elétrica Transcutanea (Tens) (R$ 40,00)"/>
    <s v="Fisioterapia"/>
    <n v="171325"/>
    <s v="Finalizado (6/7)"/>
    <n v="33.6"/>
    <n v="6.4"/>
    <n v="40"/>
    <s v="Sessão Faturada"/>
    <s v="58201065998121610018"/>
    <n v="59580"/>
    <s v="Unidade Sao Jose"/>
    <n v="171325"/>
    <m/>
  </r>
  <r>
    <x v="8"/>
    <x v="43"/>
    <s v="Tamires Cordeiro de Melo"/>
    <s v="Feminino"/>
    <x v="27"/>
    <x v="24"/>
    <s v="20103514 - Patol. Em Diferentes Segmentos da Coluna (R$ 14,83)"/>
    <s v="Fisioterapia"/>
    <n v="1711967516"/>
    <s v="Finalizado (5/5)"/>
    <n v="12.4572"/>
    <n v="2.3727999999999998"/>
    <n v="14.83"/>
    <s v="Sessão Faturada"/>
    <n v="773626012483020"/>
    <n v="59648"/>
    <s v="Unidade Sao Jose"/>
    <n v="1711967516"/>
    <m/>
  </r>
  <r>
    <x v="8"/>
    <x v="43"/>
    <s v="Tamires Cordeiro de Melo"/>
    <s v="Feminino"/>
    <x v="27"/>
    <x v="24"/>
    <s v="20103522 - Fisioterapia - Pac Com Dependencia de Vida Diária (R$ 23,59)"/>
    <s v="Fisioterapia"/>
    <n v="1711967663"/>
    <s v="Finalizado (5/5)"/>
    <n v="19.8156"/>
    <n v="3.7744"/>
    <n v="23.59"/>
    <s v="Sessão Faturada"/>
    <n v="773626012483020"/>
    <n v="59648"/>
    <s v="Unidade Sao Jose"/>
    <n v="1711967663"/>
    <m/>
  </r>
  <r>
    <x v="8"/>
    <x v="22"/>
    <s v="Marlene Pereira Lima"/>
    <s v="Feminino"/>
    <x v="7"/>
    <x v="24"/>
    <s v="Sao José - 2 - Fisioterapia Ortopédica - Pacote (R$ 20,00)"/>
    <s v="Fisioterapia"/>
    <n v="171851"/>
    <s v="Finalizado (4/10)"/>
    <n v="15"/>
    <n v="5"/>
    <n v="20"/>
    <s v="Pago"/>
    <n v="37569"/>
    <n v="37569"/>
    <s v="Unidade Sao Jose"/>
    <n v="171851"/>
    <m/>
  </r>
  <r>
    <x v="8"/>
    <x v="22"/>
    <s v="Eliana Valente Frota"/>
    <m/>
    <x v="7"/>
    <x v="24"/>
    <s v="Sao José - 2 - Fisioterapia Ortopédica - Pacote (R$ 20,00)"/>
    <s v="Fisioterapia"/>
    <n v="172580"/>
    <s v="Finalizado (2/10)"/>
    <n v="15"/>
    <n v="5"/>
    <n v="20"/>
    <s v="Pago"/>
    <n v="59744"/>
    <n v="59744"/>
    <s v="Unidade Sao Jose"/>
    <n v="172580"/>
    <m/>
  </r>
  <r>
    <x v="8"/>
    <x v="22"/>
    <s v="Bruno Nascimento Gomes"/>
    <s v="Masculino"/>
    <x v="7"/>
    <x v="24"/>
    <s v="Sao José - 14 - Fisioterapia Pós Operatória - Pacote (R$ 50,00)"/>
    <s v="Fisioterapia"/>
    <n v="172266"/>
    <s v="Finalizado (4/5)"/>
    <n v="37.5"/>
    <n v="12.5"/>
    <n v="50"/>
    <s v="Pago"/>
    <n v="59713"/>
    <n v="59713"/>
    <s v="Unidade Sao Jose"/>
    <n v="172266"/>
    <m/>
  </r>
  <r>
    <x v="8"/>
    <x v="0"/>
    <s v="Jocineide Faria da Silva"/>
    <s v="Feminino"/>
    <x v="7"/>
    <x v="24"/>
    <s v="Sao José - 14 - Fisioterapia Pós Operatória - Pacote (R$ 50,00)"/>
    <s v="Fisioterapia"/>
    <n v="172708"/>
    <s v="Finalizado (1/10)"/>
    <n v="37.5"/>
    <n v="12.5"/>
    <n v="50"/>
    <s v="No Prazo"/>
    <n v="59761"/>
    <n v="59761"/>
    <s v="Unidade Sao Jose"/>
    <n v="172708"/>
    <m/>
  </r>
  <r>
    <x v="8"/>
    <x v="0"/>
    <s v="Ângela Isabel Barbosa Rego"/>
    <s v="Feminino"/>
    <x v="7"/>
    <x v="24"/>
    <s v="Sao José - 2 - Fisioterapia Ortopédica - Pacote (R$ 20,00)"/>
    <s v="Fisioterapia"/>
    <n v="172175"/>
    <s v="Finalizado (4/10)"/>
    <n v="15"/>
    <n v="5"/>
    <n v="20"/>
    <s v="Pago"/>
    <n v="59455"/>
    <n v="59455"/>
    <s v="Unidade Sao Jose"/>
    <n v="172175"/>
    <m/>
  </r>
  <r>
    <x v="8"/>
    <x v="0"/>
    <s v="Glívena Souza Félix"/>
    <s v="Feminino"/>
    <x v="7"/>
    <x v="24"/>
    <s v="Sao José - 4 - Fisioterapia Neurológica/Respiratória - Pacote (R$ 50,00)"/>
    <s v="Fisioterapia"/>
    <n v="170807"/>
    <s v="Finalizado (8/10)"/>
    <n v="37.5"/>
    <n v="12.5"/>
    <n v="50"/>
    <s v="Pago"/>
    <n v="57339"/>
    <n v="57339"/>
    <s v="Unidade Sao Jose"/>
    <n v="170807"/>
    <m/>
  </r>
  <r>
    <x v="8"/>
    <x v="4"/>
    <s v="Delma Costa Rodrigues"/>
    <s v="Feminino"/>
    <x v="4"/>
    <x v="24"/>
    <s v="31602185 - Estimulação Elétrica Transcutânea - Removido 13/04/2026 (R$ 40,00)"/>
    <s v="Fisioterapia"/>
    <n v="1715849294"/>
    <s v="Finalizado (3/5)"/>
    <n v="33.6"/>
    <n v="6.4"/>
    <n v="40"/>
    <s v="Sessão Faturada"/>
    <n v="773626006971000"/>
    <n v="40465"/>
    <s v="Unidade Sao Jose"/>
    <n v="1715849294"/>
    <m/>
  </r>
  <r>
    <x v="8"/>
    <x v="4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5477511"/>
    <s v="Finalizado (5/5)"/>
    <n v="24.914400000000001"/>
    <n v="4.7455999999999996"/>
    <n v="29.66"/>
    <s v="Sessão a Faturar"/>
    <n v="954600003042000"/>
    <n v="29915"/>
    <s v="Unidade Sao Jose"/>
    <n v="1715477511"/>
    <m/>
  </r>
  <r>
    <x v="8"/>
    <x v="4"/>
    <s v="Delma Costa Rodrigues"/>
    <s v="Feminino"/>
    <x v="27"/>
    <x v="24"/>
    <s v="20103522 - Fisioterapia - Pac Com Dependencia de Vida Diária (R$ 23,59)"/>
    <s v="Fisioterapia"/>
    <n v="1714972759"/>
    <s v="Finalizado (4/5)"/>
    <n v="19.8156"/>
    <n v="3.7744"/>
    <n v="23.59"/>
    <s v="Sessão Faturada"/>
    <n v="773626006971000"/>
    <n v="40465"/>
    <s v="Unidade Sao Jose"/>
    <n v="1714972759"/>
    <m/>
  </r>
  <r>
    <x v="8"/>
    <x v="4"/>
    <s v="Nazare Pedroza Alves"/>
    <s v="Masculino"/>
    <x v="7"/>
    <x v="24"/>
    <s v="Sao José - 2 - Fisioterapia Ortopédica - Pacote (R$ 20,00)"/>
    <s v="Fisioterapia"/>
    <n v="168948"/>
    <s v="Finalizado (8/10)"/>
    <n v="15"/>
    <n v="5"/>
    <n v="20"/>
    <s v="Pago"/>
    <n v="143890"/>
    <n v="43890"/>
    <s v="Unidade Sao Jose"/>
    <n v="168948"/>
    <m/>
  </r>
  <r>
    <x v="8"/>
    <x v="29"/>
    <s v="Delma Costa Rodrigues"/>
    <s v="Feminino"/>
    <x v="27"/>
    <x v="24"/>
    <s v="20103514 - Patol. Em Diferentes Segmentos da Coluna (R$ 14,83)"/>
    <s v="Fisioterapia"/>
    <n v="1714972044"/>
    <s v="Finalizado (4/5)"/>
    <n v="12.4572"/>
    <n v="2.3727999999999998"/>
    <n v="14.83"/>
    <s v="Sessão Faturada"/>
    <n v="773626006971000"/>
    <n v="40465"/>
    <s v="Unidade Sao Jose"/>
    <n v="1714972044"/>
    <m/>
  </r>
  <r>
    <x v="8"/>
    <x v="29"/>
    <s v="Jean da Silva Melo"/>
    <s v="Masculino"/>
    <x v="14"/>
    <x v="24"/>
    <s v="20103662 - Fisioterapia - Pos Operatorio Em Um Membro (R$ 14,99)"/>
    <s v="Fisioterapia"/>
    <n v="1715477961"/>
    <s v="Finalizado (5/5)"/>
    <n v="12.5916"/>
    <n v="2.3984000000000001"/>
    <n v="14.99"/>
    <s v="Sessão Faturada"/>
    <n v="954600003042000"/>
    <n v="29915"/>
    <s v="Unidade Sao Jose"/>
    <n v="1715477961"/>
    <m/>
  </r>
  <r>
    <x v="8"/>
    <x v="30"/>
    <s v="Delma Costa Rodrigues"/>
    <s v="Feminino"/>
    <x v="27"/>
    <x v="24"/>
    <s v="20103662 - Pos Operatorio Em Um Membro (R$ 14,99)"/>
    <s v="Fisioterapia"/>
    <n v="1714971282"/>
    <s v="Finalizado (4/5)"/>
    <n v="12.5916"/>
    <n v="2.3984000000000001"/>
    <n v="14.99"/>
    <s v="Sessão Faturada"/>
    <n v="773626006971000"/>
    <n v="40465"/>
    <s v="Unidade Sao Jose"/>
    <n v="1714971282"/>
    <m/>
  </r>
  <r>
    <x v="8"/>
    <x v="30"/>
    <s v="Jean da Silva Melo"/>
    <s v="Masculino"/>
    <x v="9"/>
    <x v="24"/>
    <s v="31602185 - Estimulação Elétrica Transcutânea (Tens) - Removido 13/04/2026 (R$ 40,00)"/>
    <s v="Fisioterapia"/>
    <n v="1717034698"/>
    <s v="Finalizado (2/5)"/>
    <n v="33.6"/>
    <n v="6.4"/>
    <n v="40"/>
    <s v="Sessão Faturada"/>
    <n v="954600003042000"/>
    <n v="29915"/>
    <s v="Unidade Sao Jose"/>
    <n v="1717034698"/>
    <m/>
  </r>
  <r>
    <x v="8"/>
    <x v="13"/>
    <s v="Ana Cristina de Frota Palheta"/>
    <s v="Feminino"/>
    <x v="6"/>
    <x v="24"/>
    <s v="31602185 - Estimulação Elétrica Transcutanea (Tens) (R$ 40,00)"/>
    <s v="Fisioterapia"/>
    <n v="172385"/>
    <s v="Finalizado (4/6)"/>
    <n v="33.6"/>
    <n v="6.4"/>
    <n v="40"/>
    <s v="Sessão Faturada"/>
    <s v="54588888012065310011"/>
    <n v="20193"/>
    <s v="Unidade Sao Jose"/>
    <n v="172385"/>
    <m/>
  </r>
  <r>
    <x v="8"/>
    <x v="13"/>
    <s v="Alessandro da Silva Vieira"/>
    <s v="Masculino"/>
    <x v="9"/>
    <x v="24"/>
    <s v="31602185 - Estimulação Elétrica Transcutânea (Tens) - Removido 13/04/2026 (R$ 40,00)"/>
    <s v="Fisioterapia"/>
    <n v="1713639846"/>
    <s v="Finalizado (5/5)"/>
    <n v="33.6"/>
    <n v="6.4"/>
    <n v="40"/>
    <s v="Sessão Faturada"/>
    <n v="954600024350000"/>
    <n v="57332"/>
    <s v="Unidade Sao Jose"/>
    <n v="1713639846"/>
    <m/>
  </r>
  <r>
    <x v="8"/>
    <x v="14"/>
    <s v="Alessandro da Silva Vieira"/>
    <s v="Masculino"/>
    <x v="8"/>
    <x v="24"/>
    <s v="20103662 - Pos Operatorio Em Um Membro (R$ 14,99)"/>
    <s v="Fisioterapia"/>
    <n v="1716811862"/>
    <s v="Finalizado (2/5)"/>
    <n v="12.5916"/>
    <n v="2.3984000000000001"/>
    <n v="14.99"/>
    <s v="Sessão Faturada"/>
    <n v="954600024350000"/>
    <n v="57332"/>
    <s v="Unidade Sao Jose"/>
    <n v="1716811862"/>
    <m/>
  </r>
  <r>
    <x v="8"/>
    <x v="14"/>
    <s v="Ana Cristina de Frota Palheta"/>
    <s v="Feminino"/>
    <x v="6"/>
    <x v="24"/>
    <s v="20103476 - Patologia Neurologica (R$ 35,40)"/>
    <s v="Fisioterapia"/>
    <n v="172502"/>
    <s v="Finalizado (3/7)"/>
    <n v="29.736000000000001"/>
    <n v="5.6639999999999997"/>
    <n v="35.4"/>
    <s v="Sessão Faturada"/>
    <s v="54588888012065310011"/>
    <n v="20193"/>
    <s v="Unidade Sao Jose"/>
    <n v="172502"/>
    <m/>
  </r>
  <r>
    <x v="8"/>
    <x v="15"/>
    <s v="Vicente de Paula Alburquerque Monteiro"/>
    <s v="Masculino"/>
    <x v="7"/>
    <x v="24"/>
    <s v="Sao José - 2 - Fisioterapia Ortopédica - Pacote (R$ 20,00)"/>
    <s v="Fisioterapia"/>
    <n v="168491"/>
    <s v="Finalizado (9/10)"/>
    <n v="15"/>
    <n v="5"/>
    <n v="20"/>
    <s v="Pago"/>
    <n v="59379"/>
    <n v="59379"/>
    <s v="Unidade Sao Jose"/>
    <n v="168491"/>
    <m/>
  </r>
  <r>
    <x v="8"/>
    <x v="15"/>
    <s v="Claudenice Sales de Matos"/>
    <s v="Feminino"/>
    <x v="7"/>
    <x v="24"/>
    <s v="Sao José - 2 - Fisioterapia Ortopédica - Pacote (R$ 20,00)"/>
    <s v="Fisioterapia"/>
    <n v="172694"/>
    <s v="Finalizado (2/10)"/>
    <n v="15"/>
    <n v="5"/>
    <n v="20"/>
    <s v="No Prazo"/>
    <n v="59758"/>
    <n v="59758"/>
    <s v="Unidade Sao Jose"/>
    <n v="172694"/>
    <m/>
  </r>
  <r>
    <x v="8"/>
    <x v="17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7298892"/>
    <s v="Finalizado (2/4)"/>
    <n v="24.914400000000001"/>
    <n v="4.7455999999999996"/>
    <n v="29.66"/>
    <s v="Sessão Faturada"/>
    <n v="960016147828000"/>
    <n v="18356"/>
    <s v="Unidade Sao Jose"/>
    <n v="1717298892"/>
    <m/>
  </r>
  <r>
    <x v="8"/>
    <x v="17"/>
    <s v="Jairo Barboza Domingues"/>
    <s v="Masculino"/>
    <x v="4"/>
    <x v="24"/>
    <s v="31602185 - Estimulação Elétrica Transcutânea - Removido 13/04/2026 (R$ 40,00)"/>
    <s v="Fisioterapia"/>
    <n v="1717817097"/>
    <s v="Finalizado (1/5)"/>
    <n v="33.6"/>
    <n v="6.4"/>
    <n v="40"/>
    <s v="Sessão Faturada"/>
    <n v="960016147828000"/>
    <n v="18356"/>
    <s v="Unidade Sao Jose"/>
    <n v="1717817097"/>
    <m/>
  </r>
  <r>
    <x v="8"/>
    <x v="8"/>
    <s v="Mayk Gama Vidigal"/>
    <s v="Feminino"/>
    <x v="8"/>
    <x v="24"/>
    <s v="50000144 - Consulta de Fisioterapia (R$ 51,42)"/>
    <s v="Fisioterapia"/>
    <n v="1717820489"/>
    <s v="Finalizado (1/1)"/>
    <n v="46.277999999999999"/>
    <n v="5.1420000000000003"/>
    <n v="51.42"/>
    <s v="Sessão Faturada"/>
    <n v="954600000345040"/>
    <n v="49087"/>
    <s v="Unidade Sao Jose"/>
    <n v="1717820489"/>
    <m/>
  </r>
  <r>
    <x v="8"/>
    <x v="8"/>
    <s v="Mayk Gama Vidigal"/>
    <s v="Feminino"/>
    <x v="8"/>
    <x v="24"/>
    <s v="20103492 - Patologia Em Dois Ou Mais Membros (R$ 14,83), 20103514 - Patologia Em Diferentes Segmentos da Coluna (R$ 14,83)"/>
    <s v="Fisioterapia"/>
    <n v="1717820630"/>
    <s v="Finalizado (1/5)"/>
    <n v="24.914400000000001"/>
    <n v="4.7455999999999996"/>
    <n v="29.66"/>
    <s v="Sessão a Faturar"/>
    <n v="954600000345040"/>
    <n v="49087"/>
    <s v="Unidade Sao Jose"/>
    <n v="1717820630"/>
    <m/>
  </r>
  <r>
    <x v="8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8/10)"/>
    <n v="30"/>
    <n v="10"/>
    <n v="40"/>
    <s v="Pago"/>
    <n v="59492"/>
    <n v="59492"/>
    <s v="Unidade Sao Jose"/>
    <n v="171692"/>
    <m/>
  </r>
  <r>
    <x v="9"/>
    <x v="44"/>
    <s v="Ana Clara Santos Maia"/>
    <s v="Feminino"/>
    <x v="7"/>
    <x v="24"/>
    <s v="Sao José - 2 - Fisioterapia Ortopédica - Pacote (R$ 20,00)"/>
    <s v="Fisioterapia"/>
    <n v="172077"/>
    <s v="Finalizado (5/10)"/>
    <n v="15"/>
    <n v="5"/>
    <n v="20"/>
    <s v="Pago"/>
    <n v="59190"/>
    <n v="59190"/>
    <s v="Unidade Sao Jose"/>
    <n v="172077"/>
    <m/>
  </r>
  <r>
    <x v="9"/>
    <x v="44"/>
    <s v="Cosme Pereira Borges"/>
    <s v="Masculino"/>
    <x v="7"/>
    <x v="24"/>
    <s v="Sao José - 2 - Fisioterapia Ortopédica - Pacote (R$ 20,00)"/>
    <s v="Fisioterapia"/>
    <n v="171796"/>
    <s v="Finalizado (7/10)"/>
    <n v="15"/>
    <n v="5"/>
    <n v="20"/>
    <s v="Pago"/>
    <n v="59654"/>
    <n v="59654"/>
    <s v="Unidade Sao Jose"/>
    <n v="171796"/>
    <m/>
  </r>
  <r>
    <x v="9"/>
    <x v="44"/>
    <s v="Natanael Costa Cruz"/>
    <s v="Masculino"/>
    <x v="27"/>
    <x v="24"/>
    <s v="20103484 - Patologia Em Um Membro (R$ 12,22)"/>
    <s v="Fisioterapia"/>
    <n v="1716017996"/>
    <s v="Finalizado (5/5)"/>
    <n v="10.264799999999999"/>
    <n v="1.9552"/>
    <n v="12.22"/>
    <s v="Sessão Faturada"/>
    <n v="775072015105020"/>
    <n v="59724"/>
    <s v="Unidade Sao Jose"/>
    <n v="1716017996"/>
    <m/>
  </r>
  <r>
    <x v="9"/>
    <x v="60"/>
    <s v="Natanael Costa Cruz"/>
    <s v="Masculino"/>
    <x v="4"/>
    <x v="24"/>
    <s v="31602185 - Estimulação Elétrica Transcutânea - Removido 13/04/2026 (R$ 40,00)"/>
    <s v="Fisioterapia"/>
    <n v="1717458345"/>
    <s v="Finalizado (2/5)"/>
    <n v="33.6"/>
    <n v="6.4"/>
    <n v="40"/>
    <s v="Sessão Faturada"/>
    <n v="775072015105020"/>
    <n v="59724"/>
    <s v="Unidade Sao Jose"/>
    <n v="1717458345"/>
    <m/>
  </r>
  <r>
    <x v="9"/>
    <x v="41"/>
    <s v="Custodia Herminia de Sousa Filha"/>
    <s v="Feminino"/>
    <x v="7"/>
    <x v="24"/>
    <s v="Sao José - 2 - Fisioterapia Ortopédica - Pacote (R$ 20,00)"/>
    <s v="Fisioterapia"/>
    <n v="171939"/>
    <s v="Finalizado (7/10)"/>
    <n v="15"/>
    <n v="5"/>
    <n v="20"/>
    <s v="Pago"/>
    <n v="58051"/>
    <n v="58051"/>
    <s v="Unidade Sao Jose"/>
    <n v="171939"/>
    <m/>
  </r>
  <r>
    <x v="9"/>
    <x v="36"/>
    <s v="Aldenir de Lima Rolim Aquino"/>
    <s v="Feminino"/>
    <x v="7"/>
    <x v="24"/>
    <s v="Sao José - 2 - Fisioterapia Ortopédica - Pacote (R$ 20,00)"/>
    <s v="Fisioterapia"/>
    <n v="172176"/>
    <s v="Finalizado (5/10)"/>
    <n v="15"/>
    <n v="5"/>
    <n v="20"/>
    <s v="Pago"/>
    <n v="39454"/>
    <n v="39454"/>
    <s v="Unidade Sao Jose"/>
    <n v="172176"/>
    <m/>
  </r>
  <r>
    <x v="9"/>
    <x v="40"/>
    <s v="Adan Williams Campos dos Santos"/>
    <s v="Masculino"/>
    <x v="27"/>
    <x v="24"/>
    <s v="20103514 - Patol. Em Diferentes Segmentos da Coluna (R$ 14,83)"/>
    <s v="Fisioterapia"/>
    <n v="1717582167"/>
    <s v="Finalizado (2/5)"/>
    <n v="12.4572"/>
    <n v="2.3727999999999998"/>
    <n v="14.83"/>
    <s v="Sessão a Faturar"/>
    <n v="775252004774010"/>
    <n v="59766"/>
    <s v="Unidade Sao Jose"/>
    <n v="1717582167"/>
    <m/>
  </r>
  <r>
    <x v="9"/>
    <x v="40"/>
    <s v="Ana Cristina de Frota Palheta"/>
    <s v="Feminino"/>
    <x v="6"/>
    <x v="24"/>
    <s v="20103476 - Patologia Neurologica (R$ 35,40)"/>
    <s v="Fisioterapia"/>
    <n v="172502"/>
    <s v="Finalizado (4/7)"/>
    <n v="29.736000000000001"/>
    <n v="5.6639999999999997"/>
    <n v="35.4"/>
    <s v="Sessão Faturada"/>
    <s v="54588888012065310011"/>
    <n v="20193"/>
    <s v="Unidade Sao Jose"/>
    <n v="172502"/>
    <m/>
  </r>
  <r>
    <x v="9"/>
    <x v="40"/>
    <s v="Francisca Zuleide de Oliveira Araujo"/>
    <s v="Feminino"/>
    <x v="7"/>
    <x v="24"/>
    <s v="Sao José - 2 - Fisioterapia Ortopédica - Pacote (R$ 20,00)"/>
    <s v="Fisioterapia"/>
    <n v="171952"/>
    <s v="Finalizado (8/10)"/>
    <n v="15"/>
    <n v="5"/>
    <n v="20"/>
    <s v="Pago"/>
    <n v="59540"/>
    <n v="59540"/>
    <s v="Unidade Sao Jose"/>
    <n v="171952"/>
    <m/>
  </r>
  <r>
    <x v="9"/>
    <x v="40"/>
    <s v="Ramom Galvao da Silva"/>
    <s v="Masculino"/>
    <x v="7"/>
    <x v="24"/>
    <s v="Sao José - 2 - Fisioterapia Ortopédica - Pacote (R$ 20,00)"/>
    <s v="Fisioterapia"/>
    <n v="173070"/>
    <s v="Finalizado (1/10)"/>
    <n v="15"/>
    <n v="5"/>
    <n v="20"/>
    <s v="Pago"/>
    <n v="50935"/>
    <n v="50935"/>
    <s v="Unidade Sao Jose"/>
    <n v="173070"/>
    <m/>
  </r>
  <r>
    <x v="9"/>
    <x v="40"/>
    <s v="Inoru Uchigasaki"/>
    <s v="Masculino"/>
    <x v="7"/>
    <x v="24"/>
    <s v="Sao José - 4 - Fisioterapia Neurológica/Respiratória - Pacote (R$ 50,00)"/>
    <s v="Fisioterapia"/>
    <n v="169780"/>
    <s v="Finalizado (8/10)"/>
    <n v="37.5"/>
    <n v="12.5"/>
    <n v="50"/>
    <s v="Pago"/>
    <n v="59468"/>
    <n v="59468"/>
    <s v="Unidade Sao Jose"/>
    <n v="169780"/>
    <m/>
  </r>
  <r>
    <x v="9"/>
    <x v="35"/>
    <s v="Raynara Santos de Carvalho"/>
    <s v="Feminino"/>
    <x v="27"/>
    <x v="24"/>
    <s v="20103220 - Fisioterapia Respiratoria (R$ 12,22)"/>
    <s v="Fisioterapia"/>
    <n v="1717564579"/>
    <s v="Finalizado (2/5)"/>
    <n v="10.264799999999999"/>
    <n v="1.9552"/>
    <n v="12.22"/>
    <s v="Sessão a Faturar"/>
    <n v="774634001384000"/>
    <n v="59689"/>
    <s v="Unidade Sao Jose"/>
    <n v="1717564579"/>
    <m/>
  </r>
  <r>
    <x v="9"/>
    <x v="35"/>
    <s v="Adan Williams Campos dos Santos"/>
    <s v="Masculino"/>
    <x v="4"/>
    <x v="24"/>
    <s v="31602185 - Estimulação Elétrica Transcutânea - Removido 13/04/2026 (R$ 40,00)"/>
    <s v="Fisioterapia"/>
    <n v="1718062399"/>
    <s v="Finalizado (1/5)"/>
    <n v="33.6"/>
    <n v="6.4"/>
    <n v="40"/>
    <s v="Sessão a Faturar"/>
    <n v="775252004774010"/>
    <n v="59766"/>
    <s v="Unidade Sao Jose"/>
    <n v="1718062399"/>
    <m/>
  </r>
  <r>
    <x v="9"/>
    <x v="35"/>
    <s v="Maria Raimunda da Fonseca Coutinho"/>
    <s v="Feminino"/>
    <x v="7"/>
    <x v="24"/>
    <s v="Sao José - 2 - Fisioterapia Ortopédica - Pacote (R$ 20,00)"/>
    <s v="Fisioterapia"/>
    <n v="164022"/>
    <s v="Finalizado (8/10)"/>
    <n v="15"/>
    <n v="5"/>
    <n v="20"/>
    <s v="Pago"/>
    <s v="000004975"/>
    <n v="32891"/>
    <s v="Unidade Sao Jose"/>
    <n v="164022"/>
    <m/>
  </r>
  <r>
    <x v="9"/>
    <x v="70"/>
    <s v="Raynara Santos de Carvalho"/>
    <s v="Feminino"/>
    <x v="27"/>
    <x v="24"/>
    <s v="20103522 - Fisioterapia - Pac Com Dependencia de Vida Diária (R$ 23,59)"/>
    <s v="Fisioterapia"/>
    <n v="1717565070"/>
    <s v="Finalizado (2/5)"/>
    <n v="19.8156"/>
    <n v="3.7744"/>
    <n v="23.59"/>
    <s v="Sessão a Faturar"/>
    <n v="774634001384000"/>
    <n v="59689"/>
    <s v="Unidade Sao Jose"/>
    <n v="1717565070"/>
    <m/>
  </r>
  <r>
    <x v="9"/>
    <x v="71"/>
    <s v="Raynara Santos de Carvalho"/>
    <s v="Feminino"/>
    <x v="27"/>
    <x v="24"/>
    <s v="20103514 - Patol. Em Diferentes Segmentos da Coluna (R$ 14,83)"/>
    <s v="Fisioterapia"/>
    <n v="1717563939"/>
    <s v="Finalizado (2/5)"/>
    <n v="12.4572"/>
    <n v="2.3727999999999998"/>
    <n v="14.83"/>
    <s v="Sessão a Faturar"/>
    <n v="774634001384000"/>
    <n v="59689"/>
    <s v="Unidade Sao Jose"/>
    <n v="1717563939"/>
    <m/>
  </r>
  <r>
    <x v="9"/>
    <x v="38"/>
    <s v="Maria da Conceição Silva de Sa"/>
    <s v="Feminino"/>
    <x v="7"/>
    <x v="24"/>
    <s v="Sao José - 2 - Fisioterapia Ortopédica - Pacote (R$ 20,00)"/>
    <s v="Fisioterapia"/>
    <n v="172700"/>
    <s v="Finalizado (3/10)"/>
    <n v="15"/>
    <n v="5"/>
    <n v="20"/>
    <s v="Pago"/>
    <n v="59759"/>
    <n v="59759"/>
    <s v="Unidade Sao Jose"/>
    <n v="172700"/>
    <m/>
  </r>
  <r>
    <x v="9"/>
    <x v="38"/>
    <s v="Ana Chaves Medeiros"/>
    <s v="Feminino"/>
    <x v="7"/>
    <x v="24"/>
    <s v="Sao José - 2 - Fisioterapia Ortopédica - Pacote (R$ 20,00)"/>
    <s v="Fisioterapia"/>
    <n v="173161"/>
    <s v="Finalizado (1/10)"/>
    <n v="15"/>
    <n v="5"/>
    <n v="20"/>
    <s v="Pago"/>
    <n v="58181"/>
    <n v="58181"/>
    <s v="Unidade Sao Jose"/>
    <n v="173161"/>
    <m/>
  </r>
  <r>
    <x v="9"/>
    <x v="38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8/10)"/>
    <n v="30"/>
    <n v="10"/>
    <n v="40"/>
    <s v="Pago"/>
    <n v="59611"/>
    <n v="59611"/>
    <s v="Unidade Sao Jose"/>
    <n v="171321"/>
    <m/>
  </r>
  <r>
    <x v="9"/>
    <x v="37"/>
    <s v="Wildson Costa dos Santos"/>
    <s v="Masculino"/>
    <x v="6"/>
    <x v="24"/>
    <s v="20103662 - Pos Operatorio Em Um Membro (R$ 22,53)"/>
    <s v="Fisioterapia"/>
    <n v="171322"/>
    <s v="Finalizado (9/10)"/>
    <n v="18.9252"/>
    <n v="3.6048"/>
    <n v="22.53"/>
    <s v="Sessão Faturada"/>
    <s v="58201065998121610018"/>
    <n v="59580"/>
    <s v="Unidade Sao Jose"/>
    <n v="171322"/>
    <m/>
  </r>
  <r>
    <x v="9"/>
    <x v="37"/>
    <s v="Paulo Ryan Silva da Costa"/>
    <s v="Masculino"/>
    <x v="7"/>
    <x v="24"/>
    <s v="Sao José - 2 - Fisioterapia Ortopédica - Pacote (R$ 20,00)"/>
    <s v="Fisioterapia"/>
    <n v="173012"/>
    <s v="Finalizado (2/30)"/>
    <n v="15"/>
    <n v="5"/>
    <n v="20"/>
    <s v="No Prazo"/>
    <n v="59798"/>
    <n v="59798"/>
    <s v="Unidade Sao Jose"/>
    <n v="173012"/>
    <m/>
  </r>
  <r>
    <x v="9"/>
    <x v="63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9/10)"/>
    <n v="37.312800000000003"/>
    <n v="7.1071999999999997"/>
    <n v="44.42"/>
    <s v="Sessão Faturada"/>
    <s v="58201065998121610018"/>
    <n v="59580"/>
    <s v="Unidade Sao Jose"/>
    <n v="171323"/>
    <m/>
  </r>
  <r>
    <x v="9"/>
    <x v="39"/>
    <s v="Jacqueline Lima de Oliveira"/>
    <s v="Feminino"/>
    <x v="4"/>
    <x v="24"/>
    <s v="31602185 - Estimulação Elétrica Transcutânea - Removido 13/04/2026 (R$ 40,00)"/>
    <s v="Fisioterapia"/>
    <n v="1710226070"/>
    <s v="Finalizado (4/5)"/>
    <n v="33.6"/>
    <n v="6.4"/>
    <n v="40"/>
    <s v="Sessão Faturada"/>
    <n v="611481880006000"/>
    <n v="59217"/>
    <s v="Unidade Sao Jose"/>
    <n v="1710226070"/>
    <m/>
  </r>
  <r>
    <x v="9"/>
    <x v="72"/>
    <s v="Jacqueline Lima de Oliveira"/>
    <s v="Feminino"/>
    <x v="27"/>
    <x v="24"/>
    <s v="20103522 - Fisioterapia - Pac Com Dependencia de Vida Diária (R$ 23,59)"/>
    <s v="Fisioterapia"/>
    <n v="1718093437"/>
    <s v="Finalizado (1/5)"/>
    <n v="19.8156"/>
    <n v="3.7744"/>
    <n v="23.59"/>
    <s v="Sessão a Faturar"/>
    <n v="611481880006000"/>
    <n v="59217"/>
    <s v="Unidade Sao Jose"/>
    <n v="1718093437"/>
    <m/>
  </r>
  <r>
    <x v="9"/>
    <x v="59"/>
    <s v="Jacqueline Lima de Oliveira"/>
    <s v="Feminino"/>
    <x v="27"/>
    <x v="24"/>
    <s v="20103670 - Pos Operatorio Em Dois Ou Mais Membros (R$ 19,30)"/>
    <s v="Fisioterapia"/>
    <n v="1718093895"/>
    <s v="Finalizado (1/5)"/>
    <n v="16.212"/>
    <n v="3.0880000000000001"/>
    <n v="19.3"/>
    <s v="Sessão a Faturar"/>
    <n v="611481880006000"/>
    <n v="59217"/>
    <s v="Unidade Sao Jose"/>
    <n v="1718093895"/>
    <m/>
  </r>
  <r>
    <x v="9"/>
    <x v="43"/>
    <s v="Misleia Fernandes Mendes"/>
    <s v="Feminino"/>
    <x v="4"/>
    <x v="24"/>
    <s v="31602185 - Estimulação Elétrica Transcutânea - Removido 13/04/2026 (R$ 40,00)"/>
    <s v="Fisioterapia"/>
    <n v="1713867739"/>
    <s v="Finalizado (3/5)"/>
    <n v="33.6"/>
    <n v="6.4"/>
    <n v="40"/>
    <s v="Sessão a Faturar"/>
    <n v="770179020664010"/>
    <n v="44824"/>
    <s v="Unidade Sao Jose"/>
    <n v="1713867739"/>
    <m/>
  </r>
  <r>
    <x v="9"/>
    <x v="43"/>
    <s v="Misleia Fernandes Mendes"/>
    <s v="Feminino"/>
    <x v="27"/>
    <x v="24"/>
    <s v="20103492 - Patol. Em Dois Ou Mais Membros (R$ 14,83), 20103514 - Patol. Em Diferentes Segmentos da Coluna (R$ 14,83)"/>
    <s v="Fisioterapia"/>
    <n v="1709494542"/>
    <s v="Finalizado (5/5)"/>
    <n v="24.914400000000001"/>
    <n v="4.7455999999999996"/>
    <n v="29.66"/>
    <s v="Sessão Faturada"/>
    <n v="770179020664010"/>
    <n v="44824"/>
    <s v="Unidade Sao Jose"/>
    <n v="1709494542"/>
    <m/>
  </r>
  <r>
    <x v="9"/>
    <x v="43"/>
    <s v="Misleia Fernandes Mendes"/>
    <s v="Feminino"/>
    <x v="27"/>
    <x v="24"/>
    <s v="20103522 - Fisioterapia - Pac Com Dependencia de Vida Diária (R$ 23,59)"/>
    <s v="Fisioterapia"/>
    <n v="1709495498"/>
    <s v="Finalizado (5/5)"/>
    <n v="19.8156"/>
    <n v="3.7744"/>
    <n v="23.59"/>
    <s v="Sessão Faturada"/>
    <n v="770179020664010"/>
    <n v="44824"/>
    <s v="Unidade Sao Jose"/>
    <n v="1709495498"/>
    <m/>
  </r>
  <r>
    <x v="9"/>
    <x v="22"/>
    <s v="Bruno Nascimento Gomes"/>
    <s v="Masculino"/>
    <x v="7"/>
    <x v="24"/>
    <s v="Sao José - 14 - Fisioterapia Pós Operatória - Pacote (R$ 50,00)"/>
    <s v="Fisioterapia"/>
    <n v="172266"/>
    <s v="Finalizado (5/5)"/>
    <n v="37.5"/>
    <n v="12.5"/>
    <n v="50"/>
    <s v="Pago"/>
    <n v="59713"/>
    <n v="59713"/>
    <s v="Unidade Sao Jose"/>
    <n v="172266"/>
    <m/>
  </r>
  <r>
    <x v="9"/>
    <x v="0"/>
    <s v="Jocineide Faria da Silva"/>
    <s v="Feminino"/>
    <x v="7"/>
    <x v="24"/>
    <s v="Sao José - 14 - Fisioterapia Pós Operatória - Pacote (R$ 50,00)"/>
    <s v="Fisioterapia"/>
    <n v="172708"/>
    <s v="Finalizado (2/10)"/>
    <n v="37.5"/>
    <n v="12.5"/>
    <n v="50"/>
    <s v="No Prazo"/>
    <n v="59761"/>
    <n v="59761"/>
    <s v="Unidade Sao Jose"/>
    <n v="172708"/>
    <m/>
  </r>
  <r>
    <x v="9"/>
    <x v="0"/>
    <s v="Milza Santos"/>
    <s v="Feminino"/>
    <x v="14"/>
    <x v="24"/>
    <s v="20103492 - Fisioterapia - Patologia Em Dois Ou Mais Membros (R$ 14,83), 20103506 - Fisioterapia - Patologia Em Um Segmento da Coluna (R$ 12,22)"/>
    <s v="Fisioterapia"/>
    <n v="1715180048"/>
    <s v="Finalizado (2/5)"/>
    <n v="22.722000000000001"/>
    <n v="4.3280000000000003"/>
    <n v="27.05"/>
    <s v="Sessão a Faturar"/>
    <n v="954600000493010"/>
    <n v="41659"/>
    <s v="Unidade Sao Jose"/>
    <n v="1715180048"/>
    <m/>
  </r>
  <r>
    <x v="9"/>
    <x v="0"/>
    <s v="Nádia Eunice Batalha de Pinho"/>
    <s v="Feminino"/>
    <x v="27"/>
    <x v="24"/>
    <s v="20103484 - Patologia Em Um Membro (R$ 12,22)"/>
    <s v="Fisioterapia"/>
    <n v="1718190690"/>
    <s v="Finalizado (1/5)"/>
    <n v="10.264799999999999"/>
    <n v="1.9552"/>
    <n v="12.22"/>
    <s v="Sessão a Faturar"/>
    <n v="774385001546010"/>
    <n v="58963"/>
    <s v="Unidade Sao Jose"/>
    <n v="1718190690"/>
    <m/>
  </r>
  <r>
    <x v="9"/>
    <x v="1"/>
    <s v="Nádia Eunice Batalha de Pinho"/>
    <s v="Feminino"/>
    <x v="27"/>
    <x v="24"/>
    <s v="20103662 - Pos Operatorio Em Um Membro (R$ 14,99)"/>
    <s v="Fisioterapia"/>
    <n v="1718190041"/>
    <s v="Finalizado (1/5)"/>
    <n v="12.5916"/>
    <n v="2.3984000000000001"/>
    <n v="14.99"/>
    <s v="Sessão a Faturar"/>
    <n v="774385001546010"/>
    <n v="58963"/>
    <s v="Unidade Sao Jose"/>
    <n v="1718190041"/>
    <m/>
  </r>
  <r>
    <x v="9"/>
    <x v="1"/>
    <s v="Milza Santos"/>
    <s v="Feminino"/>
    <x v="9"/>
    <x v="24"/>
    <s v="31602185 - Estimulação Elétrica Transcutânea (Tens) - Removido 13/04/2026 (R$ 40,00)"/>
    <s v="Fisioterapia"/>
    <n v="1715180958"/>
    <s v="Finalizado (2/5)"/>
    <n v="33.6"/>
    <n v="6.4"/>
    <n v="40"/>
    <s v="Sessão a Faturar"/>
    <n v="954600000493010"/>
    <n v="41659"/>
    <s v="Unidade Sao Jose"/>
    <n v="1715180958"/>
    <m/>
  </r>
  <r>
    <x v="9"/>
    <x v="2"/>
    <s v="Adriane Rodrigues da Costa"/>
    <s v="Feminino"/>
    <x v="2"/>
    <x v="24"/>
    <s v="50000144 - Avaliação de Fisioterapia (R$ 51,42)"/>
    <s v="Fisioterapia"/>
    <n v="1718222320"/>
    <s v="Finalizado (1/1)"/>
    <n v="46.277999999999999"/>
    <n v="5.1420000000000003"/>
    <n v="51.42"/>
    <s v="Sessão Faturada"/>
    <n v="770202163023010"/>
    <n v="59812"/>
    <s v="Unidade Sao Jose"/>
    <n v="1718222320"/>
    <m/>
  </r>
  <r>
    <x v="9"/>
    <x v="4"/>
    <s v="Ana Cleude Pantoja da Silva"/>
    <s v="Feminino"/>
    <x v="8"/>
    <x v="24"/>
    <s v="20103492 - Patologia Em Dois Ou Mais Membros (R$ 14,83), 20103514 - Patologia Em Diferentes Segmentos da Coluna (R$ 14,83)"/>
    <s v="Fisioterapia"/>
    <n v="1716730948"/>
    <s v="Finalizado (2/5)"/>
    <n v="24.914400000000001"/>
    <n v="4.7455999999999996"/>
    <n v="29.66"/>
    <s v="Sessão a Faturar"/>
    <n v="954600008567000"/>
    <n v="23678"/>
    <s v="Unidade Sao Jose"/>
    <n v="1716730948"/>
    <m/>
  </r>
  <r>
    <x v="9"/>
    <x v="4"/>
    <s v="Delma Costa Rodrigues"/>
    <s v="Feminino"/>
    <x v="27"/>
    <x v="24"/>
    <s v="20103522 - Fisioterapia - Pac Com Dependencia de Vida Diária (R$ 23,59)"/>
    <s v="Fisioterapia"/>
    <n v="1714972759"/>
    <s v="Finalizado (5/5)"/>
    <n v="19.8156"/>
    <n v="3.7744"/>
    <n v="23.59"/>
    <s v="Sessão Faturada"/>
    <n v="773626006971000"/>
    <n v="40465"/>
    <s v="Unidade Sao Jose"/>
    <n v="1714972759"/>
    <m/>
  </r>
  <r>
    <x v="9"/>
    <x v="4"/>
    <s v="Delma Costa Rodrigues"/>
    <s v="Feminino"/>
    <x v="4"/>
    <x v="24"/>
    <s v="31602185 - Estimulação Elétrica Transcutânea - Removido 13/04/2026 (R$ 40,00)"/>
    <s v="Fisioterapia"/>
    <n v="1715849294"/>
    <s v="Finalizado (4/5)"/>
    <n v="33.6"/>
    <n v="6.4"/>
    <n v="40"/>
    <s v="Sessão Faturada"/>
    <n v="773626006971000"/>
    <n v="40465"/>
    <s v="Unidade Sao Jose"/>
    <n v="1715849294"/>
    <m/>
  </r>
  <r>
    <x v="9"/>
    <x v="4"/>
    <s v="Nazare Pedroza Alves"/>
    <s v="Masculino"/>
    <x v="7"/>
    <x v="24"/>
    <s v="Sao José - 2 - Fisioterapia Ortopédica - Pacote (R$ 20,00)"/>
    <s v="Fisioterapia"/>
    <n v="168948"/>
    <s v="Finalizado (9/10)"/>
    <n v="15"/>
    <n v="5"/>
    <n v="20"/>
    <s v="Pago"/>
    <n v="143890"/>
    <n v="43890"/>
    <s v="Unidade Sao Jose"/>
    <n v="168948"/>
    <m/>
  </r>
  <r>
    <x v="9"/>
    <x v="29"/>
    <s v="Delma Costa Rodrigues"/>
    <s v="Feminino"/>
    <x v="27"/>
    <x v="24"/>
    <s v="20103514 - Patol. Em Diferentes Segmentos da Coluna (R$ 14,83)"/>
    <s v="Fisioterapia"/>
    <n v="1714972044"/>
    <s v="Finalizado (5/5)"/>
    <n v="12.4572"/>
    <n v="2.3727999999999998"/>
    <n v="14.83"/>
    <s v="Sessão Faturada"/>
    <n v="773626006971000"/>
    <n v="40465"/>
    <s v="Unidade Sao Jose"/>
    <n v="1714972044"/>
    <m/>
  </r>
  <r>
    <x v="9"/>
    <x v="5"/>
    <s v="Ana Cleude Pantoja da Silva"/>
    <s v="Feminino"/>
    <x v="9"/>
    <x v="24"/>
    <s v="31602185 - Estimulação Elétrica Transcutânea (Tens) - Removido 13/04/2026 (R$ 40,00)"/>
    <s v="Fisioterapia"/>
    <n v="1718243203"/>
    <s v="Finalizado (1/5)"/>
    <n v="33.6"/>
    <n v="6.4"/>
    <n v="40"/>
    <s v="Sessão a Faturar"/>
    <n v="954600008567000"/>
    <n v="23678"/>
    <s v="Unidade Sao Jose"/>
    <n v="1718243203"/>
    <m/>
  </r>
  <r>
    <x v="9"/>
    <x v="30"/>
    <s v="Delma Costa Rodrigues"/>
    <s v="Feminino"/>
    <x v="27"/>
    <x v="24"/>
    <s v="20103662 - Pos Operatorio Em Um Membro (R$ 14,99)"/>
    <s v="Fisioterapia"/>
    <n v="1714971282"/>
    <s v="Finalizado (5/5)"/>
    <n v="12.5916"/>
    <n v="2.3984000000000001"/>
    <n v="14.99"/>
    <s v="Sessão Faturada"/>
    <n v="773626006971000"/>
    <n v="40465"/>
    <s v="Unidade Sao Jose"/>
    <n v="1714971282"/>
    <m/>
  </r>
  <r>
    <x v="9"/>
    <x v="13"/>
    <s v="Vicente de Paula Alburquerque Monteiro"/>
    <s v="Masculino"/>
    <x v="7"/>
    <x v="24"/>
    <s v="Sao José - 2 - Fisioterapia Ortopédica - Pacote (R$ 20,00)"/>
    <s v="Fisioterapia"/>
    <n v="168491"/>
    <s v="Finalizado (10/10)"/>
    <n v="15"/>
    <n v="5"/>
    <n v="20"/>
    <s v="Pago"/>
    <n v="59379"/>
    <n v="59379"/>
    <s v="Unidade Sao Jose"/>
    <n v="168491"/>
    <m/>
  </r>
  <r>
    <x v="9"/>
    <x v="13"/>
    <s v="Josiane de Sousa Santos"/>
    <s v="Feminino"/>
    <x v="8"/>
    <x v="24"/>
    <s v="20103492 - Patologia Em Dois Ou Mais Membros (R$ 14,83), 20103514 - Patologia Em Diferentes Segmentos da Coluna (R$ 14,83)"/>
    <s v="Fisioterapia"/>
    <n v="1718250190"/>
    <s v="Finalizado (1/5)"/>
    <n v="24.914400000000001"/>
    <n v="4.7455999999999996"/>
    <n v="29.66"/>
    <s v="Sessão Faturada"/>
    <n v="954600005274010"/>
    <n v="23225"/>
    <s v="Unidade Sao Jose"/>
    <n v="1718250190"/>
    <m/>
  </r>
  <r>
    <x v="9"/>
    <x v="14"/>
    <s v="Josiane de Sousa Santos"/>
    <s v="Feminino"/>
    <x v="9"/>
    <x v="24"/>
    <s v="31602185 - Estimulação Elétrica Transcutânea (Tens) - Removido 13/04/2026 (R$ 40,00)"/>
    <s v="Fisioterapia"/>
    <n v="1717527842"/>
    <s v="Finalizado (2/5)"/>
    <n v="33.6"/>
    <n v="6.4"/>
    <n v="40"/>
    <s v="Sessão Faturada"/>
    <n v="954600005274010"/>
    <n v="23225"/>
    <s v="Unidade Sao Jose"/>
    <n v="1717527842"/>
    <m/>
  </r>
  <r>
    <x v="9"/>
    <x v="6"/>
    <s v="Adriane Rodrigues da Costa"/>
    <s v="Feminino"/>
    <x v="2"/>
    <x v="24"/>
    <s v="20103514 - Fisioterapia - Patologia Em Diferentes Segmentos da Coluna (R$ 14,83)"/>
    <s v="Fisioterapia"/>
    <n v="1718255459"/>
    <s v="Finalizado (1/5)"/>
    <n v="12.4572"/>
    <n v="2.3727999999999998"/>
    <n v="14.83"/>
    <s v="Sessão a Faturar"/>
    <n v="770202163023010"/>
    <n v="59812"/>
    <s v="Unidade Sao Jose"/>
    <n v="1718255459"/>
    <m/>
  </r>
  <r>
    <x v="9"/>
    <x v="6"/>
    <s v="Adriane Rodrigues da Costa"/>
    <s v="Feminino"/>
    <x v="2"/>
    <x v="24"/>
    <s v="20103522 - Fisioterapia - Pac Com Dependencia de Vida Diária (R$ 23,59)"/>
    <s v="Fisioterapia"/>
    <n v="1718256156"/>
    <s v="Finalizado (1/5)"/>
    <n v="19.8156"/>
    <n v="3.7744"/>
    <n v="23.59"/>
    <s v="Sessão a Faturar"/>
    <n v="770202163023010"/>
    <n v="59812"/>
    <s v="Unidade Sao Jose"/>
    <n v="1718256156"/>
    <m/>
  </r>
  <r>
    <x v="9"/>
    <x v="6"/>
    <s v="Rossylene de Jesus Pinto da Silva"/>
    <s v="Feminino"/>
    <x v="7"/>
    <x v="24"/>
    <s v="Sao José - 2 - Fisioterapia Ortopédica - Pacote (R$ 20,00)"/>
    <s v="Fisioterapia"/>
    <n v="171503"/>
    <s v="Finalizado (10/10)"/>
    <n v="15"/>
    <n v="5"/>
    <n v="20"/>
    <s v="Pago"/>
    <n v="58721"/>
    <n v="58721"/>
    <s v="Unidade Sao Jose"/>
    <n v="171503"/>
    <m/>
  </r>
  <r>
    <x v="9"/>
    <x v="6"/>
    <s v="Adriane Rodrigues da Costa"/>
    <s v="Feminino"/>
    <x v="2"/>
    <x v="24"/>
    <s v="20103662 - Fisioterapia - Pos Operatorio Em Um Membro (R$ 14,99)"/>
    <s v="Fisioterapia"/>
    <n v="1718257241"/>
    <s v="Finalizado (1/5)"/>
    <n v="12.5916"/>
    <n v="2.3984000000000001"/>
    <n v="14.99"/>
    <s v="Sessão a Faturar"/>
    <n v="770202163023010"/>
    <n v="59812"/>
    <s v="Unidade Sao Jose"/>
    <n v="1718257241"/>
    <m/>
  </r>
  <r>
    <x v="9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9/10)"/>
    <n v="30"/>
    <n v="10"/>
    <n v="40"/>
    <s v="Pago"/>
    <n v="59492"/>
    <n v="59492"/>
    <s v="Unidade Sao Jose"/>
    <n v="171692"/>
    <m/>
  </r>
  <r>
    <x v="25"/>
    <x v="44"/>
    <s v="Kyssia Roberta Sena Batista de Souza"/>
    <s v="Feminino"/>
    <x v="8"/>
    <x v="24"/>
    <s v="20103662 - Pos Operatorio Em Um Membro (R$ 14,99)"/>
    <s v="Fisioterapia"/>
    <n v="1715865710"/>
    <s v="Finalizado (3/5)"/>
    <n v="12.5916"/>
    <n v="2.3984000000000001"/>
    <n v="14.99"/>
    <s v="Sessão Faturada"/>
    <n v="954600002461000"/>
    <n v="58661"/>
    <s v="Unidade Sao Jose"/>
    <n v="1715865710"/>
    <m/>
  </r>
  <r>
    <x v="25"/>
    <x v="44"/>
    <s v="Adan Williams Campos dos Santos"/>
    <s v="Masculino"/>
    <x v="27"/>
    <x v="24"/>
    <s v="20103514 - Patol. Em Diferentes Segmentos da Coluna (R$ 14,83)"/>
    <s v="Fisioterapia"/>
    <n v="1717582167"/>
    <s v="Finalizado (3/5)"/>
    <n v="12.4572"/>
    <n v="2.3727999999999998"/>
    <n v="14.83"/>
    <s v="Sessão a Faturar"/>
    <n v="775252004774010"/>
    <n v="59766"/>
    <s v="Unidade Sao Jose"/>
    <n v="1717582167"/>
    <m/>
  </r>
  <r>
    <x v="25"/>
    <x v="60"/>
    <s v="Kyssia Roberta Sena Batista de Souza"/>
    <s v="Feminino"/>
    <x v="9"/>
    <x v="24"/>
    <s v="31602185 - Estimulação Elétrica Transcutânea (Tens) - Removido 13/04/2026 (R$ 40,00)"/>
    <s v="Fisioterapia"/>
    <n v="1716927182"/>
    <s v="Finalizado (2/5)"/>
    <n v="33.6"/>
    <n v="6.4"/>
    <n v="40"/>
    <s v="Sessão Faturada"/>
    <n v="954600002461000"/>
    <n v="58661"/>
    <s v="Unidade Sao Jose"/>
    <n v="1716927182"/>
    <m/>
  </r>
  <r>
    <x v="25"/>
    <x v="60"/>
    <s v="Adan Williams Campos dos Santos"/>
    <s v="Masculino"/>
    <x v="4"/>
    <x v="24"/>
    <s v="31602185 - Estimulação Elétrica Transcutânea - Removido 13/04/2026 (R$ 40,00)"/>
    <s v="Fisioterapia"/>
    <n v="1718062399"/>
    <s v="Finalizado (2/5)"/>
    <n v="33.6"/>
    <n v="6.4"/>
    <n v="40"/>
    <s v="Sessão a Faturar"/>
    <n v="775252004774010"/>
    <n v="59766"/>
    <s v="Unidade Sao Jose"/>
    <n v="1718062399"/>
    <m/>
  </r>
  <r>
    <x v="25"/>
    <x v="36"/>
    <s v="Francisca Zuleide de Oliveira Araujo"/>
    <s v="Feminino"/>
    <x v="7"/>
    <x v="24"/>
    <s v="Sao José - 2 - Fisioterapia Ortopédica - Pacote (R$ 20,00)"/>
    <s v="Fisioterapia"/>
    <n v="171952"/>
    <s v="Finalizado (9/10)"/>
    <n v="15"/>
    <n v="5"/>
    <n v="20"/>
    <s v="Pago"/>
    <n v="59540"/>
    <n v="59540"/>
    <s v="Unidade Sao Jose"/>
    <n v="171952"/>
    <m/>
  </r>
  <r>
    <x v="25"/>
    <x v="40"/>
    <s v="Maria Chaves da Rocha"/>
    <s v="Feminino"/>
    <x v="7"/>
    <x v="24"/>
    <s v="Sao José - 2 - Fisioterapia Ortopédica - Pacote (R$ 20,00)"/>
    <s v="Fisioterapia"/>
    <n v="172049"/>
    <s v="Finalizado (2/10)"/>
    <n v="15"/>
    <n v="5"/>
    <n v="20"/>
    <s v="Pago"/>
    <n v="59684"/>
    <n v="59684"/>
    <s v="Unidade Sao Jose"/>
    <n v="172049"/>
    <m/>
  </r>
  <r>
    <x v="25"/>
    <x v="40"/>
    <s v="Claudenice Sales de Matos"/>
    <s v="Feminino"/>
    <x v="7"/>
    <x v="24"/>
    <s v="Sao José - 2 - Fisioterapia Ortopédica - Pacote (R$ 20,00)"/>
    <s v="Fisioterapia"/>
    <n v="172694"/>
    <s v="Finalizado (3/10)"/>
    <n v="15"/>
    <n v="5"/>
    <n v="20"/>
    <s v="No Prazo"/>
    <n v="59758"/>
    <n v="59758"/>
    <s v="Unidade Sao Jose"/>
    <n v="172694"/>
    <m/>
  </r>
  <r>
    <x v="25"/>
    <x v="35"/>
    <s v="Inoru Uchigasaki"/>
    <s v="Masculino"/>
    <x v="7"/>
    <x v="24"/>
    <s v="Sao José - 4 - Fisioterapia Neurológica/Respiratória - Pacote (R$ 50,00)"/>
    <s v="Fisioterapia"/>
    <n v="169780"/>
    <s v="Finalizado (9/10)"/>
    <n v="37.5"/>
    <n v="12.5"/>
    <n v="50"/>
    <s v="Pago"/>
    <n v="59468"/>
    <n v="59468"/>
    <s v="Unidade Sao Jose"/>
    <n v="169780"/>
    <m/>
  </r>
  <r>
    <x v="25"/>
    <x v="38"/>
    <s v="Ana Cristina de Frota Palheta"/>
    <s v="Feminino"/>
    <x v="6"/>
    <x v="24"/>
    <s v="20103476 - Patologia Neurologica (R$ 35,40)"/>
    <s v="Fisioterapia"/>
    <n v="172502"/>
    <s v="Finalizado (5/7)"/>
    <n v="29.736000000000001"/>
    <n v="5.6639999999999997"/>
    <n v="35.4"/>
    <s v="Sessão Faturada"/>
    <s v="54588888012065310011"/>
    <n v="20193"/>
    <s v="Unidade Sao Jose"/>
    <n v="172502"/>
    <m/>
  </r>
  <r>
    <x v="25"/>
    <x v="38"/>
    <s v="Maria da Conceição Silva de Sa"/>
    <s v="Feminino"/>
    <x v="7"/>
    <x v="24"/>
    <s v="Sao José - 2 - Fisioterapia Ortopédica - Pacote (R$ 20,00)"/>
    <s v="Fisioterapia"/>
    <n v="172700"/>
    <s v="Finalizado (4/10)"/>
    <n v="15"/>
    <n v="5"/>
    <n v="20"/>
    <s v="Pago"/>
    <n v="59759"/>
    <n v="59759"/>
    <s v="Unidade Sao Jose"/>
    <n v="172700"/>
    <m/>
  </r>
  <r>
    <x v="10"/>
    <x v="44"/>
    <s v="Cosme Pereira Borges"/>
    <s v="Masculino"/>
    <x v="7"/>
    <x v="24"/>
    <s v="Sao José - 2 - Fisioterapia Ortopédica - Pacote (R$ 20,00)"/>
    <s v="Fisioterapia"/>
    <n v="171796"/>
    <s v="Finalizado (8/10)"/>
    <n v="15"/>
    <n v="5"/>
    <n v="20"/>
    <s v="Pago"/>
    <n v="59654"/>
    <n v="59654"/>
    <s v="Unidade Sao Jose"/>
    <n v="171796"/>
    <m/>
  </r>
  <r>
    <x v="10"/>
    <x v="44"/>
    <s v="Silvia Serrão de Figueiredo"/>
    <s v="Feminino"/>
    <x v="27"/>
    <x v="24"/>
    <s v="20103522 - Fisioterapia - Pac Com Dependencia de Vida Diária (R$ 23,59)"/>
    <s v="Fisioterapia"/>
    <n v="1715388796"/>
    <s v="Finalizado (4/5)"/>
    <n v="19.8156"/>
    <n v="3.7744"/>
    <n v="23.59"/>
    <s v="Sessão Faturada"/>
    <n v="772133000485020"/>
    <n v="25348"/>
    <s v="Unidade Sao Jose"/>
    <n v="1715388796"/>
    <m/>
  </r>
  <r>
    <x v="10"/>
    <x v="73"/>
    <s v="Silvia Serrão de Figueiredo"/>
    <s v="Feminino"/>
    <x v="27"/>
    <x v="24"/>
    <s v="20103492 - Patol. Em Dois Ou Mais Membros (R$ 14,83), 20103514 - Patol. Em Diferentes Segmentos da Coluna (R$ 14,83)"/>
    <s v="Fisioterapia"/>
    <n v="1716943722"/>
    <s v="Finalizado (2/10)"/>
    <n v="24.914400000000001"/>
    <n v="4.7455999999999996"/>
    <n v="29.66"/>
    <s v="Sessão a Faturar"/>
    <n v="772133000485020"/>
    <n v="25348"/>
    <s v="Unidade Sao Jose"/>
    <n v="1716943722"/>
    <m/>
  </r>
  <r>
    <x v="10"/>
    <x v="74"/>
    <s v="Silvia Serrão de Figueiredo"/>
    <s v="Feminino"/>
    <x v="4"/>
    <x v="24"/>
    <s v="31602185 - Estimulação Elétrica Transcutânea - Removido 13/04/2026 (R$ 40,00)"/>
    <s v="Fisioterapia"/>
    <n v="1716948779"/>
    <s v="Finalizado (2/5)"/>
    <n v="33.6"/>
    <n v="6.4"/>
    <n v="40"/>
    <s v="Sessão Faturada"/>
    <n v="772133000485020"/>
    <n v="25348"/>
    <s v="Unidade Sao Jose"/>
    <n v="1716948779"/>
    <m/>
  </r>
  <r>
    <x v="10"/>
    <x v="36"/>
    <s v="Simone Soares Franco"/>
    <s v="Feminino"/>
    <x v="8"/>
    <x v="24"/>
    <s v="20103492 - Patologia Em Dois Ou Mais Membros (R$ 14,83)"/>
    <s v="Fisioterapia"/>
    <n v="1718839468"/>
    <s v="Finalizado (1/10)"/>
    <n v="12.4572"/>
    <n v="2.3727999999999998"/>
    <n v="14.83"/>
    <s v="Sessão a Faturar"/>
    <n v="954600000256000"/>
    <n v="24181"/>
    <s v="Unidade Sao Jose"/>
    <n v="1718839468"/>
    <m/>
  </r>
  <r>
    <x v="10"/>
    <x v="36"/>
    <s v="Simone Soares Franco"/>
    <s v="Feminino"/>
    <x v="8"/>
    <x v="24"/>
    <s v="20103522 - Fisioterapia - Pac Com Dependencia de Vida Diária (R$ 23,59)"/>
    <s v="Fisioterapia"/>
    <n v="1718840093"/>
    <s v="Finalizado (1/10)"/>
    <n v="19.8156"/>
    <n v="3.7744"/>
    <n v="23.59"/>
    <s v="Sessão a Faturar"/>
    <n v="954600000256000"/>
    <n v="24181"/>
    <s v="Unidade Sao Jose"/>
    <n v="1718840093"/>
    <m/>
  </r>
  <r>
    <x v="10"/>
    <x v="36"/>
    <s v="Manuela Soares de Freitas Mendonca"/>
    <s v="Feminino"/>
    <x v="8"/>
    <x v="24"/>
    <s v="20103484 - Patologia Em Um Membro (R$ 12,22), 20103514 - Patologia Em Diferentes Segmentos da Coluna (R$ 14,83)"/>
    <s v="Fisioterapia"/>
    <n v="1718843252"/>
    <s v="Finalizado (1/10)"/>
    <n v="22.722000000000001"/>
    <n v="4.3280000000000003"/>
    <n v="27.05"/>
    <s v="Sessão a Faturar"/>
    <n v="954600000256030"/>
    <n v="53656"/>
    <s v="Unidade Sao Jose"/>
    <n v="1718843252"/>
    <m/>
  </r>
  <r>
    <x v="10"/>
    <x v="36"/>
    <s v="Custodia Herminia de Sousa Filha"/>
    <s v="Feminino"/>
    <x v="7"/>
    <x v="24"/>
    <s v="Sao José - 2 - Fisioterapia Ortopédica - Pacote (R$ 20,00)"/>
    <s v="Fisioterapia"/>
    <n v="171939"/>
    <s v="Finalizado (8/10)"/>
    <n v="15"/>
    <n v="5"/>
    <n v="20"/>
    <s v="Pago"/>
    <n v="58051"/>
    <n v="58051"/>
    <s v="Unidade Sao Jose"/>
    <n v="171939"/>
    <m/>
  </r>
  <r>
    <x v="10"/>
    <x v="36"/>
    <s v="Simone Soares Franco"/>
    <s v="Feminino"/>
    <x v="9"/>
    <x v="24"/>
    <s v="31602185 - Estimulação Elétrica Transcutânea (Tens) - Removido 13/04/2026 (R$ 40,00)"/>
    <s v="Fisioterapia"/>
    <n v="1713269007"/>
    <s v="Finalizado (4/5)"/>
    <n v="33.6"/>
    <n v="6.4"/>
    <n v="40"/>
    <s v="Sessão Faturada"/>
    <n v="954600000256000"/>
    <n v="24181"/>
    <s v="Unidade Sao Jose"/>
    <n v="1713269007"/>
    <m/>
  </r>
  <r>
    <x v="10"/>
    <x v="40"/>
    <s v="Francisca Zuleide de Oliveira Araujo"/>
    <s v="Feminino"/>
    <x v="7"/>
    <x v="24"/>
    <s v="Sao José - 2 - Fisioterapia Ortopédica - Pacote (R$ 20,00)"/>
    <s v="Fisioterapia"/>
    <n v="171952"/>
    <s v="Finalizado (10/10)"/>
    <n v="15"/>
    <n v="5"/>
    <n v="20"/>
    <s v="Pago"/>
    <n v="59540"/>
    <n v="59540"/>
    <s v="Unidade Sao Jose"/>
    <n v="171952"/>
    <m/>
  </r>
  <r>
    <x v="10"/>
    <x v="40"/>
    <s v="Aldenir de Lima Rolim Aquino"/>
    <s v="Feminino"/>
    <x v="7"/>
    <x v="24"/>
    <s v="Sao José - 2 - Fisioterapia Ortopédica - Pacote (R$ 20,00)"/>
    <s v="Fisioterapia"/>
    <n v="172176"/>
    <s v="Finalizado (6/10)"/>
    <n v="15"/>
    <n v="5"/>
    <n v="20"/>
    <s v="Pago"/>
    <n v="39454"/>
    <n v="39454"/>
    <s v="Unidade Sao Jose"/>
    <n v="172176"/>
    <m/>
  </r>
  <r>
    <x v="10"/>
    <x v="40"/>
    <s v="Adan Williams Campos dos Santos"/>
    <s v="Masculino"/>
    <x v="27"/>
    <x v="24"/>
    <s v="20103514 - Patol. Em Diferentes Segmentos da Coluna (R$ 14,83)"/>
    <s v="Fisioterapia"/>
    <n v="1717582167"/>
    <s v="Finalizado (4/5)"/>
    <n v="12.4572"/>
    <n v="2.3727999999999998"/>
    <n v="14.83"/>
    <s v="Sessão a Faturar"/>
    <n v="775252004774010"/>
    <n v="59766"/>
    <s v="Unidade Sao Jose"/>
    <n v="1717582167"/>
    <m/>
  </r>
  <r>
    <x v="10"/>
    <x v="40"/>
    <s v="Ramom Galvao da Silva"/>
    <s v="Masculino"/>
    <x v="7"/>
    <x v="24"/>
    <s v="Sao José - 2 - Fisioterapia Ortopédica - Pacote (R$ 20,00)"/>
    <s v="Fisioterapia"/>
    <n v="173070"/>
    <s v="Finalizado (2/10)"/>
    <n v="15"/>
    <n v="5"/>
    <n v="20"/>
    <s v="Pago"/>
    <n v="50935"/>
    <n v="50935"/>
    <s v="Unidade Sao Jose"/>
    <n v="173070"/>
    <m/>
  </r>
  <r>
    <x v="10"/>
    <x v="40"/>
    <s v="Ana Cristina de Frota Palheta"/>
    <s v="Feminino"/>
    <x v="6"/>
    <x v="24"/>
    <s v="31602185 - Estimulação Elétrica Transcutanea (Tens) (R$ 40,00)"/>
    <s v="Fisioterapia"/>
    <n v="172385"/>
    <s v="Finalizado (5/6)"/>
    <n v="33.6"/>
    <n v="6.4"/>
    <n v="40"/>
    <s v="Sessão Faturada"/>
    <s v="54588888012065310011"/>
    <n v="20193"/>
    <s v="Unidade Sao Jose"/>
    <n v="172385"/>
    <m/>
  </r>
  <r>
    <x v="10"/>
    <x v="45"/>
    <s v="Adan Williams Campos dos Santos"/>
    <s v="Masculino"/>
    <x v="4"/>
    <x v="24"/>
    <s v="31602185 - Estimulação Elétrica Transcutânea - Removido 13/04/2026 (R$ 40,00)"/>
    <s v="Fisioterapia"/>
    <n v="1718062399"/>
    <s v="Finalizado (3/5)"/>
    <n v="33.6"/>
    <n v="6.4"/>
    <n v="40"/>
    <s v="Sessão a Faturar"/>
    <n v="775252004774010"/>
    <n v="59766"/>
    <s v="Unidade Sao Jose"/>
    <n v="1718062399"/>
    <m/>
  </r>
  <r>
    <x v="10"/>
    <x v="45"/>
    <s v="Ana Cristina de Frota Palheta"/>
    <s v="Feminino"/>
    <x v="6"/>
    <x v="24"/>
    <s v="20103476 - Patologia Neurologica (R$ 35,40)"/>
    <s v="Fisioterapia"/>
    <n v="172502"/>
    <s v="Finalizado (6/7)"/>
    <n v="29.736000000000001"/>
    <n v="5.6639999999999997"/>
    <n v="35.4"/>
    <s v="Sessão Faturada"/>
    <s v="54588888012065310011"/>
    <n v="20193"/>
    <s v="Unidade Sao Jose"/>
    <n v="172502"/>
    <m/>
  </r>
  <r>
    <x v="10"/>
    <x v="35"/>
    <s v="Misleia Fernandes Mendes"/>
    <s v="Feminino"/>
    <x v="4"/>
    <x v="24"/>
    <s v="31602185 - Estimulação Elétrica Transcutânea - Removido 13/04/2026 (R$ 40,00)"/>
    <s v="Fisioterapia"/>
    <n v="1713867739"/>
    <s v="Finalizado (4/5)"/>
    <n v="33.6"/>
    <n v="6.4"/>
    <n v="40"/>
    <s v="Sessão a Faturar"/>
    <n v="770179020664010"/>
    <n v="44824"/>
    <s v="Unidade Sao Jose"/>
    <n v="1713867739"/>
    <m/>
  </r>
  <r>
    <x v="10"/>
    <x v="35"/>
    <s v="Jean da Silva Melo"/>
    <s v="Masculino"/>
    <x v="9"/>
    <x v="24"/>
    <s v="31602185 - Estimulação Elétrica Transcutânea (Tens) - Removido 13/04/2026 (R$ 40,00)"/>
    <s v="Fisioterapia"/>
    <n v="1717034698"/>
    <s v="Finalizado (3/5)"/>
    <n v="33.6"/>
    <n v="6.4"/>
    <n v="40"/>
    <s v="Sessão Faturada"/>
    <n v="954600003042000"/>
    <n v="29915"/>
    <s v="Unidade Sao Jose"/>
    <n v="1717034698"/>
    <m/>
  </r>
  <r>
    <x v="10"/>
    <x v="35"/>
    <s v="Jean da Silva Melo"/>
    <s v="Masculino"/>
    <x v="14"/>
    <x v="24"/>
    <s v="20103662 - Fisioterapia - Pos Operatorio Em Um Membro (R$ 14,99)"/>
    <s v="Fisioterapia"/>
    <n v="1718852732"/>
    <s v="Finalizado (1/5)"/>
    <n v="12.5916"/>
    <n v="2.3984000000000001"/>
    <n v="14.99"/>
    <s v="Sessão a Faturar"/>
    <n v="954600003042000"/>
    <n v="29915"/>
    <s v="Unidade Sao Jose"/>
    <n v="1718852732"/>
    <m/>
  </r>
  <r>
    <x v="10"/>
    <x v="35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8854251"/>
    <s v="Finalizado (1/5)"/>
    <n v="24.914400000000001"/>
    <n v="4.7455999999999996"/>
    <n v="29.66"/>
    <s v="Sessão a Faturar"/>
    <n v="954600003042000"/>
    <n v="29915"/>
    <s v="Unidade Sao Jose"/>
    <n v="1718854251"/>
    <m/>
  </r>
  <r>
    <x v="10"/>
    <x v="35"/>
    <s v="Raynara Santos de Carvalho"/>
    <s v="Feminino"/>
    <x v="27"/>
    <x v="24"/>
    <s v="20103522 - Fisioterapia - Pac Com Dependencia de Vida Diária (R$ 23,59)"/>
    <s v="Fisioterapia"/>
    <n v="1717565070"/>
    <s v="Finalizado (3/5)"/>
    <n v="19.8156"/>
    <n v="3.7744"/>
    <n v="23.59"/>
    <s v="Sessão a Faturar"/>
    <n v="774634001384000"/>
    <n v="59689"/>
    <s v="Unidade Sao Jose"/>
    <n v="1717565070"/>
    <m/>
  </r>
  <r>
    <x v="10"/>
    <x v="35"/>
    <s v="Ana Chaves Medeiros"/>
    <s v="Feminino"/>
    <x v="7"/>
    <x v="24"/>
    <s v="Sao José - 2 - Fisioterapia Ortopédica - Pacote (R$ 20,00)"/>
    <s v="Fisioterapia"/>
    <n v="173161"/>
    <s v="Finalizado (2/10)"/>
    <n v="15"/>
    <n v="5"/>
    <n v="20"/>
    <s v="Pago"/>
    <n v="58181"/>
    <n v="58181"/>
    <s v="Unidade Sao Jose"/>
    <n v="173161"/>
    <m/>
  </r>
  <r>
    <x v="10"/>
    <x v="70"/>
    <s v="Raynara Santos de Carvalho"/>
    <s v="Feminino"/>
    <x v="27"/>
    <x v="24"/>
    <s v="20103220 - Fisioterapia Respiratoria (R$ 12,22)"/>
    <s v="Fisioterapia"/>
    <n v="1717564579"/>
    <s v="Finalizado (3/5)"/>
    <n v="10.264799999999999"/>
    <n v="1.9552"/>
    <n v="12.22"/>
    <s v="Sessão a Faturar"/>
    <n v="774634001384000"/>
    <n v="59689"/>
    <s v="Unidade Sao Jose"/>
    <n v="1717564579"/>
    <m/>
  </r>
  <r>
    <x v="10"/>
    <x v="71"/>
    <s v="Raynara Santos de Carvalho"/>
    <s v="Feminino"/>
    <x v="27"/>
    <x v="24"/>
    <s v="20103514 - Patol. Em Diferentes Segmentos da Coluna (R$ 14,83)"/>
    <s v="Fisioterapia"/>
    <n v="1717563939"/>
    <s v="Finalizado (3/5)"/>
    <n v="12.4572"/>
    <n v="2.3727999999999998"/>
    <n v="14.83"/>
    <s v="Sessão a Faturar"/>
    <n v="774634001384000"/>
    <n v="59689"/>
    <s v="Unidade Sao Jose"/>
    <n v="1717563939"/>
    <m/>
  </r>
  <r>
    <x v="10"/>
    <x v="38"/>
    <s v="Misleia Fernandes Mendes"/>
    <s v="Feminino"/>
    <x v="27"/>
    <x v="24"/>
    <s v="20103492 - Patol. Em Dois Ou Mais Membros (R$ 14,83), 20103514 - Patol. Em Diferentes Segmentos da Coluna (R$ 14,83)"/>
    <s v="Fisioterapia"/>
    <n v="1718924466"/>
    <s v="Finalizado (1/5)"/>
    <n v="24.914400000000001"/>
    <n v="4.7455999999999996"/>
    <n v="29.66"/>
    <s v="Sessão a Faturar"/>
    <n v="770179020664010"/>
    <n v="44824"/>
    <s v="Unidade Sao Jose"/>
    <n v="1718924466"/>
    <m/>
  </r>
  <r>
    <x v="10"/>
    <x v="38"/>
    <s v="Misleia Fernandes Mendes"/>
    <s v="Feminino"/>
    <x v="27"/>
    <x v="24"/>
    <s v="20103522 - Fisioterapia - Pac Com Dependencia de Vida Diária (R$ 23,59)"/>
    <s v="Fisioterapia"/>
    <n v="1718926610"/>
    <s v="Finalizado (1/5)"/>
    <n v="19.8156"/>
    <n v="3.7744"/>
    <n v="23.59"/>
    <s v="Sessão a Faturar"/>
    <n v="770179020664010"/>
    <n v="44824"/>
    <s v="Unidade Sao Jose"/>
    <n v="1718926610"/>
    <m/>
  </r>
  <r>
    <x v="10"/>
    <x v="38"/>
    <s v="Maria da Conceição Silva de Sa"/>
    <s v="Feminino"/>
    <x v="7"/>
    <x v="24"/>
    <s v="Sao José - 2 - Fisioterapia Ortopédica - Pacote (R$ 20,00)"/>
    <s v="Fisioterapia"/>
    <n v="172700"/>
    <s v="Finalizado (5/10)"/>
    <n v="15"/>
    <n v="5"/>
    <n v="20"/>
    <s v="Pago"/>
    <n v="59759"/>
    <n v="59759"/>
    <s v="Unidade Sao Jose"/>
    <n v="172700"/>
    <m/>
  </r>
  <r>
    <x v="10"/>
    <x v="37"/>
    <s v="Ozita Campos Barbosa Alves"/>
    <s v="Feminino"/>
    <x v="7"/>
    <x v="24"/>
    <s v="Sao José - 2 - Fisioterapia Ortopédica - Pacote (R$ 20,00), Sao José - 12 - Fisioterapia Ortopédica - Pacote 2 (R$ 20,00)"/>
    <s v="Fisioterapia"/>
    <n v="171321"/>
    <s v="Finalizado (9/10)"/>
    <n v="30"/>
    <n v="10"/>
    <n v="40"/>
    <s v="Pago"/>
    <n v="59611"/>
    <n v="59611"/>
    <s v="Unidade Sao Jose"/>
    <n v="171321"/>
    <m/>
  </r>
  <r>
    <x v="10"/>
    <x v="43"/>
    <s v="Neder Albuquerque Correa"/>
    <s v="Masculino"/>
    <x v="7"/>
    <x v="24"/>
    <s v="Sao José - 1 - Fisioterapia Ortopédica - Sessão (R$ 45,00)"/>
    <s v="Fisioterapia"/>
    <m/>
    <s v="Finalizado (1/1)"/>
    <n v="33.75"/>
    <n v="11.25"/>
    <n v="45"/>
    <s v="Pago"/>
    <n v="59824"/>
    <n v="59824"/>
    <s v="Unidade Sao Jose"/>
    <m/>
    <m/>
  </r>
  <r>
    <x v="10"/>
    <x v="22"/>
    <s v="Jose Edson Moura de Melo"/>
    <s v="Masculino"/>
    <x v="2"/>
    <x v="24"/>
    <s v="20103662 - Fisioterapia - Pos Operatorio Em Um Membro (R$ 14,99)"/>
    <s v="Fisioterapia"/>
    <n v="1716674013"/>
    <s v="Finalizado (2/5)"/>
    <n v="12.5916"/>
    <n v="2.3984000000000001"/>
    <n v="14.99"/>
    <s v="Sessão a Faturar"/>
    <n v="774722014389010"/>
    <n v="45960"/>
    <s v="Unidade Sao Jose"/>
    <n v="1716674013"/>
    <m/>
  </r>
  <r>
    <x v="10"/>
    <x v="22"/>
    <s v="Marlene Pereira Lima"/>
    <s v="Feminino"/>
    <x v="7"/>
    <x v="24"/>
    <s v="Sao José - 2 - Fisioterapia Ortopédica - Pacote (R$ 20,00)"/>
    <s v="Fisioterapia"/>
    <n v="171851"/>
    <s v="Finalizado (5/10)"/>
    <n v="15"/>
    <n v="5"/>
    <n v="20"/>
    <s v="Pago"/>
    <n v="37569"/>
    <n v="37569"/>
    <s v="Unidade Sao Jose"/>
    <n v="171851"/>
    <m/>
  </r>
  <r>
    <x v="10"/>
    <x v="22"/>
    <s v="Bruno Nascimento Gomes"/>
    <s v="Masculino"/>
    <x v="7"/>
    <x v="24"/>
    <s v="Sao José - 14 - Fisioterapia Pós Operatória - Pacote (R$ 50,00)"/>
    <s v="Fisioterapia"/>
    <n v="173188"/>
    <s v="Finalizado (1/5)"/>
    <n v="37.5"/>
    <n v="12.5"/>
    <n v="50"/>
    <s v="Pago"/>
    <n v="59713"/>
    <n v="59713"/>
    <s v="Unidade Sao Jose"/>
    <n v="173188"/>
    <m/>
  </r>
  <r>
    <x v="10"/>
    <x v="0"/>
    <s v="Nádia Eunice Batalha de Pinho"/>
    <s v="Feminino"/>
    <x v="27"/>
    <x v="24"/>
    <s v="20103662 - Pos Operatorio Em Um Membro (R$ 14,99)"/>
    <s v="Fisioterapia"/>
    <n v="1718190041"/>
    <s v="Finalizado (2/5)"/>
    <n v="12.5916"/>
    <n v="2.3984000000000001"/>
    <n v="14.99"/>
    <s v="Sessão a Faturar"/>
    <n v="774385001546010"/>
    <n v="58963"/>
    <s v="Unidade Sao Jose"/>
    <n v="1718190041"/>
    <m/>
  </r>
  <r>
    <x v="10"/>
    <x v="0"/>
    <s v="Glívena Souza Félix"/>
    <s v="Feminino"/>
    <x v="7"/>
    <x v="24"/>
    <s v="Sao José - 4 - Fisioterapia Neurológica/Respiratória - Pacote (R$ 50,00)"/>
    <s v="Fisioterapia"/>
    <n v="170807"/>
    <s v="Finalizado (9/10)"/>
    <n v="37.5"/>
    <n v="12.5"/>
    <n v="50"/>
    <s v="Pago"/>
    <n v="57339"/>
    <n v="57339"/>
    <s v="Unidade Sao Jose"/>
    <n v="170807"/>
    <m/>
  </r>
  <r>
    <x v="10"/>
    <x v="0"/>
    <s v="Ângela Isabel Barbosa Rego"/>
    <s v="Feminino"/>
    <x v="7"/>
    <x v="24"/>
    <s v="Sao José - 2 - Fisioterapia Ortopédica - Pacote (R$ 20,00)"/>
    <s v="Fisioterapia"/>
    <n v="172175"/>
    <s v="Finalizado (5/10)"/>
    <n v="15"/>
    <n v="5"/>
    <n v="20"/>
    <s v="Pago"/>
    <n v="59455"/>
    <n v="59455"/>
    <s v="Unidade Sao Jose"/>
    <n v="172175"/>
    <m/>
  </r>
  <r>
    <x v="10"/>
    <x v="1"/>
    <s v="Nádia Eunice Batalha de Pinho"/>
    <s v="Feminino"/>
    <x v="27"/>
    <x v="24"/>
    <s v="20103484 - Patologia Em Um Membro (R$ 12,22)"/>
    <s v="Fisioterapia"/>
    <n v="1718190690"/>
    <s v="Finalizado (2/5)"/>
    <n v="10.264799999999999"/>
    <n v="1.9552"/>
    <n v="12.22"/>
    <s v="Sessão a Faturar"/>
    <n v="774385001546010"/>
    <n v="58963"/>
    <s v="Unidade Sao Jose"/>
    <n v="1718190690"/>
    <m/>
  </r>
  <r>
    <x v="10"/>
    <x v="2"/>
    <s v="Aloson Soares de Abreu"/>
    <s v="Masculino"/>
    <x v="7"/>
    <x v="24"/>
    <s v="Sao José - 2 - Fisioterapia Ortopédica - Pacote (R$ 20,00)"/>
    <s v="Fisioterapia"/>
    <n v="173358"/>
    <s v="Finalizado (1/10)"/>
    <n v="15"/>
    <n v="5"/>
    <n v="20"/>
    <s v="No Prazo"/>
    <n v="59823"/>
    <n v="59823"/>
    <s v="Unidade Sao Jose"/>
    <n v="173358"/>
    <m/>
  </r>
  <r>
    <x v="10"/>
    <x v="2"/>
    <s v="Mauro Marcelo Barros"/>
    <s v="Masculino"/>
    <x v="7"/>
    <x v="24"/>
    <s v="Sao José - 2 - Fisioterapia Ortopédica - Pacote (R$ 20,00)"/>
    <s v="Fisioterapia"/>
    <n v="172744"/>
    <s v="Finalizado (3/10)"/>
    <n v="15"/>
    <n v="5"/>
    <n v="20"/>
    <s v="Pago"/>
    <n v="55880"/>
    <n v="55880"/>
    <s v="Unidade Sao Jose"/>
    <n v="172744"/>
    <m/>
  </r>
  <r>
    <x v="10"/>
    <x v="2"/>
    <s v="Jocineide Faria da Silva"/>
    <s v="Feminino"/>
    <x v="7"/>
    <x v="24"/>
    <s v="Sao José - 14 - Fisioterapia Pós Operatória - Pacote (R$ 50,00)"/>
    <s v="Fisioterapia"/>
    <n v="172708"/>
    <s v="Finalizado (3/10)"/>
    <n v="37.5"/>
    <n v="12.5"/>
    <n v="50"/>
    <s v="No Prazo"/>
    <n v="59761"/>
    <n v="59761"/>
    <s v="Unidade Sao Jose"/>
    <n v="172708"/>
    <m/>
  </r>
  <r>
    <x v="10"/>
    <x v="2"/>
    <s v="Nazare Pedroza Alves"/>
    <s v="Masculino"/>
    <x v="7"/>
    <x v="24"/>
    <s v="Sao José - 2 - Fisioterapia Ortopédica - Pacote (R$ 20,00)"/>
    <s v="Fisioterapia"/>
    <n v="168948"/>
    <s v="Finalizado (10/10)"/>
    <n v="15"/>
    <n v="5"/>
    <n v="20"/>
    <s v="Pago"/>
    <n v="143890"/>
    <n v="43890"/>
    <s v="Unidade Sao Jose"/>
    <n v="168948"/>
    <m/>
  </r>
  <r>
    <x v="10"/>
    <x v="4"/>
    <s v="Jacqueline Lima de Oliveira"/>
    <s v="Feminino"/>
    <x v="4"/>
    <x v="24"/>
    <s v="31602185 - Estimulação Elétrica Transcutânea - Removido 13/04/2026 (R$ 40,00)"/>
    <s v="Fisioterapia"/>
    <n v="1710226070"/>
    <s v="Finalizado (5/5)"/>
    <n v="33.6"/>
    <n v="6.4"/>
    <n v="40"/>
    <s v="Sessão Faturada"/>
    <n v="611481880006000"/>
    <n v="59217"/>
    <s v="Unidade Sao Jose"/>
    <n v="1710226070"/>
    <m/>
  </r>
  <r>
    <x v="10"/>
    <x v="4"/>
    <s v="Delma Costa Rodrigues"/>
    <s v="Feminino"/>
    <x v="27"/>
    <x v="24"/>
    <s v="20103522 - Fisioterapia - Pac Com Dependencia de Vida Diária (R$ 23,59)"/>
    <s v="Fisioterapia"/>
    <n v="1719103763"/>
    <s v="Finalizado (1/5)"/>
    <n v="19.8156"/>
    <n v="3.7744"/>
    <n v="23.59"/>
    <s v="Sessão a Faturar"/>
    <n v="773626006971000"/>
    <n v="40465"/>
    <s v="Unidade Sao Jose"/>
    <n v="1719103763"/>
    <m/>
  </r>
  <r>
    <x v="10"/>
    <x v="4"/>
    <s v="Delma Costa Rodrigues"/>
    <s v="Feminino"/>
    <x v="4"/>
    <x v="24"/>
    <s v="31602185 - Estimulação Elétrica Transcutânea - Removido 13/04/2026 (R$ 40,00)"/>
    <s v="Fisioterapia"/>
    <n v="1715849294"/>
    <s v="Finalizado (5/5)"/>
    <n v="33.6"/>
    <n v="6.4"/>
    <n v="40"/>
    <s v="Sessão Faturada"/>
    <n v="773626006971000"/>
    <n v="40465"/>
    <s v="Unidade Sao Jose"/>
    <n v="1715849294"/>
    <m/>
  </r>
  <r>
    <x v="10"/>
    <x v="29"/>
    <s v="Jacqueline Lima de Oliveira"/>
    <s v="Feminino"/>
    <x v="27"/>
    <x v="24"/>
    <s v="20103522 - Fisioterapia - Pac Com Dependencia de Vida Diária (R$ 23,59)"/>
    <s v="Fisioterapia"/>
    <n v="1718093437"/>
    <s v="Finalizado (2/5)"/>
    <n v="19.8156"/>
    <n v="3.7744"/>
    <n v="23.59"/>
    <s v="Sessão a Faturar"/>
    <n v="611481880006000"/>
    <n v="59217"/>
    <s v="Unidade Sao Jose"/>
    <n v="1718093437"/>
    <m/>
  </r>
  <r>
    <x v="10"/>
    <x v="29"/>
    <s v="Delma Costa Rodrigues"/>
    <s v="Feminino"/>
    <x v="27"/>
    <x v="24"/>
    <s v="20103514 - Patol. Em Diferentes Segmentos da Coluna (R$ 14,83)"/>
    <s v="Fisioterapia"/>
    <n v="1719102540"/>
    <s v="Finalizado (1/5)"/>
    <n v="12.4572"/>
    <n v="2.3727999999999998"/>
    <n v="14.83"/>
    <s v="Sessão a Faturar"/>
    <n v="773626006971000"/>
    <n v="40465"/>
    <s v="Unidade Sao Jose"/>
    <n v="1719102540"/>
    <m/>
  </r>
  <r>
    <x v="10"/>
    <x v="30"/>
    <s v="Jacqueline Lima de Oliveira"/>
    <s v="Feminino"/>
    <x v="27"/>
    <x v="24"/>
    <s v="20103670 - Pos Operatorio Em Dois Ou Mais Membros (R$ 19,30)"/>
    <s v="Fisioterapia"/>
    <n v="1718093895"/>
    <s v="Finalizado (2/5)"/>
    <n v="16.212"/>
    <n v="3.0880000000000001"/>
    <n v="19.3"/>
    <s v="Sessão a Faturar"/>
    <n v="611481880006000"/>
    <n v="59217"/>
    <s v="Unidade Sao Jose"/>
    <n v="1718093895"/>
    <m/>
  </r>
  <r>
    <x v="10"/>
    <x v="30"/>
    <s v="Delma Costa Rodrigues"/>
    <s v="Feminino"/>
    <x v="27"/>
    <x v="24"/>
    <s v="20103662 - Pos Operatorio Em Um Membro (R$ 14,99)"/>
    <s v="Fisioterapia"/>
    <n v="1719101804"/>
    <s v="Finalizado (1/5)"/>
    <n v="12.5916"/>
    <n v="2.3984000000000001"/>
    <n v="14.99"/>
    <s v="Sessão a Faturar"/>
    <n v="773626006971000"/>
    <n v="40465"/>
    <s v="Unidade Sao Jose"/>
    <n v="1719101804"/>
    <m/>
  </r>
  <r>
    <x v="10"/>
    <x v="13"/>
    <s v="Adriane Rodrigues da Costa"/>
    <s v="Feminino"/>
    <x v="2"/>
    <x v="24"/>
    <s v="20103514 - Fisioterapia - Patologia Em Diferentes Segmentos da Coluna (R$ 14,83)"/>
    <s v="Fisioterapia"/>
    <n v="1718255459"/>
    <s v="Finalizado (2/5)"/>
    <n v="12.4572"/>
    <n v="2.3727999999999998"/>
    <n v="14.83"/>
    <s v="Sessão a Faturar"/>
    <n v="770202163023010"/>
    <n v="59812"/>
    <s v="Unidade Sao Jose"/>
    <n v="1718255459"/>
    <m/>
  </r>
  <r>
    <x v="10"/>
    <x v="13"/>
    <s v="Claudenice Sales de Matos"/>
    <s v="Feminino"/>
    <x v="7"/>
    <x v="24"/>
    <s v="Sao José - 2 - Fisioterapia Ortopédica - Pacote (R$ 20,00)"/>
    <s v="Fisioterapia"/>
    <n v="172694"/>
    <s v="Finalizado (4/10)"/>
    <n v="15"/>
    <n v="5"/>
    <n v="20"/>
    <s v="No Prazo"/>
    <n v="59758"/>
    <n v="59758"/>
    <s v="Unidade Sao Jose"/>
    <n v="172694"/>
    <m/>
  </r>
  <r>
    <x v="10"/>
    <x v="13"/>
    <s v="Diana Costa Tavares Gonçalves"/>
    <s v="Feminino"/>
    <x v="4"/>
    <x v="24"/>
    <s v="31602185 - Estimulação Elétrica Transcutânea - Removido 13/04/2026 (R$ 40,00)"/>
    <s v="Fisioterapia"/>
    <n v="1712924637"/>
    <s v="Finalizado (2/3)"/>
    <n v="33.6"/>
    <n v="6.4"/>
    <n v="40"/>
    <s v="Sessão Faturada"/>
    <n v="813227000817000"/>
    <n v="52256"/>
    <s v="Unidade Sao Jose"/>
    <n v="1712924637"/>
    <m/>
  </r>
  <r>
    <x v="10"/>
    <x v="31"/>
    <s v="Adriane Rodrigues da Costa"/>
    <s v="Feminino"/>
    <x v="2"/>
    <x v="24"/>
    <s v="20103522 - Fisioterapia - Pac Com Dependencia de Vida Diária (R$ 23,59)"/>
    <s v="Fisioterapia"/>
    <n v="1718256156"/>
    <s v="Finalizado (2/5)"/>
    <n v="19.8156"/>
    <n v="3.7744"/>
    <n v="23.59"/>
    <s v="Sessão a Faturar"/>
    <n v="770202163023010"/>
    <n v="59812"/>
    <s v="Unidade Sao Jose"/>
    <n v="1718256156"/>
    <m/>
  </r>
  <r>
    <x v="10"/>
    <x v="14"/>
    <s v="Diana Costa Tavares Gonçalves"/>
    <s v="Feminino"/>
    <x v="27"/>
    <x v="24"/>
    <s v="20103492 - Patol. Em Dois Ou Mais Membros (R$ 14,83), 20103514 - Patol. Em Diferentes Segmentos da Coluna (R$ 14,83)"/>
    <s v="Fisioterapia"/>
    <n v="1708027076"/>
    <s v="Finalizado (3/5)"/>
    <n v="24.914400000000001"/>
    <n v="4.7455999999999996"/>
    <n v="29.66"/>
    <s v="Sessão a Faturar"/>
    <n v="813227000817000"/>
    <n v="52256"/>
    <s v="Unidade Sao Jose"/>
    <n v="1708027076"/>
    <m/>
  </r>
  <r>
    <x v="10"/>
    <x v="32"/>
    <s v="Adriane Rodrigues da Costa"/>
    <s v="Feminino"/>
    <x v="2"/>
    <x v="24"/>
    <s v="20103662 - Fisioterapia - Pos Operatorio Em Um Membro (R$ 14,99)"/>
    <s v="Fisioterapia"/>
    <n v="1718257241"/>
    <s v="Finalizado (2/5)"/>
    <n v="12.5916"/>
    <n v="2.3984000000000001"/>
    <n v="14.99"/>
    <s v="Sessão a Faturar"/>
    <n v="770202163023010"/>
    <n v="59812"/>
    <s v="Unidade Sao Jose"/>
    <n v="1718257241"/>
    <m/>
  </r>
  <r>
    <x v="10"/>
    <x v="6"/>
    <s v="Paulo Vitor Brasil Santos"/>
    <s v="Masculino"/>
    <x v="8"/>
    <x v="24"/>
    <s v="50000144 - Consulta de Fisioterapia (R$ 51,42)"/>
    <s v="Fisioterapia"/>
    <n v="1719140505"/>
    <s v="Finalizado (1/1)"/>
    <n v="46.277999999999999"/>
    <n v="5.1420000000000003"/>
    <n v="51.42"/>
    <s v="Sessão Faturada"/>
    <n v="954600016713010"/>
    <n v="59793"/>
    <s v="Unidade Sao Jose"/>
    <n v="1719140505"/>
    <m/>
  </r>
  <r>
    <x v="10"/>
    <x v="15"/>
    <s v="Erika Andrade Ramos"/>
    <s v="Feminino"/>
    <x v="13"/>
    <x v="24"/>
    <s v="20103492 - Patologia Em Dois Ou Mais Membros (R$ 32,28), 20103514 - Patologia Em Diferentes Segmentos da Coluna (R$ 41,45)"/>
    <s v="Fisioterapia"/>
    <n v="13137959"/>
    <s v="Finalizado (4/10)"/>
    <n v="61.933199999999999"/>
    <n v="11.796799999999999"/>
    <n v="73.73"/>
    <s v="Sessão Faturada"/>
    <s v="00010130000043004"/>
    <n v="41108"/>
    <s v="Unidade Sao Jose"/>
    <n v="13137959"/>
    <m/>
  </r>
  <r>
    <x v="10"/>
    <x v="17"/>
    <s v="Maria Neide Oliveira Marques"/>
    <s v="Feminino"/>
    <x v="9"/>
    <x v="24"/>
    <s v="31602185 - Estimulação Elétrica Transcutânea (Tens) - Removido 13/04/2026 (R$ 40,00)"/>
    <s v="Fisioterapia"/>
    <n v="1710472621"/>
    <s v="Finalizado (5/5)"/>
    <n v="33.6"/>
    <n v="6.4"/>
    <n v="40"/>
    <s v="Sessão Faturada"/>
    <n v="954600008419020"/>
    <n v="52794"/>
    <s v="Unidade Sao Jose"/>
    <n v="1710472621"/>
    <m/>
  </r>
  <r>
    <x v="10"/>
    <x v="17"/>
    <s v="Vicente de Paula Alburquerque Monteiro"/>
    <s v="Masculino"/>
    <x v="7"/>
    <x v="24"/>
    <s v="Sao José - 2 - Fisioterapia Ortopédica - Pacote (R$ 20,00)"/>
    <s v="Fisioterapia"/>
    <n v="173410"/>
    <s v="Finalizado (1/10)"/>
    <n v="15"/>
    <n v="5"/>
    <n v="20"/>
    <s v="Pago"/>
    <n v="59379"/>
    <n v="59379"/>
    <s v="Unidade Sao Jose"/>
    <n v="173410"/>
    <m/>
  </r>
  <r>
    <x v="10"/>
    <x v="17"/>
    <s v="Maria Neide Oliveira Marques"/>
    <s v="Feminino"/>
    <x v="8"/>
    <x v="24"/>
    <s v="20103514 - Patologia Em Diferentes Segmentos da Coluna (R$ 14,83)"/>
    <s v="Fisioterapia"/>
    <n v="1719165479"/>
    <s v="Finalizado (1/5)"/>
    <n v="12.4572"/>
    <n v="2.3727999999999998"/>
    <n v="14.83"/>
    <s v="Sessão a Faturar"/>
    <n v="954600008419020"/>
    <n v="52794"/>
    <s v="Unidade Sao Jose"/>
    <n v="1719165479"/>
    <m/>
  </r>
  <r>
    <x v="10"/>
    <x v="17"/>
    <s v="Maria Neide Oliveira Marques"/>
    <s v="Feminino"/>
    <x v="8"/>
    <x v="24"/>
    <s v="20103522 - Fisioterapia - Pac Com Dependencia de Vida Diária (R$ 23,59)"/>
    <s v="Fisioterapia"/>
    <n v="1719165695"/>
    <s v="Finalizado (1/5)"/>
    <n v="19.8156"/>
    <n v="3.7744"/>
    <n v="23.59"/>
    <s v="Sessão a Faturar"/>
    <n v="954600008419020"/>
    <n v="52794"/>
    <s v="Unidade Sao Jose"/>
    <n v="1719165695"/>
    <m/>
  </r>
  <r>
    <x v="10"/>
    <x v="8"/>
    <s v="Jairo Barboza Domingues"/>
    <s v="Masculino"/>
    <x v="4"/>
    <x v="24"/>
    <s v="31602185 - Estimulação Elétrica Transcutânea - Removido 13/04/2026 (R$ 40,00)"/>
    <s v="Fisioterapia"/>
    <n v="1717817097"/>
    <s v="Finalizado (2/5)"/>
    <n v="33.6"/>
    <n v="6.4"/>
    <n v="40"/>
    <s v="Sessão Faturada"/>
    <n v="960016147828000"/>
    <n v="18356"/>
    <s v="Unidade Sao Jose"/>
    <n v="1717817097"/>
    <m/>
  </r>
  <r>
    <x v="10"/>
    <x v="8"/>
    <s v="Fernanda Neves Sabugosa"/>
    <s v="Feminino"/>
    <x v="4"/>
    <x v="24"/>
    <s v="31602185 - Estimulação Elétrica Transcutânea - Removido 13/04/2026 (R$ 40,00)"/>
    <s v="Fisioterapia"/>
    <n v="1710484202"/>
    <s v="Finalizado (5/5)"/>
    <n v="33.6"/>
    <n v="6.4"/>
    <n v="40"/>
    <s v="Sessão Faturada"/>
    <n v="771015043370010"/>
    <n v="38199"/>
    <s v="Unidade Sao Jose"/>
    <n v="1710484202"/>
    <m/>
  </r>
  <r>
    <x v="10"/>
    <x v="8"/>
    <s v="Fernanda Neves Sabugosa"/>
    <s v="Feminino"/>
    <x v="27"/>
    <x v="24"/>
    <s v="20103492 - Patol. Em Dois Ou Mais Membros (R$ 14,83), 20103514 - Patol. Em Diferentes Segmentos da Coluna (R$ 14,83)"/>
    <s v="Fisioterapia"/>
    <n v="1710485003"/>
    <s v="Finalizado (5/5)"/>
    <n v="24.914400000000001"/>
    <n v="4.7455999999999996"/>
    <n v="29.66"/>
    <s v="Sessão Faturada"/>
    <n v="771015043370010"/>
    <n v="38199"/>
    <s v="Unidade Sao Jose"/>
    <n v="1710485003"/>
    <m/>
  </r>
  <r>
    <x v="10"/>
    <x v="8"/>
    <s v="Gilmara Barbosa da Silva"/>
    <s v="Feminino"/>
    <x v="6"/>
    <x v="24"/>
    <s v="20103514 - Patologia Em Dois Ou Mais Segmentos da Coluna (R$ 32,82)"/>
    <s v="Fisioterapia"/>
    <n v="164995"/>
    <s v="Finalizado (6/10)"/>
    <n v="27.5688"/>
    <n v="5.2511999999999999"/>
    <n v="32.82"/>
    <s v="Sessão Faturada"/>
    <s v="56788888481804800011"/>
    <n v="55664"/>
    <s v="Unidade Sao Jose"/>
    <n v="164995"/>
    <m/>
  </r>
  <r>
    <x v="10"/>
    <x v="8"/>
    <s v="Elrilane Santos dos Santos"/>
    <s v="Feminino"/>
    <x v="7"/>
    <x v="24"/>
    <s v="Sao José - 2 - Fisioterapia Ortopédica - Pacote (R$ 20,00), Sao José - 12 - Fisioterapia Ortopédica - Pacote 2 (R$ 20,00)"/>
    <s v="Fisioterapia"/>
    <n v="171692"/>
    <s v="Finalizado (10/10)"/>
    <n v="30"/>
    <n v="10"/>
    <n v="40"/>
    <s v="Pago"/>
    <n v="59492"/>
    <n v="59492"/>
    <s v="Unidade Sao Jose"/>
    <n v="171692"/>
    <m/>
  </r>
  <r>
    <x v="10"/>
    <x v="8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7298892"/>
    <s v="Finalizado (3/4)"/>
    <n v="24.914400000000001"/>
    <n v="4.7455999999999996"/>
    <n v="29.66"/>
    <s v="Sessão Faturada"/>
    <n v="960016147828000"/>
    <n v="18356"/>
    <s v="Unidade Sao Jose"/>
    <n v="1717298892"/>
    <m/>
  </r>
  <r>
    <x v="10"/>
    <x v="10"/>
    <s v="Elton John da Silva Oliveira"/>
    <s v="Masculino"/>
    <x v="8"/>
    <x v="24"/>
    <s v="50000144 - Consulta de Fisioterapia (R$ 51,42)"/>
    <s v="Fisioterapia"/>
    <n v="1719184081"/>
    <s v="Finalizado (1/1)"/>
    <n v="46.277999999999999"/>
    <n v="5.1420000000000003"/>
    <n v="51.42"/>
    <s v="Sessão Faturada"/>
    <n v="954600003735000"/>
    <n v="59825"/>
    <s v="Unidade Sao Jose"/>
    <n v="1719184081"/>
    <m/>
  </r>
  <r>
    <x v="10"/>
    <x v="10"/>
    <s v="Paulo Vitor Brasil Santos"/>
    <s v="Masculino"/>
    <x v="8"/>
    <x v="24"/>
    <s v="20103662 - Pos Operatorio Em Um Membro (R$ 14,99)"/>
    <s v="Fisioterapia"/>
    <n v="1719177588"/>
    <s v="Finalizado (1/5)"/>
    <n v="12.5916"/>
    <n v="2.3984000000000001"/>
    <n v="14.99"/>
    <s v="Sessão a Faturar"/>
    <n v="954600016713010"/>
    <n v="59793"/>
    <s v="Unidade Sao Jose"/>
    <n v="1719177588"/>
    <m/>
  </r>
  <r>
    <x v="10"/>
    <x v="10"/>
    <s v="Carlos Victor Lopes de Souza"/>
    <s v="Masculino"/>
    <x v="7"/>
    <x v="24"/>
    <s v="Sao José - 4 - Fisioterapia Neurológica/Respiratória - Pacote (R$ 50,00)"/>
    <s v="Fisioterapia"/>
    <n v="170555"/>
    <s v="Finalizado (9/10)"/>
    <n v="37.5"/>
    <n v="12.5"/>
    <n v="50"/>
    <s v="Pago"/>
    <n v="56621"/>
    <n v="56621"/>
    <s v="Unidade Sao Jose"/>
    <n v="170555"/>
    <m/>
  </r>
  <r>
    <x v="10"/>
    <x v="10"/>
    <s v="Elton John da Silva Oliveira"/>
    <s v="Masculino"/>
    <x v="8"/>
    <x v="24"/>
    <s v="20103662 - Pos Operatorio Em Um Membro (R$ 14,99)"/>
    <s v="Fisioterapia"/>
    <n v="1719196522"/>
    <s v="Finalizado (1/5)"/>
    <n v="12.5916"/>
    <n v="2.3984000000000001"/>
    <n v="14.99"/>
    <s v="Sessão Faturada"/>
    <n v="954600003735000"/>
    <n v="59825"/>
    <s v="Unidade Sao Jose"/>
    <n v="1719196522"/>
    <m/>
  </r>
  <r>
    <x v="11"/>
    <x v="44"/>
    <s v="Natanael Costa Cruz"/>
    <s v="Masculino"/>
    <x v="4"/>
    <x v="24"/>
    <s v="31602185 - Estimulação Elétrica Transcutânea - Removido 13/04/2026 (R$ 40,00)"/>
    <s v="Fisioterapia"/>
    <n v="1717458345"/>
    <s v="Finalizado (3/5)"/>
    <n v="33.6"/>
    <n v="6.4"/>
    <n v="40"/>
    <s v="Sessão Faturada"/>
    <n v="775072015105020"/>
    <n v="59724"/>
    <s v="Unidade Sao Jose"/>
    <n v="1717458345"/>
    <m/>
  </r>
  <r>
    <x v="11"/>
    <x v="44"/>
    <s v="Natanael Costa Cruz"/>
    <s v="Masculino"/>
    <x v="27"/>
    <x v="24"/>
    <s v="20103484 - Patologia Em Um Membro (R$ 12,22)"/>
    <s v="Fisioterapia"/>
    <n v="1719323730"/>
    <s v="Finalizado (1/5)"/>
    <n v="10.264799999999999"/>
    <n v="1.9552"/>
    <n v="12.22"/>
    <s v="Sessão a Faturar"/>
    <n v="775072015105020"/>
    <n v="59724"/>
    <s v="Unidade Sao Jose"/>
    <n v="1719323730"/>
    <m/>
  </r>
  <r>
    <x v="11"/>
    <x v="41"/>
    <s v="Marta Marcione Bentes Albuquerque"/>
    <s v="Feminino"/>
    <x v="8"/>
    <x v="24"/>
    <s v="20103492 - Patologia Em Dois Ou Mais Membros (R$ 14,83), 20103514 - Patologia Em Diferentes Segmentos da Coluna (R$ 14,83)"/>
    <s v="Fisioterapia"/>
    <n v="1719341251"/>
    <s v="Finalizado (1/5)"/>
    <n v="24.914400000000001"/>
    <n v="4.7455999999999996"/>
    <n v="29.66"/>
    <s v="Sessão a Faturar"/>
    <n v="954600004960000"/>
    <n v="40103"/>
    <s v="Unidade Sao Jose"/>
    <n v="1719341251"/>
    <m/>
  </r>
  <r>
    <x v="11"/>
    <x v="41"/>
    <s v="Neude Araujo de Menezes"/>
    <s v="Masculino"/>
    <x v="7"/>
    <x v="24"/>
    <s v="Sao José - 2 - Fisioterapia Ortopédica - Pacote (R$ 20,00)"/>
    <s v="Fisioterapia"/>
    <n v="172521"/>
    <s v="Finalizado (5/10)"/>
    <n v="15"/>
    <n v="5"/>
    <n v="20"/>
    <s v="Pago"/>
    <n v="59733"/>
    <n v="59733"/>
    <s v="Unidade Sao Jose"/>
    <n v="172521"/>
    <m/>
  </r>
  <r>
    <x v="11"/>
    <x v="65"/>
    <s v="Marta Marcione Bentes Albuquerque"/>
    <s v="Feminino"/>
    <x v="8"/>
    <x v="24"/>
    <s v="20103670 - Pos Operatorio Em Dois Ou Mais Membros (R$ 19,30)"/>
    <s v="Fisioterapia"/>
    <n v="1719342022"/>
    <s v="Finalizado (1/5)"/>
    <n v="16.212"/>
    <n v="3.0880000000000001"/>
    <n v="19.3"/>
    <s v="Sessão a Faturar"/>
    <n v="954600004960000"/>
    <n v="40103"/>
    <s v="Unidade Sao Jose"/>
    <n v="1719342022"/>
    <m/>
  </r>
  <r>
    <x v="11"/>
    <x v="36"/>
    <s v="Custodia Herminia de Sousa Filha"/>
    <s v="Feminino"/>
    <x v="7"/>
    <x v="24"/>
    <s v="Sao José - 2 - Fisioterapia Ortopédica - Pacote (R$ 20,00)"/>
    <s v="Fisioterapia"/>
    <n v="171939"/>
    <s v="Finalizado (9/10)"/>
    <n v="15"/>
    <n v="5"/>
    <n v="20"/>
    <s v="Pago"/>
    <n v="58051"/>
    <n v="58051"/>
    <s v="Unidade Sao Jose"/>
    <n v="171939"/>
    <m/>
  </r>
  <r>
    <x v="11"/>
    <x v="40"/>
    <s v="Maria Chaves da Rocha"/>
    <s v="Feminino"/>
    <x v="7"/>
    <x v="24"/>
    <s v="Sao José - 2 - Fisioterapia Ortopédica - Pacote (R$ 20,00)"/>
    <s v="Fisioterapia"/>
    <n v="172049"/>
    <s v="Finalizado (3/10)"/>
    <n v="15"/>
    <n v="5"/>
    <n v="20"/>
    <s v="Pago"/>
    <n v="59684"/>
    <n v="59684"/>
    <s v="Unidade Sao Jose"/>
    <n v="172049"/>
    <m/>
  </r>
  <r>
    <x v="11"/>
    <x v="40"/>
    <s v="Josiane de Sousa Santos"/>
    <s v="Feminino"/>
    <x v="9"/>
    <x v="24"/>
    <s v="31602185 - Estimulação Elétrica Transcutânea (Tens) - Removido 13/04/2026 (R$ 40,00)"/>
    <s v="Fisioterapia"/>
    <n v="1717527842"/>
    <s v="Finalizado (3/5)"/>
    <n v="33.6"/>
    <n v="6.4"/>
    <n v="40"/>
    <s v="Sessão Faturada"/>
    <n v="954600005274010"/>
    <n v="23225"/>
    <s v="Unidade Sao Jose"/>
    <n v="1717527842"/>
    <m/>
  </r>
  <r>
    <x v="11"/>
    <x v="40"/>
    <s v="Francisca Zuleide de Oliveira Araujo"/>
    <s v="Feminino"/>
    <x v="7"/>
    <x v="24"/>
    <s v="Sao José - 2 - Fisioterapia Ortopédica - Pacote (R$ 20,00)"/>
    <s v="Fisioterapia"/>
    <n v="173452"/>
    <s v="Finalizado (1/10)"/>
    <n v="15"/>
    <n v="5"/>
    <n v="20"/>
    <s v="Pago"/>
    <n v="59540"/>
    <n v="59540"/>
    <s v="Unidade Sao Jose"/>
    <n v="173452"/>
    <m/>
  </r>
  <r>
    <x v="11"/>
    <x v="45"/>
    <s v="Josiane de Sousa Santos"/>
    <s v="Feminino"/>
    <x v="8"/>
    <x v="24"/>
    <s v="20103492 - Patologia Em Dois Ou Mais Membros (R$ 14,83), 20103514 - Patologia Em Diferentes Segmentos da Coluna (R$ 14,83)"/>
    <s v="Fisioterapia"/>
    <n v="1718250190"/>
    <s v="Finalizado (2/5)"/>
    <n v="24.914400000000001"/>
    <n v="4.7455999999999996"/>
    <n v="29.66"/>
    <s v="Sessão Faturada"/>
    <n v="954600005274010"/>
    <n v="23225"/>
    <s v="Unidade Sao Jose"/>
    <n v="1718250190"/>
    <m/>
  </r>
  <r>
    <x v="11"/>
    <x v="35"/>
    <s v="Aldenir de Lima Rolim Aquino"/>
    <s v="Feminino"/>
    <x v="7"/>
    <x v="24"/>
    <s v="Sao José - 2 - Fisioterapia Ortopédica - Pacote (R$ 20,00)"/>
    <s v="Fisioterapia"/>
    <n v="172176"/>
    <s v="Finalizado (7/10)"/>
    <n v="15"/>
    <n v="5"/>
    <n v="20"/>
    <s v="Pago"/>
    <n v="39454"/>
    <n v="39454"/>
    <s v="Unidade Sao Jose"/>
    <n v="172176"/>
    <m/>
  </r>
  <r>
    <x v="11"/>
    <x v="35"/>
    <s v="Ana Chaves Medeiros"/>
    <s v="Feminino"/>
    <x v="7"/>
    <x v="24"/>
    <s v="Sao José - 2 - Fisioterapia Ortopédica - Pacote (R$ 20,00)"/>
    <s v="Fisioterapia"/>
    <n v="173161"/>
    <s v="Finalizado (3/10)"/>
    <n v="15"/>
    <n v="5"/>
    <n v="20"/>
    <s v="Pago"/>
    <n v="58181"/>
    <n v="58181"/>
    <s v="Unidade Sao Jose"/>
    <n v="173161"/>
    <m/>
  </r>
  <r>
    <x v="11"/>
    <x v="38"/>
    <s v="Paulo Ryan Silva da Costa"/>
    <s v="Masculino"/>
    <x v="7"/>
    <x v="24"/>
    <s v="Sao José - 2 - Fisioterapia Ortopédica - Pacote (R$ 20,00)"/>
    <s v="Fisioterapia"/>
    <n v="173012"/>
    <s v="Finalizado (3/30)"/>
    <n v="15"/>
    <n v="5"/>
    <n v="20"/>
    <s v="No Prazo"/>
    <n v="59798"/>
    <n v="59798"/>
    <s v="Unidade Sao Jose"/>
    <n v="173012"/>
    <m/>
  </r>
  <r>
    <x v="11"/>
    <x v="38"/>
    <s v="Wildson Costa dos Santos"/>
    <s v="Masculino"/>
    <x v="6"/>
    <x v="24"/>
    <s v="20103662 - Pos Operatorio Em Um Membro (R$ 22,53)"/>
    <s v="Fisioterapia"/>
    <n v="171322"/>
    <s v="Finalizado (10/10)"/>
    <n v="18.9252"/>
    <n v="3.6048"/>
    <n v="22.53"/>
    <s v="Sessão Faturada"/>
    <s v="58201065998121610018"/>
    <n v="59580"/>
    <s v="Unidade Sao Jose"/>
    <n v="171322"/>
    <m/>
  </r>
  <r>
    <x v="11"/>
    <x v="38"/>
    <s v="Maria da Conceição Silva de Sa"/>
    <s v="Feminino"/>
    <x v="7"/>
    <x v="24"/>
    <s v="Sao José - 2 - Fisioterapia Ortopédica - Pacote (R$ 20,00)"/>
    <s v="Fisioterapia"/>
    <n v="172700"/>
    <s v="Finalizado (6/10)"/>
    <n v="15"/>
    <n v="5"/>
    <n v="20"/>
    <s v="Pago"/>
    <n v="59759"/>
    <n v="59759"/>
    <s v="Unidade Sao Jose"/>
    <n v="172700"/>
    <m/>
  </r>
  <r>
    <x v="11"/>
    <x v="68"/>
    <s v="Wildson Costa dos Santos"/>
    <s v="Masculino"/>
    <x v="6"/>
    <x v="24"/>
    <s v="20103492 - Patologia Em Dois Ou Mais Membros (R$ 30,26), 20103506 - Patologia Em Um Segmento da Coluna (R$ 14,16)"/>
    <s v="Fisioterapia"/>
    <n v="171323"/>
    <s v="Finalizado (10/10)"/>
    <n v="37.312800000000003"/>
    <n v="7.1071999999999997"/>
    <n v="44.42"/>
    <s v="Sessão Faturada"/>
    <s v="58201065998121610018"/>
    <n v="59580"/>
    <s v="Unidade Sao Jose"/>
    <n v="171323"/>
    <m/>
  </r>
  <r>
    <x v="11"/>
    <x v="69"/>
    <s v="Wildson Costa dos Santos"/>
    <s v="Masculino"/>
    <x v="6"/>
    <x v="24"/>
    <s v="31602185 - Estimulação Elétrica Transcutanea (Tens) (R$ 40,00)"/>
    <s v="Fisioterapia"/>
    <n v="171325"/>
    <s v="Finalizado (7/7)"/>
    <n v="33.6"/>
    <n v="6.4"/>
    <n v="40"/>
    <s v="Sessão Faturada"/>
    <s v="58201065998121610018"/>
    <n v="59580"/>
    <s v="Unidade Sao Jose"/>
    <n v="171325"/>
    <m/>
  </r>
  <r>
    <x v="11"/>
    <x v="22"/>
    <s v="Bruno Nascimento Gomes"/>
    <s v="Masculino"/>
    <x v="7"/>
    <x v="24"/>
    <s v="Sao José - 14 - Fisioterapia Pós Operatória - Pacote (R$ 50,00)"/>
    <s v="Fisioterapia"/>
    <n v="173188"/>
    <s v="Finalizado (2/5)"/>
    <n v="37.5"/>
    <n v="12.5"/>
    <n v="50"/>
    <s v="Pago"/>
    <n v="59713"/>
    <n v="59713"/>
    <s v="Unidade Sao Jose"/>
    <n v="173188"/>
    <m/>
  </r>
  <r>
    <x v="11"/>
    <x v="22"/>
    <s v="Jose Edson Moura de Melo"/>
    <s v="Masculino"/>
    <x v="2"/>
    <x v="24"/>
    <s v="20103662 - Fisioterapia - Pos Operatorio Em Um Membro (R$ 14,99)"/>
    <s v="Fisioterapia"/>
    <n v="1716674013"/>
    <s v="Finalizado (3/5)"/>
    <n v="12.5916"/>
    <n v="2.3984000000000001"/>
    <n v="14.99"/>
    <s v="Sessão a Faturar"/>
    <n v="774722014389010"/>
    <n v="45960"/>
    <s v="Unidade Sao Jose"/>
    <n v="1716674013"/>
    <m/>
  </r>
  <r>
    <x v="11"/>
    <x v="22"/>
    <s v="Mauro Marcelo Barros"/>
    <s v="Masculino"/>
    <x v="7"/>
    <x v="24"/>
    <s v="Sao José - 2 - Fisioterapia Ortopédica - Pacote (R$ 20,00)"/>
    <s v="Fisioterapia"/>
    <n v="172744"/>
    <s v="Finalizado (4/10)"/>
    <n v="15"/>
    <n v="5"/>
    <n v="20"/>
    <s v="Pago"/>
    <n v="55880"/>
    <n v="55880"/>
    <s v="Unidade Sao Jose"/>
    <n v="172744"/>
    <m/>
  </r>
  <r>
    <x v="11"/>
    <x v="22"/>
    <s v="Eliana Valente Frota"/>
    <m/>
    <x v="7"/>
    <x v="24"/>
    <s v="Sao José - 2 - Fisioterapia Ortopédica - Pacote (R$ 20,00)"/>
    <s v="Fisioterapia"/>
    <n v="172580"/>
    <s v="Finalizado (3/10)"/>
    <n v="15"/>
    <n v="5"/>
    <n v="20"/>
    <s v="Pago"/>
    <n v="59744"/>
    <n v="59744"/>
    <s v="Unidade Sao Jose"/>
    <n v="172580"/>
    <m/>
  </r>
  <r>
    <x v="11"/>
    <x v="0"/>
    <s v="Aloson Soares de Abreu"/>
    <s v="Masculino"/>
    <x v="7"/>
    <x v="24"/>
    <s v="Sao José - 2 - Fisioterapia Ortopédica - Pacote (R$ 20,00)"/>
    <s v="Fisioterapia"/>
    <n v="173358"/>
    <s v="Finalizado (2/10)"/>
    <n v="15"/>
    <n v="5"/>
    <n v="20"/>
    <s v="No Prazo"/>
    <n v="59823"/>
    <n v="59823"/>
    <s v="Unidade Sao Jose"/>
    <n v="173358"/>
    <m/>
  </r>
  <r>
    <x v="11"/>
    <x v="0"/>
    <s v="Glívena Souza Félix"/>
    <s v="Feminino"/>
    <x v="7"/>
    <x v="24"/>
    <s v="Sao José - 4 - Fisioterapia Neurológica/Respiratória - Pacote (R$ 50,00)"/>
    <s v="Fisioterapia"/>
    <n v="170807"/>
    <s v="Finalizado (10/10)"/>
    <n v="37.5"/>
    <n v="12.5"/>
    <n v="50"/>
    <s v="Pago"/>
    <n v="57339"/>
    <n v="57339"/>
    <s v="Unidade Sao Jose"/>
    <n v="170807"/>
    <m/>
  </r>
  <r>
    <x v="11"/>
    <x v="2"/>
    <s v="Jocineide Faria da Silva"/>
    <s v="Feminino"/>
    <x v="7"/>
    <x v="24"/>
    <s v="Sao José - 14 - Fisioterapia Pós Operatória - Pacote (R$ 50,00)"/>
    <s v="Fisioterapia"/>
    <n v="172708"/>
    <s v="Finalizado (4/10)"/>
    <n v="37.5"/>
    <n v="12.5"/>
    <n v="50"/>
    <s v="No Prazo"/>
    <n v="59761"/>
    <n v="59761"/>
    <s v="Unidade Sao Jose"/>
    <n v="172708"/>
    <m/>
  </r>
  <r>
    <x v="11"/>
    <x v="4"/>
    <s v="Paulo Vitor Brasil Santos"/>
    <s v="Masculino"/>
    <x v="8"/>
    <x v="24"/>
    <s v="20103662 - Pos Operatorio Em Um Membro (R$ 14,99)"/>
    <s v="Fisioterapia"/>
    <n v="1719177588"/>
    <s v="Finalizado (2/5)"/>
    <n v="12.5916"/>
    <n v="2.3984000000000001"/>
    <n v="14.99"/>
    <s v="Sessão a Faturar"/>
    <n v="954600016713010"/>
    <n v="59793"/>
    <s v="Unidade Sao Jose"/>
    <n v="1719177588"/>
    <m/>
  </r>
  <r>
    <x v="11"/>
    <x v="4"/>
    <s v="Jean da Silva Melo"/>
    <s v="Masculino"/>
    <x v="14"/>
    <x v="24"/>
    <s v="20103492 - Fisioterapia - Patologia Em Dois Ou Mais Membros (R$ 14,83), 20103514 - Fisioterapia - Patologia Em Diferentes Segmentos da Coluna (R$ 14,83)"/>
    <s v="Fisioterapia"/>
    <n v="1718854251"/>
    <s v="Finalizado (2/5)"/>
    <n v="24.914400000000001"/>
    <n v="4.7455999999999996"/>
    <n v="29.66"/>
    <s v="Sessão a Faturar"/>
    <n v="954600003042000"/>
    <n v="29915"/>
    <s v="Unidade Sao Jose"/>
    <n v="1718854251"/>
    <m/>
  </r>
  <r>
    <x v="11"/>
    <x v="29"/>
    <s v="Jean da Silva Melo"/>
    <s v="Masculino"/>
    <x v="14"/>
    <x v="24"/>
    <s v="20103662 - Fisioterapia - Pos Operatorio Em Um Membro (R$ 14,99)"/>
    <s v="Fisioterapia"/>
    <n v="1718852732"/>
    <s v="Finalizado (2/5)"/>
    <n v="12.5916"/>
    <n v="2.3984000000000001"/>
    <n v="14.99"/>
    <s v="Sessão a Faturar"/>
    <n v="954600003042000"/>
    <n v="29915"/>
    <s v="Unidade Sao Jose"/>
    <n v="1718852732"/>
    <m/>
  </r>
  <r>
    <x v="11"/>
    <x v="30"/>
    <s v="Jean da Silva Melo"/>
    <s v="Masculino"/>
    <x v="9"/>
    <x v="24"/>
    <s v="31602185 - Estimulação Elétrica Transcutânea (Tens) - Removido 13/04/2026 (R$ 40,00)"/>
    <s v="Fisioterapia"/>
    <n v="1717034698"/>
    <s v="Finalizado (4/5)"/>
    <n v="33.6"/>
    <n v="6.4"/>
    <n v="40"/>
    <s v="Sessão Faturada"/>
    <n v="954600003042000"/>
    <n v="29915"/>
    <s v="Unidade Sao Jose"/>
    <n v="1717034698"/>
    <m/>
  </r>
  <r>
    <x v="11"/>
    <x v="13"/>
    <s v="Ana Cristina de Frota Palheta"/>
    <s v="Feminino"/>
    <x v="6"/>
    <x v="24"/>
    <s v="20103476 - Patologia Neurologica (R$ 35,40)"/>
    <s v="Fisioterapia"/>
    <n v="172502"/>
    <s v="Finalizado (7/7)"/>
    <n v="29.736000000000001"/>
    <n v="5.6639999999999997"/>
    <n v="35.4"/>
    <s v="Sessão Faturada"/>
    <s v="54588888012065310011"/>
    <n v="20193"/>
    <s v="Unidade Sao Jose"/>
    <n v="172502"/>
    <m/>
  </r>
  <r>
    <x v="11"/>
    <x v="14"/>
    <s v="Ana Cristina de Frota Palheta"/>
    <s v="Feminino"/>
    <x v="6"/>
    <x v="24"/>
    <s v="31602185 - Estimulação Elétrica Transcutanea (Tens) (R$ 40,00)"/>
    <s v="Fisioterapia"/>
    <n v="172385"/>
    <s v="Finalizado (6/6)"/>
    <n v="33.6"/>
    <n v="6.4"/>
    <n v="40"/>
    <s v="Sessão Faturada"/>
    <s v="54588888012065310011"/>
    <n v="20193"/>
    <s v="Unidade Sao Jose"/>
    <n v="172385"/>
    <m/>
  </r>
  <r>
    <x v="11"/>
    <x v="17"/>
    <s v="Jairo Barboza Domingues"/>
    <s v="Masculino"/>
    <x v="4"/>
    <x v="24"/>
    <s v="31602185 - Estimulação Elétrica Transcutânea - Removido 13/04/2026 (R$ 40,00)"/>
    <s v="Fisioterapia"/>
    <n v="1717817097"/>
    <s v="Finalizado (3/5)"/>
    <n v="33.6"/>
    <n v="6.4"/>
    <n v="40"/>
    <s v="Sessão Faturada"/>
    <n v="960016147828000"/>
    <n v="18356"/>
    <s v="Unidade Sao Jose"/>
    <n v="1717817097"/>
    <m/>
  </r>
  <r>
    <x v="11"/>
    <x v="17"/>
    <s v="Jairo Barboza Domingues"/>
    <s v="Masculino"/>
    <x v="2"/>
    <x v="24"/>
    <s v="20103492 - Fisioterapia - Patologia Em Dois Ou Mais Membros (R$ 14,83), 20103514 - Fisioterapia - Patologia Em Diferentes Segmentos da Coluna (R$ 14,83)"/>
    <s v="Fisioterapia"/>
    <n v="1717298892"/>
    <s v="Finalizado (4/4)"/>
    <n v="24.914400000000001"/>
    <n v="4.7455999999999996"/>
    <n v="29.66"/>
    <s v="Sessão Faturada"/>
    <n v="960016147828000"/>
    <n v="18356"/>
    <s v="Unidade Sao Jose"/>
    <n v="1717298892"/>
    <m/>
  </r>
  <r>
    <x v="11"/>
    <x v="8"/>
    <s v="Leonardo Batista de Souza"/>
    <s v="Masculino"/>
    <x v="5"/>
    <x v="24"/>
    <s v="98860020 - Fisioterapia Complexidade 2 - 04/03/2026 (R$ 70,79)"/>
    <s v="Fisioterapia"/>
    <n v="61519530"/>
    <s v="Finalizado (7/10)"/>
    <n v="59.4636"/>
    <n v="11.3264"/>
    <n v="70.790000000000006"/>
    <s v="Sessão Faturada"/>
    <s v="0101516639000159"/>
    <n v="54993"/>
    <s v="Unidade Sao Jose"/>
    <n v="61519530"/>
    <m/>
  </r>
  <r>
    <x v="11"/>
    <x v="8"/>
    <s v="Lorena Eduarda Vieira da Silva"/>
    <s v="Feminino"/>
    <x v="7"/>
    <x v="24"/>
    <s v="Sao José - 2 - Fisioterapia Ortopédica - Pacote (R$ 20,00)"/>
    <s v="Fisioterapia"/>
    <n v="173507"/>
    <s v="Finalizado (1/10)"/>
    <n v="15"/>
    <n v="5"/>
    <n v="20"/>
    <s v="No Prazo"/>
    <n v="59840"/>
    <n v="59840"/>
    <s v="Unidade Sao Jose"/>
    <n v="173507"/>
    <m/>
  </r>
  <r>
    <x v="11"/>
    <x v="8"/>
    <s v="Leonardo Batista de Souza"/>
    <s v="Masculino"/>
    <x v="5"/>
    <x v="24"/>
    <s v="31602185 - Estimulação Elétrica Transcutânea (Tens) (R$ 125,40)"/>
    <s v="Fisioterapia"/>
    <n v="78979060"/>
    <s v="Finalizado (1/10)"/>
    <n v="105.336"/>
    <n v="20.064"/>
    <n v="125.4"/>
    <s v="Sessão a Faturar"/>
    <s v="0101516639000159"/>
    <n v="54993"/>
    <s v="Unidade Sao Jose"/>
    <n v="78979060"/>
    <m/>
  </r>
  <r>
    <x v="11"/>
    <x v="10"/>
    <s v="Elton John da Silva Oliveira"/>
    <s v="Masculino"/>
    <x v="8"/>
    <x v="24"/>
    <s v="20103662 - Pos Operatorio Em Um Membro (R$ 14,99)"/>
    <s v="Fisioterapia"/>
    <n v="1719196522"/>
    <s v="Finalizado (2/5)"/>
    <n v="12.5916"/>
    <n v="2.3984000000000001"/>
    <n v="14.99"/>
    <s v="Sessão Faturada"/>
    <n v="954600003735000"/>
    <n v="59825"/>
    <s v="Unidade Sao Jose"/>
    <n v="1719196522"/>
    <m/>
  </r>
  <r>
    <x v="11"/>
    <x v="10"/>
    <s v="Carlos Victor Lopes de Souza"/>
    <s v="Masculino"/>
    <x v="7"/>
    <x v="24"/>
    <s v="Sao José - 4 - Fisioterapia Neurológica/Respiratória - Pacote (R$ 50,00)"/>
    <s v="Fisioterapia"/>
    <n v="170555"/>
    <s v="Finalizado (10/10)"/>
    <n v="37.5"/>
    <n v="12.5"/>
    <n v="50"/>
    <s v="Pago"/>
    <n v="56621"/>
    <n v="56621"/>
    <s v="Unidade Sao Jose"/>
    <n v="170555"/>
    <m/>
  </r>
  <r>
    <x v="12"/>
    <x v="0"/>
    <s v="Sonia dos Santos Pereira"/>
    <s v="Feminino"/>
    <x v="8"/>
    <x v="25"/>
    <s v="50000446 - Reeducação Postural Global (R$ 36,71)"/>
    <s v="Rpg"/>
    <n v="1700940228"/>
    <s v="Finalizado (5/5)"/>
    <n v="29.367999999999999"/>
    <n v="7.3419999999999996"/>
    <n v="36.71"/>
    <s v="Sessão Faturada"/>
    <n v="775216009806030"/>
    <n v="56433"/>
    <s v="Unidade Vieiralves"/>
    <n v="1700940228"/>
    <m/>
  </r>
  <r>
    <x v="12"/>
    <x v="2"/>
    <s v="Cirilo de Paula Bezerra"/>
    <s v="Masculino"/>
    <x v="0"/>
    <x v="25"/>
    <s v="50000446 - Rpg (R$ 62,75)"/>
    <s v="Rpg"/>
    <s v="42263120260225348672"/>
    <s v="Finalizado (3/10)"/>
    <n v="50.2"/>
    <n v="12.55"/>
    <n v="62.75"/>
    <s v="Sessão Faturada"/>
    <s v="010033494000"/>
    <n v="50241"/>
    <s v="Unidade Vieiralves"/>
    <s v="42263120260225348672"/>
    <m/>
  </r>
  <r>
    <x v="12"/>
    <x v="2"/>
    <s v="Sofia Araujo Pereira Ferreira"/>
    <s v="Feminino"/>
    <x v="2"/>
    <x v="25"/>
    <s v="50000446 - Rpg (R$ 36,71)"/>
    <s v="Rpg"/>
    <n v="1701403615"/>
    <s v="Finalizado (3/5)"/>
    <n v="29.367999999999999"/>
    <n v="7.3419999999999996"/>
    <n v="36.71"/>
    <s v="Sessão Faturada"/>
    <n v="814438300051020"/>
    <n v="59164"/>
    <s v="Unidade Vieiralves"/>
    <n v="1701403615"/>
    <m/>
  </r>
  <r>
    <x v="12"/>
    <x v="4"/>
    <s v="Ligiane Liborio Caranha Lima"/>
    <s v="Feminino"/>
    <x v="5"/>
    <x v="25"/>
    <s v="50000446 - Rpg - 04/03/2026 (R$ 52,23)"/>
    <s v="Rpg"/>
    <n v="164150"/>
    <s v="Finalizado (8/10)"/>
    <n v="41.783999999999999"/>
    <n v="10.446"/>
    <n v="52.23"/>
    <s v="Sessão Faturada"/>
    <s v="0100791349000431"/>
    <n v="39694"/>
    <s v="Unidade Vieiralves"/>
    <n v="164150"/>
    <s v="guia assinada "/>
  </r>
  <r>
    <x v="12"/>
    <x v="13"/>
    <s v="Vivian Fonseca de Oliveira"/>
    <s v="Feminino"/>
    <x v="2"/>
    <x v="25"/>
    <s v="50000446 - Rpg (R$ 36,71)"/>
    <s v="Rpg"/>
    <n v="1703995909"/>
    <s v="Finalizado (2/4)"/>
    <n v="29.367999999999999"/>
    <n v="7.3419999999999996"/>
    <n v="36.71"/>
    <s v="Sessão Faturada"/>
    <n v="774642011100020"/>
    <n v="45139"/>
    <s v="Unidade Vieiralves"/>
    <n v="1703995909"/>
    <m/>
  </r>
  <r>
    <x v="12"/>
    <x v="13"/>
    <s v="Elane Sales de Lima"/>
    <m/>
    <x v="2"/>
    <x v="25"/>
    <s v="50000446 - Rpg (R$ 36,71)"/>
    <s v="Rpg"/>
    <n v="1704841614"/>
    <s v="Finalizado (2/5)"/>
    <n v="29.367999999999999"/>
    <n v="7.3419999999999996"/>
    <n v="36.71"/>
    <s v="Sessão Faturada"/>
    <n v="773539032034010"/>
    <n v="58812"/>
    <s v="Unidade Vieiralves"/>
    <n v="1704841614"/>
    <m/>
  </r>
  <r>
    <x v="12"/>
    <x v="6"/>
    <s v="Vitoria Laredo Bulgarelli"/>
    <s v="Feminino"/>
    <x v="12"/>
    <x v="25"/>
    <s v="50000446 - Reducaçao Postural Global (R$ 36,71)"/>
    <s v="Rpg"/>
    <n v="10298461"/>
    <s v="Finalizado (2/4)"/>
    <n v="29.367999999999999"/>
    <n v="7.3419999999999996"/>
    <n v="36.71"/>
    <s v="Sessão a Faturar"/>
    <n v="9.5125289242221005E+17"/>
    <n v="57323"/>
    <s v="Unidade Vieiralves"/>
    <n v="10298461"/>
    <m/>
  </r>
  <r>
    <x v="12"/>
    <x v="17"/>
    <s v="Josicleide Nunes Santos"/>
    <s v="Feminino"/>
    <x v="2"/>
    <x v="25"/>
    <s v="50000446 - Rpg (R$ 36,71)"/>
    <s v="Rpg"/>
    <n v="1705941178"/>
    <s v="Finalizado (2/5)"/>
    <n v="29.367999999999999"/>
    <n v="7.3419999999999996"/>
    <n v="36.71"/>
    <s v="Sessão a Faturar"/>
    <n v="774981001279000"/>
    <n v="20120"/>
    <s v="Unidade Vieiralves"/>
    <n v="1705941178"/>
    <m/>
  </r>
  <r>
    <x v="12"/>
    <x v="17"/>
    <s v="Franciane de Souza Gomes"/>
    <s v="Feminino"/>
    <x v="2"/>
    <x v="25"/>
    <s v="50000446 - Rpg (R$ 36,71)"/>
    <s v="Rpg"/>
    <n v="1704934987"/>
    <s v="Finalizado (3/5)"/>
    <n v="29.367999999999999"/>
    <n v="7.3419999999999996"/>
    <n v="36.71"/>
    <s v="Sessão Faturada"/>
    <n v="973700009598000"/>
    <n v="16642"/>
    <s v="Unidade Vieiralves"/>
    <n v="1704934987"/>
    <m/>
  </r>
  <r>
    <x v="12"/>
    <x v="10"/>
    <s v="Alcirene Ferreira de Souza"/>
    <s v="Feminino"/>
    <x v="2"/>
    <x v="25"/>
    <s v="50000446 - Rpg (R$ 36,71)"/>
    <s v="Rpg"/>
    <n v="1702005486"/>
    <s v="Finalizado (5/5)"/>
    <n v="29.367999999999999"/>
    <n v="7.3419999999999996"/>
    <n v="36.71"/>
    <s v="Sessão Faturada"/>
    <n v="892201300027010"/>
    <n v="20762"/>
    <s v="Unidade Vieiralves"/>
    <n v="1702005486"/>
    <m/>
  </r>
  <r>
    <x v="12"/>
    <x v="10"/>
    <s v="Kamila Nayara dos Anjos Cruz"/>
    <s v="Feminino"/>
    <x v="2"/>
    <x v="25"/>
    <s v="50000446 - Rpg (R$ 36,71)"/>
    <s v="Rpg"/>
    <n v="1702012114"/>
    <s v="Finalizado (5/5)"/>
    <n v="29.367999999999999"/>
    <n v="7.3419999999999996"/>
    <n v="36.71"/>
    <s v="Sessão Faturada"/>
    <n v="960016968538010"/>
    <n v="58063"/>
    <s v="Unidade Vieiralves"/>
    <n v="1702012114"/>
    <m/>
  </r>
  <r>
    <x v="12"/>
    <x v="12"/>
    <s v="Jonathan Campos Damasceno"/>
    <s v="Feminino"/>
    <x v="2"/>
    <x v="25"/>
    <s v="50000446 - Rpg (R$ 36,71)"/>
    <s v="Rpg"/>
    <n v="1705961072"/>
    <s v="Finalizado (1/3)"/>
    <n v="29.367999999999999"/>
    <n v="7.3419999999999996"/>
    <n v="36.71"/>
    <s v="Sessão Faturada"/>
    <n v="771015058220000"/>
    <n v="38316"/>
    <s v="Unidade Vieiralves"/>
    <n v="1705961072"/>
    <m/>
  </r>
  <r>
    <x v="12"/>
    <x v="20"/>
    <s v="Ariany Mendes de Souza"/>
    <s v="Feminino"/>
    <x v="2"/>
    <x v="25"/>
    <s v="50000446 - Rpg (R$ 36,71)"/>
    <s v="Rpg"/>
    <n v="1703520232"/>
    <s v="Finalizado (3/3)"/>
    <n v="29.367999999999999"/>
    <n v="7.3419999999999996"/>
    <n v="36.71"/>
    <s v="Sessão Faturada"/>
    <n v="774063014222010"/>
    <n v="59413"/>
    <s v="Unidade Vieiralves"/>
    <n v="1703520232"/>
    <m/>
  </r>
  <r>
    <x v="12"/>
    <x v="20"/>
    <s v="Willian Jean Silva Colares"/>
    <s v="Masculino"/>
    <x v="2"/>
    <x v="25"/>
    <s v="50000446 - Rpg (R$ 36,71)"/>
    <s v="Rpg"/>
    <n v="1705955293"/>
    <s v="Finalizado (1/5)"/>
    <n v="29.367999999999999"/>
    <n v="7.3419999999999996"/>
    <n v="36.71"/>
    <s v="Sessão Faturada"/>
    <n v="775219005800000"/>
    <n v="59277"/>
    <s v="Unidade Vieiralves"/>
    <n v="1705955293"/>
    <m/>
  </r>
  <r>
    <x v="12"/>
    <x v="28"/>
    <s v="Mcluhan Teixeira Grijo"/>
    <s v="Masculino"/>
    <x v="5"/>
    <x v="25"/>
    <s v="50000446 - Rpg - 04/03/2026 (R$ 52,23)"/>
    <s v="Rpg"/>
    <n v="167647"/>
    <s v="Finalizado (2/10)"/>
    <n v="41.783999999999999"/>
    <n v="10.446"/>
    <n v="52.23"/>
    <s v="Sessão Faturada"/>
    <s v="0101072415000314"/>
    <n v="51264"/>
    <s v="Unidade Vieiralves"/>
    <n v="167647"/>
    <m/>
  </r>
  <r>
    <x v="13"/>
    <x v="0"/>
    <s v="Gilma do Socorro Ferreira de Paiva"/>
    <s v="Feminino"/>
    <x v="7"/>
    <x v="25"/>
    <s v="Vieiralves - 19 - Rpg - Pacote (R$ 50,00)"/>
    <s v="Rpg"/>
    <n v="167292"/>
    <s v="Finalizado (4/10)"/>
    <n v="37.5"/>
    <n v="12.5"/>
    <n v="50"/>
    <s v="Pago"/>
    <s v="0801011513670017"/>
    <n v="56631"/>
    <s v="Unidade Vieiralves"/>
    <n v="167292"/>
    <m/>
  </r>
  <r>
    <x v="13"/>
    <x v="0"/>
    <s v="Gabriel Elias Fontoura Silveira"/>
    <m/>
    <x v="2"/>
    <x v="25"/>
    <s v="50000446 - Rpg (R$ 36,71)"/>
    <s v="Rpg"/>
    <n v="1703398873"/>
    <s v="Finalizado (4/5)"/>
    <n v="29.367999999999999"/>
    <n v="7.3419999999999996"/>
    <n v="36.71"/>
    <s v="Sessão Faturada"/>
    <n v="960019386623050"/>
    <n v="56507"/>
    <s v="Unidade Vieiralves"/>
    <n v="1703398873"/>
    <m/>
  </r>
  <r>
    <x v="13"/>
    <x v="2"/>
    <s v="Wilson Colares da Costa Junior"/>
    <s v="Masculino"/>
    <x v="20"/>
    <x v="25"/>
    <s v="25100050 - Rpg (R$ 28,80)"/>
    <s v="Rpg"/>
    <n v="54734520"/>
    <s v="Finalizado (10/10)"/>
    <n v="23.04"/>
    <n v="5.76"/>
    <n v="28.8"/>
    <s v="Sessão Faturada"/>
    <n v="10410600643600"/>
    <n v="58658"/>
    <s v="Unidade Vieiralves"/>
    <n v="54734520"/>
    <m/>
  </r>
  <r>
    <x v="13"/>
    <x v="2"/>
    <s v="Miranir da Silva Oliveira"/>
    <s v="Feminino"/>
    <x v="5"/>
    <x v="25"/>
    <s v="50000446 - Rpg - 04/03/2026 (R$ 52,23)"/>
    <s v="Rpg"/>
    <n v="167755"/>
    <s v="Finalizado (5/10)"/>
    <n v="41.783999999999999"/>
    <n v="10.446"/>
    <n v="52.23"/>
    <s v="Sessão a Faturar"/>
    <s v="0101353960010135"/>
    <n v="57596"/>
    <s v="Unidade Vieiralves"/>
    <n v="167755"/>
    <m/>
  </r>
  <r>
    <x v="13"/>
    <x v="4"/>
    <s v="Selene da Conceição Santarém"/>
    <s v="Feminino"/>
    <x v="7"/>
    <x v="25"/>
    <s v="Vieiralves - 19 - Rpg - Pacote (R$ 100,00)"/>
    <s v="Rpg"/>
    <n v="167267"/>
    <s v="Finalizado (5/10)"/>
    <n v="75"/>
    <n v="25"/>
    <n v="100"/>
    <s v="Pago"/>
    <s v="00"/>
    <n v="57406"/>
    <s v="Unidade Vieiralves"/>
    <n v="167267"/>
    <m/>
  </r>
  <r>
    <x v="13"/>
    <x v="4"/>
    <s v="Tiago Godoy Lopes"/>
    <s v="Masculino"/>
    <x v="2"/>
    <x v="25"/>
    <s v="50000446 - Rpg (R$ 36,71)"/>
    <s v="Rpg"/>
    <n v="1703897324"/>
    <s v="Finalizado (3/5)"/>
    <n v="29.367999999999999"/>
    <n v="7.3419999999999996"/>
    <n v="36.71"/>
    <s v="Sessão Faturada"/>
    <n v="611265590001020"/>
    <n v="58056"/>
    <s v="Unidade Vieiralves"/>
    <n v="1703897324"/>
    <m/>
  </r>
  <r>
    <x v="13"/>
    <x v="15"/>
    <s v="Virgínia Ketlen dos Santos Xavier"/>
    <s v="Feminino"/>
    <x v="2"/>
    <x v="25"/>
    <s v="50000446 - Rpg (R$ 36,71)"/>
    <s v="Rpg"/>
    <n v="1701972197"/>
    <s v="Finalizado (4/5)"/>
    <n v="29.367999999999999"/>
    <n v="7.3419999999999996"/>
    <n v="36.71"/>
    <s v="Sessão Faturada"/>
    <n v="772901027731010"/>
    <n v="47393"/>
    <s v="Unidade Vieiralves"/>
    <n v="1701972197"/>
    <m/>
  </r>
  <r>
    <x v="13"/>
    <x v="15"/>
    <s v="Kaíny Medeiros Maciel"/>
    <s v="Feminino"/>
    <x v="2"/>
    <x v="25"/>
    <s v="50000446 - Rpg (R$ 36,71)"/>
    <s v="Rpg"/>
    <n v="1705204666"/>
    <s v="Finalizado (2/5)"/>
    <n v="29.367999999999999"/>
    <n v="7.3419999999999996"/>
    <n v="36.71"/>
    <s v="Sessão Faturada"/>
    <n v="774642015580010"/>
    <n v="59326"/>
    <s v="Unidade Vieiralves"/>
    <n v="1705204666"/>
    <m/>
  </r>
  <r>
    <x v="13"/>
    <x v="17"/>
    <s v="Gaspar Henrique Alves Mota"/>
    <m/>
    <x v="2"/>
    <x v="25"/>
    <s v="50000446 - Rpg (R$ 36,71)"/>
    <s v="Rpg"/>
    <n v="1706507382"/>
    <s v="Finalizado (1/5)"/>
    <n v="29.367999999999999"/>
    <n v="7.3419999999999996"/>
    <n v="36.71"/>
    <s v="Sessão Faturada"/>
    <n v="774642013528010"/>
    <n v="54316"/>
    <s v="Unidade Vieiralves"/>
    <n v="1706507382"/>
    <m/>
  </r>
  <r>
    <x v="13"/>
    <x v="17"/>
    <s v="Isadora Vitorino Grana"/>
    <s v="Feminino"/>
    <x v="7"/>
    <x v="25"/>
    <s v="Part Convenio - 2 - Rpg - Pacote (R$ 55,00)"/>
    <s v="Rpg"/>
    <n v="170056"/>
    <s v="Finalizado (1/10)"/>
    <n v="41.25"/>
    <n v="13.75"/>
    <n v="55"/>
    <s v="Pago"/>
    <s v="00010300035963020"/>
    <n v="56556"/>
    <s v="Unidade Vieiralves"/>
    <n v="170056"/>
    <m/>
  </r>
  <r>
    <x v="13"/>
    <x v="28"/>
    <s v="Jonathan Campos Damasceno"/>
    <s v="Feminino"/>
    <x v="2"/>
    <x v="25"/>
    <s v="50000446 - Rpg (R$ 36,71)"/>
    <s v="Rpg"/>
    <n v="1705961072"/>
    <s v="Finalizado (2/3)"/>
    <n v="29.367999999999999"/>
    <n v="7.3419999999999996"/>
    <n v="36.71"/>
    <s v="Sessão Faturada"/>
    <n v="771015058220000"/>
    <n v="38316"/>
    <s v="Unidade Vieiralves"/>
    <n v="1705961072"/>
    <m/>
  </r>
  <r>
    <x v="14"/>
    <x v="0"/>
    <s v="Maria Adelina Parente Lins Felix"/>
    <s v="Feminino"/>
    <x v="0"/>
    <x v="25"/>
    <s v="50000446 - Rpg (R$ 62,75)"/>
    <s v="Rpg"/>
    <s v="42263120260209261749"/>
    <s v="Finalizado (3/10)"/>
    <n v="50.2"/>
    <n v="12.55"/>
    <n v="62.75"/>
    <s v="Sessão Faturada"/>
    <s v="010650363400"/>
    <n v="41281"/>
    <s v="Unidade Vieiralves"/>
    <s v="42263120260209261749"/>
    <m/>
  </r>
  <r>
    <x v="14"/>
    <x v="2"/>
    <s v="Cirilo de Paula Bezerra"/>
    <s v="Masculino"/>
    <x v="0"/>
    <x v="25"/>
    <s v="50000446 - Rpg (R$ 62,75)"/>
    <s v="Rpg"/>
    <s v="42263120260225348672"/>
    <s v="Finalizado (4/10)"/>
    <n v="50.2"/>
    <n v="12.55"/>
    <n v="62.75"/>
    <s v="Sessão Faturada"/>
    <s v="010033494000"/>
    <n v="50241"/>
    <s v="Unidade Vieiralves"/>
    <s v="42263120260225348672"/>
    <m/>
  </r>
  <r>
    <x v="14"/>
    <x v="4"/>
    <s v="Rosalinda Pereira Brito"/>
    <s v="Feminino"/>
    <x v="2"/>
    <x v="25"/>
    <s v="50000446 - Rpg (R$ 36,71)"/>
    <s v="Rpg"/>
    <n v="1700927022"/>
    <s v="Finalizado (5/5)"/>
    <n v="29.367999999999999"/>
    <n v="7.3419999999999996"/>
    <n v="36.71"/>
    <s v="Sessão Faturada"/>
    <s v="010544100907015"/>
    <n v="13886"/>
    <s v="Unidade Vieiralves"/>
    <n v="1700927022"/>
    <m/>
  </r>
  <r>
    <x v="14"/>
    <x v="4"/>
    <s v="Elane Sales de Lima"/>
    <m/>
    <x v="2"/>
    <x v="25"/>
    <s v="50000446 - Rpg (R$ 36,71)"/>
    <s v="Rpg"/>
    <n v="1704841614"/>
    <s v="Finalizado (3/5)"/>
    <n v="29.367999999999999"/>
    <n v="7.3419999999999996"/>
    <n v="36.71"/>
    <s v="Sessão Faturada"/>
    <n v="773539032034010"/>
    <n v="58812"/>
    <s v="Unidade Vieiralves"/>
    <n v="1704841614"/>
    <m/>
  </r>
  <r>
    <x v="14"/>
    <x v="13"/>
    <s v="Jose Mario Chaves Gomes de Oliveira"/>
    <s v="Masculino"/>
    <x v="11"/>
    <x v="25"/>
    <s v="90001001 - Rpg (R$ 65,10)"/>
    <s v="Rpg"/>
    <s v="2722/2026"/>
    <s v="Finalizado (2/10)"/>
    <n v="52.08"/>
    <n v="13.02"/>
    <n v="65.099999999999994"/>
    <s v="Sessão Faturada"/>
    <n v="2301648"/>
    <n v="7982"/>
    <s v="Unidade Vieiralves"/>
    <s v="2722/2026"/>
    <m/>
  </r>
  <r>
    <x v="14"/>
    <x v="13"/>
    <s v="Alice da Silva dos Santos"/>
    <m/>
    <x v="2"/>
    <x v="25"/>
    <s v="50000446 - Rpg (R$ 36,71)"/>
    <s v="Rpg"/>
    <n v="1704426180"/>
    <s v="Finalizado (3/5)"/>
    <n v="29.367999999999999"/>
    <n v="7.3419999999999996"/>
    <n v="36.71"/>
    <s v="Sessão Faturada"/>
    <n v="843486100604000"/>
    <n v="56112"/>
    <s v="Unidade Vieiralves"/>
    <n v="1704426180"/>
    <m/>
  </r>
  <r>
    <x v="14"/>
    <x v="17"/>
    <s v="Gaspar Henrique Alves Mota"/>
    <m/>
    <x v="2"/>
    <x v="25"/>
    <s v="50000446 - Rpg (R$ 36,71)"/>
    <s v="Rpg"/>
    <n v="1706507382"/>
    <s v="Finalizado (2/5)"/>
    <n v="29.367999999999999"/>
    <n v="7.3419999999999996"/>
    <n v="36.71"/>
    <s v="Sessão Faturada"/>
    <n v="774642013528010"/>
    <n v="54316"/>
    <s v="Unidade Vieiralves"/>
    <n v="1706507382"/>
    <m/>
  </r>
  <r>
    <x v="14"/>
    <x v="10"/>
    <s v="Bruno Fernandes de Souza"/>
    <s v="Masculino"/>
    <x v="2"/>
    <x v="25"/>
    <s v="50000446 - Rpg (R$ 36,71)"/>
    <s v="Rpg"/>
    <n v="1705956580"/>
    <s v="Finalizado (2/2)"/>
    <n v="29.367999999999999"/>
    <n v="7.3419999999999996"/>
    <n v="36.71"/>
    <s v="Sessão Faturada"/>
    <n v="960019333752010"/>
    <n v="29635"/>
    <s v="Unidade Vieiralves"/>
    <n v="1705956580"/>
    <m/>
  </r>
  <r>
    <x v="14"/>
    <x v="10"/>
    <s v="Franciane de Souza Gomes"/>
    <s v="Feminino"/>
    <x v="2"/>
    <x v="25"/>
    <s v="50000446 - Rpg (R$ 36,71)"/>
    <s v="Rpg"/>
    <n v="1704934987"/>
    <s v="Finalizado (4/5)"/>
    <n v="29.367999999999999"/>
    <n v="7.3419999999999996"/>
    <n v="36.71"/>
    <s v="Sessão Faturada"/>
    <n v="973700009598000"/>
    <n v="16642"/>
    <s v="Unidade Vieiralves"/>
    <n v="1704934987"/>
    <m/>
  </r>
  <r>
    <x v="14"/>
    <x v="20"/>
    <s v="Willian Jean Silva Colares"/>
    <s v="Masculino"/>
    <x v="2"/>
    <x v="25"/>
    <s v="50000446 - Rpg (R$ 36,71)"/>
    <s v="Rpg"/>
    <n v="1705955293"/>
    <s v="Finalizado (2/5)"/>
    <n v="29.367999999999999"/>
    <n v="7.3419999999999996"/>
    <n v="36.71"/>
    <s v="Sessão Faturada"/>
    <n v="775219005800000"/>
    <n v="59277"/>
    <s v="Unidade Vieiralves"/>
    <n v="1705955293"/>
    <m/>
  </r>
  <r>
    <x v="14"/>
    <x v="20"/>
    <s v="Thiago Martins Leão"/>
    <s v="Masculino"/>
    <x v="5"/>
    <x v="25"/>
    <s v="50000446 - Rpg (R$ 54,45)"/>
    <s v="Rpg"/>
    <n v="168430"/>
    <s v="Não compareceu (5/10)"/>
    <n v="54.45"/>
    <n v="0"/>
    <n v="54.45"/>
    <s v="Sessão Faturada"/>
    <s v="010086556202"/>
    <n v="57073"/>
    <s v="Unidade Vieiralves"/>
    <n v="168430"/>
    <m/>
  </r>
  <r>
    <x v="15"/>
    <x v="0"/>
    <s v="Gabriel Elias Fontoura Silveira"/>
    <m/>
    <x v="2"/>
    <x v="25"/>
    <s v="50000446 - Rpg (R$ 36,71)"/>
    <s v="Rpg"/>
    <n v="1703398873"/>
    <s v="Finalizado (5/5)"/>
    <n v="29.367999999999999"/>
    <n v="7.3419999999999996"/>
    <n v="36.71"/>
    <s v="Sessão Faturada"/>
    <n v="960019386623050"/>
    <n v="56507"/>
    <s v="Unidade Vieiralves"/>
    <n v="1703398873"/>
    <m/>
  </r>
  <r>
    <x v="15"/>
    <x v="0"/>
    <s v="Maria Adelina Parente Lins Felix"/>
    <s v="Feminino"/>
    <x v="0"/>
    <x v="25"/>
    <s v="50000446 - Rpg (R$ 62,75)"/>
    <s v="Rpg"/>
    <s v="42263120260209261749"/>
    <s v="Finalizado (4/10)"/>
    <n v="50.2"/>
    <n v="12.55"/>
    <n v="62.75"/>
    <s v="Sessão Faturada"/>
    <s v="010650363400"/>
    <n v="41281"/>
    <s v="Unidade Vieiralves"/>
    <s v="42263120260209261749"/>
    <m/>
  </r>
  <r>
    <x v="15"/>
    <x v="2"/>
    <s v="Sofia Araujo Pereira Ferreira"/>
    <s v="Feminino"/>
    <x v="2"/>
    <x v="25"/>
    <s v="50000446 - Rpg (R$ 36,71)"/>
    <s v="Rpg"/>
    <n v="1701403615"/>
    <s v="Finalizado (4/5)"/>
    <n v="29.367999999999999"/>
    <n v="7.3419999999999996"/>
    <n v="36.71"/>
    <s v="Sessão Faturada"/>
    <n v="814438300051020"/>
    <n v="59164"/>
    <s v="Unidade Vieiralves"/>
    <n v="1701403615"/>
    <m/>
  </r>
  <r>
    <x v="15"/>
    <x v="2"/>
    <s v="Selene da Conceição Santarém"/>
    <s v="Feminino"/>
    <x v="7"/>
    <x v="25"/>
    <s v="Vieiralves - 19 - Rpg - Pacote (R$ 100,00)"/>
    <s v="Rpg"/>
    <n v="167267"/>
    <s v="Finalizado (6/10)"/>
    <n v="75"/>
    <n v="25"/>
    <n v="100"/>
    <s v="Pago"/>
    <s v="00"/>
    <n v="57406"/>
    <s v="Unidade Vieiralves"/>
    <n v="167267"/>
    <m/>
  </r>
  <r>
    <x v="15"/>
    <x v="6"/>
    <s v="Isadora Vitorino Grana"/>
    <s v="Feminino"/>
    <x v="7"/>
    <x v="25"/>
    <s v="Part Convenio - 2 - Rpg - Pacote (R$ 55,00)"/>
    <s v="Rpg"/>
    <n v="170056"/>
    <s v="Finalizado (2/10)"/>
    <n v="41.25"/>
    <n v="13.75"/>
    <n v="55"/>
    <s v="Pago"/>
    <s v="00010300035963020"/>
    <n v="56556"/>
    <s v="Unidade Vieiralves"/>
    <n v="170056"/>
    <m/>
  </r>
  <r>
    <x v="15"/>
    <x v="15"/>
    <s v="Alice da Silva dos Santos"/>
    <m/>
    <x v="2"/>
    <x v="25"/>
    <s v="50000446 - Rpg (R$ 36,71)"/>
    <s v="Rpg"/>
    <n v="1704426180"/>
    <s v="Finalizado (4/5)"/>
    <n v="29.367999999999999"/>
    <n v="7.3419999999999996"/>
    <n v="36.71"/>
    <s v="Sessão Faturada"/>
    <n v="843486100604000"/>
    <n v="56112"/>
    <s v="Unidade Vieiralves"/>
    <n v="1704426180"/>
    <m/>
  </r>
  <r>
    <x v="15"/>
    <x v="15"/>
    <s v="Jucilene de Souza Mesquita"/>
    <s v="Feminino"/>
    <x v="2"/>
    <x v="25"/>
    <s v="50000446 - Rpg (R$ 36,71)"/>
    <s v="Rpg"/>
    <n v="1707511115"/>
    <s v="Finalizado (1/1)"/>
    <n v="29.367999999999999"/>
    <n v="7.3419999999999996"/>
    <n v="36.71"/>
    <s v="Sessão Faturada"/>
    <n v="841075400019010"/>
    <n v="49719"/>
    <s v="Unidade Vieiralves"/>
    <n v="1707511115"/>
    <m/>
  </r>
  <r>
    <x v="15"/>
    <x v="17"/>
    <s v="Gaspar Henrique Alves Mota"/>
    <m/>
    <x v="2"/>
    <x v="25"/>
    <s v="50000446 - Rpg (R$ 36,71)"/>
    <s v="Rpg"/>
    <n v="1706507382"/>
    <s v="Finalizado (3/5)"/>
    <n v="29.367999999999999"/>
    <n v="7.3419999999999996"/>
    <n v="36.71"/>
    <s v="Sessão Faturada"/>
    <n v="774642013528010"/>
    <n v="54316"/>
    <s v="Unidade Vieiralves"/>
    <n v="1706507382"/>
    <m/>
  </r>
  <r>
    <x v="15"/>
    <x v="17"/>
    <s v="Francisco Lima da Silva"/>
    <s v="Masculino"/>
    <x v="2"/>
    <x v="25"/>
    <s v="50000446 - Rpg (R$ 36,71)"/>
    <s v="Rpg"/>
    <n v="1704926490"/>
    <s v="Finalizado (3/5)"/>
    <n v="29.367999999999999"/>
    <n v="7.3419999999999996"/>
    <n v="36.71"/>
    <s v="Sessão Faturada"/>
    <n v="774981007706010"/>
    <n v="52427"/>
    <s v="Unidade Vieiralves"/>
    <n v="1704926490"/>
    <m/>
  </r>
  <r>
    <x v="15"/>
    <x v="10"/>
    <s v="Waldir dos Santos Fontes Junior"/>
    <s v="Masculino"/>
    <x v="2"/>
    <x v="25"/>
    <s v="50000446 - Rpg (R$ 36,71)"/>
    <s v="Rpg"/>
    <n v="1707540923"/>
    <s v="Finalizado (1/5)"/>
    <n v="29.367999999999999"/>
    <n v="7.3419999999999996"/>
    <n v="36.71"/>
    <s v="Sessão Faturada"/>
    <n v="772133000728000"/>
    <n v="51522"/>
    <s v="Unidade Vieiralves"/>
    <n v="1707540923"/>
    <m/>
  </r>
  <r>
    <x v="16"/>
    <x v="0"/>
    <s v="Maria Adelina Parente Lins Felix"/>
    <s v="Feminino"/>
    <x v="0"/>
    <x v="25"/>
    <s v="50000446 - Rpg (R$ 62,75)"/>
    <s v="Rpg"/>
    <s v="42263120260209261749"/>
    <s v="Finalizado (5/10)"/>
    <n v="50.2"/>
    <n v="12.55"/>
    <n v="62.75"/>
    <s v="Sessão Faturada"/>
    <s v="010650363400"/>
    <n v="41281"/>
    <s v="Unidade Vieiralves"/>
    <s v="42263120260209261749"/>
    <m/>
  </r>
  <r>
    <x v="16"/>
    <x v="0"/>
    <s v="Gilma do Socorro Ferreira de Paiva"/>
    <s v="Feminino"/>
    <x v="7"/>
    <x v="25"/>
    <s v="Vieiralves - 19 - Rpg - Pacote (R$ 50,00)"/>
    <s v="Rpg"/>
    <n v="167292"/>
    <s v="Finalizado (5/10)"/>
    <n v="37.5"/>
    <n v="12.5"/>
    <n v="50"/>
    <s v="Pago"/>
    <s v="0801011513670017"/>
    <n v="56631"/>
    <s v="Unidade Vieiralves"/>
    <n v="167292"/>
    <m/>
  </r>
  <r>
    <x v="16"/>
    <x v="2"/>
    <s v="Cirilo de Paula Bezerra"/>
    <s v="Masculino"/>
    <x v="0"/>
    <x v="25"/>
    <s v="50000446 - Rpg (R$ 62,75)"/>
    <s v="Rpg"/>
    <s v="42263120260225348672"/>
    <s v="Finalizado (5/10)"/>
    <n v="50.2"/>
    <n v="12.55"/>
    <n v="62.75"/>
    <s v="Sessão Faturada"/>
    <s v="010033494000"/>
    <n v="50241"/>
    <s v="Unidade Vieiralves"/>
    <s v="42263120260225348672"/>
    <m/>
  </r>
  <r>
    <x v="16"/>
    <x v="4"/>
    <s v="Elane Sales de Lima"/>
    <m/>
    <x v="2"/>
    <x v="25"/>
    <s v="50000446 - Rpg (R$ 36,71)"/>
    <s v="Rpg"/>
    <n v="1704841614"/>
    <s v="Finalizado (4/5)"/>
    <n v="29.367999999999999"/>
    <n v="7.3419999999999996"/>
    <n v="36.71"/>
    <s v="Sessão Faturada"/>
    <n v="773539032034010"/>
    <n v="58812"/>
    <s v="Unidade Vieiralves"/>
    <n v="1704841614"/>
    <m/>
  </r>
  <r>
    <x v="16"/>
    <x v="4"/>
    <s v="Jose Mario Chaves Gomes de Oliveira"/>
    <s v="Masculino"/>
    <x v="11"/>
    <x v="25"/>
    <s v="90001001 - Rpg (R$ 65,10)"/>
    <s v="Rpg"/>
    <s v="2722/2026"/>
    <s v="Finalizado (3/10)"/>
    <n v="52.08"/>
    <n v="13.02"/>
    <n v="65.099999999999994"/>
    <s v="Sessão Faturada"/>
    <n v="2301648"/>
    <n v="7982"/>
    <s v="Unidade Vieiralves"/>
    <s v="2722/2026"/>
    <m/>
  </r>
  <r>
    <x v="16"/>
    <x v="6"/>
    <s v="Jefferson Castro Simplicio"/>
    <s v="Masculino"/>
    <x v="2"/>
    <x v="25"/>
    <s v="50000446 - Rpg (R$ 36,71)"/>
    <s v="Rpg"/>
    <n v="1707992298"/>
    <s v="Finalizado (1/5)"/>
    <n v="29.367999999999999"/>
    <n v="7.3419999999999996"/>
    <n v="36.71"/>
    <s v="Sessão Faturada"/>
    <n v="960130225177000"/>
    <n v="43518"/>
    <s v="Unidade Vieiralves"/>
    <n v="1707992298"/>
    <m/>
  </r>
  <r>
    <x v="16"/>
    <x v="15"/>
    <s v="Virgínia Ketlen dos Santos Xavier"/>
    <s v="Feminino"/>
    <x v="2"/>
    <x v="25"/>
    <s v="50000446 - Rpg (R$ 36,71)"/>
    <s v="Rpg"/>
    <n v="1701972197"/>
    <s v="Finalizado (5/5)"/>
    <n v="29.367999999999999"/>
    <n v="7.3419999999999996"/>
    <n v="36.71"/>
    <s v="Sessão Faturada"/>
    <n v="772901027731010"/>
    <n v="47393"/>
    <s v="Unidade Vieiralves"/>
    <n v="1701972197"/>
    <m/>
  </r>
  <r>
    <x v="16"/>
    <x v="8"/>
    <s v="Anny Gabrielle de Oliveira Melo"/>
    <s v="Feminino"/>
    <x v="2"/>
    <x v="25"/>
    <s v="50000446 - Rpg (R$ 36,71)"/>
    <s v="Rpg"/>
    <n v="1695363750"/>
    <s v="Finalizado (4/4)"/>
    <n v="29.367999999999999"/>
    <n v="7.3419999999999996"/>
    <n v="36.71"/>
    <s v="Sessão Faturada"/>
    <n v="834085900035010"/>
    <n v="13428"/>
    <s v="Unidade Vieiralves"/>
    <n v="1695363750"/>
    <m/>
  </r>
  <r>
    <x v="16"/>
    <x v="10"/>
    <s v="Franciane de Souza Gomes"/>
    <s v="Feminino"/>
    <x v="2"/>
    <x v="25"/>
    <s v="50000446 - Rpg (R$ 36,71)"/>
    <s v="Rpg"/>
    <n v="1704934987"/>
    <s v="Finalizado (5/5)"/>
    <n v="29.367999999999999"/>
    <n v="7.3419999999999996"/>
    <n v="36.71"/>
    <s v="Sessão Faturada"/>
    <n v="973700009598000"/>
    <n v="16642"/>
    <s v="Unidade Vieiralves"/>
    <n v="1704934987"/>
    <m/>
  </r>
  <r>
    <x v="16"/>
    <x v="10"/>
    <s v="Jonathan Campos Damasceno"/>
    <s v="Feminino"/>
    <x v="2"/>
    <x v="25"/>
    <s v="50000446 - Rpg (R$ 36,71)"/>
    <s v="Rpg"/>
    <n v="1705961072"/>
    <s v="Finalizado (3/3)"/>
    <n v="29.367999999999999"/>
    <n v="7.3419999999999996"/>
    <n v="36.71"/>
    <s v="Sessão Faturada"/>
    <n v="771015058220000"/>
    <n v="38316"/>
    <s v="Unidade Vieiralves"/>
    <n v="1705961072"/>
    <m/>
  </r>
  <r>
    <x v="16"/>
    <x v="20"/>
    <s v="Willian Jean Silva Colares"/>
    <s v="Masculino"/>
    <x v="2"/>
    <x v="25"/>
    <s v="50000446 - Rpg (R$ 36,71)"/>
    <s v="Rpg"/>
    <n v="1705955293"/>
    <s v="Finalizado (3/5)"/>
    <n v="29.367999999999999"/>
    <n v="7.3419999999999996"/>
    <n v="36.71"/>
    <s v="Sessão Faturada"/>
    <n v="775219005800000"/>
    <n v="59277"/>
    <s v="Unidade Vieiralves"/>
    <n v="1705955293"/>
    <m/>
  </r>
  <r>
    <x v="16"/>
    <x v="20"/>
    <s v="Dhijana Nobre de Almeida"/>
    <s v="Feminino"/>
    <x v="7"/>
    <x v="25"/>
    <s v="Part Convenio - 2 - Rpg - Pacote (R$ 55,00)"/>
    <s v="Rpg"/>
    <n v="170377"/>
    <s v="Finalizado (1/10)"/>
    <n v="41.25"/>
    <n v="13.75"/>
    <n v="55"/>
    <s v="No Prazo"/>
    <s v="54588888004873450017"/>
    <n v="6422"/>
    <s v="Unidade Vieiralves"/>
    <n v="170377"/>
    <m/>
  </r>
  <r>
    <x v="17"/>
    <x v="0"/>
    <s v="Maria Adelina Parente Lins Felix"/>
    <s v="Feminino"/>
    <x v="0"/>
    <x v="25"/>
    <s v="50000446 - Rpg (R$ 62,75)"/>
    <s v="Rpg"/>
    <s v="42263120260209261749"/>
    <s v="Finalizado (6/10)"/>
    <n v="50.2"/>
    <n v="12.55"/>
    <n v="62.75"/>
    <s v="Sessão Faturada"/>
    <s v="010650363400"/>
    <n v="41281"/>
    <s v="Unidade Vieiralves"/>
    <s v="42263120260209261749"/>
    <m/>
  </r>
  <r>
    <x v="17"/>
    <x v="0"/>
    <s v="Alice da Silva dos Santos"/>
    <m/>
    <x v="2"/>
    <x v="25"/>
    <s v="50000446 - Rpg (R$ 36,71)"/>
    <s v="Rpg"/>
    <n v="1704426180"/>
    <s v="Finalizado (5/5)"/>
    <n v="29.367999999999999"/>
    <n v="7.3419999999999996"/>
    <n v="36.71"/>
    <s v="Sessão Faturada"/>
    <n v="843486100604000"/>
    <n v="56112"/>
    <s v="Unidade Vieiralves"/>
    <n v="1704426180"/>
    <m/>
  </r>
  <r>
    <x v="17"/>
    <x v="2"/>
    <s v="Cirilo de Paula Bezerra"/>
    <s v="Masculino"/>
    <x v="0"/>
    <x v="25"/>
    <s v="50000446 - Rpg (R$ 62,75)"/>
    <s v="Rpg"/>
    <s v="42263120260225348672"/>
    <s v="Não compareceu (6/10)"/>
    <n v="62.75"/>
    <n v="0"/>
    <n v="62.75"/>
    <s v="Sessão Faturada"/>
    <s v="010033494000"/>
    <n v="50241"/>
    <s v="Unidade Vieiralves"/>
    <s v="42263120260225348672"/>
    <m/>
  </r>
  <r>
    <x v="17"/>
    <x v="2"/>
    <s v="Sofia Araujo Pereira Ferreira"/>
    <s v="Feminino"/>
    <x v="2"/>
    <x v="25"/>
    <s v="50000446 - Rpg (R$ 36,71)"/>
    <s v="Rpg"/>
    <n v="1701403615"/>
    <s v="Finalizado (5/5)"/>
    <n v="29.367999999999999"/>
    <n v="7.3419999999999996"/>
    <n v="36.71"/>
    <s v="Sessão Faturada"/>
    <n v="814438300051020"/>
    <n v="59164"/>
    <s v="Unidade Vieiralves"/>
    <n v="1701403615"/>
    <m/>
  </r>
  <r>
    <x v="17"/>
    <x v="4"/>
    <s v="Ligiane Liborio Caranha Lima"/>
    <s v="Feminino"/>
    <x v="5"/>
    <x v="25"/>
    <s v="50000446 - Rpg - 04/03/2026 (R$ 52,23)"/>
    <s v="Rpg"/>
    <n v="164150"/>
    <s v="Finalizado (9/10)"/>
    <n v="41.783999999999999"/>
    <n v="10.446"/>
    <n v="52.23"/>
    <s v="Sessão Faturada"/>
    <s v="0100791349000431"/>
    <n v="39694"/>
    <s v="Unidade Vieiralves"/>
    <n v="164150"/>
    <s v="guia assinada "/>
  </r>
  <r>
    <x v="17"/>
    <x v="4"/>
    <s v="Elane Sales de Lima"/>
    <m/>
    <x v="2"/>
    <x v="25"/>
    <s v="50000446 - Rpg (R$ 36,71)"/>
    <s v="Rpg"/>
    <n v="1704841614"/>
    <s v="Finalizado (5/5)"/>
    <n v="29.367999999999999"/>
    <n v="7.3419999999999996"/>
    <n v="36.71"/>
    <s v="Sessão Faturada"/>
    <n v="773539032034010"/>
    <n v="58812"/>
    <s v="Unidade Vieiralves"/>
    <n v="1704841614"/>
    <m/>
  </r>
  <r>
    <x v="17"/>
    <x v="13"/>
    <s v="Ana Clara Froes Leite"/>
    <s v="Feminino"/>
    <x v="8"/>
    <x v="25"/>
    <s v="50000446 - Reeducação Postural Global (R$ 36,71)"/>
    <s v="Rpg"/>
    <n v="1708921865"/>
    <s v="Finalizado (1/5)"/>
    <n v="29.367999999999999"/>
    <n v="7.3419999999999996"/>
    <n v="36.71"/>
    <s v="Sessão Faturada"/>
    <n v="954600022691040"/>
    <n v="47756"/>
    <s v="Unidade Vieiralves"/>
    <n v="1708921865"/>
    <m/>
  </r>
  <r>
    <x v="17"/>
    <x v="13"/>
    <s v="Rosalinda Pereira Brito"/>
    <s v="Feminino"/>
    <x v="2"/>
    <x v="25"/>
    <s v="50000446 - Rpg (R$ 36,71)"/>
    <s v="Rpg"/>
    <n v="1709088253"/>
    <s v="Finalizado (1/5)"/>
    <n v="29.367999999999999"/>
    <n v="7.3419999999999996"/>
    <n v="36.71"/>
    <s v="Sessão Faturada"/>
    <s v="010544100907015"/>
    <n v="13886"/>
    <s v="Unidade Vieiralves"/>
    <n v="1709088253"/>
    <m/>
  </r>
  <r>
    <x v="17"/>
    <x v="6"/>
    <s v="Vitoria Laredo Bulgarelli"/>
    <s v="Feminino"/>
    <x v="12"/>
    <x v="25"/>
    <s v="50000446 - Reducaçao Postural Global (R$ 36,71)"/>
    <s v="Rpg"/>
    <n v="10298461"/>
    <s v="Finalizado (3/4)"/>
    <n v="29.367999999999999"/>
    <n v="7.3419999999999996"/>
    <n v="36.71"/>
    <s v="Sessão a Faturar"/>
    <n v="9.5125289242221005E+17"/>
    <n v="57323"/>
    <s v="Unidade Vieiralves"/>
    <n v="10298461"/>
    <m/>
  </r>
  <r>
    <x v="17"/>
    <x v="15"/>
    <s v="Tiago Godoy Lopes"/>
    <s v="Masculino"/>
    <x v="2"/>
    <x v="25"/>
    <s v="50000446 - Rpg (R$ 36,71)"/>
    <s v="Rpg"/>
    <n v="1703897324"/>
    <s v="Finalizado (5/5)"/>
    <n v="29.367999999999999"/>
    <n v="7.3419999999999996"/>
    <n v="36.71"/>
    <s v="Sessão Faturada"/>
    <n v="611265590001020"/>
    <n v="58056"/>
    <s v="Unidade Vieiralves"/>
    <n v="1703897324"/>
    <m/>
  </r>
  <r>
    <x v="17"/>
    <x v="10"/>
    <s v="Francisco Lima da Silva"/>
    <s v="Masculino"/>
    <x v="2"/>
    <x v="25"/>
    <s v="50000446 - Rpg (R$ 36,71)"/>
    <s v="Rpg"/>
    <n v="1704926490"/>
    <s v="Finalizado (5/5)"/>
    <n v="29.367999999999999"/>
    <n v="7.3419999999999996"/>
    <n v="36.71"/>
    <s v="Sessão Faturada"/>
    <n v="774981007706010"/>
    <n v="52427"/>
    <s v="Unidade Vieiralves"/>
    <n v="1704926490"/>
    <m/>
  </r>
  <r>
    <x v="17"/>
    <x v="12"/>
    <s v="Cizia Freitas de Silva Costa"/>
    <s v="Feminino"/>
    <x v="2"/>
    <x v="25"/>
    <s v="50000446 - Rpg (R$ 36,71)"/>
    <s v="Rpg"/>
    <n v="1709234258"/>
    <s v="Finalizado (1/5)"/>
    <n v="29.367999999999999"/>
    <n v="7.3419999999999996"/>
    <n v="36.71"/>
    <s v="Sessão a Faturar"/>
    <n v="960016147089050"/>
    <n v="46973"/>
    <s v="Unidade Vieiralves"/>
    <n v="1709234258"/>
    <m/>
  </r>
  <r>
    <x v="18"/>
    <x v="0"/>
    <s v="Gilma do Socorro Ferreira de Paiva"/>
    <s v="Feminino"/>
    <x v="7"/>
    <x v="25"/>
    <s v="Vieiralves - 19 - Rpg - Pacote (R$ 50,00)"/>
    <s v="Rpg"/>
    <n v="167292"/>
    <s v="Finalizado (6/10)"/>
    <n v="37.5"/>
    <n v="12.5"/>
    <n v="50"/>
    <s v="Pago"/>
    <s v="0801011513670017"/>
    <n v="56631"/>
    <s v="Unidade Vieiralves"/>
    <n v="167292"/>
    <m/>
  </r>
  <r>
    <x v="18"/>
    <x v="0"/>
    <s v="Rosalinda Pereira Brito"/>
    <s v="Feminino"/>
    <x v="2"/>
    <x v="25"/>
    <s v="50000446 - Rpg (R$ 36,71)"/>
    <s v="Rpg"/>
    <n v="1709088253"/>
    <s v="Finalizado (2/5)"/>
    <n v="29.367999999999999"/>
    <n v="7.3419999999999996"/>
    <n v="36.71"/>
    <s v="Sessão Faturada"/>
    <s v="010544100907015"/>
    <n v="13886"/>
    <s v="Unidade Vieiralves"/>
    <n v="1709088253"/>
    <m/>
  </r>
  <r>
    <x v="18"/>
    <x v="2"/>
    <s v="Wilson Colares da Costa Junior"/>
    <s v="Masculino"/>
    <x v="20"/>
    <x v="25"/>
    <s v="25100050 - Rpg (R$ 28,80)"/>
    <s v="Rpg"/>
    <n v="55544690"/>
    <s v="Finalizado (1/1)"/>
    <n v="23.04"/>
    <n v="5.76"/>
    <n v="28.8"/>
    <s v="Sessão Faturada"/>
    <n v="10410600643600"/>
    <n v="58658"/>
    <s v="Unidade Vieiralves"/>
    <n v="55544690"/>
    <m/>
  </r>
  <r>
    <x v="18"/>
    <x v="4"/>
    <s v="Vitoria Laredo Bulgarelli"/>
    <s v="Feminino"/>
    <x v="12"/>
    <x v="25"/>
    <s v="50000446 - Reducaçao Postural Global (R$ 36,71)"/>
    <s v="Rpg"/>
    <n v="10298461"/>
    <s v="Finalizado (4/4)"/>
    <n v="29.367999999999999"/>
    <n v="7.3419999999999996"/>
    <n v="36.71"/>
    <s v="Sessão a Faturar"/>
    <n v="9.5125289242221005E+17"/>
    <n v="57323"/>
    <s v="Unidade Vieiralves"/>
    <n v="10298461"/>
    <m/>
  </r>
  <r>
    <x v="18"/>
    <x v="4"/>
    <s v="Izabelly Beatriz Costa de Oliveira"/>
    <s v="Feminino"/>
    <x v="8"/>
    <x v="25"/>
    <s v="50000446 - Reeducação Postural Global (R$ 36,71)"/>
    <s v="Rpg"/>
    <n v="1709770755"/>
    <s v="Finalizado (1/2)"/>
    <n v="29.367999999999999"/>
    <n v="7.3419999999999996"/>
    <n v="36.71"/>
    <s v="Sessão a Faturar"/>
    <n v="954600015326010"/>
    <n v="56994"/>
    <s v="Unidade Vieiralves"/>
    <n v="1709770755"/>
    <m/>
  </r>
  <r>
    <x v="18"/>
    <x v="13"/>
    <s v="Miranir da Silva Oliveira"/>
    <s v="Feminino"/>
    <x v="5"/>
    <x v="25"/>
    <s v="50000446 - Rpg - 04/03/2026 (R$ 52,23)"/>
    <s v="Rpg"/>
    <n v="167755"/>
    <s v="Finalizado (6/10)"/>
    <n v="41.783999999999999"/>
    <n v="10.446"/>
    <n v="52.23"/>
    <s v="Sessão a Faturar"/>
    <s v="0101353960010135"/>
    <n v="57596"/>
    <s v="Unidade Vieiralves"/>
    <n v="167755"/>
    <m/>
  </r>
  <r>
    <x v="18"/>
    <x v="6"/>
    <s v="Isadora Vitorino Grana"/>
    <s v="Feminino"/>
    <x v="7"/>
    <x v="25"/>
    <s v="Part Convenio - 2 - Rpg - Pacote (R$ 55,00)"/>
    <s v="Rpg"/>
    <n v="170056"/>
    <s v="Finalizado (4/10)"/>
    <n v="41.25"/>
    <n v="13.75"/>
    <n v="55"/>
    <s v="Pago"/>
    <s v="00010300035963020"/>
    <n v="56556"/>
    <s v="Unidade Vieiralves"/>
    <n v="170056"/>
    <m/>
  </r>
  <r>
    <x v="18"/>
    <x v="6"/>
    <s v="Rosineide Rodrigues Arcanjo"/>
    <s v="Feminino"/>
    <x v="2"/>
    <x v="25"/>
    <s v="50000446 - Rpg (R$ 36,71)"/>
    <s v="Rpg"/>
    <n v="1709819990"/>
    <s v="Finalizado (1/5)"/>
    <n v="29.367999999999999"/>
    <n v="7.3419999999999996"/>
    <n v="36.71"/>
    <s v="Sessão Faturada"/>
    <n v="774063004219030"/>
    <n v="50224"/>
    <s v="Unidade Vieiralves"/>
    <n v="1709819990"/>
    <m/>
  </r>
  <r>
    <x v="18"/>
    <x v="15"/>
    <s v="Kaíny Medeiros Maciel"/>
    <s v="Feminino"/>
    <x v="2"/>
    <x v="25"/>
    <s v="50000446 - Rpg (R$ 36,71)"/>
    <s v="Rpg"/>
    <n v="1705204666"/>
    <s v="Finalizado (3/5)"/>
    <n v="29.367999999999999"/>
    <n v="7.3419999999999996"/>
    <n v="36.71"/>
    <s v="Sessão Faturada"/>
    <n v="774642015580010"/>
    <n v="59326"/>
    <s v="Unidade Vieiralves"/>
    <n v="1705204666"/>
    <m/>
  </r>
  <r>
    <x v="18"/>
    <x v="17"/>
    <s v="Kellen Regina Pereira da Silva"/>
    <s v="Feminino"/>
    <x v="2"/>
    <x v="25"/>
    <s v="50000446 - Rpg (R$ 36,71)"/>
    <s v="Rpg"/>
    <n v="1709801691"/>
    <s v="Finalizado (1/5)"/>
    <n v="29.367999999999999"/>
    <n v="7.3419999999999996"/>
    <n v="36.71"/>
    <s v="Sessão Faturada"/>
    <n v="890729700027020"/>
    <n v="59263"/>
    <s v="Unidade Vieiralves"/>
    <n v="1709801691"/>
    <m/>
  </r>
  <r>
    <x v="18"/>
    <x v="8"/>
    <s v="Ana Clara Froes Leite"/>
    <s v="Feminino"/>
    <x v="8"/>
    <x v="25"/>
    <s v="50000446 - Reeducação Postural Global (R$ 36,71)"/>
    <s v="Rpg"/>
    <n v="1708921865"/>
    <s v="Finalizado (2/5)"/>
    <n v="29.367999999999999"/>
    <n v="7.3419999999999996"/>
    <n v="36.71"/>
    <s v="Sessão Faturada"/>
    <n v="954600022691040"/>
    <n v="47756"/>
    <s v="Unidade Vieiralves"/>
    <n v="1708921865"/>
    <m/>
  </r>
  <r>
    <x v="18"/>
    <x v="8"/>
    <s v="Anne Kelly Fróes Fontinele"/>
    <s v="Feminino"/>
    <x v="8"/>
    <x v="25"/>
    <s v="50000446 - Reeducação Postural Global (R$ 36,71)"/>
    <s v="Rpg"/>
    <n v="1709858319"/>
    <s v="Finalizado (1/4)"/>
    <n v="29.367999999999999"/>
    <n v="7.3419999999999996"/>
    <n v="36.71"/>
    <s v="Sessão Faturada"/>
    <n v="954600022691010"/>
    <n v="47757"/>
    <s v="Unidade Vieiralves"/>
    <n v="1709858319"/>
    <m/>
  </r>
  <r>
    <x v="18"/>
    <x v="10"/>
    <s v="Clara Vitória Borges Braga"/>
    <s v="Feminino"/>
    <x v="7"/>
    <x v="25"/>
    <s v="Vieiralves - 19 - Rpg - Pacote (R$ 100,00)"/>
    <s v="Rpg"/>
    <n v="167003"/>
    <s v="Finalizado (9/10)"/>
    <n v="75"/>
    <n v="25"/>
    <n v="100"/>
    <s v="Pago"/>
    <s v="00"/>
    <n v="59249"/>
    <s v="Unidade Vieiralves"/>
    <n v="167003"/>
    <m/>
  </r>
  <r>
    <x v="18"/>
    <x v="12"/>
    <s v="Joyce Sales de Sousa Guedes"/>
    <s v="Feminino"/>
    <x v="2"/>
    <x v="25"/>
    <s v="50000446 - Rpg (R$ 36,71)"/>
    <s v="Rpg"/>
    <n v="1708335000"/>
    <s v="Finalizado (2/5)"/>
    <n v="29.367999999999999"/>
    <n v="7.3419999999999996"/>
    <n v="36.71"/>
    <s v="Sessão Faturada"/>
    <n v="960019317525010"/>
    <n v="59107"/>
    <s v="Unidade Vieiralves"/>
    <n v="1708335000"/>
    <m/>
  </r>
  <r>
    <x v="18"/>
    <x v="12"/>
    <s v="Jessica Pereira Falcão"/>
    <s v="Feminino"/>
    <x v="25"/>
    <x v="25"/>
    <s v="50000446 - Rpg (R$ 49,65)"/>
    <s v="Rpg"/>
    <n v="143008"/>
    <s v="Finalizado (2/10)"/>
    <n v="39.72"/>
    <n v="9.93"/>
    <n v="49.65"/>
    <s v="Sessão Faturada"/>
    <n v="13804"/>
    <n v="50776"/>
    <s v="Unidade Vieiralves"/>
    <n v="143008"/>
    <m/>
  </r>
  <r>
    <x v="22"/>
    <x v="0"/>
    <s v="Maria Adelina Parente Lins Felix"/>
    <s v="Feminino"/>
    <x v="0"/>
    <x v="25"/>
    <s v="50000446 - Rpg (R$ 62,75)"/>
    <s v="Rpg"/>
    <s v="42263120260209261749"/>
    <s v="Finalizado (7/10)"/>
    <n v="50.2"/>
    <n v="12.55"/>
    <n v="62.75"/>
    <s v="Sessão Faturada"/>
    <s v="010650363400"/>
    <n v="41281"/>
    <s v="Unidade Vieiralves"/>
    <s v="42263120260209261749"/>
    <m/>
  </r>
  <r>
    <x v="22"/>
    <x v="0"/>
    <s v="Sonia dos Santos Pereira"/>
    <s v="Feminino"/>
    <x v="2"/>
    <x v="25"/>
    <s v="50000446 - Rpg (R$ 36,71)"/>
    <s v="Rpg"/>
    <n v="1709102309"/>
    <s v="Finalizado (2/3)"/>
    <n v="29.367999999999999"/>
    <n v="7.3419999999999996"/>
    <n v="36.71"/>
    <s v="Sessão Faturada"/>
    <n v="775216009806030"/>
    <n v="56433"/>
    <s v="Unidade Vieiralves"/>
    <n v="1709102309"/>
    <m/>
  </r>
  <r>
    <x v="22"/>
    <x v="2"/>
    <s v="Cirilo de Paula Bezerra"/>
    <s v="Masculino"/>
    <x v="0"/>
    <x v="25"/>
    <s v="50000446 - Rpg (R$ 62,75)"/>
    <s v="Rpg"/>
    <s v="42263120260225348672"/>
    <s v="Finalizado (7/10)"/>
    <n v="50.2"/>
    <n v="12.55"/>
    <n v="62.75"/>
    <s v="Sessão Faturada"/>
    <s v="010033494000"/>
    <n v="50241"/>
    <s v="Unidade Vieiralves"/>
    <s v="42263120260225348672"/>
    <m/>
  </r>
  <r>
    <x v="22"/>
    <x v="4"/>
    <s v="Elane Sales de Lima"/>
    <m/>
    <x v="2"/>
    <x v="25"/>
    <s v="50000446 - Rpg (R$ 36,71)"/>
    <s v="Rpg"/>
    <n v="1710366113"/>
    <s v="Finalizado (1/5)"/>
    <n v="29.367999999999999"/>
    <n v="7.3419999999999996"/>
    <n v="36.71"/>
    <s v="Sessão Faturada"/>
    <n v="773539032034010"/>
    <n v="58812"/>
    <s v="Unidade Vieiralves"/>
    <n v="1710366113"/>
    <m/>
  </r>
  <r>
    <x v="22"/>
    <x v="4"/>
    <s v="Jose Mario Chaves Gomes de Oliveira"/>
    <s v="Masculino"/>
    <x v="11"/>
    <x v="25"/>
    <s v="90001001 - Rpg (R$ 65,10)"/>
    <s v="Rpg"/>
    <s v="2722/2026"/>
    <s v="Finalizado (4/10)"/>
    <n v="52.08"/>
    <n v="13.02"/>
    <n v="65.099999999999994"/>
    <s v="Sessão Faturada"/>
    <n v="2301648"/>
    <n v="7982"/>
    <s v="Unidade Vieiralves"/>
    <s v="2722/2026"/>
    <m/>
  </r>
  <r>
    <x v="22"/>
    <x v="13"/>
    <s v="Tiago Godoy Lopes"/>
    <s v="Masculino"/>
    <x v="2"/>
    <x v="25"/>
    <s v="50000446 - Rpg (R$ 36,71)"/>
    <s v="Rpg"/>
    <n v="1710390769"/>
    <s v="Finalizado (1/4)"/>
    <n v="29.367999999999999"/>
    <n v="7.3419999999999996"/>
    <n v="36.71"/>
    <s v="Sessão Faturada"/>
    <n v="611265590001020"/>
    <n v="58056"/>
    <s v="Unidade Vieiralves"/>
    <n v="1710390769"/>
    <m/>
  </r>
  <r>
    <x v="22"/>
    <x v="15"/>
    <s v="Gaspar Henrique Alves Mota"/>
    <m/>
    <x v="2"/>
    <x v="25"/>
    <s v="50000446 - Rpg (R$ 36,71)"/>
    <s v="Rpg"/>
    <n v="1706507382"/>
    <s v="Finalizado (4/5)"/>
    <n v="29.367999999999999"/>
    <n v="7.3419999999999996"/>
    <n v="36.71"/>
    <s v="Sessão Faturada"/>
    <n v="774642013528010"/>
    <n v="54316"/>
    <s v="Unidade Vieiralves"/>
    <n v="1706507382"/>
    <m/>
  </r>
  <r>
    <x v="22"/>
    <x v="15"/>
    <s v="Kellen Regina Pereira da Silva"/>
    <s v="Feminino"/>
    <x v="2"/>
    <x v="25"/>
    <s v="50000446 - Rpg (R$ 36,71)"/>
    <s v="Rpg"/>
    <n v="1709801691"/>
    <s v="Finalizado (2/5)"/>
    <n v="29.367999999999999"/>
    <n v="7.3419999999999996"/>
    <n v="36.71"/>
    <s v="Sessão Faturada"/>
    <n v="890729700027020"/>
    <n v="59263"/>
    <s v="Unidade Vieiralves"/>
    <n v="1709801691"/>
    <m/>
  </r>
  <r>
    <x v="22"/>
    <x v="10"/>
    <s v="Cizia Freitas de Silva Costa"/>
    <s v="Feminino"/>
    <x v="2"/>
    <x v="25"/>
    <s v="50000446 - Rpg (R$ 36,71)"/>
    <s v="Rpg"/>
    <n v="1709234258"/>
    <s v="Finalizado (2/5)"/>
    <n v="29.367999999999999"/>
    <n v="7.3419999999999996"/>
    <n v="36.71"/>
    <s v="Sessão a Faturar"/>
    <n v="960016147089050"/>
    <n v="46973"/>
    <s v="Unidade Vieiralves"/>
    <n v="1709234258"/>
    <m/>
  </r>
  <r>
    <x v="22"/>
    <x v="10"/>
    <s v="Waldir dos Santos Fontes Junior"/>
    <s v="Masculino"/>
    <x v="2"/>
    <x v="25"/>
    <s v="50000446 - Rpg (R$ 36,71)"/>
    <s v="Rpg"/>
    <n v="1707540923"/>
    <s v="Finalizado (3/5)"/>
    <n v="29.367999999999999"/>
    <n v="7.3419999999999996"/>
    <n v="36.71"/>
    <s v="Sessão Faturada"/>
    <n v="772133000728000"/>
    <n v="51522"/>
    <s v="Unidade Vieiralves"/>
    <n v="1707540923"/>
    <m/>
  </r>
  <r>
    <x v="22"/>
    <x v="12"/>
    <s v="Ana Clara Froes Leite"/>
    <s v="Feminino"/>
    <x v="8"/>
    <x v="25"/>
    <s v="50000446 - Reeducação Postural Global (R$ 36,71)"/>
    <s v="Rpg"/>
    <n v="1708921865"/>
    <s v="Finalizado (3/5)"/>
    <n v="29.367999999999999"/>
    <n v="7.3419999999999996"/>
    <n v="36.71"/>
    <s v="Sessão Faturada"/>
    <n v="954600022691040"/>
    <n v="47756"/>
    <s v="Unidade Vieiralves"/>
    <n v="1708921865"/>
    <m/>
  </r>
  <r>
    <x v="22"/>
    <x v="12"/>
    <s v="Anne Kelly Fróes Fontinele"/>
    <s v="Feminino"/>
    <x v="8"/>
    <x v="25"/>
    <s v="50000446 - Reeducação Postural Global (R$ 36,71)"/>
    <s v="Rpg"/>
    <n v="1709858319"/>
    <s v="Finalizado (2/4)"/>
    <n v="29.367999999999999"/>
    <n v="7.3419999999999996"/>
    <n v="36.71"/>
    <s v="Sessão Faturada"/>
    <n v="954600022691010"/>
    <n v="47757"/>
    <s v="Unidade Vieiralves"/>
    <n v="1709858319"/>
    <m/>
  </r>
  <r>
    <x v="22"/>
    <x v="20"/>
    <s v="Willian Jean Silva Colares"/>
    <s v="Masculino"/>
    <x v="2"/>
    <x v="25"/>
    <s v="50000446 - Rpg (R$ 36,71)"/>
    <s v="Rpg"/>
    <n v="1705955293"/>
    <s v="Finalizado (4/5)"/>
    <n v="29.367999999999999"/>
    <n v="7.3419999999999996"/>
    <n v="36.71"/>
    <s v="Sessão Faturada"/>
    <n v="775219005800000"/>
    <n v="59277"/>
    <s v="Unidade Vieiralves"/>
    <n v="1705955293"/>
    <m/>
  </r>
  <r>
    <x v="22"/>
    <x v="28"/>
    <s v="Fernando da Silva Passos"/>
    <s v="Masculino"/>
    <x v="2"/>
    <x v="25"/>
    <s v="50000446 - Rpg (R$ 36,71)"/>
    <s v="Rpg"/>
    <n v="1710519659"/>
    <s v="Finalizado (1/5)"/>
    <n v="29.367999999999999"/>
    <n v="7.3419999999999996"/>
    <n v="36.71"/>
    <s v="Sessão Faturada"/>
    <n v="894245300060000"/>
    <n v="55116"/>
    <s v="Unidade Vieiralves"/>
    <n v="1710519659"/>
    <m/>
  </r>
  <r>
    <x v="22"/>
    <x v="28"/>
    <s v="Josicleide Nunes Santos"/>
    <s v="Feminino"/>
    <x v="2"/>
    <x v="25"/>
    <s v="50000446 - Rpg (R$ 36,71)"/>
    <s v="Rpg"/>
    <n v="1705941178"/>
    <s v="Finalizado (3/5)"/>
    <n v="29.367999999999999"/>
    <n v="7.3419999999999996"/>
    <n v="36.71"/>
    <s v="Sessão a Faturar"/>
    <n v="774981001279000"/>
    <n v="20120"/>
    <s v="Unidade Vieiralves"/>
    <n v="1705941178"/>
    <m/>
  </r>
  <r>
    <x v="19"/>
    <x v="0"/>
    <s v="Rosalinda Pereira Brito"/>
    <s v="Feminino"/>
    <x v="2"/>
    <x v="25"/>
    <s v="50000446 - Rpg (R$ 36,71)"/>
    <s v="Rpg"/>
    <n v="1709088253"/>
    <s v="Finalizado (3/5)"/>
    <n v="29.367999999999999"/>
    <n v="7.3419999999999996"/>
    <n v="36.71"/>
    <s v="Sessão Faturada"/>
    <s v="010544100907015"/>
    <n v="13886"/>
    <s v="Unidade Vieiralves"/>
    <n v="1709088253"/>
    <m/>
  </r>
  <r>
    <x v="19"/>
    <x v="2"/>
    <s v="Joao Guilherme Brandao Castelo Branco"/>
    <s v="Masculino"/>
    <x v="2"/>
    <x v="25"/>
    <s v="50000446 - Rpg (R$ 36,71)"/>
    <s v="Rpg"/>
    <n v="1710973261"/>
    <s v="Finalizado (1/5)"/>
    <n v="29.367999999999999"/>
    <n v="7.3419999999999996"/>
    <n v="36.71"/>
    <s v="Sessão Faturada"/>
    <n v="772299077860020"/>
    <n v="59616"/>
    <s v="Unidade Vieiralves"/>
    <n v="1710973261"/>
    <m/>
  </r>
  <r>
    <x v="19"/>
    <x v="2"/>
    <s v="Sofia Araujo Pereira Ferreira"/>
    <s v="Feminino"/>
    <x v="2"/>
    <x v="25"/>
    <s v="50000446 - Rpg (R$ 36,71)"/>
    <s v="Rpg"/>
    <n v="1710977857"/>
    <s v="Finalizado (1/4)"/>
    <n v="29.367999999999999"/>
    <n v="7.3419999999999996"/>
    <n v="36.71"/>
    <s v="Sessão a Faturar"/>
    <n v="814438300051020"/>
    <n v="59164"/>
    <s v="Unidade Vieiralves"/>
    <n v="1710977857"/>
    <m/>
  </r>
  <r>
    <x v="19"/>
    <x v="13"/>
    <s v="Daniel de Moura Alves"/>
    <s v="Masculino"/>
    <x v="2"/>
    <x v="25"/>
    <s v="50000446 - Rpg (R$ 36,71)"/>
    <s v="Rpg"/>
    <n v="1705858495"/>
    <s v="Finalizado (4/5)"/>
    <n v="29.367999999999999"/>
    <n v="7.3419999999999996"/>
    <n v="36.71"/>
    <s v="Sessão Faturada"/>
    <n v="774063007471000"/>
    <n v="58683"/>
    <s v="Unidade Vieiralves"/>
    <n v="1705858495"/>
    <m/>
  </r>
  <r>
    <x v="19"/>
    <x v="13"/>
    <s v="Miranir da Silva Oliveira"/>
    <s v="Feminino"/>
    <x v="5"/>
    <x v="25"/>
    <s v="50000446 - Rpg - 04/03/2026 (R$ 52,23)"/>
    <s v="Rpg"/>
    <n v="167755"/>
    <s v="Finalizado (7/10)"/>
    <n v="41.783999999999999"/>
    <n v="10.446"/>
    <n v="52.23"/>
    <s v="Sessão a Faturar"/>
    <s v="0101353960010135"/>
    <n v="57596"/>
    <s v="Unidade Vieiralves"/>
    <n v="167755"/>
    <m/>
  </r>
  <r>
    <x v="19"/>
    <x v="6"/>
    <s v="Isadora Vitorino Grana"/>
    <s v="Feminino"/>
    <x v="7"/>
    <x v="25"/>
    <s v="Part Convenio - 2 - Rpg - Pacote (R$ 55,00)"/>
    <s v="Rpg"/>
    <n v="170056"/>
    <s v="Finalizado (5/10)"/>
    <n v="41.25"/>
    <n v="13.75"/>
    <n v="55"/>
    <s v="Pago"/>
    <s v="00010300035963020"/>
    <n v="56556"/>
    <s v="Unidade Vieiralves"/>
    <n v="170056"/>
    <m/>
  </r>
  <r>
    <x v="19"/>
    <x v="15"/>
    <s v="Gaspar Henrique Alves Mota"/>
    <m/>
    <x v="2"/>
    <x v="25"/>
    <s v="50000446 - Rpg (R$ 36,71)"/>
    <s v="Rpg"/>
    <n v="1706507382"/>
    <s v="Finalizado (5/5)"/>
    <n v="29.367999999999999"/>
    <n v="7.3419999999999996"/>
    <n v="36.71"/>
    <s v="Sessão Faturada"/>
    <n v="774642013528010"/>
    <n v="54316"/>
    <s v="Unidade Vieiralves"/>
    <n v="1706507382"/>
    <m/>
  </r>
  <r>
    <x v="19"/>
    <x v="15"/>
    <s v="Izabelly Beatriz Costa de Oliveira"/>
    <s v="Feminino"/>
    <x v="8"/>
    <x v="25"/>
    <s v="50000446 - Reeducação Postural Global (R$ 36,71)"/>
    <s v="Rpg"/>
    <n v="1709770755"/>
    <s v="Finalizado (2/2)"/>
    <n v="29.367999999999999"/>
    <n v="7.3419999999999996"/>
    <n v="36.71"/>
    <s v="Sessão a Faturar"/>
    <n v="954600015326010"/>
    <n v="56994"/>
    <s v="Unidade Vieiralves"/>
    <n v="1709770755"/>
    <m/>
  </r>
  <r>
    <x v="19"/>
    <x v="17"/>
    <s v="Kaíny Medeiros Maciel"/>
    <s v="Feminino"/>
    <x v="2"/>
    <x v="25"/>
    <s v="50000446 - Rpg (R$ 36,71)"/>
    <s v="Rpg"/>
    <n v="1705204666"/>
    <s v="Finalizado (4/5)"/>
    <n v="29.367999999999999"/>
    <n v="7.3419999999999996"/>
    <n v="36.71"/>
    <s v="Sessão Faturada"/>
    <n v="774642015580010"/>
    <n v="59326"/>
    <s v="Unidade Vieiralves"/>
    <n v="1705204666"/>
    <m/>
  </r>
  <r>
    <x v="19"/>
    <x v="17"/>
    <s v="Alice da Silva dos Santos"/>
    <m/>
    <x v="2"/>
    <x v="25"/>
    <s v="50000446 - Rpg (R$ 36,71)"/>
    <s v="Rpg"/>
    <n v="1711044630"/>
    <s v="Finalizado (1/4)"/>
    <n v="29.367999999999999"/>
    <n v="7.3419999999999996"/>
    <n v="36.71"/>
    <s v="Sessão a Faturar"/>
    <n v="843486100604000"/>
    <n v="56112"/>
    <s v="Unidade Vieiralves"/>
    <n v="1711044630"/>
    <m/>
  </r>
  <r>
    <x v="19"/>
    <x v="8"/>
    <s v="Waldir dos Santos Fontes Junior"/>
    <s v="Masculino"/>
    <x v="2"/>
    <x v="25"/>
    <s v="50000446 - Rpg (R$ 36,71)"/>
    <s v="Rpg"/>
    <n v="1707540923"/>
    <s v="Finalizado (4/5)"/>
    <n v="29.367999999999999"/>
    <n v="7.3419999999999996"/>
    <n v="36.71"/>
    <s v="Sessão Faturada"/>
    <n v="772133000728000"/>
    <n v="51522"/>
    <s v="Unidade Vieiralves"/>
    <n v="1707540923"/>
    <m/>
  </r>
  <r>
    <x v="19"/>
    <x v="8"/>
    <s v="Francisco Lima da Silva"/>
    <s v="Masculino"/>
    <x v="2"/>
    <x v="25"/>
    <s v="50000446 - Rpg (R$ 36,71)"/>
    <s v="Rpg"/>
    <n v="1711063521"/>
    <s v="Finalizado (1/5)"/>
    <n v="29.367999999999999"/>
    <n v="7.3419999999999996"/>
    <n v="36.71"/>
    <s v="Sessão a Faturar"/>
    <n v="774981007706010"/>
    <n v="52427"/>
    <s v="Unidade Vieiralves"/>
    <n v="1711063521"/>
    <m/>
  </r>
  <r>
    <x v="19"/>
    <x v="12"/>
    <s v="Jessica Pereira Falcão"/>
    <s v="Feminino"/>
    <x v="25"/>
    <x v="25"/>
    <s v="50000446 - Rpg (R$ 49,65)"/>
    <s v="Rpg"/>
    <n v="143008"/>
    <s v="Finalizado (3/10)"/>
    <n v="39.72"/>
    <n v="9.93"/>
    <n v="49.65"/>
    <s v="Sessão Faturada"/>
    <n v="13804"/>
    <n v="50776"/>
    <s v="Unidade Vieiralves"/>
    <n v="143008"/>
    <m/>
  </r>
  <r>
    <x v="19"/>
    <x v="12"/>
    <s v="Joyce Sales de Sousa Guedes"/>
    <s v="Feminino"/>
    <x v="2"/>
    <x v="25"/>
    <s v="50000446 - Rpg (R$ 36,71)"/>
    <s v="Rpg"/>
    <n v="1708335000"/>
    <s v="Finalizado (3/5)"/>
    <n v="29.367999999999999"/>
    <n v="7.3419999999999996"/>
    <n v="36.71"/>
    <s v="Sessão Faturada"/>
    <n v="960019317525010"/>
    <n v="59107"/>
    <s v="Unidade Vieiralves"/>
    <n v="1708335000"/>
    <m/>
  </r>
  <r>
    <x v="19"/>
    <x v="20"/>
    <s v="Kesia Rachel Martins Jathay"/>
    <s v="Feminino"/>
    <x v="2"/>
    <x v="25"/>
    <s v="50000446 - Rpg (R$ 36,71)"/>
    <s v="Rpg"/>
    <n v="1711097710"/>
    <s v="Finalizado (1/5)"/>
    <n v="29.367999999999999"/>
    <n v="7.3419999999999996"/>
    <n v="36.71"/>
    <s v="Sessão Faturada"/>
    <n v="894937200736000"/>
    <n v="53553"/>
    <s v="Unidade Vieiralves"/>
    <n v="1711097710"/>
    <m/>
  </r>
  <r>
    <x v="19"/>
    <x v="28"/>
    <s v="Willian Jean Silva Colares"/>
    <s v="Masculino"/>
    <x v="2"/>
    <x v="25"/>
    <s v="50000446 - Rpg (R$ 36,71)"/>
    <s v="Rpg"/>
    <n v="1705955293"/>
    <s v="Finalizado (5/5)"/>
    <n v="29.367999999999999"/>
    <n v="7.3419999999999996"/>
    <n v="36.71"/>
    <s v="Sessão Faturada"/>
    <n v="775219005800000"/>
    <n v="59277"/>
    <s v="Unidade Vieiralves"/>
    <n v="1705955293"/>
    <m/>
  </r>
  <r>
    <x v="20"/>
    <x v="0"/>
    <s v="Maria Adelina Parente Lins Felix"/>
    <s v="Feminino"/>
    <x v="0"/>
    <x v="25"/>
    <s v="50000446 - Rpg (R$ 62,75)"/>
    <s v="Rpg"/>
    <s v="42263120260209261749"/>
    <s v="Finalizado (8/10)"/>
    <n v="50.2"/>
    <n v="12.55"/>
    <n v="62.75"/>
    <s v="Sessão Faturada"/>
    <s v="010650363400"/>
    <n v="41281"/>
    <s v="Unidade Vieiralves"/>
    <s v="42263120260209261749"/>
    <m/>
  </r>
  <r>
    <x v="20"/>
    <x v="4"/>
    <s v="Elane Sales de Lima"/>
    <m/>
    <x v="2"/>
    <x v="25"/>
    <s v="50000446 - Rpg (R$ 36,71)"/>
    <s v="Rpg"/>
    <n v="1710366113"/>
    <s v="Finalizado (2/5)"/>
    <n v="29.367999999999999"/>
    <n v="7.3419999999999996"/>
    <n v="36.71"/>
    <s v="Sessão Faturada"/>
    <n v="773539032034010"/>
    <n v="58812"/>
    <s v="Unidade Vieiralves"/>
    <n v="1710366113"/>
    <m/>
  </r>
  <r>
    <x v="20"/>
    <x v="4"/>
    <s v="Jose Mario Chaves Gomes de Oliveira"/>
    <s v="Masculino"/>
    <x v="11"/>
    <x v="25"/>
    <s v="90001001 - Rpg (R$ 65,10)"/>
    <s v="Rpg"/>
    <s v="2722/2026"/>
    <s v="Finalizado (5/10)"/>
    <n v="52.08"/>
    <n v="13.02"/>
    <n v="65.099999999999994"/>
    <s v="Sessão Faturada"/>
    <n v="2301648"/>
    <n v="7982"/>
    <s v="Unidade Vieiralves"/>
    <s v="2722/2026"/>
    <m/>
  </r>
  <r>
    <x v="20"/>
    <x v="13"/>
    <s v="Rosineide Rodrigues Arcanjo"/>
    <s v="Feminino"/>
    <x v="2"/>
    <x v="25"/>
    <s v="50000446 - Rpg (R$ 36,71)"/>
    <s v="Rpg"/>
    <n v="1709819990"/>
    <s v="Finalizado (2/5)"/>
    <n v="29.367999999999999"/>
    <n v="7.3419999999999996"/>
    <n v="36.71"/>
    <s v="Sessão Faturada"/>
    <n v="774063004219030"/>
    <n v="50224"/>
    <s v="Unidade Vieiralves"/>
    <n v="1709819990"/>
    <m/>
  </r>
  <r>
    <x v="20"/>
    <x v="13"/>
    <s v="Tiago Godoy Lopes"/>
    <s v="Masculino"/>
    <x v="2"/>
    <x v="25"/>
    <s v="50000446 - Rpg (R$ 36,71)"/>
    <s v="Rpg"/>
    <n v="1710390769"/>
    <s v="Finalizado (2/4)"/>
    <n v="29.367999999999999"/>
    <n v="7.3419999999999996"/>
    <n v="36.71"/>
    <s v="Sessão Faturada"/>
    <n v="611265590001020"/>
    <n v="58056"/>
    <s v="Unidade Vieiralves"/>
    <n v="1710390769"/>
    <m/>
  </r>
  <r>
    <x v="20"/>
    <x v="6"/>
    <s v="Suanni Lemos de Andrade"/>
    <s v="Feminino"/>
    <x v="2"/>
    <x v="25"/>
    <s v="50000446 - Rpg (R$ 36,71)"/>
    <s v="Rpg"/>
    <n v="1704956545"/>
    <s v="Finalizado (2/2)"/>
    <n v="29.367999999999999"/>
    <n v="7.3419999999999996"/>
    <n v="36.71"/>
    <s v="Sessão Faturada"/>
    <n v="952650063291000"/>
    <n v="17717"/>
    <s v="Unidade Vieiralves"/>
    <n v="1704956545"/>
    <m/>
  </r>
  <r>
    <x v="20"/>
    <x v="6"/>
    <s v="Virgínia Ketlen dos Santos Xavier"/>
    <s v="Feminino"/>
    <x v="2"/>
    <x v="25"/>
    <s v="50000446 - Rpg (R$ 36,71)"/>
    <s v="Rpg"/>
    <n v="1711598472"/>
    <s v="Finalizado (1/5)"/>
    <n v="29.367999999999999"/>
    <n v="7.3419999999999996"/>
    <n v="36.71"/>
    <s v="Sessão a Faturar"/>
    <n v="772901027731010"/>
    <n v="47393"/>
    <s v="Unidade Vieiralves"/>
    <n v="1711598472"/>
    <m/>
  </r>
  <r>
    <x v="20"/>
    <x v="15"/>
    <s v="Jefferson Castro Simplicio"/>
    <s v="Masculino"/>
    <x v="2"/>
    <x v="25"/>
    <s v="50000446 - Rpg (R$ 36,71)"/>
    <s v="Rpg"/>
    <n v="1707992298"/>
    <s v="Finalizado (2/5)"/>
    <n v="29.367999999999999"/>
    <n v="7.3419999999999996"/>
    <n v="36.71"/>
    <s v="Sessão Faturada"/>
    <n v="960130225177000"/>
    <n v="43518"/>
    <s v="Unidade Vieiralves"/>
    <n v="1707992298"/>
    <m/>
  </r>
  <r>
    <x v="20"/>
    <x v="17"/>
    <s v="Vivian Fonseca de Oliveira"/>
    <s v="Feminino"/>
    <x v="2"/>
    <x v="25"/>
    <s v="50000446 - Rpg (R$ 36,71)"/>
    <s v="Rpg"/>
    <n v="1703995909"/>
    <s v="Finalizado (3/4)"/>
    <n v="29.367999999999999"/>
    <n v="7.3419999999999996"/>
    <n v="36.71"/>
    <s v="Sessão Faturada"/>
    <n v="774642011100020"/>
    <n v="45139"/>
    <s v="Unidade Vieiralves"/>
    <n v="1703995909"/>
    <m/>
  </r>
  <r>
    <x v="20"/>
    <x v="17"/>
    <s v="Gaspar Henrique Alves Mota"/>
    <m/>
    <x v="2"/>
    <x v="25"/>
    <s v="50000446 - Rpg (R$ 36,71)"/>
    <s v="Rpg"/>
    <n v="1711650572"/>
    <s v="Finalizado (1/5)"/>
    <n v="29.367999999999999"/>
    <n v="7.3419999999999996"/>
    <n v="36.71"/>
    <s v="Sessão Faturada"/>
    <n v="774642013528010"/>
    <n v="54316"/>
    <s v="Unidade Vieiralves"/>
    <n v="1711650572"/>
    <m/>
  </r>
  <r>
    <x v="20"/>
    <x v="8"/>
    <s v="Kellen Regina Pereira da Silva"/>
    <s v="Feminino"/>
    <x v="2"/>
    <x v="25"/>
    <s v="50000446 - Rpg (R$ 36,71)"/>
    <s v="Rpg"/>
    <n v="1709801691"/>
    <s v="Finalizado (3/5)"/>
    <n v="29.367999999999999"/>
    <n v="7.3419999999999996"/>
    <n v="36.71"/>
    <s v="Sessão Faturada"/>
    <n v="890729700027020"/>
    <n v="59263"/>
    <s v="Unidade Vieiralves"/>
    <n v="1709801691"/>
    <m/>
  </r>
  <r>
    <x v="20"/>
    <x v="8"/>
    <s v="Alice da Silva dos Santos"/>
    <m/>
    <x v="2"/>
    <x v="25"/>
    <s v="50000446 - Rpg (R$ 36,71)"/>
    <s v="Rpg"/>
    <n v="1711604793"/>
    <s v="Finalizado (1/1)"/>
    <n v="29.367999999999999"/>
    <n v="7.3419999999999996"/>
    <n v="36.71"/>
    <s v="Sessão Faturada"/>
    <n v="843486100604000"/>
    <n v="56112"/>
    <s v="Unidade Vieiralves"/>
    <n v="1711604793"/>
    <m/>
  </r>
  <r>
    <x v="20"/>
    <x v="10"/>
    <s v="Clara Vitória Borges Braga"/>
    <s v="Feminino"/>
    <x v="7"/>
    <x v="25"/>
    <s v="Vieiralves - 19 - Rpg - Pacote (R$ 100,00)"/>
    <s v="Rpg"/>
    <n v="167003"/>
    <s v="Finalizado (10/10)"/>
    <n v="75"/>
    <n v="25"/>
    <n v="100"/>
    <s v="Pago"/>
    <s v="00"/>
    <n v="59249"/>
    <s v="Unidade Vieiralves"/>
    <n v="167003"/>
    <m/>
  </r>
  <r>
    <x v="20"/>
    <x v="20"/>
    <s v="Willian Jean Silva Colares"/>
    <s v="Masculino"/>
    <x v="2"/>
    <x v="25"/>
    <s v="50000446 - Rpg (R$ 36,71)"/>
    <s v="Rpg"/>
    <n v="1711696108"/>
    <s v="Finalizado (1/2)"/>
    <n v="29.367999999999999"/>
    <n v="7.3419999999999996"/>
    <n v="36.71"/>
    <s v="Sessão Faturada"/>
    <n v="775219005800000"/>
    <n v="59277"/>
    <s v="Unidade Vieiralves"/>
    <n v="1711696108"/>
    <m/>
  </r>
  <r>
    <x v="20"/>
    <x v="28"/>
    <s v="Fernando da Silva Passos"/>
    <s v="Masculino"/>
    <x v="2"/>
    <x v="25"/>
    <s v="50000446 - Rpg (R$ 36,71)"/>
    <s v="Rpg"/>
    <n v="1710519659"/>
    <s v="Finalizado (2/5)"/>
    <n v="29.367999999999999"/>
    <n v="7.3419999999999996"/>
    <n v="36.71"/>
    <s v="Sessão Faturada"/>
    <n v="894245300060000"/>
    <n v="55116"/>
    <s v="Unidade Vieiralves"/>
    <n v="1710519659"/>
    <m/>
  </r>
  <r>
    <x v="0"/>
    <x v="0"/>
    <s v="Maria Adelina Parente Lins Felix"/>
    <s v="Feminino"/>
    <x v="0"/>
    <x v="25"/>
    <s v="50000446 - Rpg (R$ 62,75)"/>
    <s v="Rpg"/>
    <s v="42263120260209261749"/>
    <s v="Finalizado (9/10)"/>
    <n v="50.2"/>
    <n v="12.55"/>
    <n v="62.75"/>
    <s v="Sessão Faturada"/>
    <s v="010650363400"/>
    <n v="41281"/>
    <s v="Unidade Vieiralves"/>
    <s v="42263120260209261749"/>
    <m/>
  </r>
  <r>
    <x v="0"/>
    <x v="0"/>
    <s v="Cristiane Gomes Barcelar Gonçalves"/>
    <s v="Feminino"/>
    <x v="0"/>
    <x v="25"/>
    <s v="50000446 - Rpg (R$ 62,75)"/>
    <s v="Rpg"/>
    <s v="42263120260311456299"/>
    <s v="Finalizado (5/10)"/>
    <n v="50.2"/>
    <n v="12.55"/>
    <n v="62.75"/>
    <s v="Sessão a Faturar"/>
    <s v="010033652753"/>
    <n v="27217"/>
    <s v="Unidade Vieiralves"/>
    <s v="42263120260311456299"/>
    <m/>
  </r>
  <r>
    <x v="0"/>
    <x v="2"/>
    <s v="Sonia dos Santos Pereira"/>
    <s v="Feminino"/>
    <x v="2"/>
    <x v="25"/>
    <s v="50000446 - Rpg (R$ 36,71)"/>
    <s v="Rpg"/>
    <n v="1709102309"/>
    <s v="Finalizado (3/3)"/>
    <n v="29.367999999999999"/>
    <n v="7.3419999999999996"/>
    <n v="36.71"/>
    <s v="Sessão Faturada"/>
    <n v="775216009806030"/>
    <n v="56433"/>
    <s v="Unidade Vieiralves"/>
    <n v="1709102309"/>
    <m/>
  </r>
  <r>
    <x v="0"/>
    <x v="2"/>
    <s v="Milena Liborio Caranha Lima"/>
    <m/>
    <x v="5"/>
    <x v="25"/>
    <s v="50000446 - Rpg - 04/03/2026 (R$ 52,23)"/>
    <s v="Rpg"/>
    <n v="168763"/>
    <s v="Finalizado (4/10)"/>
    <n v="41.783999999999999"/>
    <n v="10.446"/>
    <n v="52.23"/>
    <s v="Sessão Faturada"/>
    <s v="0100791349040456"/>
    <n v="52608"/>
    <s v="Unidade Vieiralves"/>
    <n v="168763"/>
    <m/>
  </r>
  <r>
    <x v="0"/>
    <x v="4"/>
    <s v="Adriana Santos Gonçalves da Silva"/>
    <s v="Feminino"/>
    <x v="2"/>
    <x v="25"/>
    <s v="50000446 - Rpg (R$ 36,71)"/>
    <s v="Rpg"/>
    <n v="1708901554"/>
    <s v="Finalizado (4/5)"/>
    <n v="29.367999999999999"/>
    <n v="7.3419999999999996"/>
    <n v="36.71"/>
    <s v="Sessão a Faturar"/>
    <n v="611019330003020"/>
    <n v="45664"/>
    <s v="Unidade Vieiralves"/>
    <n v="1708901554"/>
    <m/>
  </r>
  <r>
    <x v="0"/>
    <x v="4"/>
    <s v="Tiago Godoy Lopes"/>
    <s v="Masculino"/>
    <x v="2"/>
    <x v="25"/>
    <s v="50000446 - Rpg (R$ 36,71)"/>
    <s v="Rpg"/>
    <n v="1710390769"/>
    <s v="Finalizado (3/4)"/>
    <n v="29.367999999999999"/>
    <n v="7.3419999999999996"/>
    <n v="36.71"/>
    <s v="Sessão Faturada"/>
    <n v="611265590001020"/>
    <n v="58056"/>
    <s v="Unidade Vieiralves"/>
    <n v="1710390769"/>
    <m/>
  </r>
  <r>
    <x v="0"/>
    <x v="13"/>
    <s v="Ligiane Liborio Caranha Lima"/>
    <s v="Feminino"/>
    <x v="5"/>
    <x v="25"/>
    <s v="50000446 - Rpg - 04/03/2026 (R$ 52,23)"/>
    <s v="Rpg"/>
    <n v="164150"/>
    <s v="Finalizado (10/10)"/>
    <n v="41.783999999999999"/>
    <n v="10.446"/>
    <n v="52.23"/>
    <s v="Sessão Faturada"/>
    <s v="0100791349000431"/>
    <n v="39694"/>
    <s v="Unidade Vieiralves"/>
    <n v="164150"/>
    <s v="guia assinada "/>
  </r>
  <r>
    <x v="0"/>
    <x v="13"/>
    <s v="Rosalinda Pereira Brito"/>
    <s v="Feminino"/>
    <x v="2"/>
    <x v="25"/>
    <s v="50000446 - Rpg (R$ 36,71)"/>
    <s v="Rpg"/>
    <n v="1709088253"/>
    <s v="Finalizado (4/5)"/>
    <n v="29.367999999999999"/>
    <n v="7.3419999999999996"/>
    <n v="36.71"/>
    <s v="Sessão Faturada"/>
    <s v="010544100907015"/>
    <n v="13886"/>
    <s v="Unidade Vieiralves"/>
    <n v="1709088253"/>
    <m/>
  </r>
  <r>
    <x v="0"/>
    <x v="6"/>
    <s v="Daniel de Moura Alves"/>
    <s v="Masculino"/>
    <x v="2"/>
    <x v="25"/>
    <s v="50000446 - Rpg (R$ 36,71)"/>
    <s v="Rpg"/>
    <n v="1705858495"/>
    <s v="Finalizado (5/5)"/>
    <n v="29.367999999999999"/>
    <n v="7.3419999999999996"/>
    <n v="36.71"/>
    <s v="Sessão Faturada"/>
    <n v="774063007471000"/>
    <n v="58683"/>
    <s v="Unidade Vieiralves"/>
    <n v="1705858495"/>
    <m/>
  </r>
  <r>
    <x v="0"/>
    <x v="6"/>
    <s v="Joao Guilherme Brandao Castelo Branco"/>
    <s v="Masculino"/>
    <x v="2"/>
    <x v="25"/>
    <s v="50000446 - Rpg (R$ 36,71)"/>
    <s v="Rpg"/>
    <n v="1710973261"/>
    <s v="Finalizado (2/5)"/>
    <n v="29.367999999999999"/>
    <n v="7.3419999999999996"/>
    <n v="36.71"/>
    <s v="Sessão Faturada"/>
    <n v="772299077860020"/>
    <n v="59616"/>
    <s v="Unidade Vieiralves"/>
    <n v="1710973261"/>
    <m/>
  </r>
  <r>
    <x v="0"/>
    <x v="15"/>
    <s v="Fernanda Santos Fachinello"/>
    <s v="Feminino"/>
    <x v="7"/>
    <x v="25"/>
    <s v="Vieiralves - 19 - Rpg - Pacote (R$ 50,00)"/>
    <s v="Rpg"/>
    <s v="00"/>
    <s v="Finalizado (3/10)"/>
    <n v="37.5"/>
    <n v="12.5"/>
    <n v="50"/>
    <s v="Pago"/>
    <n v="1301014095850300"/>
    <n v="21927"/>
    <s v="Unidade Vieiralves"/>
    <s v="00"/>
    <m/>
  </r>
  <r>
    <x v="0"/>
    <x v="15"/>
    <s v="Andreza da Costa Paes"/>
    <s v="Feminino"/>
    <x v="2"/>
    <x v="25"/>
    <s v="50000446 - Rpg (R$ 36,71)"/>
    <s v="Rpg"/>
    <n v="1711644639"/>
    <s v="Finalizado (2/5)"/>
    <n v="29.367999999999999"/>
    <n v="7.3419999999999996"/>
    <n v="36.71"/>
    <s v="Sessão Faturada"/>
    <n v="837047000191020"/>
    <n v="59619"/>
    <s v="Unidade Vieiralves"/>
    <n v="1711644639"/>
    <m/>
  </r>
  <r>
    <x v="0"/>
    <x v="17"/>
    <s v="Alessandra Silveira Rocha"/>
    <s v="Feminino"/>
    <x v="2"/>
    <x v="25"/>
    <s v="50000446 - Rpg (R$ 36,71)"/>
    <s v="Rpg"/>
    <n v="1707004893"/>
    <s v="Finalizado (5/5)"/>
    <n v="29.367999999999999"/>
    <n v="7.3419999999999996"/>
    <n v="36.71"/>
    <s v="Sessão Faturada"/>
    <n v="774063023809020"/>
    <n v="58966"/>
    <s v="Unidade Vieiralves"/>
    <n v="1707004893"/>
    <m/>
  </r>
  <r>
    <x v="0"/>
    <x v="8"/>
    <s v="Kellen Regina Pereira da Silva"/>
    <s v="Feminino"/>
    <x v="2"/>
    <x v="25"/>
    <s v="50000446 - Rpg (R$ 36,71)"/>
    <s v="Rpg"/>
    <n v="1709801691"/>
    <s v="Finalizado (4/5)"/>
    <n v="29.367999999999999"/>
    <n v="7.3419999999999996"/>
    <n v="36.71"/>
    <s v="Sessão Faturada"/>
    <n v="890729700027020"/>
    <n v="59263"/>
    <s v="Unidade Vieiralves"/>
    <n v="1709801691"/>
    <m/>
  </r>
  <r>
    <x v="0"/>
    <x v="8"/>
    <s v="Alice da Silva dos Santos"/>
    <m/>
    <x v="2"/>
    <x v="25"/>
    <s v="50000446 - Rpg (R$ 36,71)"/>
    <s v="Rpg"/>
    <n v="1711044630"/>
    <s v="Finalizado (2/4)"/>
    <n v="29.367999999999999"/>
    <n v="7.3419999999999996"/>
    <n v="36.71"/>
    <s v="Sessão a Faturar"/>
    <n v="843486100604000"/>
    <n v="56112"/>
    <s v="Unidade Vieiralves"/>
    <n v="1711044630"/>
    <m/>
  </r>
  <r>
    <x v="0"/>
    <x v="10"/>
    <s v="Jefferson Castro Simplicio"/>
    <s v="Masculino"/>
    <x v="2"/>
    <x v="25"/>
    <s v="50000446 - Rpg (R$ 36,71)"/>
    <s v="Rpg"/>
    <n v="1707992298"/>
    <s v="Finalizado (3/5)"/>
    <n v="29.367999999999999"/>
    <n v="7.3419999999999996"/>
    <n v="36.71"/>
    <s v="Sessão Faturada"/>
    <n v="960130225177000"/>
    <n v="43518"/>
    <s v="Unidade Vieiralves"/>
    <n v="1707992298"/>
    <m/>
  </r>
  <r>
    <x v="0"/>
    <x v="12"/>
    <s v="Kamila Nayara dos Anjos Cruz"/>
    <s v="Feminino"/>
    <x v="2"/>
    <x v="25"/>
    <s v="50000446 - Rpg (R$ 36,71)"/>
    <s v="Rpg"/>
    <n v="1713006954"/>
    <s v="Finalizado (1/5)"/>
    <n v="29.367999999999999"/>
    <n v="7.3419999999999996"/>
    <n v="36.71"/>
    <s v="Sessão a Faturar"/>
    <n v="960016968538010"/>
    <n v="58063"/>
    <s v="Unidade Vieiralves"/>
    <n v="1713006954"/>
    <m/>
  </r>
  <r>
    <x v="0"/>
    <x v="20"/>
    <s v="Mcluhan Teixeira Grijo"/>
    <s v="Masculino"/>
    <x v="5"/>
    <x v="25"/>
    <s v="50000446 - Rpg - 04/03/2026 (R$ 52,23)"/>
    <s v="Rpg"/>
    <n v="167647"/>
    <s v="Finalizado (5/10)"/>
    <n v="41.783999999999999"/>
    <n v="10.446"/>
    <n v="52.23"/>
    <s v="Sessão Faturada"/>
    <s v="0101072415000314"/>
    <n v="51264"/>
    <s v="Unidade Vieiralves"/>
    <n v="167647"/>
    <m/>
  </r>
  <r>
    <x v="0"/>
    <x v="28"/>
    <s v="Fernando da Silva Passos"/>
    <s v="Masculino"/>
    <x v="2"/>
    <x v="25"/>
    <s v="50000446 - Rpg (R$ 36,71)"/>
    <s v="Rpg"/>
    <n v="1710519659"/>
    <s v="Finalizado (3/5)"/>
    <n v="29.367999999999999"/>
    <n v="7.3419999999999996"/>
    <n v="36.71"/>
    <s v="Sessão Faturada"/>
    <n v="894245300060000"/>
    <n v="55116"/>
    <s v="Unidade Vieiralves"/>
    <n v="1710519659"/>
    <m/>
  </r>
  <r>
    <x v="1"/>
    <x v="0"/>
    <s v="Mychelle Karolynne Moura Souza"/>
    <s v="Feminino"/>
    <x v="2"/>
    <x v="25"/>
    <s v="50000446 - Rpg (R$ 36,71)"/>
    <s v="Rpg"/>
    <n v="1713510747"/>
    <s v="Finalizado (1/5)"/>
    <n v="29.367999999999999"/>
    <n v="7.3419999999999996"/>
    <n v="36.71"/>
    <s v="Sessão Faturada"/>
    <n v="775216011533020"/>
    <n v="59649"/>
    <s v="Unidade Vieiralves"/>
    <n v="1713510747"/>
    <m/>
  </r>
  <r>
    <x v="1"/>
    <x v="0"/>
    <s v="Gilma do Socorro Ferreira de Paiva"/>
    <s v="Feminino"/>
    <x v="7"/>
    <x v="25"/>
    <s v="Vieiralves - 19 - Rpg - Pacote (R$ 50,00)"/>
    <s v="Rpg"/>
    <n v="167292"/>
    <s v="Finalizado (7/10)"/>
    <n v="37.5"/>
    <n v="12.5"/>
    <n v="50"/>
    <s v="Pago"/>
    <s v="0801011513670017"/>
    <n v="56631"/>
    <s v="Unidade Vieiralves"/>
    <n v="167292"/>
    <m/>
  </r>
  <r>
    <x v="1"/>
    <x v="2"/>
    <s v="Jose Mario Chaves Gomes de Oliveira"/>
    <s v="Masculino"/>
    <x v="11"/>
    <x v="25"/>
    <s v="90001001 - Rpg (R$ 65,10)"/>
    <s v="Rpg"/>
    <s v="2722/2026"/>
    <s v="Finalizado (6/10)"/>
    <n v="52.08"/>
    <n v="13.02"/>
    <n v="65.099999999999994"/>
    <s v="Sessão Faturada"/>
    <n v="2301648"/>
    <n v="7982"/>
    <s v="Unidade Vieiralves"/>
    <s v="2722/2026"/>
    <m/>
  </r>
  <r>
    <x v="1"/>
    <x v="2"/>
    <s v="Anna Danielle Oliveira dos Santos Cardozo"/>
    <s v="Feminino"/>
    <x v="2"/>
    <x v="25"/>
    <s v="50000446 - Rpg (R$ 36,71)"/>
    <s v="Rpg"/>
    <n v="1713520356"/>
    <s v="Finalizado (1/2)"/>
    <n v="29.367999999999999"/>
    <n v="7.3419999999999996"/>
    <n v="36.71"/>
    <s v="Sessão a Faturar"/>
    <n v="830416700230010"/>
    <n v="57193"/>
    <s v="Unidade Vieiralves"/>
    <n v="1713520356"/>
    <m/>
  </r>
  <r>
    <x v="1"/>
    <x v="4"/>
    <s v="Izabelly Beatriz Costa de Oliveira"/>
    <s v="Feminino"/>
    <x v="8"/>
    <x v="25"/>
    <s v="50000446 - Reeducação Postural Global (R$ 36,71)"/>
    <s v="Rpg"/>
    <n v="1713559119"/>
    <s v="Finalizado (1/1)"/>
    <n v="29.367999999999999"/>
    <n v="7.3419999999999996"/>
    <n v="36.71"/>
    <s v="Sessão Faturada"/>
    <n v="954600015326010"/>
    <n v="56994"/>
    <s v="Unidade Vieiralves"/>
    <n v="1713559119"/>
    <m/>
  </r>
  <r>
    <x v="1"/>
    <x v="4"/>
    <s v="Rosineide Rodrigues Arcanjo"/>
    <s v="Feminino"/>
    <x v="2"/>
    <x v="25"/>
    <s v="50000446 - Rpg (R$ 36,71)"/>
    <s v="Rpg"/>
    <n v="1709819990"/>
    <s v="Finalizado (3/5)"/>
    <n v="29.367999999999999"/>
    <n v="7.3419999999999996"/>
    <n v="36.71"/>
    <s v="Sessão Faturada"/>
    <n v="774063004219030"/>
    <n v="50224"/>
    <s v="Unidade Vieiralves"/>
    <n v="1709819990"/>
    <m/>
  </r>
  <r>
    <x v="1"/>
    <x v="13"/>
    <s v="Miranir da Silva Oliveira"/>
    <s v="Feminino"/>
    <x v="5"/>
    <x v="25"/>
    <s v="50000446 - Rpg - 04/03/2026 (R$ 52,23)"/>
    <s v="Rpg"/>
    <n v="167755"/>
    <s v="Não compareceu (8/10)"/>
    <n v="52.23"/>
    <n v="0"/>
    <n v="52.23"/>
    <s v="Sessão a Faturar"/>
    <s v="0101353960010135"/>
    <n v="57596"/>
    <s v="Unidade Vieiralves"/>
    <n v="167755"/>
    <m/>
  </r>
  <r>
    <x v="1"/>
    <x v="13"/>
    <s v="Isadora Vitorino Grana"/>
    <s v="Feminino"/>
    <x v="7"/>
    <x v="25"/>
    <s v="Part Convenio - 2 - Rpg - Pacote (R$ 55,00)"/>
    <s v="Rpg"/>
    <n v="170056"/>
    <s v="Finalizado (7/10)"/>
    <n v="41.25"/>
    <n v="13.75"/>
    <n v="55"/>
    <s v="Pago"/>
    <s v="00010300035963020"/>
    <n v="56556"/>
    <s v="Unidade Vieiralves"/>
    <n v="170056"/>
    <m/>
  </r>
  <r>
    <x v="1"/>
    <x v="6"/>
    <s v="Evellyn da Silva Menezes"/>
    <s v="Feminino"/>
    <x v="2"/>
    <x v="25"/>
    <s v="50000446 - Rpg (R$ 36,71)"/>
    <s v="Rpg"/>
    <n v="1713590074"/>
    <s v="Finalizado (1/1)"/>
    <n v="29.367999999999999"/>
    <n v="7.3419999999999996"/>
    <n v="36.71"/>
    <s v="Sessão Faturada"/>
    <n v="773709048364020"/>
    <n v="59618"/>
    <s v="Unidade Vieiralves"/>
    <n v="1713590074"/>
    <m/>
  </r>
  <r>
    <x v="1"/>
    <x v="17"/>
    <s v="Gaspar Henrique Alves Mota"/>
    <m/>
    <x v="2"/>
    <x v="25"/>
    <s v="50000446 - Rpg (R$ 36,71)"/>
    <s v="Rpg"/>
    <n v="1711650572"/>
    <s v="Finalizado (2/5)"/>
    <n v="29.367999999999999"/>
    <n v="7.3419999999999996"/>
    <n v="36.71"/>
    <s v="Sessão Faturada"/>
    <n v="774642013528010"/>
    <n v="54316"/>
    <s v="Unidade Vieiralves"/>
    <n v="1711650572"/>
    <m/>
  </r>
  <r>
    <x v="1"/>
    <x v="17"/>
    <s v="Luciana Levinthal da Silva"/>
    <s v="Feminino"/>
    <x v="11"/>
    <x v="25"/>
    <s v="90001001 - Rpg (R$ 65,10)"/>
    <s v="Rpg"/>
    <n v="3606"/>
    <s v="Finalizado (1/10)"/>
    <n v="52.08"/>
    <n v="13.02"/>
    <n v="65.099999999999994"/>
    <s v="Sessão a Faturar"/>
    <s v="01685-F-1"/>
    <n v="59646"/>
    <s v="Unidade Vieiralves"/>
    <n v="3606"/>
    <m/>
  </r>
  <r>
    <x v="1"/>
    <x v="8"/>
    <s v="Francisco Lima da Silva"/>
    <s v="Masculino"/>
    <x v="2"/>
    <x v="25"/>
    <s v="50000446 - Rpg (R$ 36,71)"/>
    <s v="Rpg"/>
    <n v="1711063521"/>
    <s v="Finalizado (2/5)"/>
    <n v="29.367999999999999"/>
    <n v="7.3419999999999996"/>
    <n v="36.71"/>
    <s v="Sessão a Faturar"/>
    <n v="774981007706010"/>
    <n v="52427"/>
    <s v="Unidade Vieiralves"/>
    <n v="1711063521"/>
    <m/>
  </r>
  <r>
    <x v="1"/>
    <x v="8"/>
    <s v="Ana Carolina Bento Andrade da Encarnação"/>
    <s v="Feminino"/>
    <x v="2"/>
    <x v="25"/>
    <s v="50000446 - Rpg (R$ 36,71)"/>
    <s v="Rpg"/>
    <n v="1713612881"/>
    <s v="Finalizado (1/5)"/>
    <n v="29.367999999999999"/>
    <n v="7.3419999999999996"/>
    <n v="36.71"/>
    <s v="Sessão Faturada"/>
    <n v="771015045292010"/>
    <n v="21604"/>
    <s v="Unidade Vieiralves"/>
    <n v="1713612881"/>
    <m/>
  </r>
  <r>
    <x v="1"/>
    <x v="10"/>
    <s v="Renata Cristina de Almeida Santos"/>
    <s v="Feminino"/>
    <x v="8"/>
    <x v="25"/>
    <s v="50000446 - Reeducação Postural Global (R$ 36,71)"/>
    <s v="Rpg"/>
    <n v="1713648262"/>
    <s v="Finalizado (1/3)"/>
    <n v="29.367999999999999"/>
    <n v="7.3419999999999996"/>
    <n v="36.71"/>
    <s v="Sessão a Faturar"/>
    <n v="954580019232010"/>
    <n v="57413"/>
    <s v="Unidade Vieiralves"/>
    <n v="1713648262"/>
    <m/>
  </r>
  <r>
    <x v="1"/>
    <x v="10"/>
    <s v="Joyce Sales de Sousa Guedes"/>
    <s v="Feminino"/>
    <x v="2"/>
    <x v="25"/>
    <s v="50000446 - Rpg (R$ 36,71)"/>
    <s v="Rpg"/>
    <n v="1708335000"/>
    <s v="Finalizado (5/5)"/>
    <n v="29.367999999999999"/>
    <n v="7.3419999999999996"/>
    <n v="36.71"/>
    <s v="Sessão Faturada"/>
    <n v="960019317525010"/>
    <n v="59107"/>
    <s v="Unidade Vieiralves"/>
    <n v="1708335000"/>
    <m/>
  </r>
  <r>
    <x v="1"/>
    <x v="12"/>
    <s v="Jessica Pereira Falcão"/>
    <s v="Feminino"/>
    <x v="25"/>
    <x v="25"/>
    <s v="50000446 - Rpg (R$ 49,65)"/>
    <s v="Rpg"/>
    <n v="143008"/>
    <s v="Finalizado (4/10)"/>
    <n v="39.72"/>
    <n v="9.93"/>
    <n v="49.65"/>
    <s v="Sessão Faturada"/>
    <n v="13804"/>
    <n v="50776"/>
    <s v="Unidade Vieiralves"/>
    <n v="143008"/>
    <m/>
  </r>
  <r>
    <x v="1"/>
    <x v="20"/>
    <s v="Igor Kalil Brito de Menezes"/>
    <s v="Masculino"/>
    <x v="2"/>
    <x v="25"/>
    <s v="50000446 - Rpg (R$ 36,71)"/>
    <s v="Rpg"/>
    <n v="1713643505"/>
    <s v="Finalizado (1/5)"/>
    <n v="29.367999999999999"/>
    <n v="7.3419999999999996"/>
    <n v="36.71"/>
    <s v="Sessão a Faturar"/>
    <n v="954170010804010"/>
    <n v="59613"/>
    <s v="Unidade Vieiralves"/>
    <n v="1713643505"/>
    <m/>
  </r>
  <r>
    <x v="1"/>
    <x v="28"/>
    <s v="Kesia Rachel Martins Jathay"/>
    <s v="Feminino"/>
    <x v="2"/>
    <x v="25"/>
    <s v="50000446 - Rpg (R$ 36,71)"/>
    <s v="Rpg"/>
    <n v="1711097710"/>
    <s v="Finalizado (2/5)"/>
    <n v="29.367999999999999"/>
    <n v="7.3419999999999996"/>
    <n v="36.71"/>
    <s v="Sessão Faturada"/>
    <n v="894937200736000"/>
    <n v="53553"/>
    <s v="Unidade Vieiralves"/>
    <n v="1711097710"/>
    <m/>
  </r>
  <r>
    <x v="2"/>
    <x v="0"/>
    <s v="Maria Adelina Parente Lins Felix"/>
    <s v="Feminino"/>
    <x v="0"/>
    <x v="25"/>
    <s v="50000446 - Rpg (R$ 62,75)"/>
    <s v="Rpg"/>
    <s v="42263120260209261749"/>
    <s v="Finalizado (10/10)"/>
    <n v="50.2"/>
    <n v="12.55"/>
    <n v="62.75"/>
    <s v="Sessão Faturada"/>
    <s v="010650363400"/>
    <n v="41281"/>
    <s v="Unidade Vieiralves"/>
    <s v="42263120260209261749"/>
    <m/>
  </r>
  <r>
    <x v="2"/>
    <x v="0"/>
    <s v="Cristiane Gomes Barcelar Gonçalves"/>
    <s v="Feminino"/>
    <x v="0"/>
    <x v="25"/>
    <s v="50000446 - Rpg (R$ 62,75)"/>
    <s v="Rpg"/>
    <s v="42263120260311456299"/>
    <s v="Finalizado (6/10)"/>
    <n v="50.2"/>
    <n v="12.55"/>
    <n v="62.75"/>
    <s v="Sessão a Faturar"/>
    <s v="010033652753"/>
    <n v="27217"/>
    <s v="Unidade Vieiralves"/>
    <s v="42263120260311456299"/>
    <m/>
  </r>
  <r>
    <x v="2"/>
    <x v="2"/>
    <s v="Joao Guilherme Brandao Castelo Branco"/>
    <s v="Masculino"/>
    <x v="2"/>
    <x v="25"/>
    <s v="50000446 - Rpg (R$ 36,71)"/>
    <s v="Rpg"/>
    <n v="1710973261"/>
    <s v="Finalizado (3/5)"/>
    <n v="29.367999999999999"/>
    <n v="7.3419999999999996"/>
    <n v="36.71"/>
    <s v="Sessão Faturada"/>
    <n v="772299077860020"/>
    <n v="59616"/>
    <s v="Unidade Vieiralves"/>
    <n v="1710973261"/>
    <m/>
  </r>
  <r>
    <x v="2"/>
    <x v="2"/>
    <s v="Ricardo Soares Lozana"/>
    <s v="Masculino"/>
    <x v="2"/>
    <x v="25"/>
    <s v="50000446 - Rpg (R$ 36,71)"/>
    <s v="Rpg"/>
    <n v="1714083368"/>
    <s v="Finalizado (1/2)"/>
    <n v="29.367999999999999"/>
    <n v="7.3419999999999996"/>
    <n v="36.71"/>
    <s v="Sessão Faturada"/>
    <n v="774981012963020"/>
    <n v="43591"/>
    <s v="Unidade Vieiralves"/>
    <n v="1714083368"/>
    <m/>
  </r>
  <r>
    <x v="2"/>
    <x v="4"/>
    <s v="Rosalinda Pereira Brito"/>
    <s v="Feminino"/>
    <x v="2"/>
    <x v="25"/>
    <s v="50000446 - Rpg (R$ 36,71)"/>
    <s v="Rpg"/>
    <n v="1709088253"/>
    <s v="Finalizado (5/5)"/>
    <n v="29.367999999999999"/>
    <n v="7.3419999999999996"/>
    <n v="36.71"/>
    <s v="Sessão Faturada"/>
    <s v="010544100907015"/>
    <n v="13886"/>
    <s v="Unidade Vieiralves"/>
    <n v="1709088253"/>
    <m/>
  </r>
  <r>
    <x v="2"/>
    <x v="4"/>
    <s v="Tiago Godoy Lopes"/>
    <s v="Masculino"/>
    <x v="2"/>
    <x v="25"/>
    <s v="50000446 - Rpg (R$ 36,71)"/>
    <s v="Rpg"/>
    <n v="1710390769"/>
    <s v="Finalizado (4/4)"/>
    <n v="29.367999999999999"/>
    <n v="7.3419999999999996"/>
    <n v="36.71"/>
    <s v="Sessão Faturada"/>
    <n v="611265590001020"/>
    <n v="58056"/>
    <s v="Unidade Vieiralves"/>
    <n v="1710390769"/>
    <m/>
  </r>
  <r>
    <x v="2"/>
    <x v="13"/>
    <s v="Daniel de Moura Alves"/>
    <s v="Masculino"/>
    <x v="2"/>
    <x v="25"/>
    <s v="50000446 - Rpg (R$ 36,71)"/>
    <s v="Rpg"/>
    <n v="1714157412"/>
    <s v="Finalizado (1/5)"/>
    <n v="29.367999999999999"/>
    <n v="7.3419999999999996"/>
    <n v="36.71"/>
    <s v="Sessão a Faturar"/>
    <n v="774063007471000"/>
    <n v="58683"/>
    <s v="Unidade Vieiralves"/>
    <n v="1714157412"/>
    <m/>
  </r>
  <r>
    <x v="2"/>
    <x v="13"/>
    <s v="Jose Mario Chaves Gomes de Oliveira"/>
    <s v="Masculino"/>
    <x v="11"/>
    <x v="25"/>
    <s v="90001001 - Rpg (R$ 65,10)"/>
    <s v="Rpg"/>
    <s v="2722/2026"/>
    <s v="Finalizado (7/10)"/>
    <n v="52.08"/>
    <n v="13.02"/>
    <n v="65.099999999999994"/>
    <s v="Sessão Faturada"/>
    <n v="2301648"/>
    <n v="7982"/>
    <s v="Unidade Vieiralves"/>
    <s v="2722/2026"/>
    <m/>
  </r>
  <r>
    <x v="2"/>
    <x v="6"/>
    <s v="Virgínia Ketlen dos Santos Xavier"/>
    <s v="Feminino"/>
    <x v="2"/>
    <x v="25"/>
    <s v="50000446 - Rpg (R$ 36,71)"/>
    <s v="Rpg"/>
    <n v="1711598472"/>
    <s v="Finalizado (2/5)"/>
    <n v="29.367999999999999"/>
    <n v="7.3419999999999996"/>
    <n v="36.71"/>
    <s v="Sessão a Faturar"/>
    <n v="772901027731010"/>
    <n v="47393"/>
    <s v="Unidade Vieiralves"/>
    <n v="1711598472"/>
    <m/>
  </r>
  <r>
    <x v="2"/>
    <x v="6"/>
    <s v="Adriana Santos Gonçalves da Silva"/>
    <s v="Feminino"/>
    <x v="2"/>
    <x v="25"/>
    <s v="50000446 - Rpg (R$ 36,71)"/>
    <s v="Rpg"/>
    <n v="1708901554"/>
    <s v="Finalizado (5/5)"/>
    <n v="29.367999999999999"/>
    <n v="7.3419999999999996"/>
    <n v="36.71"/>
    <s v="Sessão a Faturar"/>
    <n v="611019330003020"/>
    <n v="45664"/>
    <s v="Unidade Vieiralves"/>
    <n v="1708901554"/>
    <m/>
  </r>
  <r>
    <x v="2"/>
    <x v="15"/>
    <s v="Fernanda Santos Fachinello"/>
    <s v="Feminino"/>
    <x v="7"/>
    <x v="25"/>
    <s v="Vieiralves - 19 - Rpg - Pacote (R$ 50,00)"/>
    <s v="Rpg"/>
    <s v="00"/>
    <s v="Finalizado (4/10)"/>
    <n v="37.5"/>
    <n v="12.5"/>
    <n v="50"/>
    <s v="Pago"/>
    <n v="1301014095850300"/>
    <n v="21927"/>
    <s v="Unidade Vieiralves"/>
    <s v="00"/>
    <m/>
  </r>
  <r>
    <x v="2"/>
    <x v="15"/>
    <s v="Gaspar Henrique Alves Mota"/>
    <m/>
    <x v="2"/>
    <x v="25"/>
    <s v="50000446 - Rpg (R$ 36,71)"/>
    <s v="Rpg"/>
    <n v="1711650572"/>
    <s v="Finalizado (3/5)"/>
    <n v="29.367999999999999"/>
    <n v="7.3419999999999996"/>
    <n v="36.71"/>
    <s v="Sessão Faturada"/>
    <n v="774642013528010"/>
    <n v="54316"/>
    <s v="Unidade Vieiralves"/>
    <n v="1711650572"/>
    <m/>
  </r>
  <r>
    <x v="2"/>
    <x v="17"/>
    <s v="Alessandra Silveira Rocha"/>
    <s v="Feminino"/>
    <x v="2"/>
    <x v="25"/>
    <s v="50000446 - Rpg (R$ 36,71)"/>
    <s v="Rpg"/>
    <n v="1714203762"/>
    <s v="Finalizado (1/5)"/>
    <n v="29.367999999999999"/>
    <n v="7.3419999999999996"/>
    <n v="36.71"/>
    <s v="Sessão a Faturar"/>
    <n v="774063023809020"/>
    <n v="58966"/>
    <s v="Unidade Vieiralves"/>
    <n v="1714203762"/>
    <m/>
  </r>
  <r>
    <x v="2"/>
    <x v="8"/>
    <s v="Vivian Fonseca de Oliveira"/>
    <s v="Feminino"/>
    <x v="2"/>
    <x v="25"/>
    <s v="50000446 - Rpg (R$ 36,71)"/>
    <s v="Rpg"/>
    <n v="1703995909"/>
    <s v="Finalizado (4/4)"/>
    <n v="29.367999999999999"/>
    <n v="7.3419999999999996"/>
    <n v="36.71"/>
    <s v="Sessão Faturada"/>
    <n v="774642011100020"/>
    <n v="45139"/>
    <s v="Unidade Vieiralves"/>
    <n v="1703995909"/>
    <m/>
  </r>
  <r>
    <x v="2"/>
    <x v="8"/>
    <s v="Alice da Silva dos Santos"/>
    <m/>
    <x v="2"/>
    <x v="25"/>
    <s v="50000446 - Rpg (R$ 36,71)"/>
    <s v="Rpg"/>
    <n v="1711044630"/>
    <s v="Finalizado (3/4)"/>
    <n v="29.367999999999999"/>
    <n v="7.3419999999999996"/>
    <n v="36.71"/>
    <s v="Sessão a Faturar"/>
    <n v="843486100604000"/>
    <n v="56112"/>
    <s v="Unidade Vieiralves"/>
    <n v="1711044630"/>
    <m/>
  </r>
  <r>
    <x v="2"/>
    <x v="10"/>
    <s v="Waldir dos Santos Fontes Junior"/>
    <s v="Masculino"/>
    <x v="2"/>
    <x v="25"/>
    <s v="50000446 - Rpg (R$ 36,71)"/>
    <s v="Rpg"/>
    <n v="1714248538"/>
    <s v="Finalizado (1/5)"/>
    <n v="29.367999999999999"/>
    <n v="7.3419999999999996"/>
    <n v="36.71"/>
    <s v="Sessão a Faturar"/>
    <n v="772133000728000"/>
    <n v="51522"/>
    <s v="Unidade Vieiralves"/>
    <n v="1714248538"/>
    <m/>
  </r>
  <r>
    <x v="2"/>
    <x v="10"/>
    <s v="Francisco Lima da Silva"/>
    <s v="Masculino"/>
    <x v="2"/>
    <x v="25"/>
    <s v="50000446 - Rpg (R$ 36,71)"/>
    <s v="Rpg"/>
    <n v="1711063521"/>
    <s v="Finalizado (3/5)"/>
    <n v="29.367999999999999"/>
    <n v="7.3419999999999996"/>
    <n v="36.71"/>
    <s v="Sessão a Faturar"/>
    <n v="774981007706010"/>
    <n v="52427"/>
    <s v="Unidade Vieiralves"/>
    <n v="1711063521"/>
    <m/>
  </r>
  <r>
    <x v="2"/>
    <x v="12"/>
    <s v="Cizia Freitas de Silva Costa"/>
    <s v="Feminino"/>
    <x v="2"/>
    <x v="25"/>
    <s v="50000446 - Rpg (R$ 36,71)"/>
    <s v="Rpg"/>
    <n v="1709234258"/>
    <s v="Finalizado (3/5)"/>
    <n v="29.367999999999999"/>
    <n v="7.3419999999999996"/>
    <n v="36.71"/>
    <s v="Sessão a Faturar"/>
    <n v="960016147089050"/>
    <n v="46973"/>
    <s v="Unidade Vieiralves"/>
    <n v="1709234258"/>
    <m/>
  </r>
  <r>
    <x v="2"/>
    <x v="12"/>
    <s v="Kamila Nayara dos Anjos Cruz"/>
    <s v="Feminino"/>
    <x v="2"/>
    <x v="25"/>
    <s v="50000446 - Rpg (R$ 36,71)"/>
    <s v="Rpg"/>
    <n v="1713006954"/>
    <s v="Finalizado (2/5)"/>
    <n v="29.367999999999999"/>
    <n v="7.3419999999999996"/>
    <n v="36.71"/>
    <s v="Sessão a Faturar"/>
    <n v="960016968538010"/>
    <n v="58063"/>
    <s v="Unidade Vieiralves"/>
    <n v="1713006954"/>
    <m/>
  </r>
  <r>
    <x v="2"/>
    <x v="20"/>
    <s v="Mcluhan Teixeira Grijo"/>
    <s v="Masculino"/>
    <x v="5"/>
    <x v="25"/>
    <s v="50000446 - Rpg - 04/03/2026 (R$ 52,23)"/>
    <s v="Rpg"/>
    <n v="167647"/>
    <s v="Finalizado (6/10)"/>
    <n v="41.783999999999999"/>
    <n v="10.446"/>
    <n v="52.23"/>
    <s v="Sessão Faturada"/>
    <s v="0101072415000314"/>
    <n v="51264"/>
    <s v="Unidade Vieiralves"/>
    <n v="167647"/>
    <m/>
  </r>
  <r>
    <x v="2"/>
    <x v="20"/>
    <s v="Fernando da Silva Passos"/>
    <s v="Masculino"/>
    <x v="2"/>
    <x v="25"/>
    <s v="50000446 - Rpg (R$ 36,71)"/>
    <s v="Rpg"/>
    <n v="1710519659"/>
    <s v="Finalizado (4/5)"/>
    <n v="29.367999999999999"/>
    <n v="7.3419999999999996"/>
    <n v="36.71"/>
    <s v="Sessão Faturada"/>
    <n v="894245300060000"/>
    <n v="55116"/>
    <s v="Unidade Vieiralves"/>
    <n v="1710519659"/>
    <m/>
  </r>
  <r>
    <x v="2"/>
    <x v="28"/>
    <s v="Anne Kelly Fróes Fontinele"/>
    <s v="Feminino"/>
    <x v="8"/>
    <x v="25"/>
    <s v="50000446 - Reeducação Postural Global (R$ 36,71)"/>
    <s v="Rpg"/>
    <n v="1709858319"/>
    <s v="Finalizado (3/4)"/>
    <n v="29.367999999999999"/>
    <n v="7.3419999999999996"/>
    <n v="36.71"/>
    <s v="Sessão Faturada"/>
    <n v="954600022691010"/>
    <n v="47757"/>
    <s v="Unidade Vieiralves"/>
    <n v="1709858319"/>
    <m/>
  </r>
  <r>
    <x v="2"/>
    <x v="28"/>
    <s v="Ana Clara Froes Leite"/>
    <s v="Feminino"/>
    <x v="8"/>
    <x v="25"/>
    <s v="50000446 - Reeducação Postural Global (R$ 36,71)"/>
    <s v="Rpg"/>
    <n v="1708921865"/>
    <s v="Finalizado (4/5)"/>
    <n v="29.367999999999999"/>
    <n v="7.3419999999999996"/>
    <n v="36.71"/>
    <s v="Sessão Faturada"/>
    <n v="954600022691040"/>
    <n v="47756"/>
    <s v="Unidade Vieiralves"/>
    <n v="1708921865"/>
    <m/>
  </r>
  <r>
    <x v="3"/>
    <x v="0"/>
    <s v="Jose Mario Chaves Gomes de Oliveira"/>
    <s v="Masculino"/>
    <x v="11"/>
    <x v="25"/>
    <s v="90001001 - Rpg (R$ 65,10)"/>
    <s v="Rpg"/>
    <s v="2722/2026"/>
    <s v="Finalizado (8/10)"/>
    <n v="52.08"/>
    <n v="13.02"/>
    <n v="65.099999999999994"/>
    <s v="Sessão Faturada"/>
    <n v="2301648"/>
    <n v="7982"/>
    <s v="Unidade Vieiralves"/>
    <s v="2722/2026"/>
    <m/>
  </r>
  <r>
    <x v="3"/>
    <x v="0"/>
    <s v="Rosineide Rodrigues Arcanjo"/>
    <s v="Feminino"/>
    <x v="2"/>
    <x v="25"/>
    <s v="50000446 - Rpg (R$ 36,71)"/>
    <s v="Rpg"/>
    <n v="1709819990"/>
    <s v="Finalizado (4/5)"/>
    <n v="29.367999999999999"/>
    <n v="7.3419999999999996"/>
    <n v="36.71"/>
    <s v="Sessão Faturada"/>
    <n v="774063004219030"/>
    <n v="50224"/>
    <s v="Unidade Vieiralves"/>
    <n v="1709819990"/>
    <m/>
  </r>
  <r>
    <x v="3"/>
    <x v="2"/>
    <s v="Sofia Araujo Pereira Ferreira"/>
    <s v="Feminino"/>
    <x v="2"/>
    <x v="25"/>
    <s v="50000446 - Rpg (R$ 36,71)"/>
    <s v="Rpg"/>
    <n v="1710977857"/>
    <s v="Finalizado (2/4)"/>
    <n v="29.367999999999999"/>
    <n v="7.3419999999999996"/>
    <n v="36.71"/>
    <s v="Sessão a Faturar"/>
    <n v="814438300051020"/>
    <n v="59164"/>
    <s v="Unidade Vieiralves"/>
    <n v="1710977857"/>
    <m/>
  </r>
  <r>
    <x v="3"/>
    <x v="4"/>
    <s v="Rosalinda Pereira Brito"/>
    <s v="Feminino"/>
    <x v="2"/>
    <x v="25"/>
    <s v="50000446 - Rpg (R$ 36,71)"/>
    <s v="Rpg"/>
    <n v="1714639856"/>
    <s v="Finalizado (1/5)"/>
    <n v="29.367999999999999"/>
    <n v="7.3419999999999996"/>
    <n v="36.71"/>
    <s v="Sessão Faturada"/>
    <s v="010544100907015"/>
    <n v="13886"/>
    <s v="Unidade Vieiralves"/>
    <n v="1714639856"/>
    <m/>
  </r>
  <r>
    <x v="3"/>
    <x v="4"/>
    <s v="Selene da Conceição Santarém"/>
    <s v="Feminino"/>
    <x v="7"/>
    <x v="25"/>
    <s v="Vieiralves - 19 - Rpg - Pacote (R$ 100,00)"/>
    <s v="Rpg"/>
    <n v="167267"/>
    <s v="Finalizado (7/10)"/>
    <n v="75"/>
    <n v="25"/>
    <n v="100"/>
    <s v="Pago"/>
    <s v="00"/>
    <n v="57406"/>
    <s v="Unidade Vieiralves"/>
    <n v="167267"/>
    <m/>
  </r>
  <r>
    <x v="3"/>
    <x v="13"/>
    <s v="Isadora Vitorino Grana"/>
    <s v="Feminino"/>
    <x v="7"/>
    <x v="25"/>
    <s v="Part Convenio - 2 - Rpg - Pacote (R$ 55,00)"/>
    <s v="Rpg"/>
    <n v="170056"/>
    <s v="Finalizado (8/10)"/>
    <n v="41.25"/>
    <n v="13.75"/>
    <n v="55"/>
    <s v="Pago"/>
    <s v="00010300035963020"/>
    <n v="56556"/>
    <s v="Unidade Vieiralves"/>
    <n v="170056"/>
    <m/>
  </r>
  <r>
    <x v="3"/>
    <x v="13"/>
    <s v="Rosemary Oliveira Barbosa"/>
    <m/>
    <x v="18"/>
    <x v="25"/>
    <s v="50000446 - Rpg - Sessão (R$ 60,00)"/>
    <s v="Rpg"/>
    <m/>
    <s v="Finalizado (1/1)"/>
    <n v="48"/>
    <n v="12"/>
    <n v="60"/>
    <s v="Sessão a Faturar"/>
    <n v="8252"/>
    <n v="59717"/>
    <s v="Unidade Vieiralves"/>
    <m/>
    <m/>
  </r>
  <r>
    <x v="3"/>
    <x v="6"/>
    <s v="Aristophanes Ferreira Teodosio"/>
    <s v="Masculino"/>
    <x v="20"/>
    <x v="25"/>
    <s v="25100050 - Rpg (R$ 28,80)"/>
    <s v="Rpg"/>
    <n v="55739800"/>
    <s v="Finalizado (1/10)"/>
    <n v="23.04"/>
    <n v="5.76"/>
    <n v="28.8"/>
    <s v="Sessão a Faturar"/>
    <n v="10511002209304"/>
    <n v="59199"/>
    <s v="Unidade Vieiralves"/>
    <n v="55739800"/>
    <m/>
  </r>
  <r>
    <x v="3"/>
    <x v="17"/>
    <s v="Alaide de Souza Lima Lemos"/>
    <s v="Feminino"/>
    <x v="2"/>
    <x v="25"/>
    <s v="50000446 - Rpg (R$ 36,71)"/>
    <s v="Rpg"/>
    <n v="1714752152"/>
    <s v="Finalizado (1/5)"/>
    <n v="29.367999999999999"/>
    <n v="7.3419999999999996"/>
    <n v="36.71"/>
    <s v="Sessão a Faturar"/>
    <n v="772568004855020"/>
    <n v="59604"/>
    <s v="Unidade Vieiralves"/>
    <n v="1714752152"/>
    <m/>
  </r>
  <r>
    <x v="3"/>
    <x v="17"/>
    <s v="Gaspar Henrique Alves Mota"/>
    <m/>
    <x v="2"/>
    <x v="25"/>
    <s v="50000446 - Rpg (R$ 36,71)"/>
    <s v="Rpg"/>
    <n v="1711650572"/>
    <s v="Finalizado (4/5)"/>
    <n v="29.367999999999999"/>
    <n v="7.3419999999999996"/>
    <n v="36.71"/>
    <s v="Sessão Faturada"/>
    <n v="774642013528010"/>
    <n v="54316"/>
    <s v="Unidade Vieiralves"/>
    <n v="1711650572"/>
    <m/>
  </r>
  <r>
    <x v="3"/>
    <x v="10"/>
    <s v="Igor Kalil Brito de Menezes"/>
    <s v="Masculino"/>
    <x v="2"/>
    <x v="25"/>
    <s v="50000446 - Rpg (R$ 36,71)"/>
    <s v="Rpg"/>
    <n v="1713643505"/>
    <s v="Finalizado (2/5)"/>
    <n v="29.367999999999999"/>
    <n v="7.3419999999999996"/>
    <n v="36.71"/>
    <s v="Sessão a Faturar"/>
    <n v="954170010804010"/>
    <n v="59613"/>
    <s v="Unidade Vieiralves"/>
    <n v="1713643505"/>
    <m/>
  </r>
  <r>
    <x v="3"/>
    <x v="10"/>
    <s v="Joyce Sales de Sousa Guedes"/>
    <s v="Feminino"/>
    <x v="2"/>
    <x v="25"/>
    <s v="50000446 - Rpg (R$ 36,71)"/>
    <s v="Rpg"/>
    <n v="1714769926"/>
    <s v="Finalizado (1/5)"/>
    <n v="29.367999999999999"/>
    <n v="7.3419999999999996"/>
    <n v="36.71"/>
    <s v="Sessão a Faturar"/>
    <n v="960019317525010"/>
    <n v="59107"/>
    <s v="Unidade Vieiralves"/>
    <n v="1714769926"/>
    <m/>
  </r>
  <r>
    <x v="3"/>
    <x v="12"/>
    <s v="Renata Cristina de Almeida Santos"/>
    <s v="Feminino"/>
    <x v="8"/>
    <x v="25"/>
    <s v="50000446 - Reeducação Postural Global (R$ 36,71)"/>
    <s v="Rpg"/>
    <n v="1713648262"/>
    <s v="Finalizado (2/3)"/>
    <n v="29.367999999999999"/>
    <n v="7.3419999999999996"/>
    <n v="36.71"/>
    <s v="Sessão a Faturar"/>
    <n v="954580019232010"/>
    <n v="57413"/>
    <s v="Unidade Vieiralves"/>
    <n v="1713648262"/>
    <m/>
  </r>
  <r>
    <x v="3"/>
    <x v="20"/>
    <s v="Willian Jean Silva Colares"/>
    <s v="Masculino"/>
    <x v="2"/>
    <x v="25"/>
    <s v="50000446 - Rpg (R$ 36,71)"/>
    <s v="Rpg"/>
    <n v="1711696108"/>
    <s v="Finalizado (2/2)"/>
    <n v="29.367999999999999"/>
    <n v="7.3419999999999996"/>
    <n v="36.71"/>
    <s v="Sessão Faturada"/>
    <n v="775219005800000"/>
    <n v="59277"/>
    <s v="Unidade Vieiralves"/>
    <n v="1711696108"/>
    <m/>
  </r>
  <r>
    <x v="4"/>
    <x v="0"/>
    <s v="Maria Adelina Parente Lins Felix"/>
    <s v="Feminino"/>
    <x v="0"/>
    <x v="25"/>
    <s v="50000446 - Rpg (R$ 62,75)"/>
    <s v="Rpg"/>
    <s v="42263120260324542416"/>
    <s v="Finalizado (1/10)"/>
    <n v="50.2"/>
    <n v="12.55"/>
    <n v="62.75"/>
    <s v="Sessão a Faturar"/>
    <s v="010650363400"/>
    <n v="41281"/>
    <s v="Unidade Vieiralves"/>
    <s v="42263120260324542416"/>
    <m/>
  </r>
  <r>
    <x v="4"/>
    <x v="0"/>
    <s v="Cristiane Gomes Barcelar Gonçalves"/>
    <s v="Feminino"/>
    <x v="0"/>
    <x v="25"/>
    <s v="50000446 - Rpg (R$ 62,75)"/>
    <s v="Rpg"/>
    <s v="42263120260311456299"/>
    <s v="Finalizado (7/10)"/>
    <n v="50.2"/>
    <n v="12.55"/>
    <n v="62.75"/>
    <s v="Sessão a Faturar"/>
    <s v="010033652753"/>
    <n v="27217"/>
    <s v="Unidade Vieiralves"/>
    <s v="42263120260311456299"/>
    <m/>
  </r>
  <r>
    <x v="4"/>
    <x v="2"/>
    <s v="Willyan Dyeno Silva de Oliveira dos Santos"/>
    <s v="Masculino"/>
    <x v="7"/>
    <x v="25"/>
    <s v="Part Convenio - 2 - Rpg - Pacote (R$ 55,00)"/>
    <s v="Rpg"/>
    <n v="172428"/>
    <s v="Finalizado (1/10)"/>
    <n v="41.25"/>
    <n v="13.75"/>
    <n v="55"/>
    <s v="No Prazo"/>
    <n v="610360710015010"/>
    <n v="59641"/>
    <s v="Unidade Vieiralves"/>
    <n v="172428"/>
    <m/>
  </r>
  <r>
    <x v="4"/>
    <x v="2"/>
    <s v="Rosineide Rodrigues Arcanjo"/>
    <s v="Feminino"/>
    <x v="2"/>
    <x v="25"/>
    <s v="50000446 - Rpg (R$ 36,71)"/>
    <s v="Rpg"/>
    <n v="1709819990"/>
    <s v="Finalizado (5/5)"/>
    <n v="29.367999999999999"/>
    <n v="7.3419999999999996"/>
    <n v="36.71"/>
    <s v="Sessão Faturada"/>
    <n v="774063004219030"/>
    <n v="50224"/>
    <s v="Unidade Vieiralves"/>
    <n v="1709819990"/>
    <m/>
  </r>
  <r>
    <x v="4"/>
    <x v="4"/>
    <s v="Elcilene Pinheiro Ferreira Gadelha"/>
    <s v="Feminino"/>
    <x v="2"/>
    <x v="25"/>
    <s v="50000446 - Rpg (R$ 36,71)"/>
    <s v="Rpg"/>
    <n v="1711541524"/>
    <s v="Finalizado (2/5)"/>
    <n v="29.367999999999999"/>
    <n v="7.3419999999999996"/>
    <n v="36.71"/>
    <s v="Sessão a Faturar"/>
    <n v="896128600019000"/>
    <n v="51111"/>
    <s v="Unidade Vieiralves"/>
    <n v="1711541524"/>
    <m/>
  </r>
  <r>
    <x v="4"/>
    <x v="4"/>
    <s v="Davi Ferreira Gadelha"/>
    <s v="Masculino"/>
    <x v="2"/>
    <x v="25"/>
    <s v="50000446 - Rpg (R$ 36,71)"/>
    <s v="Rpg"/>
    <n v="1711543271"/>
    <s v="Finalizado (2/5)"/>
    <n v="29.367999999999999"/>
    <n v="7.3419999999999996"/>
    <n v="36.71"/>
    <s v="Sessão a Faturar"/>
    <n v="896128600019030"/>
    <n v="51103"/>
    <s v="Unidade Vieiralves"/>
    <n v="1711543271"/>
    <m/>
  </r>
  <r>
    <x v="4"/>
    <x v="13"/>
    <s v="Fernanda Santos Fachinello"/>
    <s v="Feminino"/>
    <x v="7"/>
    <x v="25"/>
    <s v="Vieiralves - 19 - Rpg - Pacote (R$ 50,00)"/>
    <s v="Rpg"/>
    <s v="00"/>
    <s v="Finalizado (5/10)"/>
    <n v="37.5"/>
    <n v="12.5"/>
    <n v="50"/>
    <s v="Pago"/>
    <n v="1301014095850300"/>
    <n v="21927"/>
    <s v="Unidade Vieiralves"/>
    <s v="00"/>
    <m/>
  </r>
  <r>
    <x v="4"/>
    <x v="13"/>
    <s v="Daniel de Moura Alves"/>
    <s v="Masculino"/>
    <x v="2"/>
    <x v="25"/>
    <s v="50000446 - Rpg (R$ 36,71)"/>
    <s v="Rpg"/>
    <n v="1714157412"/>
    <s v="Finalizado (2/5)"/>
    <n v="29.367999999999999"/>
    <n v="7.3419999999999996"/>
    <n v="36.71"/>
    <s v="Sessão a Faturar"/>
    <n v="774063007471000"/>
    <n v="58683"/>
    <s v="Unidade Vieiralves"/>
    <n v="1714157412"/>
    <m/>
  </r>
  <r>
    <x v="4"/>
    <x v="15"/>
    <s v="Ricardo Soares Lozana"/>
    <s v="Masculino"/>
    <x v="2"/>
    <x v="25"/>
    <s v="50000446 - Rpg (R$ 36,71)"/>
    <s v="Rpg"/>
    <n v="1714083368"/>
    <s v="Finalizado (2/2)"/>
    <n v="29.367999999999999"/>
    <n v="7.3419999999999996"/>
    <n v="36.71"/>
    <s v="Sessão Faturada"/>
    <n v="774981012963020"/>
    <n v="43591"/>
    <s v="Unidade Vieiralves"/>
    <n v="1714083368"/>
    <m/>
  </r>
  <r>
    <x v="4"/>
    <x v="15"/>
    <s v="Charllys Andrade"/>
    <s v="Masculino"/>
    <x v="22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x v="4"/>
    <x v="17"/>
    <s v="Alessandra Silveira Rocha"/>
    <s v="Feminino"/>
    <x v="2"/>
    <x v="25"/>
    <s v="50000446 - Rpg (R$ 36,71)"/>
    <s v="Rpg"/>
    <n v="1714203762"/>
    <s v="Finalizado (2/5)"/>
    <n v="29.367999999999999"/>
    <n v="7.3419999999999996"/>
    <n v="36.71"/>
    <s v="Sessão a Faturar"/>
    <n v="774063023809020"/>
    <n v="58966"/>
    <s v="Unidade Vieiralves"/>
    <n v="1714203762"/>
    <m/>
  </r>
  <r>
    <x v="4"/>
    <x v="17"/>
    <s v="Kellen Regina Pereira da Silva"/>
    <s v="Feminino"/>
    <x v="2"/>
    <x v="25"/>
    <s v="50000446 - Rpg (R$ 36,71)"/>
    <s v="Rpg"/>
    <n v="1709801691"/>
    <s v="Finalizado (5/5)"/>
    <n v="29.367999999999999"/>
    <n v="7.3419999999999996"/>
    <n v="36.71"/>
    <s v="Sessão Faturada"/>
    <n v="890729700027020"/>
    <n v="59263"/>
    <s v="Unidade Vieiralves"/>
    <n v="1709801691"/>
    <m/>
  </r>
  <r>
    <x v="4"/>
    <x v="8"/>
    <s v="Samuel Cunha de Oliveira"/>
    <m/>
    <x v="2"/>
    <x v="25"/>
    <s v="50000446 - Rpg (R$ 36,71)"/>
    <s v="Rpg"/>
    <n v="1715248589"/>
    <s v="Finalizado (1/5)"/>
    <n v="29.367999999999999"/>
    <n v="7.3419999999999996"/>
    <n v="36.71"/>
    <s v="Sessão a Faturar"/>
    <n v="837047000191010"/>
    <n v="59496"/>
    <s v="Unidade Vieiralves"/>
    <n v="1715248589"/>
    <m/>
  </r>
  <r>
    <x v="4"/>
    <x v="8"/>
    <s v="Andreza da Costa Paes"/>
    <s v="Feminino"/>
    <x v="2"/>
    <x v="25"/>
    <s v="50000446 - Rpg (R$ 36,71)"/>
    <s v="Rpg"/>
    <n v="1711644639"/>
    <s v="Finalizado (3/5)"/>
    <n v="29.367999999999999"/>
    <n v="7.3419999999999996"/>
    <n v="36.71"/>
    <s v="Sessão Faturada"/>
    <n v="837047000191020"/>
    <n v="59619"/>
    <s v="Unidade Vieiralves"/>
    <n v="1711644639"/>
    <m/>
  </r>
  <r>
    <x v="4"/>
    <x v="10"/>
    <s v="Alice da Silva dos Santos"/>
    <m/>
    <x v="2"/>
    <x v="25"/>
    <s v="50000446 - Rpg (R$ 36,71)"/>
    <s v="Rpg"/>
    <n v="1711044630"/>
    <s v="Finalizado (4/4)"/>
    <n v="29.367999999999999"/>
    <n v="7.3419999999999996"/>
    <n v="36.71"/>
    <s v="Sessão a Faturar"/>
    <n v="843486100604000"/>
    <n v="56112"/>
    <s v="Unidade Vieiralves"/>
    <n v="1711044630"/>
    <m/>
  </r>
  <r>
    <x v="4"/>
    <x v="10"/>
    <s v="Kamila Nayara dos Anjos Cruz"/>
    <s v="Feminino"/>
    <x v="2"/>
    <x v="25"/>
    <s v="50000446 - Rpg (R$ 36,71)"/>
    <s v="Rpg"/>
    <n v="1713006954"/>
    <s v="Finalizado (3/5)"/>
    <n v="29.367999999999999"/>
    <n v="7.3419999999999996"/>
    <n v="36.71"/>
    <s v="Sessão a Faturar"/>
    <n v="960016968538010"/>
    <n v="58063"/>
    <s v="Unidade Vieiralves"/>
    <n v="1713006954"/>
    <m/>
  </r>
  <r>
    <x v="4"/>
    <x v="12"/>
    <s v="Fernando da Silva Passos"/>
    <s v="Masculino"/>
    <x v="2"/>
    <x v="25"/>
    <s v="50000446 - Rpg (R$ 36,71)"/>
    <s v="Rpg"/>
    <n v="1710519659"/>
    <s v="Finalizado (5/5)"/>
    <n v="29.367999999999999"/>
    <n v="7.3419999999999996"/>
    <n v="36.71"/>
    <s v="Sessão Faturada"/>
    <n v="894245300060000"/>
    <n v="55116"/>
    <s v="Unidade Vieiralves"/>
    <n v="1710519659"/>
    <m/>
  </r>
  <r>
    <x v="4"/>
    <x v="12"/>
    <s v="Suanni Lemos de Andrade"/>
    <s v="Feminino"/>
    <x v="2"/>
    <x v="25"/>
    <s v="50000446 - Rpg (R$ 36,71)"/>
    <s v="Rpg"/>
    <n v="1715276718"/>
    <s v="Finalizado (1/5)"/>
    <n v="29.367999999999999"/>
    <n v="7.3419999999999996"/>
    <n v="36.71"/>
    <s v="Sessão a Faturar"/>
    <n v="952650063291000"/>
    <n v="17717"/>
    <s v="Unidade Vieiralves"/>
    <n v="1715276718"/>
    <m/>
  </r>
  <r>
    <x v="4"/>
    <x v="20"/>
    <s v="Mcluhan Teixeira Grijo"/>
    <s v="Masculino"/>
    <x v="5"/>
    <x v="25"/>
    <s v="50000446 - Rpg - 04/03/2026 (R$ 52,23)"/>
    <s v="Rpg"/>
    <n v="167647"/>
    <s v="Não compareceu (7/10)"/>
    <n v="52.23"/>
    <n v="0"/>
    <n v="52.23"/>
    <s v="Sessão Faturada"/>
    <s v="0101072415000314"/>
    <n v="51264"/>
    <s v="Unidade Vieiralves"/>
    <n v="167647"/>
    <m/>
  </r>
  <r>
    <x v="4"/>
    <x v="28"/>
    <s v="Bruna Kerolaine Praia Neves"/>
    <s v="Feminino"/>
    <x v="2"/>
    <x v="25"/>
    <s v="50000446 - Rpg (R$ 36,71)"/>
    <s v="Rpg"/>
    <n v="1715276185"/>
    <s v="Finalizado (1/5)"/>
    <n v="29.367999999999999"/>
    <n v="7.3419999999999996"/>
    <n v="36.71"/>
    <s v="Sessão a Faturar"/>
    <n v="833941000264010"/>
    <n v="51300"/>
    <s v="Unidade Vieiralves"/>
    <n v="1715276185"/>
    <m/>
  </r>
  <r>
    <x v="5"/>
    <x v="0"/>
    <s v="Cristiane Gomes Barcelar Gonçalves"/>
    <s v="Feminino"/>
    <x v="0"/>
    <x v="25"/>
    <s v="50000446 - Rpg (R$ 62,75)"/>
    <s v="Rpg"/>
    <s v="42263120260311456299"/>
    <s v="Finalizado (8/10)"/>
    <n v="50.2"/>
    <n v="12.55"/>
    <n v="62.75"/>
    <s v="Sessão a Faturar"/>
    <s v="010033652753"/>
    <n v="27217"/>
    <s v="Unidade Vieiralves"/>
    <s v="42263120260311456299"/>
    <m/>
  </r>
  <r>
    <x v="5"/>
    <x v="0"/>
    <s v="Rosalinda Pereira Brito"/>
    <s v="Feminino"/>
    <x v="2"/>
    <x v="25"/>
    <s v="50000446 - Rpg (R$ 36,71)"/>
    <s v="Rpg"/>
    <n v="1714639856"/>
    <s v="Finalizado (2/5)"/>
    <n v="29.367999999999999"/>
    <n v="7.3419999999999996"/>
    <n v="36.71"/>
    <s v="Sessão Faturada"/>
    <s v="010544100907015"/>
    <n v="13886"/>
    <s v="Unidade Vieiralves"/>
    <n v="1714639856"/>
    <m/>
  </r>
  <r>
    <x v="5"/>
    <x v="2"/>
    <s v="Cirilo de Paula Bezerra"/>
    <s v="Masculino"/>
    <x v="0"/>
    <x v="25"/>
    <s v="50000446 - Rpg (R$ 62,75)"/>
    <s v="Rpg"/>
    <s v="42263120260225348672"/>
    <s v="Finalizado (8/10)"/>
    <n v="50.2"/>
    <n v="12.55"/>
    <n v="62.75"/>
    <s v="Sessão Faturada"/>
    <s v="010033494000"/>
    <n v="50241"/>
    <s v="Unidade Vieiralves"/>
    <s v="42263120260225348672"/>
    <m/>
  </r>
  <r>
    <x v="5"/>
    <x v="2"/>
    <s v="Mychelle Karolynne Moura Souza"/>
    <s v="Feminino"/>
    <x v="2"/>
    <x v="25"/>
    <s v="50000446 - Rpg (R$ 36,71)"/>
    <s v="Rpg"/>
    <n v="1713510747"/>
    <s v="Finalizado (2/5)"/>
    <n v="29.367999999999999"/>
    <n v="7.3419999999999996"/>
    <n v="36.71"/>
    <s v="Sessão Faturada"/>
    <n v="775216011533020"/>
    <n v="59649"/>
    <s v="Unidade Vieiralves"/>
    <n v="1713510747"/>
    <m/>
  </r>
  <r>
    <x v="5"/>
    <x v="4"/>
    <s v="Jose Mario Chaves Gomes de Oliveira"/>
    <s v="Masculino"/>
    <x v="11"/>
    <x v="25"/>
    <s v="90001001 - Rpg (R$ 65,10)"/>
    <s v="Rpg"/>
    <s v="2722/2026"/>
    <s v="Finalizado (9/10)"/>
    <n v="52.08"/>
    <n v="13.02"/>
    <n v="65.099999999999994"/>
    <s v="Sessão Faturada"/>
    <n v="2301648"/>
    <n v="7982"/>
    <s v="Unidade Vieiralves"/>
    <s v="2722/2026"/>
    <m/>
  </r>
  <r>
    <x v="5"/>
    <x v="4"/>
    <s v="Elane Sales de Lima"/>
    <m/>
    <x v="2"/>
    <x v="25"/>
    <s v="50000446 - Rpg (R$ 36,71)"/>
    <s v="Rpg"/>
    <n v="1710366113"/>
    <s v="Finalizado (3/5)"/>
    <n v="29.367999999999999"/>
    <n v="7.3419999999999996"/>
    <n v="36.71"/>
    <s v="Sessão Faturada"/>
    <n v="773539032034010"/>
    <n v="58812"/>
    <s v="Unidade Vieiralves"/>
    <n v="1710366113"/>
    <m/>
  </r>
  <r>
    <x v="5"/>
    <x v="13"/>
    <s v="Milena Liborio Caranha Lima"/>
    <m/>
    <x v="5"/>
    <x v="25"/>
    <s v="50000446 - Rpg - 04/03/2026 (R$ 52,23)"/>
    <s v="Rpg"/>
    <n v="168763"/>
    <s v="Finalizado (5/10)"/>
    <n v="41.783999999999999"/>
    <n v="10.446"/>
    <n v="52.23"/>
    <s v="Sessão Faturada"/>
    <s v="0100791349040456"/>
    <n v="52608"/>
    <s v="Unidade Vieiralves"/>
    <n v="168763"/>
    <m/>
  </r>
  <r>
    <x v="5"/>
    <x v="13"/>
    <s v="Maria Adelina Parente Lins Felix"/>
    <s v="Feminino"/>
    <x v="0"/>
    <x v="25"/>
    <s v="50000446 - Rpg (R$ 62,75)"/>
    <s v="Rpg"/>
    <s v="42263120260324542416"/>
    <s v="Finalizado (2/10)"/>
    <n v="50.2"/>
    <n v="12.55"/>
    <n v="62.75"/>
    <s v="Sessão a Faturar"/>
    <s v="010650363400"/>
    <n v="41281"/>
    <s v="Unidade Vieiralves"/>
    <s v="42263120260324542416"/>
    <m/>
  </r>
  <r>
    <x v="5"/>
    <x v="6"/>
    <s v="Joao Guilherme Brandao Castelo Branco"/>
    <s v="Masculino"/>
    <x v="2"/>
    <x v="25"/>
    <s v="50000446 - Rpg (R$ 36,71)"/>
    <s v="Rpg"/>
    <n v="1710973261"/>
    <s v="Finalizado (4/5)"/>
    <n v="29.367999999999999"/>
    <n v="7.3419999999999996"/>
    <n v="36.71"/>
    <s v="Sessão Faturada"/>
    <n v="772299077860020"/>
    <n v="59616"/>
    <s v="Unidade Vieiralves"/>
    <n v="1710973261"/>
    <m/>
  </r>
  <r>
    <x v="5"/>
    <x v="6"/>
    <s v="Ana Carolina Bento Andrade da Encarnação"/>
    <s v="Feminino"/>
    <x v="2"/>
    <x v="25"/>
    <s v="50000446 - Rpg (R$ 36,71)"/>
    <s v="Rpg"/>
    <n v="1713612881"/>
    <s v="Finalizado (5/5)"/>
    <n v="29.367999999999999"/>
    <n v="7.3419999999999996"/>
    <n v="36.71"/>
    <s v="Sessão Faturada"/>
    <n v="771015045292010"/>
    <n v="21604"/>
    <s v="Unidade Vieiralves"/>
    <n v="1713612881"/>
    <m/>
  </r>
  <r>
    <x v="5"/>
    <x v="15"/>
    <s v="Ana Clara Froes Leite"/>
    <s v="Feminino"/>
    <x v="8"/>
    <x v="25"/>
    <s v="50000446 - Reeducação Postural Global (R$ 36,71)"/>
    <s v="Rpg"/>
    <n v="1708921865"/>
    <s v="Finalizado (5/5)"/>
    <n v="29.367999999999999"/>
    <n v="7.3419999999999996"/>
    <n v="36.71"/>
    <s v="Sessão Faturada"/>
    <n v="954600022691040"/>
    <n v="47756"/>
    <s v="Unidade Vieiralves"/>
    <n v="1708921865"/>
    <m/>
  </r>
  <r>
    <x v="5"/>
    <x v="15"/>
    <s v="Dayane Melo Honorato"/>
    <s v="Feminino"/>
    <x v="8"/>
    <x v="25"/>
    <s v="50000446 - Reeducação Postural Global (R$ 36,71)"/>
    <s v="Rpg"/>
    <n v="1716221801"/>
    <s v="Finalizado (1/2)"/>
    <n v="29.367999999999999"/>
    <n v="7.3419999999999996"/>
    <n v="36.71"/>
    <s v="Sessão a Faturar"/>
    <n v="954170049921010"/>
    <n v="59564"/>
    <s v="Unidade Vieiralves"/>
    <n v="1716221801"/>
    <m/>
  </r>
  <r>
    <x v="5"/>
    <x v="17"/>
    <s v="Anne Kelly Fróes Fontinele"/>
    <s v="Feminino"/>
    <x v="8"/>
    <x v="25"/>
    <s v="50000446 - Reeducação Postural Global (R$ 36,71)"/>
    <s v="Rpg"/>
    <n v="1709858319"/>
    <s v="Finalizado (4/4)"/>
    <n v="29.367999999999999"/>
    <n v="7.3419999999999996"/>
    <n v="36.71"/>
    <s v="Sessão Faturada"/>
    <n v="954600022691010"/>
    <n v="47757"/>
    <s v="Unidade Vieiralves"/>
    <n v="1709858319"/>
    <m/>
  </r>
  <r>
    <x v="5"/>
    <x v="8"/>
    <s v="Andreza da Costa Paes"/>
    <s v="Feminino"/>
    <x v="2"/>
    <x v="25"/>
    <s v="50000446 - Rpg (R$ 36,71)"/>
    <s v="Rpg"/>
    <n v="1711644639"/>
    <s v="Finalizado (4/5)"/>
    <n v="29.367999999999999"/>
    <n v="7.3419999999999996"/>
    <n v="36.71"/>
    <s v="Sessão Faturada"/>
    <n v="837047000191020"/>
    <n v="59619"/>
    <s v="Unidade Vieiralves"/>
    <n v="1711644639"/>
    <m/>
  </r>
  <r>
    <x v="5"/>
    <x v="10"/>
    <s v="Renata Cristina de Almeida Santos"/>
    <s v="Feminino"/>
    <x v="8"/>
    <x v="25"/>
    <s v="50000446 - Reeducação Postural Global (R$ 36,71)"/>
    <s v="Rpg"/>
    <n v="1713648262"/>
    <s v="Finalizado (3/3)"/>
    <n v="29.367999999999999"/>
    <n v="7.3419999999999996"/>
    <n v="36.71"/>
    <s v="Sessão a Faturar"/>
    <n v="954580019232010"/>
    <n v="57413"/>
    <s v="Unidade Vieiralves"/>
    <n v="1713648262"/>
    <m/>
  </r>
  <r>
    <x v="5"/>
    <x v="12"/>
    <s v="Suanni Lemos de Andrade"/>
    <s v="Feminino"/>
    <x v="2"/>
    <x v="25"/>
    <s v="50000446 - Rpg (R$ 36,71)"/>
    <s v="Rpg"/>
    <n v="1715276718"/>
    <s v="Finalizado (2/5)"/>
    <n v="29.367999999999999"/>
    <n v="7.3419999999999996"/>
    <n v="36.71"/>
    <s v="Sessão a Faturar"/>
    <n v="952650063291000"/>
    <n v="17717"/>
    <s v="Unidade Vieiralves"/>
    <n v="1715276718"/>
    <m/>
  </r>
  <r>
    <x v="5"/>
    <x v="12"/>
    <s v="Kesia Rachel Martins Jathay"/>
    <s v="Feminino"/>
    <x v="2"/>
    <x v="25"/>
    <s v="50000446 - Rpg (R$ 36,71)"/>
    <s v="Rpg"/>
    <n v="1711097710"/>
    <s v="Finalizado (3/5)"/>
    <n v="29.367999999999999"/>
    <n v="7.3419999999999996"/>
    <n v="36.71"/>
    <s v="Sessão Faturada"/>
    <n v="894937200736000"/>
    <n v="53553"/>
    <s v="Unidade Vieiralves"/>
    <n v="1711097710"/>
    <m/>
  </r>
  <r>
    <x v="5"/>
    <x v="20"/>
    <s v="Mcluhan Teixeira Grijo"/>
    <s v="Masculino"/>
    <x v="5"/>
    <x v="25"/>
    <s v="50000446 - Rpg - 04/03/2026 (R$ 52,23)"/>
    <s v="Rpg"/>
    <n v="167647"/>
    <s v="Finalizado (8/10)"/>
    <n v="41.783999999999999"/>
    <n v="10.446"/>
    <n v="52.23"/>
    <s v="Sessão Faturada"/>
    <s v="0101072415000314"/>
    <n v="51264"/>
    <s v="Unidade Vieiralves"/>
    <n v="167647"/>
    <m/>
  </r>
  <r>
    <x v="5"/>
    <x v="20"/>
    <s v="Igor Kalil Brito de Menezes"/>
    <s v="Masculino"/>
    <x v="2"/>
    <x v="25"/>
    <s v="50000446 - Rpg (R$ 36,71)"/>
    <s v="Rpg"/>
    <n v="1713643505"/>
    <s v="Finalizado (3/5)"/>
    <n v="29.367999999999999"/>
    <n v="7.3419999999999996"/>
    <n v="36.71"/>
    <s v="Sessão a Faturar"/>
    <n v="954170010804010"/>
    <n v="59613"/>
    <s v="Unidade Vieiralves"/>
    <n v="1713643505"/>
    <m/>
  </r>
  <r>
    <x v="5"/>
    <x v="28"/>
    <s v="Fernando da Silva Passos"/>
    <s v="Masculino"/>
    <x v="2"/>
    <x v="25"/>
    <s v="50000446 - Rpg (R$ 36,71)"/>
    <s v="Rpg"/>
    <n v="1716278500"/>
    <s v="Finalizado (1/5)"/>
    <n v="29.367999999999999"/>
    <n v="7.3419999999999996"/>
    <n v="36.71"/>
    <s v="Sessão a Faturar"/>
    <n v="894245300060000"/>
    <n v="55116"/>
    <s v="Unidade Vieiralves"/>
    <n v="1716278500"/>
    <m/>
  </r>
  <r>
    <x v="6"/>
    <x v="0"/>
    <s v="Gilma do Socorro Ferreira de Paiva"/>
    <s v="Feminino"/>
    <x v="7"/>
    <x v="25"/>
    <s v="Vieiralves - 19 - Rpg - Pacote (R$ 50,00)"/>
    <s v="Rpg"/>
    <n v="167292"/>
    <s v="Finalizado (8/10)"/>
    <n v="37.5"/>
    <n v="12.5"/>
    <n v="50"/>
    <s v="Pago"/>
    <s v="0801011513670017"/>
    <n v="56631"/>
    <s v="Unidade Vieiralves"/>
    <n v="167292"/>
    <m/>
  </r>
  <r>
    <x v="6"/>
    <x v="0"/>
    <s v="Mychelle Karolynne Moura Souza"/>
    <s v="Feminino"/>
    <x v="2"/>
    <x v="25"/>
    <s v="50000446 - Rpg (R$ 36,71)"/>
    <s v="Rpg"/>
    <n v="1713510747"/>
    <s v="Finalizado (3/5)"/>
    <n v="29.367999999999999"/>
    <n v="7.3419999999999996"/>
    <n v="36.71"/>
    <s v="Sessão Faturada"/>
    <n v="775216011533020"/>
    <n v="59649"/>
    <s v="Unidade Vieiralves"/>
    <n v="1713510747"/>
    <m/>
  </r>
  <r>
    <x v="6"/>
    <x v="4"/>
    <s v="Laindks Lopes"/>
    <s v="Feminino"/>
    <x v="7"/>
    <x v="25"/>
    <s v="Part Convenio - 1 - Rpg - Sessão (R$ 70,00)"/>
    <s v="Rpg"/>
    <m/>
    <s v="Finalizado (1/1)"/>
    <n v="52.5"/>
    <n v="17.5"/>
    <n v="70"/>
    <s v="Pago"/>
    <n v="611453030001010"/>
    <n v="29"/>
    <s v="Unidade Vieiralves"/>
    <m/>
    <m/>
  </r>
  <r>
    <x v="6"/>
    <x v="13"/>
    <s v="Isadora Vitorino Grana"/>
    <s v="Feminino"/>
    <x v="7"/>
    <x v="25"/>
    <s v="Part Convenio - 2 - Rpg - Pacote (R$ 55,00)"/>
    <s v="Rpg"/>
    <n v="170056"/>
    <s v="Finalizado (10/10)"/>
    <n v="41.25"/>
    <n v="13.75"/>
    <n v="55"/>
    <s v="Pago"/>
    <s v="00010300035963020"/>
    <n v="56556"/>
    <s v="Unidade Vieiralves"/>
    <n v="170056"/>
    <m/>
  </r>
  <r>
    <x v="6"/>
    <x v="13"/>
    <s v="Daniel de Moura Alves"/>
    <s v="Masculino"/>
    <x v="2"/>
    <x v="25"/>
    <s v="50000446 - Rpg (R$ 36,71)"/>
    <s v="Rpg"/>
    <n v="1714157412"/>
    <s v="Finalizado (3/5)"/>
    <n v="29.367999999999999"/>
    <n v="7.3419999999999996"/>
    <n v="36.71"/>
    <s v="Sessão a Faturar"/>
    <n v="774063007471000"/>
    <n v="58683"/>
    <s v="Unidade Vieiralves"/>
    <n v="1714157412"/>
    <m/>
  </r>
  <r>
    <x v="6"/>
    <x v="6"/>
    <s v="Paulo Nonato  Aviz Dias"/>
    <s v="Masculino"/>
    <x v="2"/>
    <x v="25"/>
    <s v="50000446 - Rpg (R$ 36,71)"/>
    <s v="Rpg"/>
    <n v="1710778983"/>
    <s v="Finalizado (2/5)"/>
    <n v="29.367999999999999"/>
    <n v="7.3419999999999996"/>
    <n v="36.71"/>
    <s v="Sessão Faturada"/>
    <n v="960016515126020"/>
    <n v="59476"/>
    <s v="Unidade Vieiralves"/>
    <n v="1710778983"/>
    <m/>
  </r>
  <r>
    <x v="6"/>
    <x v="15"/>
    <s v="Charllys Andrade"/>
    <s v="Masculino"/>
    <x v="22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x v="6"/>
    <x v="17"/>
    <s v="Dayane Melo Honorato"/>
    <s v="Feminino"/>
    <x v="8"/>
    <x v="25"/>
    <s v="50000446 - Reeducação Postural Global (R$ 36,71)"/>
    <s v="Rpg"/>
    <n v="1716221801"/>
    <s v="Finalizado (2/2)"/>
    <n v="29.367999999999999"/>
    <n v="7.3419999999999996"/>
    <n v="36.71"/>
    <s v="Sessão a Faturar"/>
    <n v="954170049921010"/>
    <n v="59564"/>
    <s v="Unidade Vieiralves"/>
    <n v="1716221801"/>
    <m/>
  </r>
  <r>
    <x v="6"/>
    <x v="17"/>
    <s v="Gaspar Henrique Alves Mota"/>
    <m/>
    <x v="2"/>
    <x v="25"/>
    <s v="50000446 - Rpg (R$ 36,71)"/>
    <s v="Rpg"/>
    <n v="1711650572"/>
    <s v="Finalizado (5/5)"/>
    <n v="29.367999999999999"/>
    <n v="7.3419999999999996"/>
    <n v="36.71"/>
    <s v="Sessão Faturada"/>
    <n v="774642013528010"/>
    <n v="54316"/>
    <s v="Unidade Vieiralves"/>
    <n v="1711650572"/>
    <m/>
  </r>
  <r>
    <x v="6"/>
    <x v="8"/>
    <s v="Frank Marlon Ferreira de Naja"/>
    <s v="Masculino"/>
    <x v="2"/>
    <x v="25"/>
    <s v="50000446 - Rpg (R$ 36,71)"/>
    <s v="Rpg"/>
    <n v="1716763813"/>
    <s v="Finalizado (1/5)"/>
    <n v="29.367999999999999"/>
    <n v="7.3419999999999996"/>
    <n v="36.71"/>
    <s v="Sessão a Faturar"/>
    <n v="774831002933000"/>
    <n v="59749"/>
    <s v="Unidade Vieiralves"/>
    <n v="1716763813"/>
    <m/>
  </r>
  <r>
    <x v="6"/>
    <x v="12"/>
    <s v="Joyce Sales de Sousa Guedes"/>
    <s v="Feminino"/>
    <x v="2"/>
    <x v="25"/>
    <s v="50000446 - Rpg (R$ 36,71)"/>
    <s v="Rpg"/>
    <n v="1714769926"/>
    <s v="Finalizado (2/5)"/>
    <n v="29.367999999999999"/>
    <n v="7.3419999999999996"/>
    <n v="36.71"/>
    <s v="Sessão a Faturar"/>
    <n v="960019317525010"/>
    <n v="59107"/>
    <s v="Unidade Vieiralves"/>
    <n v="1714769926"/>
    <m/>
  </r>
  <r>
    <x v="6"/>
    <x v="12"/>
    <s v="Dhijana Nobre de Almeida"/>
    <s v="Feminino"/>
    <x v="7"/>
    <x v="25"/>
    <s v="Part Convenio - 2 - Rpg - Pacote (R$ 55,00)"/>
    <s v="Rpg"/>
    <n v="170377"/>
    <s v="Finalizado (2/10)"/>
    <n v="41.25"/>
    <n v="13.75"/>
    <n v="55"/>
    <s v="No Prazo"/>
    <s v="54588888004873450017"/>
    <n v="6422"/>
    <s v="Unidade Vieiralves"/>
    <n v="170377"/>
    <m/>
  </r>
  <r>
    <x v="6"/>
    <x v="20"/>
    <s v="Marta Helena Morais Okubo"/>
    <s v="Feminino"/>
    <x v="7"/>
    <x v="25"/>
    <s v="Part Convenio - 1 - Rpg - Sessão (R$ 70,00)"/>
    <s v="Rpg"/>
    <m/>
    <s v="Finalizado (1/1)"/>
    <n v="52.5"/>
    <n v="17.5"/>
    <n v="70"/>
    <s v="Pago"/>
    <s v="58202007001193600023"/>
    <n v="59755"/>
    <s v="Unidade Vieiralves"/>
    <m/>
    <m/>
  </r>
  <r>
    <x v="6"/>
    <x v="20"/>
    <s v="Fernando da Silva Passos"/>
    <s v="Masculino"/>
    <x v="2"/>
    <x v="25"/>
    <s v="50000446 - Rpg (R$ 36,71)"/>
    <s v="Rpg"/>
    <n v="1716278500"/>
    <s v="Finalizado (2/5)"/>
    <n v="29.367999999999999"/>
    <n v="7.3419999999999996"/>
    <n v="36.71"/>
    <s v="Sessão a Faturar"/>
    <n v="894245300060000"/>
    <n v="55116"/>
    <s v="Unidade Vieiralves"/>
    <n v="1716278500"/>
    <m/>
  </r>
  <r>
    <x v="6"/>
    <x v="28"/>
    <s v="Bruna Kerolaine Praia Neves"/>
    <s v="Feminino"/>
    <x v="2"/>
    <x v="25"/>
    <s v="50000446 - Rpg (R$ 36,71)"/>
    <s v="Rpg"/>
    <n v="1715276185"/>
    <s v="Finalizado (2/5)"/>
    <n v="29.367999999999999"/>
    <n v="7.3419999999999996"/>
    <n v="36.71"/>
    <s v="Sessão a Faturar"/>
    <n v="833941000264010"/>
    <n v="51300"/>
    <s v="Unidade Vieiralves"/>
    <n v="1715276185"/>
    <m/>
  </r>
  <r>
    <x v="7"/>
    <x v="0"/>
    <s v="Cirilo de Paula Bezerra"/>
    <s v="Masculino"/>
    <x v="0"/>
    <x v="25"/>
    <s v="50000446 - Rpg (R$ 62,75)"/>
    <s v="Rpg"/>
    <s v="42263120260225348672"/>
    <s v="Finalizado (9/10)"/>
    <n v="50.2"/>
    <n v="12.55"/>
    <n v="62.75"/>
    <s v="Sessão Faturada"/>
    <s v="010033494000"/>
    <n v="50241"/>
    <s v="Unidade Vieiralves"/>
    <s v="42263120260225348672"/>
    <m/>
  </r>
  <r>
    <x v="7"/>
    <x v="0"/>
    <s v="Mychelle Karolynne Moura Souza"/>
    <s v="Feminino"/>
    <x v="2"/>
    <x v="25"/>
    <s v="50000446 - Rpg (R$ 36,71)"/>
    <s v="Rpg"/>
    <n v="1713510747"/>
    <s v="Finalizado (4/5)"/>
    <n v="29.367999999999999"/>
    <n v="7.3419999999999996"/>
    <n v="36.71"/>
    <s v="Sessão Faturada"/>
    <n v="775216011533020"/>
    <n v="59649"/>
    <s v="Unidade Vieiralves"/>
    <n v="1713510747"/>
    <m/>
  </r>
  <r>
    <x v="7"/>
    <x v="2"/>
    <s v="Joao Guilherme Brandao Castelo Branco"/>
    <s v="Masculino"/>
    <x v="2"/>
    <x v="25"/>
    <s v="50000446 - Rpg (R$ 36,71)"/>
    <s v="Rpg"/>
    <n v="1710973261"/>
    <s v="Finalizado (5/5)"/>
    <n v="29.367999999999999"/>
    <n v="7.3419999999999996"/>
    <n v="36.71"/>
    <s v="Sessão Faturada"/>
    <n v="772299077860020"/>
    <n v="59616"/>
    <s v="Unidade Vieiralves"/>
    <n v="1710973261"/>
    <m/>
  </r>
  <r>
    <x v="7"/>
    <x v="2"/>
    <s v="Elane Sales de Lima"/>
    <m/>
    <x v="2"/>
    <x v="25"/>
    <s v="50000446 - Rpg (R$ 36,71)"/>
    <s v="Rpg"/>
    <n v="1710366113"/>
    <s v="Finalizado (4/5)"/>
    <n v="29.367999999999999"/>
    <n v="7.3419999999999996"/>
    <n v="36.71"/>
    <s v="Sessão Faturada"/>
    <n v="773539032034010"/>
    <n v="58812"/>
    <s v="Unidade Vieiralves"/>
    <n v="1710366113"/>
    <m/>
  </r>
  <r>
    <x v="7"/>
    <x v="4"/>
    <s v="Jose Mario Chaves Gomes de Oliveira"/>
    <s v="Masculino"/>
    <x v="11"/>
    <x v="25"/>
    <s v="90001001 - Rpg (R$ 65,10)"/>
    <s v="Rpg"/>
    <s v="2722/2026"/>
    <s v="Finalizado (10/10)"/>
    <n v="52.08"/>
    <n v="13.02"/>
    <n v="65.099999999999994"/>
    <s v="Sessão Faturada"/>
    <n v="2301648"/>
    <n v="7982"/>
    <s v="Unidade Vieiralves"/>
    <s v="2722/2026"/>
    <m/>
  </r>
  <r>
    <x v="7"/>
    <x v="4"/>
    <s v="Rosalinda Pereira Brito"/>
    <s v="Feminino"/>
    <x v="2"/>
    <x v="25"/>
    <s v="50000446 - Rpg (R$ 36,71)"/>
    <s v="Rpg"/>
    <n v="1714639856"/>
    <s v="Finalizado (3/5)"/>
    <n v="29.367999999999999"/>
    <n v="7.3419999999999996"/>
    <n v="36.71"/>
    <s v="Sessão Faturada"/>
    <s v="010544100907015"/>
    <n v="13886"/>
    <s v="Unidade Vieiralves"/>
    <n v="1714639856"/>
    <m/>
  </r>
  <r>
    <x v="7"/>
    <x v="13"/>
    <s v="Maria Adelina Parente Lins Felix"/>
    <s v="Feminino"/>
    <x v="0"/>
    <x v="25"/>
    <s v="50000446 - Rpg (R$ 62,75)"/>
    <s v="Rpg"/>
    <s v="42263120260324542416"/>
    <s v="Finalizado (3/10)"/>
    <n v="50.2"/>
    <n v="12.55"/>
    <n v="62.75"/>
    <s v="Sessão a Faturar"/>
    <s v="010650363400"/>
    <n v="41281"/>
    <s v="Unidade Vieiralves"/>
    <s v="42263120260324542416"/>
    <m/>
  </r>
  <r>
    <x v="7"/>
    <x v="13"/>
    <s v="Wanessa Ferreira Saraiva Oliveira"/>
    <s v="Feminino"/>
    <x v="7"/>
    <x v="25"/>
    <s v="Part Convenio - 2 - Rpg - Pacote (R$ 55,00)"/>
    <s v="Rpg"/>
    <m/>
    <s v="Finalizado (1/10)"/>
    <n v="41.25"/>
    <n v="13.75"/>
    <n v="55"/>
    <s v="No Prazo"/>
    <n v="610900110003020"/>
    <n v="8227"/>
    <s v="Unidade Vieiralves"/>
    <m/>
    <m/>
  </r>
  <r>
    <x v="7"/>
    <x v="6"/>
    <s v="Willyan Dyeno Silva de Oliveira dos Santos"/>
    <s v="Masculino"/>
    <x v="7"/>
    <x v="25"/>
    <s v="Part Convenio - 2 - Rpg - Pacote (R$ 55,00)"/>
    <s v="Rpg"/>
    <n v="172428"/>
    <s v="Finalizado (2/10)"/>
    <n v="41.25"/>
    <n v="13.75"/>
    <n v="55"/>
    <s v="No Prazo"/>
    <n v="610360710015010"/>
    <n v="59641"/>
    <s v="Unidade Vieiralves"/>
    <n v="172428"/>
    <m/>
  </r>
  <r>
    <x v="7"/>
    <x v="6"/>
    <s v="Ana Carolina Bento Andrade da Encarnação"/>
    <s v="Feminino"/>
    <x v="2"/>
    <x v="25"/>
    <s v="50000446 - Rpg (R$ 36,71)"/>
    <s v="Rpg"/>
    <n v="1717174683"/>
    <s v="Finalizado (1/1)"/>
    <n v="29.367999999999999"/>
    <n v="7.3419999999999996"/>
    <n v="36.71"/>
    <s v="Sessão a Faturar"/>
    <n v="771015045292010"/>
    <n v="21604"/>
    <s v="Unidade Vieiralves"/>
    <n v="1717174683"/>
    <m/>
  </r>
  <r>
    <x v="7"/>
    <x v="15"/>
    <s v="Fernanda Santos Fachinello"/>
    <s v="Feminino"/>
    <x v="7"/>
    <x v="25"/>
    <s v="Vieiralves - 19 - Rpg - Pacote (R$ 50,00)"/>
    <s v="Rpg"/>
    <s v="00"/>
    <s v="Finalizado (6/10)"/>
    <n v="37.5"/>
    <n v="12.5"/>
    <n v="50"/>
    <s v="Pago"/>
    <n v="1301014095850300"/>
    <n v="21927"/>
    <s v="Unidade Vieiralves"/>
    <s v="00"/>
    <m/>
  </r>
  <r>
    <x v="7"/>
    <x v="17"/>
    <s v="Alessandra Silveira Rocha"/>
    <s v="Feminino"/>
    <x v="2"/>
    <x v="25"/>
    <s v="50000446 - Rpg (R$ 36,71)"/>
    <s v="Rpg"/>
    <n v="1714203762"/>
    <s v="Finalizado (3/5)"/>
    <n v="29.367999999999999"/>
    <n v="7.3419999999999996"/>
    <n v="36.71"/>
    <s v="Sessão a Faturar"/>
    <n v="774063023809020"/>
    <n v="58966"/>
    <s v="Unidade Vieiralves"/>
    <n v="1714203762"/>
    <m/>
  </r>
  <r>
    <x v="7"/>
    <x v="8"/>
    <s v="Alaide de Souza Lima Lemos"/>
    <s v="Feminino"/>
    <x v="2"/>
    <x v="25"/>
    <s v="50000446 - Rpg (R$ 36,71)"/>
    <s v="Rpg"/>
    <n v="1714752152"/>
    <s v="Finalizado (2/5)"/>
    <n v="29.367999999999999"/>
    <n v="7.3419999999999996"/>
    <n v="36.71"/>
    <s v="Sessão a Faturar"/>
    <n v="772568004855020"/>
    <n v="59604"/>
    <s v="Unidade Vieiralves"/>
    <n v="1714752152"/>
    <m/>
  </r>
  <r>
    <x v="7"/>
    <x v="8"/>
    <s v="Andreza da Costa Paes"/>
    <s v="Feminino"/>
    <x v="2"/>
    <x v="25"/>
    <s v="50000446 - Rpg (R$ 36,71)"/>
    <s v="Rpg"/>
    <n v="1711644639"/>
    <s v="Finalizado (5/5)"/>
    <n v="29.367999999999999"/>
    <n v="7.3419999999999996"/>
    <n v="36.71"/>
    <s v="Sessão Faturada"/>
    <n v="837047000191020"/>
    <n v="59619"/>
    <s v="Unidade Vieiralves"/>
    <n v="1711644639"/>
    <m/>
  </r>
  <r>
    <x v="7"/>
    <x v="10"/>
    <s v="Samuel Cunha de Oliveira"/>
    <m/>
    <x v="2"/>
    <x v="25"/>
    <s v="50000446 - Rpg (R$ 36,71)"/>
    <s v="Rpg"/>
    <n v="1715248589"/>
    <s v="Finalizado (2/5)"/>
    <n v="29.367999999999999"/>
    <n v="7.3419999999999996"/>
    <n v="36.71"/>
    <s v="Sessão a Faturar"/>
    <n v="837047000191010"/>
    <n v="59496"/>
    <s v="Unidade Vieiralves"/>
    <n v="1715248589"/>
    <m/>
  </r>
  <r>
    <x v="7"/>
    <x v="12"/>
    <s v="Paulo Nonato  Aviz Dias"/>
    <s v="Masculino"/>
    <x v="2"/>
    <x v="25"/>
    <s v="50000446 - Rpg (R$ 36,71)"/>
    <s v="Rpg"/>
    <n v="1710778983"/>
    <s v="Finalizado (3/5)"/>
    <n v="29.367999999999999"/>
    <n v="7.3419999999999996"/>
    <n v="36.71"/>
    <s v="Sessão Faturada"/>
    <n v="960016515126020"/>
    <n v="59476"/>
    <s v="Unidade Vieiralves"/>
    <n v="1710778983"/>
    <m/>
  </r>
  <r>
    <x v="7"/>
    <x v="20"/>
    <s v="Igor Kalil Brito de Menezes"/>
    <s v="Masculino"/>
    <x v="2"/>
    <x v="25"/>
    <s v="50000446 - Rpg (R$ 36,71)"/>
    <s v="Rpg"/>
    <n v="1713643505"/>
    <s v="Finalizado (4/5)"/>
    <n v="29.367999999999999"/>
    <n v="7.3419999999999996"/>
    <n v="36.71"/>
    <s v="Sessão a Faturar"/>
    <n v="954170010804010"/>
    <n v="59613"/>
    <s v="Unidade Vieiralves"/>
    <n v="1713643505"/>
    <m/>
  </r>
  <r>
    <x v="7"/>
    <x v="28"/>
    <s v="Jefferson Castro Simplicio"/>
    <s v="Masculino"/>
    <x v="2"/>
    <x v="25"/>
    <s v="50000446 - Rpg (R$ 36,71)"/>
    <s v="Rpg"/>
    <n v="1707992298"/>
    <s v="Finalizado (5/5)"/>
    <n v="29.367999999999999"/>
    <n v="7.3419999999999996"/>
    <n v="36.71"/>
    <s v="Sessão Faturada"/>
    <n v="960130225177000"/>
    <n v="43518"/>
    <s v="Unidade Vieiralves"/>
    <n v="1707992298"/>
    <m/>
  </r>
  <r>
    <x v="7"/>
    <x v="28"/>
    <s v="Kesia Rachel Martins Jathay"/>
    <s v="Feminino"/>
    <x v="2"/>
    <x v="25"/>
    <s v="50000446 - Rpg (R$ 36,71)"/>
    <s v="Rpg"/>
    <n v="1711097710"/>
    <s v="Finalizado (4/5)"/>
    <n v="29.367999999999999"/>
    <n v="7.3419999999999996"/>
    <n v="36.71"/>
    <s v="Sessão Faturada"/>
    <n v="894937200736000"/>
    <n v="53553"/>
    <s v="Unidade Vieiralves"/>
    <n v="1711097710"/>
    <m/>
  </r>
  <r>
    <x v="8"/>
    <x v="2"/>
    <s v="Sofia Araujo Pereira Ferreira"/>
    <s v="Feminino"/>
    <x v="2"/>
    <x v="25"/>
    <s v="50000446 - Rpg (R$ 36,71)"/>
    <s v="Rpg"/>
    <n v="1710977857"/>
    <s v="Finalizado (3/4)"/>
    <n v="29.367999999999999"/>
    <n v="7.3419999999999996"/>
    <n v="36.71"/>
    <s v="Sessão a Faturar"/>
    <n v="814438300051020"/>
    <n v="59164"/>
    <s v="Unidade Vieiralves"/>
    <n v="1710977857"/>
    <m/>
  </r>
  <r>
    <x v="8"/>
    <x v="4"/>
    <s v="Rosalinda Pereira Brito"/>
    <s v="Feminino"/>
    <x v="2"/>
    <x v="25"/>
    <s v="50000446 - Rpg (R$ 36,71)"/>
    <s v="Rpg"/>
    <n v="1714639856"/>
    <s v="Finalizado (4/5)"/>
    <n v="29.367999999999999"/>
    <n v="7.3419999999999996"/>
    <n v="36.71"/>
    <s v="Sessão Faturada"/>
    <s v="010544100907015"/>
    <n v="13886"/>
    <s v="Unidade Vieiralves"/>
    <n v="1714639856"/>
    <m/>
  </r>
  <r>
    <x v="8"/>
    <x v="4"/>
    <s v="Jordânia Maria Napoliao Cabo de Vasconcelos"/>
    <m/>
    <x v="2"/>
    <x v="25"/>
    <s v="50000446 - Rpg (R$ 36,71)"/>
    <s v="Rpg"/>
    <n v="1717725689"/>
    <s v="Finalizado (1/5)"/>
    <n v="29.367999999999999"/>
    <n v="7.3419999999999996"/>
    <n v="36.71"/>
    <s v="Sessão a Faturar"/>
    <n v="890729700019010"/>
    <n v="59678"/>
    <s v="Unidade Vieiralves"/>
    <n v="1717725689"/>
    <m/>
  </r>
  <r>
    <x v="8"/>
    <x v="6"/>
    <s v="Charllys Andrade"/>
    <s v="Masculino"/>
    <x v="22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x v="8"/>
    <x v="6"/>
    <s v="Vivian Fonseca de Oliveira"/>
    <s v="Feminino"/>
    <x v="2"/>
    <x v="25"/>
    <s v="50000446 - Rpg (R$ 36,71)"/>
    <s v="Rpg"/>
    <n v="1717789655"/>
    <s v="Finalizado (1/5)"/>
    <n v="29.367999999999999"/>
    <n v="7.3419999999999996"/>
    <n v="36.71"/>
    <s v="Sessão a Faturar"/>
    <n v="774642011100020"/>
    <n v="45139"/>
    <s v="Unidade Vieiralves"/>
    <n v="1717789655"/>
    <m/>
  </r>
  <r>
    <x v="8"/>
    <x v="15"/>
    <s v="Charllys Andrade"/>
    <s v="Masculino"/>
    <x v="22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x v="8"/>
    <x v="17"/>
    <s v="Frank Marlon Ferreira de Naja"/>
    <s v="Masculino"/>
    <x v="2"/>
    <x v="25"/>
    <s v="50000446 - Rpg (R$ 36,71)"/>
    <s v="Rpg"/>
    <n v="1716763813"/>
    <s v="Finalizado (2/5)"/>
    <n v="29.367999999999999"/>
    <n v="7.3419999999999996"/>
    <n v="36.71"/>
    <s v="Sessão a Faturar"/>
    <n v="774831002933000"/>
    <n v="59749"/>
    <s v="Unidade Vieiralves"/>
    <n v="1716763813"/>
    <m/>
  </r>
  <r>
    <x v="8"/>
    <x v="17"/>
    <s v="Izabelly Beatriz Costa de Oliveira"/>
    <s v="Feminino"/>
    <x v="8"/>
    <x v="25"/>
    <s v="50000446 - Reeducação Postural Global (R$ 36,71)"/>
    <s v="Rpg"/>
    <n v="1717793217"/>
    <s v="Finalizado (1/5)"/>
    <n v="29.367999999999999"/>
    <n v="7.3419999999999996"/>
    <n v="36.71"/>
    <s v="Sessão a Faturar"/>
    <n v="954600015326010"/>
    <n v="56994"/>
    <s v="Unidade Vieiralves"/>
    <n v="1717793217"/>
    <m/>
  </r>
  <r>
    <x v="8"/>
    <x v="8"/>
    <s v="Jaciara Diavão"/>
    <m/>
    <x v="7"/>
    <x v="25"/>
    <s v="Part Convenio - 1 - Rpg - Sessão (R$ 70,00)"/>
    <s v="Rpg"/>
    <m/>
    <s v="Finalizado (1/1)"/>
    <n v="52.5"/>
    <n v="17.5"/>
    <n v="70"/>
    <s v="Pago"/>
    <s v="013641630102001"/>
    <n v="59780"/>
    <s v="Unidade Vieiralves"/>
    <m/>
    <m/>
  </r>
  <r>
    <x v="8"/>
    <x v="10"/>
    <s v="Josicleide Nunes Santos"/>
    <s v="Feminino"/>
    <x v="2"/>
    <x v="25"/>
    <s v="50000446 - Rpg (R$ 36,71)"/>
    <s v="Rpg"/>
    <n v="1717821364"/>
    <s v="Finalizado (1/5)"/>
    <n v="29.367999999999999"/>
    <n v="7.3419999999999996"/>
    <n v="36.71"/>
    <s v="Sessão a Faturar"/>
    <n v="774981001279000"/>
    <n v="20120"/>
    <s v="Unidade Vieiralves"/>
    <n v="1717821364"/>
    <m/>
  </r>
  <r>
    <x v="8"/>
    <x v="10"/>
    <s v="Kamila Nayara dos Anjos Cruz"/>
    <s v="Feminino"/>
    <x v="2"/>
    <x v="25"/>
    <s v="50000446 - Rpg (R$ 36,71)"/>
    <s v="Rpg"/>
    <n v="1713006954"/>
    <s v="Finalizado (4/5)"/>
    <n v="29.367999999999999"/>
    <n v="7.3419999999999996"/>
    <n v="36.71"/>
    <s v="Sessão a Faturar"/>
    <n v="960016968538010"/>
    <n v="58063"/>
    <s v="Unidade Vieiralves"/>
    <n v="1713006954"/>
    <m/>
  </r>
  <r>
    <x v="8"/>
    <x v="12"/>
    <s v="Cizia Freitas de Silva Costa"/>
    <s v="Feminino"/>
    <x v="2"/>
    <x v="25"/>
    <s v="50000446 - Rpg (R$ 36,71)"/>
    <s v="Rpg"/>
    <n v="1709234258"/>
    <s v="Finalizado (4/5)"/>
    <n v="29.367999999999999"/>
    <n v="7.3419999999999996"/>
    <n v="36.71"/>
    <s v="Sessão a Faturar"/>
    <n v="960016147089050"/>
    <n v="46973"/>
    <s v="Unidade Vieiralves"/>
    <n v="1709234258"/>
    <m/>
  </r>
  <r>
    <x v="8"/>
    <x v="12"/>
    <s v="Joyce Sales de Sousa Guedes"/>
    <s v="Feminino"/>
    <x v="2"/>
    <x v="25"/>
    <s v="50000446 - Rpg (R$ 36,71)"/>
    <s v="Rpg"/>
    <n v="1714769926"/>
    <s v="Finalizado (3/5)"/>
    <n v="29.367999999999999"/>
    <n v="7.3419999999999996"/>
    <n v="36.71"/>
    <s v="Sessão a Faturar"/>
    <n v="960019317525010"/>
    <n v="59107"/>
    <s v="Unidade Vieiralves"/>
    <n v="1714769926"/>
    <m/>
  </r>
  <r>
    <x v="8"/>
    <x v="20"/>
    <s v="Gina Ramos Pinheiro Honda"/>
    <s v="Feminino"/>
    <x v="10"/>
    <x v="25"/>
    <s v="50000446 - Rpg (R$ 29,84)"/>
    <s v="Rpg"/>
    <n v="23001497"/>
    <s v="Finalizado (1/10)"/>
    <n v="23.872"/>
    <n v="5.968"/>
    <n v="29.84"/>
    <s v="Sessão a Faturar"/>
    <s v="00010064268880001"/>
    <n v="55208"/>
    <s v="Unidade Vieiralves"/>
    <n v="23001497"/>
    <m/>
  </r>
  <r>
    <x v="8"/>
    <x v="20"/>
    <s v="Leandro Nascimento da Silva Tachy"/>
    <s v="Masculino"/>
    <x v="2"/>
    <x v="25"/>
    <s v="50000446 - Rpg (R$ 36,71)"/>
    <s v="Rpg"/>
    <n v="1717068262"/>
    <s v="Finalizado (2/5)"/>
    <n v="29.367999999999999"/>
    <n v="7.3419999999999996"/>
    <n v="36.71"/>
    <s v="Sessão a Faturar"/>
    <n v="774063008605000"/>
    <n v="59722"/>
    <s v="Unidade Vieiralves"/>
    <n v="1717068262"/>
    <m/>
  </r>
  <r>
    <x v="9"/>
    <x v="0"/>
    <s v="Gilma do Socorro Ferreira de Paiva"/>
    <s v="Feminino"/>
    <x v="7"/>
    <x v="25"/>
    <s v="Vieiralves - 19 - Rpg - Pacote (R$ 50,00)"/>
    <s v="Rpg"/>
    <n v="167292"/>
    <s v="Finalizado (9/10)"/>
    <n v="37.5"/>
    <n v="12.5"/>
    <n v="50"/>
    <s v="Pago"/>
    <s v="0801011513670017"/>
    <n v="56631"/>
    <s v="Unidade Vieiralves"/>
    <n v="167292"/>
    <m/>
  </r>
  <r>
    <x v="9"/>
    <x v="0"/>
    <s v="Cristiane Gomes Barcelar Gonçalves"/>
    <s v="Feminino"/>
    <x v="0"/>
    <x v="25"/>
    <s v="50000446 - Rpg (R$ 62,75)"/>
    <s v="Rpg"/>
    <s v="42263120260311456299"/>
    <s v="Finalizado (9/10)"/>
    <n v="50.2"/>
    <n v="12.55"/>
    <n v="62.75"/>
    <s v="Sessão a Faturar"/>
    <s v="010033652753"/>
    <n v="27217"/>
    <s v="Unidade Vieiralves"/>
    <s v="42263120260311456299"/>
    <m/>
  </r>
  <r>
    <x v="9"/>
    <x v="2"/>
    <s v="Elane Sales de Lima"/>
    <m/>
    <x v="2"/>
    <x v="25"/>
    <s v="50000446 - Rpg (R$ 36,71)"/>
    <s v="Rpg"/>
    <n v="1710366113"/>
    <s v="Finalizado (5/5)"/>
    <n v="29.367999999999999"/>
    <n v="7.3419999999999996"/>
    <n v="36.71"/>
    <s v="Sessão Faturada"/>
    <n v="773539032034010"/>
    <n v="58812"/>
    <s v="Unidade Vieiralves"/>
    <n v="1710366113"/>
    <m/>
  </r>
  <r>
    <x v="9"/>
    <x v="2"/>
    <s v="Willyan Dyeno Silva de Oliveira dos Santos"/>
    <s v="Masculino"/>
    <x v="7"/>
    <x v="25"/>
    <s v="Part Convenio - 2 - Rpg - Pacote (R$ 55,00)"/>
    <s v="Rpg"/>
    <n v="172428"/>
    <s v="Finalizado (3/10)"/>
    <n v="41.25"/>
    <n v="13.75"/>
    <n v="55"/>
    <s v="No Prazo"/>
    <n v="610360710015010"/>
    <n v="59641"/>
    <s v="Unidade Vieiralves"/>
    <n v="172428"/>
    <m/>
  </r>
  <r>
    <x v="9"/>
    <x v="4"/>
    <s v="Davi Ferreira Gadelha"/>
    <s v="Masculino"/>
    <x v="2"/>
    <x v="25"/>
    <s v="50000446 - Rpg (R$ 36,71)"/>
    <s v="Rpg"/>
    <n v="1711543271"/>
    <s v="Finalizado (3/5)"/>
    <n v="29.367999999999999"/>
    <n v="7.3419999999999996"/>
    <n v="36.71"/>
    <s v="Sessão a Faturar"/>
    <n v="896128600019030"/>
    <n v="51103"/>
    <s v="Unidade Vieiralves"/>
    <n v="1711543271"/>
    <m/>
  </r>
  <r>
    <x v="9"/>
    <x v="4"/>
    <s v="Elcilene Pinheiro Ferreira Gadelha"/>
    <s v="Feminino"/>
    <x v="2"/>
    <x v="25"/>
    <s v="50000446 - Rpg (R$ 36,71)"/>
    <s v="Rpg"/>
    <n v="1711541524"/>
    <s v="Finalizado (3/5)"/>
    <n v="29.367999999999999"/>
    <n v="7.3419999999999996"/>
    <n v="36.71"/>
    <s v="Sessão a Faturar"/>
    <n v="896128600019000"/>
    <n v="51111"/>
    <s v="Unidade Vieiralves"/>
    <n v="1711541524"/>
    <m/>
  </r>
  <r>
    <x v="9"/>
    <x v="13"/>
    <s v="Maria Adelina Parente Lins Felix"/>
    <s v="Feminino"/>
    <x v="0"/>
    <x v="25"/>
    <s v="50000446 - Rpg (R$ 62,75)"/>
    <s v="Rpg"/>
    <s v="42263120260324542416"/>
    <s v="Finalizado (4/10)"/>
    <n v="50.2"/>
    <n v="12.55"/>
    <n v="62.75"/>
    <s v="Sessão a Faturar"/>
    <s v="010650363400"/>
    <n v="41281"/>
    <s v="Unidade Vieiralves"/>
    <s v="42263120260324542416"/>
    <m/>
  </r>
  <r>
    <x v="9"/>
    <x v="13"/>
    <s v="Virgínia Ketlen dos Santos Xavier"/>
    <s v="Feminino"/>
    <x v="2"/>
    <x v="25"/>
    <s v="50000446 - Rpg (R$ 36,71)"/>
    <s v="Rpg"/>
    <n v="1711598472"/>
    <s v="Finalizado (3/5)"/>
    <n v="29.367999999999999"/>
    <n v="7.3419999999999996"/>
    <n v="36.71"/>
    <s v="Sessão a Faturar"/>
    <n v="772901027731010"/>
    <n v="47393"/>
    <s v="Unidade Vieiralves"/>
    <n v="1711598472"/>
    <m/>
  </r>
  <r>
    <x v="9"/>
    <x v="6"/>
    <s v="Nádia Margareth Souza Soares"/>
    <s v="Feminino"/>
    <x v="8"/>
    <x v="25"/>
    <s v="50000446 - Reeducação Postural Global (R$ 36,71)"/>
    <s v="Rpg"/>
    <n v="1718262182"/>
    <s v="Finalizado (1/5)"/>
    <n v="29.367999999999999"/>
    <n v="7.3419999999999996"/>
    <n v="36.71"/>
    <s v="Sessão a Faturar"/>
    <n v="954600005924010"/>
    <n v="56316"/>
    <s v="Unidade Vieiralves"/>
    <n v="1718262182"/>
    <m/>
  </r>
  <r>
    <x v="9"/>
    <x v="15"/>
    <s v="Mcluhan Teixeira Grijo"/>
    <s v="Masculino"/>
    <x v="5"/>
    <x v="25"/>
    <s v="50000446 - Rpg - 04/03/2026 (R$ 52,23)"/>
    <s v="Rpg"/>
    <n v="167647"/>
    <s v="Finalizado (9/10)"/>
    <n v="41.783999999999999"/>
    <n v="10.446"/>
    <n v="52.23"/>
    <s v="Sessão Faturada"/>
    <s v="0101072415000314"/>
    <n v="51264"/>
    <s v="Unidade Vieiralves"/>
    <n v="167647"/>
    <m/>
  </r>
  <r>
    <x v="9"/>
    <x v="17"/>
    <s v="Kellen Regina Pereira da Silva"/>
    <s v="Feminino"/>
    <x v="2"/>
    <x v="25"/>
    <s v="50000446 - Rpg (R$ 36,71)"/>
    <s v="Rpg"/>
    <n v="1718282865"/>
    <s v="Finalizado (1/5)"/>
    <n v="29.367999999999999"/>
    <n v="7.3419999999999996"/>
    <n v="36.71"/>
    <s v="Sessão a Faturar"/>
    <n v="890729700027020"/>
    <n v="59263"/>
    <s v="Unidade Vieiralves"/>
    <n v="1718282865"/>
    <m/>
  </r>
  <r>
    <x v="9"/>
    <x v="17"/>
    <s v="Alessandra Silveira Rocha"/>
    <s v="Feminino"/>
    <x v="2"/>
    <x v="25"/>
    <s v="50000446 - Rpg (R$ 36,71)"/>
    <s v="Rpg"/>
    <n v="1714203762"/>
    <s v="Finalizado (4/5)"/>
    <n v="29.367999999999999"/>
    <n v="7.3419999999999996"/>
    <n v="36.71"/>
    <s v="Sessão a Faturar"/>
    <n v="774063023809020"/>
    <n v="58966"/>
    <s v="Unidade Vieiralves"/>
    <n v="1714203762"/>
    <m/>
  </r>
  <r>
    <x v="9"/>
    <x v="8"/>
    <s v="Samuel Cunha de Oliveira"/>
    <m/>
    <x v="2"/>
    <x v="25"/>
    <s v="50000446 - Rpg (R$ 36,71)"/>
    <s v="Rpg"/>
    <n v="1715248589"/>
    <s v="Finalizado (3/5)"/>
    <n v="29.367999999999999"/>
    <n v="7.3419999999999996"/>
    <n v="36.71"/>
    <s v="Sessão a Faturar"/>
    <n v="837047000191010"/>
    <n v="59496"/>
    <s v="Unidade Vieiralves"/>
    <n v="1715248589"/>
    <m/>
  </r>
  <r>
    <x v="9"/>
    <x v="8"/>
    <s v="Andreza da Costa Paes"/>
    <s v="Feminino"/>
    <x v="2"/>
    <x v="25"/>
    <s v="50000446 - Rpg (R$ 36,71)"/>
    <s v="Rpg"/>
    <n v="1718278142"/>
    <s v="Finalizado (1/5)"/>
    <n v="29.367999999999999"/>
    <n v="7.3419999999999996"/>
    <n v="36.71"/>
    <s v="Sessão a Faturar"/>
    <n v="837047000191020"/>
    <n v="59619"/>
    <s v="Unidade Vieiralves"/>
    <n v="1718278142"/>
    <m/>
  </r>
  <r>
    <x v="9"/>
    <x v="10"/>
    <s v="Luiza Silvestre da Silva"/>
    <s v="Feminino"/>
    <x v="2"/>
    <x v="25"/>
    <s v="50000446 - Rpg (R$ 36,71)"/>
    <s v="Rpg"/>
    <n v="1718283323"/>
    <s v="Finalizado (1/5)"/>
    <n v="29.367999999999999"/>
    <n v="7.3419999999999996"/>
    <n v="36.71"/>
    <s v="Sessão a Faturar"/>
    <n v="770179021261010"/>
    <n v="11820"/>
    <s v="Unidade Vieiralves"/>
    <n v="1718283323"/>
    <m/>
  </r>
  <r>
    <x v="9"/>
    <x v="11"/>
    <s v="Luiza Silvestre da Silva"/>
    <s v="Feminino"/>
    <x v="2"/>
    <x v="25"/>
    <s v="50000144 - Avaliação de Fisioterapia (R$ 51,42)"/>
    <s v="Rpg"/>
    <n v="1718283764"/>
    <s v="Finalizado (1/1)"/>
    <n v="46.277999999999999"/>
    <n v="5.1420000000000003"/>
    <n v="51.42"/>
    <s v="Sessão Faturada"/>
    <n v="770179021261010"/>
    <n v="11820"/>
    <s v="Unidade Vieiralves"/>
    <n v="1718283764"/>
    <m/>
  </r>
  <r>
    <x v="9"/>
    <x v="12"/>
    <s v="Paulo Nonato  Aviz Dias"/>
    <s v="Masculino"/>
    <x v="2"/>
    <x v="25"/>
    <s v="50000446 - Rpg (R$ 36,71)"/>
    <s v="Rpg"/>
    <n v="1710778983"/>
    <s v="Finalizado (4/5)"/>
    <n v="29.367999999999999"/>
    <n v="7.3419999999999996"/>
    <n v="36.71"/>
    <s v="Sessão Faturada"/>
    <n v="960016515126020"/>
    <n v="59476"/>
    <s v="Unidade Vieiralves"/>
    <n v="1710778983"/>
    <m/>
  </r>
  <r>
    <x v="9"/>
    <x v="12"/>
    <s v="Bruna Kerolaine Praia Neves"/>
    <s v="Feminino"/>
    <x v="2"/>
    <x v="25"/>
    <s v="50000446 - Rpg (R$ 36,71)"/>
    <s v="Rpg"/>
    <n v="1715276185"/>
    <s v="Finalizado (3/5)"/>
    <n v="29.367999999999999"/>
    <n v="7.3419999999999996"/>
    <n v="36.71"/>
    <s v="Sessão a Faturar"/>
    <n v="833941000264010"/>
    <n v="51300"/>
    <s v="Unidade Vieiralves"/>
    <n v="1715276185"/>
    <m/>
  </r>
  <r>
    <x v="9"/>
    <x v="20"/>
    <s v="Kesia Rachel Martins Jathay"/>
    <s v="Feminino"/>
    <x v="2"/>
    <x v="25"/>
    <s v="50000446 - Rpg (R$ 36,71)"/>
    <s v="Rpg"/>
    <n v="1711097710"/>
    <s v="Finalizado (5/5)"/>
    <n v="29.367999999999999"/>
    <n v="7.3419999999999996"/>
    <n v="36.71"/>
    <s v="Sessão Faturada"/>
    <n v="894937200736000"/>
    <n v="53553"/>
    <s v="Unidade Vieiralves"/>
    <n v="1711097710"/>
    <m/>
  </r>
  <r>
    <x v="9"/>
    <x v="28"/>
    <s v="Abias Santos Silva"/>
    <s v="Masculino"/>
    <x v="15"/>
    <x v="25"/>
    <s v="50000446 - Rpg (R$ 49,94)"/>
    <s v="Rpg"/>
    <n v="240083206"/>
    <s v="Finalizado (1/1)"/>
    <n v="39.951999999999998"/>
    <n v="9.9879999999999995"/>
    <n v="49.94"/>
    <s v="Sessão a Faturar"/>
    <s v="013641630001001"/>
    <n v="59781"/>
    <s v="Unidade Vieiralves"/>
    <n v="240083206"/>
    <m/>
  </r>
  <r>
    <x v="9"/>
    <x v="28"/>
    <s v="Fernando da Silva Passos"/>
    <s v="Masculino"/>
    <x v="2"/>
    <x v="25"/>
    <s v="50000446 - Rpg (R$ 36,71)"/>
    <s v="Rpg"/>
    <n v="1716278500"/>
    <s v="Finalizado (3/5)"/>
    <n v="29.367999999999999"/>
    <n v="7.3419999999999996"/>
    <n v="36.71"/>
    <s v="Sessão a Faturar"/>
    <n v="894245300060000"/>
    <n v="55116"/>
    <s v="Unidade Vieiralves"/>
    <n v="1716278500"/>
    <m/>
  </r>
  <r>
    <x v="10"/>
    <x v="0"/>
    <s v="Cristiane Gomes Barcelar Gonçalves"/>
    <s v="Feminino"/>
    <x v="0"/>
    <x v="25"/>
    <s v="50000446 - Rpg (R$ 62,75)"/>
    <s v="Rpg"/>
    <s v="42263120260311456299"/>
    <s v="Finalizado (10/10)"/>
    <n v="50.2"/>
    <n v="12.55"/>
    <n v="62.75"/>
    <s v="Sessão a Faturar"/>
    <s v="010033652753"/>
    <n v="27217"/>
    <s v="Unidade Vieiralves"/>
    <s v="42263120260311456299"/>
    <m/>
  </r>
  <r>
    <x v="10"/>
    <x v="0"/>
    <s v="Mychelle Karolynne Moura Souza"/>
    <s v="Feminino"/>
    <x v="2"/>
    <x v="25"/>
    <s v="50000446 - Rpg (R$ 36,71)"/>
    <s v="Rpg"/>
    <n v="1713510747"/>
    <s v="Finalizado (5/5)"/>
    <n v="29.367999999999999"/>
    <n v="7.3419999999999996"/>
    <n v="36.71"/>
    <s v="Sessão Faturada"/>
    <n v="775216011533020"/>
    <n v="59649"/>
    <s v="Unidade Vieiralves"/>
    <n v="1713510747"/>
    <m/>
  </r>
  <r>
    <x v="10"/>
    <x v="2"/>
    <s v="Davi Ferreira Gadelha"/>
    <s v="Masculino"/>
    <x v="2"/>
    <x v="25"/>
    <s v="50000446 - Rpg (R$ 36,71)"/>
    <s v="Rpg"/>
    <n v="1711543271"/>
    <s v="Finalizado (4/5)"/>
    <n v="29.367999999999999"/>
    <n v="7.3419999999999996"/>
    <n v="36.71"/>
    <s v="Sessão a Faturar"/>
    <n v="896128600019030"/>
    <n v="51103"/>
    <s v="Unidade Vieiralves"/>
    <n v="1711543271"/>
    <m/>
  </r>
  <r>
    <x v="10"/>
    <x v="2"/>
    <s v="Elcilene Pinheiro Ferreira Gadelha"/>
    <s v="Feminino"/>
    <x v="2"/>
    <x v="25"/>
    <s v="50000446 - Rpg (R$ 36,71)"/>
    <s v="Rpg"/>
    <n v="1711541524"/>
    <s v="Finalizado (4/5)"/>
    <n v="29.367999999999999"/>
    <n v="7.3419999999999996"/>
    <n v="36.71"/>
    <s v="Sessão a Faturar"/>
    <n v="896128600019000"/>
    <n v="51111"/>
    <s v="Unidade Vieiralves"/>
    <n v="1711541524"/>
    <m/>
  </r>
  <r>
    <x v="10"/>
    <x v="4"/>
    <s v="Rosalinda Pereira Brito"/>
    <s v="Feminino"/>
    <x v="2"/>
    <x v="25"/>
    <s v="50000446 - Rpg (R$ 36,71)"/>
    <s v="Rpg"/>
    <n v="1714639856"/>
    <s v="Finalizado (5/5)"/>
    <n v="29.367999999999999"/>
    <n v="7.3419999999999996"/>
    <n v="36.71"/>
    <s v="Sessão Faturada"/>
    <s v="010544100907015"/>
    <n v="13886"/>
    <s v="Unidade Vieiralves"/>
    <n v="1714639856"/>
    <m/>
  </r>
  <r>
    <x v="10"/>
    <x v="4"/>
    <s v="Wanessa Ferreira Saraiva Oliveira"/>
    <s v="Feminino"/>
    <x v="7"/>
    <x v="25"/>
    <s v="Part Convenio - 2 - Rpg - Pacote (R$ 55,00)"/>
    <s v="Rpg"/>
    <m/>
    <s v="Finalizado (2/10)"/>
    <n v="41.25"/>
    <n v="13.75"/>
    <n v="55"/>
    <s v="No Prazo"/>
    <n v="610900110003020"/>
    <n v="8227"/>
    <s v="Unidade Vieiralves"/>
    <m/>
    <m/>
  </r>
  <r>
    <x v="10"/>
    <x v="13"/>
    <s v="Miranir da Silva Oliveira"/>
    <s v="Feminino"/>
    <x v="5"/>
    <x v="25"/>
    <s v="50000446 - Rpg - 04/03/2026 (R$ 52,23)"/>
    <s v="Rpg"/>
    <n v="167755"/>
    <s v="Não compareceu (9/10)"/>
    <n v="52.23"/>
    <n v="0"/>
    <n v="52.23"/>
    <s v="Sessão a Faturar"/>
    <s v="0101353960010135"/>
    <n v="57596"/>
    <s v="Unidade Vieiralves"/>
    <n v="167755"/>
    <m/>
  </r>
  <r>
    <x v="10"/>
    <x v="13"/>
    <s v="Willyan Dyeno Silva de Oliveira dos Santos"/>
    <s v="Masculino"/>
    <x v="7"/>
    <x v="25"/>
    <s v="Part Convenio - 2 - Rpg - Pacote (R$ 55,00)"/>
    <s v="Rpg"/>
    <n v="172428"/>
    <s v="Finalizado (4/10)"/>
    <n v="41.25"/>
    <n v="13.75"/>
    <n v="55"/>
    <s v="No Prazo"/>
    <n v="610360710015010"/>
    <n v="59641"/>
    <s v="Unidade Vieiralves"/>
    <n v="172428"/>
    <m/>
  </r>
  <r>
    <x v="10"/>
    <x v="6"/>
    <s v="Joao Guilherme Brandao Castelo Branco"/>
    <s v="Masculino"/>
    <x v="2"/>
    <x v="25"/>
    <s v="50000446 - Rpg (R$ 36,71)"/>
    <s v="Rpg"/>
    <n v="1719138024"/>
    <s v="Finalizado (1/5)"/>
    <n v="29.367999999999999"/>
    <n v="7.3419999999999996"/>
    <n v="36.71"/>
    <s v="Sessão a Faturar"/>
    <n v="772299077860020"/>
    <n v="59616"/>
    <s v="Unidade Vieiralves"/>
    <n v="1719138024"/>
    <m/>
  </r>
  <r>
    <x v="10"/>
    <x v="6"/>
    <s v="Alessandra Silveira Rocha"/>
    <s v="Feminino"/>
    <x v="2"/>
    <x v="25"/>
    <s v="50000446 - Rpg (R$ 36,71)"/>
    <s v="Rpg"/>
    <n v="1714203762"/>
    <s v="Finalizado (5/5)"/>
    <n v="29.367999999999999"/>
    <n v="7.3419999999999996"/>
    <n v="36.71"/>
    <s v="Sessão a Faturar"/>
    <n v="774063023809020"/>
    <n v="58966"/>
    <s v="Unidade Vieiralves"/>
    <n v="1714203762"/>
    <m/>
  </r>
  <r>
    <x v="10"/>
    <x v="15"/>
    <s v="Fernanda Santos Fachinello"/>
    <s v="Feminino"/>
    <x v="7"/>
    <x v="25"/>
    <s v="Vieiralves - 19 - Rpg - Pacote (R$ 50,00)"/>
    <s v="Rpg"/>
    <s v="00"/>
    <s v="Finalizado (7/10)"/>
    <n v="37.5"/>
    <n v="12.5"/>
    <n v="50"/>
    <s v="Pago"/>
    <n v="1301014095850300"/>
    <n v="21927"/>
    <s v="Unidade Vieiralves"/>
    <s v="00"/>
    <m/>
  </r>
  <r>
    <x v="10"/>
    <x v="15"/>
    <s v="Etelma Regina da Silva Paiva"/>
    <s v="Feminino"/>
    <x v="0"/>
    <x v="25"/>
    <s v="50000446 - Rpg (R$ 62,75)"/>
    <s v="Rpg"/>
    <s v="42263120260401612028"/>
    <s v="Finalizado (1/10)"/>
    <n v="50.2"/>
    <n v="12.55"/>
    <n v="62.75"/>
    <s v="Sessão a Faturar"/>
    <s v="010033645953"/>
    <n v="29462"/>
    <s v="Unidade Vieiralves"/>
    <s v="42263120260401612028"/>
    <m/>
  </r>
  <r>
    <x v="10"/>
    <x v="8"/>
    <s v="Francisco Lima da Silva"/>
    <s v="Masculino"/>
    <x v="2"/>
    <x v="25"/>
    <s v="50000446 - Rpg (R$ 36,71)"/>
    <s v="Rpg"/>
    <n v="1711063521"/>
    <s v="Finalizado (4/5)"/>
    <n v="29.367999999999999"/>
    <n v="7.3419999999999996"/>
    <n v="36.71"/>
    <s v="Sessão a Faturar"/>
    <n v="774981007706010"/>
    <n v="52427"/>
    <s v="Unidade Vieiralves"/>
    <n v="1711063521"/>
    <m/>
  </r>
  <r>
    <x v="10"/>
    <x v="10"/>
    <s v="Paulo Nonato  Aviz Dias"/>
    <s v="Masculino"/>
    <x v="2"/>
    <x v="25"/>
    <s v="50000446 - Rpg (R$ 36,71)"/>
    <s v="Rpg"/>
    <n v="1710778983"/>
    <s v="Finalizado (5/5)"/>
    <n v="29.367999999999999"/>
    <n v="7.3419999999999996"/>
    <n v="36.71"/>
    <s v="Sessão Faturada"/>
    <n v="960016515126020"/>
    <n v="59476"/>
    <s v="Unidade Vieiralves"/>
    <n v="1710778983"/>
    <m/>
  </r>
  <r>
    <x v="10"/>
    <x v="12"/>
    <s v="Kamila Nayara dos Anjos Cruz"/>
    <s v="Feminino"/>
    <x v="2"/>
    <x v="25"/>
    <s v="50000446 - Rpg (R$ 36,71)"/>
    <s v="Rpg"/>
    <n v="1713006954"/>
    <s v="Finalizado (5/5)"/>
    <n v="29.367999999999999"/>
    <n v="7.3419999999999996"/>
    <n v="36.71"/>
    <s v="Sessão a Faturar"/>
    <n v="960016968538010"/>
    <n v="58063"/>
    <s v="Unidade Vieiralves"/>
    <n v="1713006954"/>
    <m/>
  </r>
  <r>
    <x v="10"/>
    <x v="20"/>
    <s v="Suanni Lemos de Andrade"/>
    <s v="Feminino"/>
    <x v="2"/>
    <x v="25"/>
    <s v="50000446 - Rpg (R$ 36,71)"/>
    <s v="Rpg"/>
    <n v="1715276718"/>
    <s v="Finalizado (3/5)"/>
    <n v="29.367999999999999"/>
    <n v="7.3419999999999996"/>
    <n v="36.71"/>
    <s v="Sessão a Faturar"/>
    <n v="952650063291000"/>
    <n v="17717"/>
    <s v="Unidade Vieiralves"/>
    <n v="1715276718"/>
    <m/>
  </r>
  <r>
    <x v="10"/>
    <x v="20"/>
    <s v="Marcia Maria de Souza Miranda"/>
    <s v="Feminino"/>
    <x v="2"/>
    <x v="25"/>
    <s v="50000446 - Rpg (R$ 36,71)"/>
    <s v="Rpg"/>
    <n v="1718471935"/>
    <s v="Finalizado (2/5)"/>
    <n v="29.367999999999999"/>
    <n v="7.3419999999999996"/>
    <n v="36.71"/>
    <s v="Sessão a Faturar"/>
    <n v="884774402038000"/>
    <n v="59779"/>
    <s v="Unidade Vieiralves"/>
    <n v="1718471935"/>
    <m/>
  </r>
  <r>
    <x v="10"/>
    <x v="28"/>
    <s v="Mcluhan Teixeira Grijo"/>
    <s v="Masculino"/>
    <x v="5"/>
    <x v="25"/>
    <s v="50000446 - Rpg - 04/03/2026 (R$ 52,23)"/>
    <s v="Rpg"/>
    <n v="167647"/>
    <s v="Finalizado (10/10)"/>
    <n v="41.783999999999999"/>
    <n v="10.446"/>
    <n v="52.23"/>
    <s v="Sessão Faturada"/>
    <s v="0101072415000314"/>
    <n v="51264"/>
    <s v="Unidade Vieiralves"/>
    <n v="167647"/>
    <m/>
  </r>
  <r>
    <x v="11"/>
    <x v="0"/>
    <s v="Mychelle Karolynne Moura Souza"/>
    <s v="Feminino"/>
    <x v="2"/>
    <x v="25"/>
    <s v="50000446 - Rpg (R$ 36,71)"/>
    <s v="Rpg"/>
    <n v="1719581398"/>
    <s v="Finalizado (1/5)"/>
    <n v="29.367999999999999"/>
    <n v="7.3419999999999996"/>
    <n v="36.71"/>
    <s v="Sessão a Faturar"/>
    <n v="775216011533020"/>
    <n v="59649"/>
    <s v="Unidade Vieiralves"/>
    <n v="1719581398"/>
    <m/>
  </r>
  <r>
    <x v="11"/>
    <x v="0"/>
    <s v="Gilma do Socorro Ferreira de Paiva"/>
    <s v="Feminino"/>
    <x v="7"/>
    <x v="25"/>
    <s v="Vieiralves - 19 - Rpg - Pacote (R$ 50,00)"/>
    <s v="Rpg"/>
    <n v="167292"/>
    <s v="Finalizado (10/10)"/>
    <n v="37.5"/>
    <n v="12.5"/>
    <n v="50"/>
    <s v="Pago"/>
    <s v="0801011513670017"/>
    <n v="56631"/>
    <s v="Unidade Vieiralves"/>
    <n v="167292"/>
    <m/>
  </r>
  <r>
    <x v="11"/>
    <x v="2"/>
    <s v="Franciane de Souza Gomes"/>
    <s v="Feminino"/>
    <x v="2"/>
    <x v="25"/>
    <s v="50000446 - Rpg (R$ 36,71)"/>
    <s v="Rpg"/>
    <n v="1718771194"/>
    <s v="Finalizado (2/5)"/>
    <n v="29.367999999999999"/>
    <n v="7.3419999999999996"/>
    <n v="36.71"/>
    <s v="Sessão a Faturar"/>
    <n v="973700009598000"/>
    <n v="16642"/>
    <s v="Unidade Vieiralves"/>
    <n v="1718771194"/>
    <m/>
  </r>
  <r>
    <x v="11"/>
    <x v="4"/>
    <s v="Wanessa Ferreira Saraiva Oliveira"/>
    <s v="Feminino"/>
    <x v="7"/>
    <x v="25"/>
    <s v="Part Convenio - 2 - Rpg - Pacote (R$ 55,00)"/>
    <s v="Rpg"/>
    <m/>
    <s v="Finalizado (3/10)"/>
    <n v="41.25"/>
    <n v="13.75"/>
    <n v="55"/>
    <s v="No Prazo"/>
    <n v="610900110003020"/>
    <n v="8227"/>
    <s v="Unidade Vieiralves"/>
    <m/>
    <m/>
  </r>
  <r>
    <x v="11"/>
    <x v="13"/>
    <s v="Jordânia Maria Napoliao Cabo de Vasconcelos"/>
    <m/>
    <x v="2"/>
    <x v="25"/>
    <s v="50000446 - Rpg (R$ 36,71)"/>
    <s v="Rpg"/>
    <n v="1717725689"/>
    <s v="Finalizado (2/5)"/>
    <n v="29.367999999999999"/>
    <n v="7.3419999999999996"/>
    <n v="36.71"/>
    <s v="Sessão a Faturar"/>
    <n v="890729700019010"/>
    <n v="59678"/>
    <s v="Unidade Vieiralves"/>
    <n v="1717725689"/>
    <m/>
  </r>
  <r>
    <x v="11"/>
    <x v="13"/>
    <s v="Maria Fernanda Kikuda Rodrigues"/>
    <s v="Feminino"/>
    <x v="22"/>
    <x v="25"/>
    <s v="00000000 - Rpg (R$ 0,00)"/>
    <s v="Rpg"/>
    <m/>
    <s v="Finalizado (1/1)"/>
    <n v="0"/>
    <n v="0"/>
    <n v="0"/>
    <s v="Sessão a Faturar"/>
    <n v="811999800027030"/>
    <n v="78"/>
    <s v="Unidade Vieiralves"/>
    <m/>
    <m/>
  </r>
  <r>
    <x v="11"/>
    <x v="6"/>
    <s v="Charllys Andrade"/>
    <s v="Masculino"/>
    <x v="22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x v="11"/>
    <x v="15"/>
    <s v="Frank Marlon Ferreira de Naja"/>
    <s v="Masculino"/>
    <x v="2"/>
    <x v="25"/>
    <s v="50000446 - Rpg (R$ 36,71)"/>
    <s v="Rpg"/>
    <n v="1716763813"/>
    <s v="Finalizado (3/5)"/>
    <n v="29.367999999999999"/>
    <n v="7.3419999999999996"/>
    <n v="36.71"/>
    <s v="Sessão a Faturar"/>
    <n v="774831002933000"/>
    <n v="59749"/>
    <s v="Unidade Vieiralves"/>
    <n v="1716763813"/>
    <m/>
  </r>
  <r>
    <x v="11"/>
    <x v="17"/>
    <s v="Izabelly Beatriz Costa de Oliveira"/>
    <s v="Feminino"/>
    <x v="8"/>
    <x v="25"/>
    <s v="50000446 - Reeducação Postural Global (R$ 36,71)"/>
    <s v="Rpg"/>
    <n v="1717793217"/>
    <s v="Finalizado (2/5)"/>
    <n v="29.367999999999999"/>
    <n v="7.3419999999999996"/>
    <n v="36.71"/>
    <s v="Sessão a Faturar"/>
    <n v="954600015326010"/>
    <n v="56994"/>
    <s v="Unidade Vieiralves"/>
    <n v="1717793217"/>
    <m/>
  </r>
  <r>
    <x v="11"/>
    <x v="8"/>
    <s v="Luciana Levinthal da Silva"/>
    <s v="Feminino"/>
    <x v="11"/>
    <x v="25"/>
    <s v="90001001 - Rpg (R$ 65,10)"/>
    <s v="Rpg"/>
    <n v="3606"/>
    <s v="Finalizado (5/10)"/>
    <n v="52.08"/>
    <n v="13.02"/>
    <n v="65.099999999999994"/>
    <s v="Sessão a Faturar"/>
    <s v="01685-F-1"/>
    <n v="59646"/>
    <s v="Unidade Vieiralves"/>
    <n v="3606"/>
    <m/>
  </r>
  <r>
    <x v="11"/>
    <x v="8"/>
    <s v="Cizia Freitas de Silva Costa"/>
    <s v="Feminino"/>
    <x v="2"/>
    <x v="25"/>
    <s v="50000446 - Rpg (R$ 36,71)"/>
    <s v="Rpg"/>
    <n v="1709234258"/>
    <s v="Finalizado (5/5)"/>
    <n v="29.367999999999999"/>
    <n v="7.3419999999999996"/>
    <n v="36.71"/>
    <s v="Sessão a Faturar"/>
    <n v="960016147089050"/>
    <n v="46973"/>
    <s v="Unidade Vieiralves"/>
    <n v="1709234258"/>
    <m/>
  </r>
  <r>
    <x v="11"/>
    <x v="12"/>
    <s v="Kamila Nayara dos Anjos Cruz"/>
    <s v="Feminino"/>
    <x v="2"/>
    <x v="25"/>
    <s v="50000446 - Rpg (R$ 36,71)"/>
    <s v="Rpg"/>
    <n v="1719712825"/>
    <s v="Finalizado (1/5)"/>
    <n v="29.367999999999999"/>
    <n v="7.3419999999999996"/>
    <n v="36.71"/>
    <s v="Sessão a Faturar"/>
    <n v="960016968538010"/>
    <n v="58063"/>
    <s v="Unidade Vieiralves"/>
    <n v="1719712825"/>
    <m/>
  </r>
  <r>
    <x v="11"/>
    <x v="12"/>
    <s v="Paulo Nonato  Aviz Dias"/>
    <s v="Masculino"/>
    <x v="2"/>
    <x v="25"/>
    <s v="50000446 - Rpg (R$ 36,71)"/>
    <s v="Rpg"/>
    <n v="1719696531"/>
    <s v="Finalizado (1/5)"/>
    <n v="29.367999999999999"/>
    <n v="7.3419999999999996"/>
    <n v="36.71"/>
    <s v="Sessão a Faturar"/>
    <n v="960016515126020"/>
    <n v="59476"/>
    <s v="Unidade Vieiralves"/>
    <n v="1719696531"/>
    <m/>
  </r>
  <r>
    <x v="11"/>
    <x v="20"/>
    <s v="Joyce Sales de Sousa Guedes"/>
    <s v="Feminino"/>
    <x v="2"/>
    <x v="25"/>
    <s v="50000446 - Rpg (R$ 36,71)"/>
    <s v="Rpg"/>
    <n v="1714769926"/>
    <s v="Finalizado (4/5)"/>
    <n v="29.367999999999999"/>
    <n v="7.3419999999999996"/>
    <n v="36.71"/>
    <s v="Sessão a Faturar"/>
    <n v="960019317525010"/>
    <n v="59107"/>
    <s v="Unidade Vieiralves"/>
    <n v="1714769926"/>
    <m/>
  </r>
  <r>
    <x v="11"/>
    <x v="20"/>
    <s v="Gina Ramos Pinheiro Honda"/>
    <s v="Feminino"/>
    <x v="10"/>
    <x v="25"/>
    <s v="50000446 - Rpg (R$ 29,84)"/>
    <s v="Rpg"/>
    <n v="23001497"/>
    <s v="Finalizado (2/10)"/>
    <n v="23.872"/>
    <n v="5.968"/>
    <n v="29.84"/>
    <s v="Sessão a Faturar"/>
    <s v="00010064268880001"/>
    <n v="55208"/>
    <s v="Unidade Vieiralves"/>
    <n v="23001497"/>
    <m/>
  </r>
  <r>
    <x v="11"/>
    <x v="28"/>
    <s v="Kaíny Medeiros Maciel"/>
    <s v="Feminino"/>
    <x v="2"/>
    <x v="25"/>
    <s v="50000446 - Rpg (R$ 36,71)"/>
    <s v="Rpg"/>
    <n v="1718494746"/>
    <s v="Finalizado (2/5)"/>
    <n v="29.367999999999999"/>
    <n v="7.3419999999999996"/>
    <n v="36.71"/>
    <s v="Sessão a Faturar"/>
    <n v="774642015580010"/>
    <n v="59326"/>
    <s v="Unidade Vieiralves"/>
    <n v="1718494746"/>
    <m/>
  </r>
  <r>
    <x v="11"/>
    <x v="28"/>
    <s v="Ananda Priscila Gomes Fernandes"/>
    <s v="Feminino"/>
    <x v="2"/>
    <x v="25"/>
    <s v="50000446 - Rpg (R$ 36,71)"/>
    <s v="Rpg"/>
    <n v="1719697733"/>
    <s v="Finalizado (1/5)"/>
    <n v="29.367999999999999"/>
    <n v="7.3419999999999996"/>
    <n v="36.71"/>
    <s v="Sessão a Faturar"/>
    <n v="770179019054020"/>
    <n v="49838"/>
    <s v="Unidade Vieiralves"/>
    <n v="1719697733"/>
    <m/>
  </r>
  <r>
    <x v="12"/>
    <x v="40"/>
    <s v="Patrícia Kelly Vaz de Oliveira"/>
    <s v="Feminino"/>
    <x v="31"/>
    <x v="26"/>
    <s v="31601014 - Acupuntura (R$ 54,56)"/>
    <s v="Acupuntura"/>
    <n v="1702639230"/>
    <s v="Finalizado (3/5)"/>
    <n v="45.830399999999997"/>
    <n v="8.7295999999999996"/>
    <n v="54.56"/>
    <s v="Sessão Faturada"/>
    <n v="774634040606020"/>
    <n v="57788"/>
    <s v="Unidade Sao Jose"/>
    <n v="1702639230"/>
    <m/>
  </r>
  <r>
    <x v="12"/>
    <x v="39"/>
    <s v="Dilson Pereira Dourado"/>
    <m/>
    <x v="31"/>
    <x v="26"/>
    <s v="31601014 - Acupuntura (R$ 54,56)"/>
    <s v="Acupuntura"/>
    <n v="1705672983"/>
    <s v="Finalizado (1/5)"/>
    <n v="45.830399999999997"/>
    <n v="8.7295999999999996"/>
    <n v="54.56"/>
    <s v="Sessão Faturada"/>
    <n v="898081400019000"/>
    <n v="54845"/>
    <s v="Unidade Sao Jose"/>
    <n v="1705672983"/>
    <m/>
  </r>
  <r>
    <x v="12"/>
    <x v="2"/>
    <s v="Ana Clara do Nascimento Monteiro"/>
    <s v="Feminino"/>
    <x v="31"/>
    <x v="26"/>
    <s v="31601014 - Acupuntura (R$ 54,56)"/>
    <s v="Acupuntura"/>
    <n v="1705849845"/>
    <s v="Finalizado (1/2)"/>
    <n v="45.830399999999997"/>
    <n v="8.7295999999999996"/>
    <n v="54.56"/>
    <s v="Sessão Faturada"/>
    <n v="774078001791030"/>
    <n v="59309"/>
    <s v="Unidade Sao Jose"/>
    <n v="1705849845"/>
    <m/>
  </r>
  <r>
    <x v="12"/>
    <x v="4"/>
    <s v="Maria Francisca da Silva Carvalho"/>
    <s v="Feminino"/>
    <x v="7"/>
    <x v="26"/>
    <s v="Sao José - 7 - Acupuntura - Pacote (R$ 40,00)"/>
    <s v="Acupuntura"/>
    <n v="168518"/>
    <s v="Finalizado (3/5)"/>
    <n v="30"/>
    <n v="10"/>
    <n v="40"/>
    <s v="Pago"/>
    <n v="58726"/>
    <n v="58726"/>
    <s v="Unidade Sao Jose"/>
    <n v="168518"/>
    <m/>
  </r>
  <r>
    <x v="12"/>
    <x v="4"/>
    <s v="Jean da Silva Melo"/>
    <s v="Masculino"/>
    <x v="9"/>
    <x v="26"/>
    <s v="31601014 - Acupuntura (R$ 54,56)"/>
    <s v="Acupuntura"/>
    <n v="1705877043"/>
    <s v="Finalizado (2/5)"/>
    <n v="45.830399999999997"/>
    <n v="8.7295999999999996"/>
    <n v="54.56"/>
    <s v="Sessão Faturada"/>
    <n v="954600003042000"/>
    <n v="29915"/>
    <s v="Unidade Sao Jose"/>
    <n v="1705877043"/>
    <m/>
  </r>
  <r>
    <x v="12"/>
    <x v="13"/>
    <s v="Milza Santos"/>
    <s v="Feminino"/>
    <x v="32"/>
    <x v="26"/>
    <s v="31601014 - Acupuntura (R$ 54,56)"/>
    <s v="Acupuntura"/>
    <n v="1698138214"/>
    <s v="Finalizado (5/5)"/>
    <n v="45.830399999999997"/>
    <n v="8.7295999999999996"/>
    <n v="54.56"/>
    <s v="Sessão Faturada"/>
    <n v="954600000493010"/>
    <n v="41659"/>
    <s v="Unidade Sao Jose"/>
    <n v="1698138214"/>
    <m/>
  </r>
  <r>
    <x v="12"/>
    <x v="13"/>
    <s v="Beatriz de Souza Figueiredo"/>
    <s v="Feminino"/>
    <x v="9"/>
    <x v="26"/>
    <s v="31601014 - Acupuntura (R$ 54,56)"/>
    <s v="Acupuntura"/>
    <n v="1705886026"/>
    <s v="Finalizado (1/2)"/>
    <n v="45.830399999999997"/>
    <n v="8.7295999999999996"/>
    <n v="54.56"/>
    <s v="Sessão Faturada"/>
    <n v="954440004065020"/>
    <n v="57037"/>
    <s v="Unidade Sao Jose"/>
    <n v="1705886026"/>
    <m/>
  </r>
  <r>
    <x v="12"/>
    <x v="6"/>
    <s v="Fernanda Neves Sabugosa"/>
    <s v="Feminino"/>
    <x v="31"/>
    <x v="26"/>
    <s v="31601014 - Acupuntura (R$ 54,56)"/>
    <s v="Acupuntura"/>
    <n v="1705919283"/>
    <s v="Finalizado (1/5)"/>
    <n v="45.830399999999997"/>
    <n v="8.7295999999999996"/>
    <n v="54.56"/>
    <s v="Sessão Faturada"/>
    <n v="771015043370010"/>
    <n v="38199"/>
    <s v="Unidade Sao Jose"/>
    <n v="1705919283"/>
    <m/>
  </r>
  <r>
    <x v="12"/>
    <x v="6"/>
    <s v="Andréa Nadiane Corrêa Rosa"/>
    <s v="Feminino"/>
    <x v="6"/>
    <x v="26"/>
    <s v="31601014 - Acupuntura (R$ 51,33)"/>
    <s v="Acupuntura"/>
    <n v="168397"/>
    <s v="Finalizado (3/4)"/>
    <n v="43.117199999999997"/>
    <n v="8.2127999999999997"/>
    <n v="51.33"/>
    <s v="Sessão Faturada"/>
    <s v="54588888005928480026"/>
    <n v="50931"/>
    <s v="Unidade Sao Jose"/>
    <n v="168397"/>
    <m/>
  </r>
  <r>
    <x v="13"/>
    <x v="41"/>
    <s v="Noraney Gonçalves Costa"/>
    <s v="Feminino"/>
    <x v="7"/>
    <x v="26"/>
    <s v="Sao José - 7 - Acupuntura - Pacote (R$ 40,00)"/>
    <s v="Acupuntura"/>
    <n v="169239"/>
    <s v="Finalizado (5/5)"/>
    <n v="30"/>
    <n v="10"/>
    <n v="40"/>
    <s v="Pago"/>
    <n v="55992"/>
    <n v="55992"/>
    <s v="Unidade Sao Jose"/>
    <n v="169239"/>
    <m/>
  </r>
  <r>
    <x v="13"/>
    <x v="36"/>
    <s v="Patrícia Kelly Vaz de Oliveira"/>
    <s v="Feminino"/>
    <x v="31"/>
    <x v="26"/>
    <s v="31601014 - Acupuntura (R$ 54,56)"/>
    <s v="Acupuntura"/>
    <n v="1702639230"/>
    <s v="Finalizado (4/5)"/>
    <n v="45.830399999999997"/>
    <n v="8.7295999999999996"/>
    <n v="54.56"/>
    <s v="Sessão Faturada"/>
    <n v="774634040606020"/>
    <n v="57788"/>
    <s v="Unidade Sao Jose"/>
    <n v="1702639230"/>
    <m/>
  </r>
  <r>
    <x v="13"/>
    <x v="36"/>
    <s v="Tereza da Rocha Vieira"/>
    <s v="Feminino"/>
    <x v="10"/>
    <x v="26"/>
    <s v="31601014 - Acupuntura Por Sessão (R$ 25,00)"/>
    <s v="Acupuntura"/>
    <n v="6239002"/>
    <s v="Finalizado (9/10)"/>
    <n v="21"/>
    <n v="4"/>
    <n v="25"/>
    <s v="Sessão Faturada"/>
    <s v="00010001253014045"/>
    <n v="52943"/>
    <s v="Unidade Sao Jose"/>
    <n v="6239002"/>
    <m/>
  </r>
  <r>
    <x v="13"/>
    <x v="40"/>
    <s v="Rafael Tavares Serrão"/>
    <s v="Masculino"/>
    <x v="7"/>
    <x v="26"/>
    <s v="Sao José - 7 - Acupuntura - Pacote (R$ 40,00)"/>
    <s v="Acupuntura"/>
    <n v="170259"/>
    <s v="Finalizado (1/5)"/>
    <n v="30"/>
    <n v="10"/>
    <n v="40"/>
    <s v="Pago"/>
    <n v="59504"/>
    <n v="59504"/>
    <s v="Unidade Sao Jose"/>
    <n v="170259"/>
    <m/>
  </r>
  <r>
    <x v="13"/>
    <x v="35"/>
    <s v="Dilson Pereira Dourado"/>
    <m/>
    <x v="31"/>
    <x v="26"/>
    <s v="31601014 - Acupuntura (R$ 54,56)"/>
    <s v="Acupuntura"/>
    <n v="1705672983"/>
    <s v="Finalizado (2/5)"/>
    <n v="45.830399999999997"/>
    <n v="8.7295999999999996"/>
    <n v="54.56"/>
    <s v="Sessão Faturada"/>
    <n v="898081400019000"/>
    <n v="54845"/>
    <s v="Unidade Sao Jose"/>
    <n v="1705672983"/>
    <m/>
  </r>
  <r>
    <x v="13"/>
    <x v="38"/>
    <s v="Jean da Silva Melo"/>
    <s v="Masculino"/>
    <x v="9"/>
    <x v="26"/>
    <s v="31601014 - Acupuntura (R$ 54,56)"/>
    <s v="Acupuntura"/>
    <n v="1705877043"/>
    <s v="Finalizado (3/5)"/>
    <n v="45.830399999999997"/>
    <n v="8.7295999999999996"/>
    <n v="54.56"/>
    <s v="Sessão Faturada"/>
    <n v="954600003042000"/>
    <n v="29915"/>
    <s v="Unidade Sao Jose"/>
    <n v="1705877043"/>
    <m/>
  </r>
  <r>
    <x v="13"/>
    <x v="38"/>
    <s v="Elisangela de Araujo Souza"/>
    <s v="Feminino"/>
    <x v="9"/>
    <x v="26"/>
    <s v="31601014 - Acupuntura (R$ 54,56)"/>
    <s v="Acupuntura"/>
    <n v="1701785276"/>
    <s v="Finalizado (4/5)"/>
    <n v="45.830399999999997"/>
    <n v="8.7295999999999996"/>
    <n v="54.56"/>
    <s v="Sessão Faturada"/>
    <n v="954600000884010"/>
    <n v="26307"/>
    <s v="Unidade Sao Jose"/>
    <n v="1701785276"/>
    <m/>
  </r>
  <r>
    <x v="13"/>
    <x v="22"/>
    <s v="Gilmara Barbosa da Silva"/>
    <s v="Feminino"/>
    <x v="6"/>
    <x v="26"/>
    <s v="31601014 - Acupuntura (R$ 51,33)"/>
    <s v="Acupuntura"/>
    <n v="170256"/>
    <s v="Finalizado (1/4)"/>
    <n v="43.117199999999997"/>
    <n v="8.2127999999999997"/>
    <n v="51.33"/>
    <s v="Sessão Faturada"/>
    <s v="56788888481804800011"/>
    <n v="55664"/>
    <s v="Unidade Sao Jose"/>
    <n v="170256"/>
    <m/>
  </r>
  <r>
    <x v="13"/>
    <x v="22"/>
    <s v="Milena Souza de Sant'ana"/>
    <s v="Feminino"/>
    <x v="6"/>
    <x v="26"/>
    <s v="10101012 - Consulta Médica (R$ 121,28)"/>
    <s v="Acupuntura"/>
    <n v="7700047076"/>
    <s v="Finalizado (1/1)"/>
    <n v="121.28"/>
    <n v="0"/>
    <n v="121.28"/>
    <s v="Sessão Faturada"/>
    <s v="56788888477947370012"/>
    <n v="59507"/>
    <s v="Unidade Sao Jose"/>
    <n v="7700047076"/>
    <m/>
  </r>
  <r>
    <x v="13"/>
    <x v="22"/>
    <s v="Milena Souza de Sant'ana"/>
    <s v="Feminino"/>
    <x v="6"/>
    <x v="26"/>
    <s v="31601014 - Acupuntura (R$ 51,33)"/>
    <s v="Acupuntura"/>
    <n v="170308"/>
    <s v="Finalizado (1/4)"/>
    <n v="43.117199999999997"/>
    <n v="8.2127999999999997"/>
    <n v="51.33"/>
    <s v="Sessão Faturada"/>
    <s v="56788888477947370012"/>
    <n v="59507"/>
    <s v="Unidade Sao Jose"/>
    <n v="170308"/>
    <m/>
  </r>
  <r>
    <x v="13"/>
    <x v="22"/>
    <s v="Gilmara Barbosa da Silva"/>
    <s v="Feminino"/>
    <x v="6"/>
    <x v="26"/>
    <s v="10101012 - Consulta Médica (R$ 121,28)"/>
    <s v="Acupuntura"/>
    <n v="7700047077"/>
    <s v="Finalizado (1/1)"/>
    <n v="121.28"/>
    <n v="0"/>
    <n v="121.28"/>
    <s v="Sessão Faturada"/>
    <s v="56788888481804800011"/>
    <n v="55664"/>
    <s v="Unidade Sao Jose"/>
    <n v="7700047077"/>
    <m/>
  </r>
  <r>
    <x v="13"/>
    <x v="4"/>
    <s v="Clicia Nayara Coimbra Soares"/>
    <s v="Feminino"/>
    <x v="4"/>
    <x v="26"/>
    <s v="31601014 - Acupuntura (R$ 54,56)"/>
    <s v="Acupuntura"/>
    <n v="1701931925"/>
    <s v="Finalizado (3/5)"/>
    <n v="45.830399999999997"/>
    <n v="8.7295999999999996"/>
    <n v="54.56"/>
    <s v="Sessão Faturada"/>
    <n v="843486100370000"/>
    <n v="49710"/>
    <s v="Unidade Sao Jose"/>
    <n v="1701931925"/>
    <m/>
  </r>
  <r>
    <x v="13"/>
    <x v="6"/>
    <s v="Ana Cleude Pantoja da Silva"/>
    <s v="Feminino"/>
    <x v="9"/>
    <x v="26"/>
    <s v="31601014 - Acupuntura (R$ 54,56)"/>
    <s v="Acupuntura"/>
    <n v="1706446591"/>
    <s v="Finalizado (1/4)"/>
    <n v="45.830399999999997"/>
    <n v="8.7295999999999996"/>
    <n v="54.56"/>
    <s v="Sessão Faturada"/>
    <n v="954600008567000"/>
    <n v="23678"/>
    <s v="Unidade Sao Jose"/>
    <n v="1706446591"/>
    <m/>
  </r>
  <r>
    <x v="13"/>
    <x v="15"/>
    <s v="Diana Costa Tavares Gonçalves"/>
    <s v="Feminino"/>
    <x v="31"/>
    <x v="26"/>
    <s v="31601014 - Acupuntura (R$ 54,56)"/>
    <s v="Acupuntura"/>
    <n v="116785"/>
    <s v="Finalizado (6/10)"/>
    <n v="45.830399999999997"/>
    <n v="8.7295999999999996"/>
    <n v="54.56"/>
    <s v="Sessão Faturada"/>
    <n v="813227000817000"/>
    <n v="52256"/>
    <s v="Unidade Sao Jose"/>
    <n v="116785"/>
    <m/>
  </r>
  <r>
    <x v="14"/>
    <x v="41"/>
    <s v="Noraney Gonçalves Costa"/>
    <s v="Feminino"/>
    <x v="7"/>
    <x v="26"/>
    <s v="Sao José - 7 - Acupuntura - Pacote (R$ 40,00)"/>
    <s v="Acupuntura"/>
    <n v="170411"/>
    <s v="Finalizado (1/5)"/>
    <n v="30"/>
    <n v="10"/>
    <n v="40"/>
    <s v="Pago"/>
    <n v="55992"/>
    <n v="55992"/>
    <s v="Unidade Sao Jose"/>
    <n v="170411"/>
    <m/>
  </r>
  <r>
    <x v="14"/>
    <x v="41"/>
    <s v="Rafael Tavares Serrão"/>
    <s v="Masculino"/>
    <x v="7"/>
    <x v="26"/>
    <s v="Sao José - 7 - Acupuntura - Pacote (R$ 40,00)"/>
    <s v="Acupuntura"/>
    <n v="170259"/>
    <s v="Finalizado (2/5)"/>
    <n v="30"/>
    <n v="10"/>
    <n v="40"/>
    <s v="Pago"/>
    <n v="59504"/>
    <n v="59504"/>
    <s v="Unidade Sao Jose"/>
    <n v="170259"/>
    <m/>
  </r>
  <r>
    <x v="14"/>
    <x v="35"/>
    <s v="Manoel de Freitas Mendonça Neto"/>
    <s v="Masculino"/>
    <x v="9"/>
    <x v="26"/>
    <s v="31601014 - Acupuntura (R$ 54,56)"/>
    <s v="Acupuntura"/>
    <n v="1699394687"/>
    <s v="Finalizado (4/5)"/>
    <n v="45.830399999999997"/>
    <n v="8.7295999999999996"/>
    <n v="54.56"/>
    <s v="Sessão Faturada"/>
    <n v="954600000256020"/>
    <n v="47993"/>
    <s v="Unidade Sao Jose"/>
    <n v="1699394687"/>
    <m/>
  </r>
  <r>
    <x v="14"/>
    <x v="35"/>
    <s v="Ketlem Kamila Ribeiro dos Santos"/>
    <m/>
    <x v="31"/>
    <x v="26"/>
    <s v="31601014 - Acupuntura (R$ 54,56)"/>
    <s v="Acupuntura"/>
    <n v="1698680178"/>
    <s v="Finalizado (5/5)"/>
    <n v="45.830399999999997"/>
    <n v="8.7295999999999996"/>
    <n v="54.56"/>
    <s v="Sessão Faturada"/>
    <n v="881758800094000"/>
    <n v="52913"/>
    <s v="Unidade Sao Jose"/>
    <n v="1698680178"/>
    <m/>
  </r>
  <r>
    <x v="14"/>
    <x v="35"/>
    <s v="Manuela Soares de Freitas Mendonca"/>
    <s v="Feminino"/>
    <x v="9"/>
    <x v="26"/>
    <s v="31601014 - Acupuntura (R$ 54,56)"/>
    <s v="Acupuntura"/>
    <n v="1699398857"/>
    <s v="Finalizado (4/5)"/>
    <n v="45.830399999999997"/>
    <n v="8.7295999999999996"/>
    <n v="54.56"/>
    <s v="Sessão Faturada"/>
    <n v="954600000256030"/>
    <n v="53656"/>
    <s v="Unidade Sao Jose"/>
    <n v="1699398857"/>
    <m/>
  </r>
  <r>
    <x v="14"/>
    <x v="35"/>
    <s v="Simone Soares Franco"/>
    <s v="Feminino"/>
    <x v="9"/>
    <x v="26"/>
    <s v="31601014 - Acupuntura (R$ 54,56)"/>
    <s v="Acupuntura"/>
    <n v="1699393144"/>
    <s v="Finalizado (4/5)"/>
    <n v="45.830399999999997"/>
    <n v="8.7295999999999996"/>
    <n v="54.56"/>
    <s v="Sessão Faturada"/>
    <n v="954600000256000"/>
    <n v="24181"/>
    <s v="Unidade Sao Jose"/>
    <n v="1699393144"/>
    <m/>
  </r>
  <r>
    <x v="14"/>
    <x v="38"/>
    <s v="Dilson Pereira Dourado"/>
    <m/>
    <x v="31"/>
    <x v="26"/>
    <s v="31601014 - Acupuntura (R$ 54,56)"/>
    <s v="Acupuntura"/>
    <n v="1705672983"/>
    <s v="Finalizado (3/5)"/>
    <n v="45.830399999999997"/>
    <n v="8.7295999999999996"/>
    <n v="54.56"/>
    <s v="Sessão Faturada"/>
    <n v="898081400019000"/>
    <n v="54845"/>
    <s v="Unidade Sao Jose"/>
    <n v="1705672983"/>
    <m/>
  </r>
  <r>
    <x v="14"/>
    <x v="38"/>
    <s v="Francinete Ferreira de Souza"/>
    <s v="Feminino"/>
    <x v="9"/>
    <x v="26"/>
    <s v="31601014 - Acupuntura (R$ 54,56)"/>
    <s v="Acupuntura"/>
    <n v="1706717565"/>
    <s v="Finalizado (1/5)"/>
    <n v="45.830399999999997"/>
    <n v="8.7295999999999996"/>
    <n v="54.56"/>
    <s v="Sessão Faturada"/>
    <n v="954390037672020"/>
    <n v="41225"/>
    <s v="Unidade Sao Jose"/>
    <n v="1706717565"/>
    <m/>
  </r>
  <r>
    <x v="14"/>
    <x v="37"/>
    <s v="Sheila Ferreira do Nascimento"/>
    <s v="Feminino"/>
    <x v="31"/>
    <x v="26"/>
    <s v="31601014 - Acupuntura (R$ 54,56)"/>
    <s v="Acupuntura"/>
    <n v="1704257150"/>
    <s v="Finalizado (2/5)"/>
    <n v="45.830399999999997"/>
    <n v="8.7295999999999996"/>
    <n v="54.56"/>
    <s v="Sessão Faturada"/>
    <n v="774239001511020"/>
    <n v="27492"/>
    <s v="Unidade Sao Jose"/>
    <n v="1704257150"/>
    <m/>
  </r>
  <r>
    <x v="14"/>
    <x v="39"/>
    <s v="Elisangela de Araujo Souza"/>
    <s v="Feminino"/>
    <x v="9"/>
    <x v="26"/>
    <s v="31601014 - Acupuntura (R$ 54,56)"/>
    <s v="Acupuntura"/>
    <n v="1701785276"/>
    <s v="Finalizado (5/5)"/>
    <n v="45.830399999999997"/>
    <n v="8.7295999999999996"/>
    <n v="54.56"/>
    <s v="Sessão Faturada"/>
    <n v="954600000884010"/>
    <n v="26307"/>
    <s v="Unidade Sao Jose"/>
    <n v="1701785276"/>
    <m/>
  </r>
  <r>
    <x v="14"/>
    <x v="43"/>
    <s v="Misleia Fernandes Mendes"/>
    <s v="Feminino"/>
    <x v="31"/>
    <x v="26"/>
    <s v="31601014 - Acupuntura (R$ 54,56)"/>
    <s v="Acupuntura"/>
    <n v="1698955526"/>
    <s v="Finalizado (2/3)"/>
    <n v="45.830399999999997"/>
    <n v="8.7295999999999996"/>
    <n v="54.56"/>
    <s v="Sessão Faturada"/>
    <n v="770179020664010"/>
    <n v="44824"/>
    <s v="Unidade Sao Jose"/>
    <n v="1698955526"/>
    <m/>
  </r>
  <r>
    <x v="14"/>
    <x v="2"/>
    <s v="Ana Clara do Nascimento Monteiro"/>
    <s v="Feminino"/>
    <x v="31"/>
    <x v="26"/>
    <s v="31601014 - Acupuntura (R$ 54,56)"/>
    <s v="Acupuntura"/>
    <n v="1705849845"/>
    <s v="Finalizado (2/2)"/>
    <n v="45.830399999999997"/>
    <n v="8.7295999999999996"/>
    <n v="54.56"/>
    <s v="Sessão Faturada"/>
    <n v="774078001791030"/>
    <n v="59309"/>
    <s v="Unidade Sao Jose"/>
    <n v="1705849845"/>
    <m/>
  </r>
  <r>
    <x v="14"/>
    <x v="2"/>
    <s v="Marcleane Oliveira da Costa"/>
    <s v="Feminino"/>
    <x v="9"/>
    <x v="26"/>
    <s v="31601014 - Acupuntura (R$ 54,56)"/>
    <s v="Acupuntura"/>
    <n v="1706907081"/>
    <s v="Finalizado (1/1)"/>
    <n v="45.830399999999997"/>
    <n v="8.7295999999999996"/>
    <n v="54.56"/>
    <s v="Sessão Faturada"/>
    <n v="954600022098000"/>
    <n v="58941"/>
    <s v="Unidade Sao Jose"/>
    <n v="1706907081"/>
    <m/>
  </r>
  <r>
    <x v="14"/>
    <x v="4"/>
    <s v="Diane Pinto de Souza"/>
    <s v="Feminino"/>
    <x v="31"/>
    <x v="26"/>
    <s v="31601014 - Acupuntura (R$ 54,56)"/>
    <s v="Acupuntura"/>
    <n v="1702859274"/>
    <s v="Finalizado (4/5)"/>
    <n v="45.830399999999997"/>
    <n v="8.7295999999999996"/>
    <n v="54.56"/>
    <s v="Sessão Faturada"/>
    <n v="770179013056000"/>
    <n v="55682"/>
    <s v="Unidade Sao Jose"/>
    <n v="1702859274"/>
    <m/>
  </r>
  <r>
    <x v="14"/>
    <x v="4"/>
    <s v="Bruna Naiana Alves Gonçalves"/>
    <m/>
    <x v="31"/>
    <x v="26"/>
    <s v="31601014 - Acupuntura (R$ 54,56)"/>
    <s v="Acupuntura"/>
    <n v="1699012059"/>
    <s v="Finalizado (3/5)"/>
    <n v="45.830399999999997"/>
    <n v="8.7295999999999996"/>
    <n v="54.56"/>
    <s v="Sessão Faturada"/>
    <n v="898786000019010"/>
    <n v="57518"/>
    <s v="Unidade Sao Jose"/>
    <n v="1699012059"/>
    <m/>
  </r>
  <r>
    <x v="14"/>
    <x v="4"/>
    <s v="Mônica Batista Jakinon"/>
    <s v="Feminino"/>
    <x v="9"/>
    <x v="26"/>
    <s v="31601014 - Acupuntura (R$ 54,56)"/>
    <s v="Acupuntura"/>
    <n v="1706915570"/>
    <s v="Finalizado (1/3)"/>
    <n v="45.830399999999997"/>
    <n v="8.7295999999999996"/>
    <n v="54.56"/>
    <s v="Sessão Faturada"/>
    <n v="954600030899000"/>
    <n v="57642"/>
    <s v="Unidade Sao Jose"/>
    <n v="1706915570"/>
    <m/>
  </r>
  <r>
    <x v="14"/>
    <x v="4"/>
    <s v="Maria Francisca da Silva Carvalho"/>
    <s v="Feminino"/>
    <x v="7"/>
    <x v="26"/>
    <s v="Sao José - 7 - Acupuntura - Pacote (R$ 40,00)"/>
    <s v="Acupuntura"/>
    <n v="168518"/>
    <s v="Finalizado (4/5)"/>
    <n v="30"/>
    <n v="10"/>
    <n v="40"/>
    <s v="Pago"/>
    <n v="58726"/>
    <n v="58726"/>
    <s v="Unidade Sao Jose"/>
    <n v="168518"/>
    <m/>
  </r>
  <r>
    <x v="14"/>
    <x v="13"/>
    <s v="Victor Hugo Tavares Pereira"/>
    <s v="Masculino"/>
    <x v="31"/>
    <x v="26"/>
    <s v="31601014 - Acupuntura (R$ 54,56)"/>
    <s v="Acupuntura"/>
    <n v="1702839933"/>
    <s v="Finalizado (2/5)"/>
    <n v="45.830399999999997"/>
    <n v="8.7295999999999996"/>
    <n v="54.56"/>
    <s v="Sessão Faturada"/>
    <n v="774642023205000"/>
    <n v="54184"/>
    <s v="Unidade Sao Jose"/>
    <n v="1702839933"/>
    <m/>
  </r>
  <r>
    <x v="14"/>
    <x v="17"/>
    <s v="Fernanda Neves Sabugosa"/>
    <s v="Feminino"/>
    <x v="31"/>
    <x v="26"/>
    <s v="31601014 - Acupuntura (R$ 54,56)"/>
    <s v="Acupuntura"/>
    <n v="1705919283"/>
    <s v="Finalizado (2/5)"/>
    <n v="45.830399999999997"/>
    <n v="8.7295999999999996"/>
    <n v="54.56"/>
    <s v="Sessão Faturada"/>
    <n v="771015043370010"/>
    <n v="38199"/>
    <s v="Unidade Sao Jose"/>
    <n v="1705919283"/>
    <m/>
  </r>
  <r>
    <x v="14"/>
    <x v="8"/>
    <s v="Adna Melo da Silva Juvenal"/>
    <s v="Feminino"/>
    <x v="9"/>
    <x v="26"/>
    <s v="31601014 - Acupuntura (R$ 54,56)"/>
    <s v="Acupuntura"/>
    <n v="1701501209"/>
    <s v="Finalizado (3/5)"/>
    <n v="45.830399999999997"/>
    <n v="8.7295999999999996"/>
    <n v="54.56"/>
    <s v="Sessão Faturada"/>
    <n v="954600025615010"/>
    <n v="54008"/>
    <s v="Unidade Sao Jose"/>
    <n v="1701501209"/>
    <m/>
  </r>
  <r>
    <x v="14"/>
    <x v="8"/>
    <s v="Enio Lincon Oliveira Barbosa"/>
    <s v="Masculino"/>
    <x v="31"/>
    <x v="26"/>
    <s v="31601014 - Acupuntura (R$ 54,56)"/>
    <s v="Acupuntura"/>
    <n v="1707040434"/>
    <s v="Finalizado (1/1)"/>
    <n v="45.830399999999997"/>
    <n v="8.7295999999999996"/>
    <n v="54.56"/>
    <s v="Sessão Faturada"/>
    <n v="610171790056000"/>
    <n v="59275"/>
    <s v="Unidade Sao Jose"/>
    <n v="1707040434"/>
    <m/>
  </r>
  <r>
    <x v="15"/>
    <x v="44"/>
    <s v="Tereza da Rocha Vieira"/>
    <s v="Feminino"/>
    <x v="10"/>
    <x v="26"/>
    <s v="31601014 - Acupuntura Por Sessão (R$ 25,00)"/>
    <s v="Acupuntura"/>
    <n v="6239002"/>
    <s v="Finalizado (10/10)"/>
    <n v="21"/>
    <n v="4"/>
    <n v="25"/>
    <s v="Sessão Faturada"/>
    <s v="00010001253014045"/>
    <n v="52943"/>
    <s v="Unidade Sao Jose"/>
    <n v="6239002"/>
    <m/>
  </r>
  <r>
    <x v="15"/>
    <x v="41"/>
    <s v="Noraney Gonçalves Costa"/>
    <s v="Feminino"/>
    <x v="7"/>
    <x v="26"/>
    <s v="Sao José - 7 - Acupuntura - Pacote (R$ 40,00)"/>
    <s v="Acupuntura"/>
    <n v="170411"/>
    <s v="Finalizado (2/5)"/>
    <n v="30"/>
    <n v="10"/>
    <n v="40"/>
    <s v="Pago"/>
    <n v="55992"/>
    <n v="55992"/>
    <s v="Unidade Sao Jose"/>
    <n v="170411"/>
    <m/>
  </r>
  <r>
    <x v="15"/>
    <x v="41"/>
    <s v="Rafael Tavares Serrão"/>
    <s v="Masculino"/>
    <x v="7"/>
    <x v="26"/>
    <s v="Sao José - 7 - Acupuntura - Pacote (R$ 40,00)"/>
    <s v="Acupuntura"/>
    <n v="170259"/>
    <s v="Finalizado (3/5)"/>
    <n v="30"/>
    <n v="10"/>
    <n v="40"/>
    <s v="Pago"/>
    <n v="59504"/>
    <n v="59504"/>
    <s v="Unidade Sao Jose"/>
    <n v="170259"/>
    <m/>
  </r>
  <r>
    <x v="15"/>
    <x v="36"/>
    <s v="Cleide Luiza da Silva Cabral"/>
    <s v="Feminino"/>
    <x v="31"/>
    <x v="26"/>
    <s v="31601014 - Acupuntura (R$ 54,56)"/>
    <s v="Acupuntura"/>
    <n v="1703114151"/>
    <s v="Finalizado (2/4)"/>
    <n v="45.830399999999997"/>
    <n v="8.7295999999999996"/>
    <n v="54.56"/>
    <s v="Sessão Faturada"/>
    <n v="897137800051020"/>
    <n v="54445"/>
    <s v="Unidade Sao Jose"/>
    <n v="1703114151"/>
    <m/>
  </r>
  <r>
    <x v="15"/>
    <x v="36"/>
    <s v="Kyssia Roberta Sena Batista de Souza"/>
    <s v="Feminino"/>
    <x v="9"/>
    <x v="26"/>
    <s v="31601014 - Acupuntura (R$ 54,56)"/>
    <s v="Acupuntura"/>
    <n v="1700221280"/>
    <s v="Finalizado (4/5)"/>
    <n v="45.830399999999997"/>
    <n v="8.7295999999999996"/>
    <n v="54.56"/>
    <s v="Sessão Faturada"/>
    <n v="954600002461000"/>
    <n v="58661"/>
    <s v="Unidade Sao Jose"/>
    <n v="1700221280"/>
    <m/>
  </r>
  <r>
    <x v="15"/>
    <x v="35"/>
    <s v="Simone Soares Franco"/>
    <s v="Feminino"/>
    <x v="9"/>
    <x v="26"/>
    <s v="31601014 - Acupuntura (R$ 54,56)"/>
    <s v="Acupuntura"/>
    <n v="1699393144"/>
    <s v="Finalizado (5/5)"/>
    <n v="45.830399999999997"/>
    <n v="8.7295999999999996"/>
    <n v="54.56"/>
    <s v="Sessão Faturada"/>
    <n v="954600000256000"/>
    <n v="24181"/>
    <s v="Unidade Sao Jose"/>
    <n v="1699393144"/>
    <m/>
  </r>
  <r>
    <x v="15"/>
    <x v="35"/>
    <s v="Manuela Soares de Freitas Mendonca"/>
    <s v="Feminino"/>
    <x v="9"/>
    <x v="26"/>
    <s v="31601014 - Acupuntura (R$ 54,56)"/>
    <s v="Acupuntura"/>
    <n v="1699398857"/>
    <s v="Finalizado (5/5)"/>
    <n v="45.830399999999997"/>
    <n v="8.7295999999999996"/>
    <n v="54.56"/>
    <s v="Sessão Faturada"/>
    <n v="954600000256030"/>
    <n v="53656"/>
    <s v="Unidade Sao Jose"/>
    <n v="1699398857"/>
    <m/>
  </r>
  <r>
    <x v="15"/>
    <x v="35"/>
    <s v="Manoel de Freitas Mendonça Neto"/>
    <s v="Masculino"/>
    <x v="9"/>
    <x v="26"/>
    <s v="31601014 - Acupuntura (R$ 54,56)"/>
    <s v="Acupuntura"/>
    <n v="1699394687"/>
    <s v="Finalizado (5/5)"/>
    <n v="45.830399999999997"/>
    <n v="8.7295999999999996"/>
    <n v="54.56"/>
    <s v="Sessão Faturada"/>
    <n v="954600000256020"/>
    <n v="47993"/>
    <s v="Unidade Sao Jose"/>
    <n v="1699394687"/>
    <m/>
  </r>
  <r>
    <x v="15"/>
    <x v="38"/>
    <s v="Francinete Ferreira de Souza"/>
    <s v="Feminino"/>
    <x v="9"/>
    <x v="26"/>
    <s v="31601014 - Acupuntura (R$ 54,56)"/>
    <s v="Acupuntura"/>
    <n v="1706717565"/>
    <s v="Finalizado (2/5)"/>
    <n v="45.830399999999997"/>
    <n v="8.7295999999999996"/>
    <n v="54.56"/>
    <s v="Sessão Faturada"/>
    <n v="954390037672020"/>
    <n v="41225"/>
    <s v="Unidade Sao Jose"/>
    <n v="1706717565"/>
    <m/>
  </r>
  <r>
    <x v="15"/>
    <x v="39"/>
    <s v="Elisangela de Araujo Souza"/>
    <s v="Feminino"/>
    <x v="9"/>
    <x v="26"/>
    <s v="31601014 - Acupuntura (R$ 54,56)"/>
    <s v="Acupuntura"/>
    <n v="1707292399"/>
    <s v="Finalizado (1/5)"/>
    <n v="45.830399999999997"/>
    <n v="8.7295999999999996"/>
    <n v="54.56"/>
    <s v="Sessão Faturada"/>
    <n v="954600000884010"/>
    <n v="26307"/>
    <s v="Unidade Sao Jose"/>
    <n v="1707292399"/>
    <m/>
  </r>
  <r>
    <x v="15"/>
    <x v="39"/>
    <s v="Jacqueline Lima de Oliveira"/>
    <s v="Feminino"/>
    <x v="31"/>
    <x v="26"/>
    <s v="31601014 - Acupuntura (R$ 54,56)"/>
    <s v="Acupuntura"/>
    <n v="1707329080"/>
    <s v="Finalizado (1/5)"/>
    <n v="45.830399999999997"/>
    <n v="8.7295999999999996"/>
    <n v="54.56"/>
    <s v="Sessão Faturada"/>
    <n v="611481880006000"/>
    <n v="59217"/>
    <s v="Unidade Sao Jose"/>
    <n v="1707329080"/>
    <m/>
  </r>
  <r>
    <x v="15"/>
    <x v="39"/>
    <s v="Milena Souza de Sant'ana"/>
    <s v="Feminino"/>
    <x v="6"/>
    <x v="26"/>
    <s v="31601014 - Acupuntura (R$ 51,33)"/>
    <s v="Acupuntura"/>
    <n v="170308"/>
    <s v="Finalizado (2/4)"/>
    <n v="43.117199999999997"/>
    <n v="8.2127999999999997"/>
    <n v="51.33"/>
    <s v="Sessão Faturada"/>
    <s v="56788888477947370012"/>
    <n v="59507"/>
    <s v="Unidade Sao Jose"/>
    <n v="170308"/>
    <m/>
  </r>
  <r>
    <x v="15"/>
    <x v="43"/>
    <s v="Clicia Nayara Coimbra Soares"/>
    <s v="Feminino"/>
    <x v="4"/>
    <x v="26"/>
    <s v="31601014 - Acupuntura (R$ 54,56)"/>
    <s v="Acupuntura"/>
    <n v="1701931925"/>
    <s v="Finalizado (4/5)"/>
    <n v="45.830399999999997"/>
    <n v="8.7295999999999996"/>
    <n v="54.56"/>
    <s v="Sessão Faturada"/>
    <n v="843486100370000"/>
    <n v="49710"/>
    <s v="Unidade Sao Jose"/>
    <n v="1701931925"/>
    <m/>
  </r>
  <r>
    <x v="15"/>
    <x v="0"/>
    <s v="Natan Michiles"/>
    <s v="Masculino"/>
    <x v="7"/>
    <x v="26"/>
    <s v="Sao José - 7 - Acupuntura - Pacote (R$ 40,00)"/>
    <s v="Acupuntura"/>
    <n v="170184"/>
    <s v="Finalizado (1/5)"/>
    <n v="30"/>
    <n v="10"/>
    <n v="40"/>
    <s v="Pago"/>
    <n v="53679"/>
    <n v="53679"/>
    <s v="Unidade Sao Jose"/>
    <n v="170184"/>
    <m/>
  </r>
  <r>
    <x v="15"/>
    <x v="2"/>
    <s v="Maria Francisca da Silva Carvalho"/>
    <s v="Feminino"/>
    <x v="7"/>
    <x v="26"/>
    <s v="Sao José - 7 - Acupuntura - Pacote (R$ 40,00)"/>
    <s v="Acupuntura"/>
    <n v="168518"/>
    <s v="Finalizado (5/5)"/>
    <n v="30"/>
    <n v="10"/>
    <n v="40"/>
    <s v="Pago"/>
    <n v="58726"/>
    <n v="58726"/>
    <s v="Unidade Sao Jose"/>
    <n v="168518"/>
    <m/>
  </r>
  <r>
    <x v="15"/>
    <x v="4"/>
    <s v="Keila Maria Ferreira de Brito"/>
    <s v="Feminino"/>
    <x v="31"/>
    <x v="26"/>
    <s v="31601014 - Acupuntura (R$ 54,56)"/>
    <s v="Acupuntura"/>
    <n v="1701890049"/>
    <s v="Finalizado (2/3)"/>
    <n v="45.830399999999997"/>
    <n v="8.7295999999999996"/>
    <n v="54.56"/>
    <s v="Sessão Faturada"/>
    <n v="773458004820010"/>
    <n v="11496"/>
    <s v="Unidade Sao Jose"/>
    <n v="1701890049"/>
    <m/>
  </r>
  <r>
    <x v="15"/>
    <x v="4"/>
    <s v="Bruna Naiana Alves Gonçalves"/>
    <m/>
    <x v="31"/>
    <x v="26"/>
    <s v="31601014 - Acupuntura (R$ 54,56)"/>
    <s v="Acupuntura"/>
    <n v="1699012059"/>
    <s v="Finalizado (4/5)"/>
    <n v="45.830399999999997"/>
    <n v="8.7295999999999996"/>
    <n v="54.56"/>
    <s v="Sessão Faturada"/>
    <n v="898786000019010"/>
    <n v="57518"/>
    <s v="Unidade Sao Jose"/>
    <n v="1699012059"/>
    <m/>
  </r>
  <r>
    <x v="15"/>
    <x v="15"/>
    <s v="Jean da Silva Melo"/>
    <s v="Masculino"/>
    <x v="9"/>
    <x v="26"/>
    <s v="31601014 - Acupuntura (R$ 54,56)"/>
    <s v="Acupuntura"/>
    <n v="1705877043"/>
    <s v="Finalizado (4/5)"/>
    <n v="45.830399999999997"/>
    <n v="8.7295999999999996"/>
    <n v="54.56"/>
    <s v="Sessão Faturada"/>
    <n v="954600003042000"/>
    <n v="29915"/>
    <s v="Unidade Sao Jose"/>
    <n v="1705877043"/>
    <m/>
  </r>
  <r>
    <x v="15"/>
    <x v="17"/>
    <s v="Maria Neide Oliveira Marques"/>
    <s v="Feminino"/>
    <x v="9"/>
    <x v="26"/>
    <s v="31601014 - Acupuntura (R$ 54,56)"/>
    <s v="Acupuntura"/>
    <n v="1702947543"/>
    <s v="Finalizado (4/5)"/>
    <n v="45.830399999999997"/>
    <n v="8.7295999999999996"/>
    <n v="54.56"/>
    <s v="Sessão Faturada"/>
    <n v="954600008419020"/>
    <n v="52794"/>
    <s v="Unidade Sao Jose"/>
    <n v="1702947543"/>
    <m/>
  </r>
  <r>
    <x v="15"/>
    <x v="8"/>
    <s v="Paulo Henrique Barros Diniz"/>
    <s v="Masculino"/>
    <x v="31"/>
    <x v="26"/>
    <s v="31601014 - Acupuntura (R$ 54,56)"/>
    <s v="Acupuntura"/>
    <n v="1707526341"/>
    <s v="Finalizado (1/2)"/>
    <n v="45.830399999999997"/>
    <n v="8.7295999999999996"/>
    <n v="54.56"/>
    <s v="Sessão Faturada"/>
    <n v="774642029483010"/>
    <n v="57252"/>
    <s v="Unidade Sao Jose"/>
    <n v="1707526341"/>
    <m/>
  </r>
  <r>
    <x v="16"/>
    <x v="41"/>
    <s v="Noraney Gonçalves Costa"/>
    <s v="Feminino"/>
    <x v="7"/>
    <x v="26"/>
    <s v="Sao José - 7 - Acupuntura - Pacote (R$ 40,00)"/>
    <s v="Acupuntura"/>
    <n v="170411"/>
    <s v="Finalizado (3/5)"/>
    <n v="30"/>
    <n v="10"/>
    <n v="40"/>
    <s v="Pago"/>
    <n v="55992"/>
    <n v="55992"/>
    <s v="Unidade Sao Jose"/>
    <n v="170411"/>
    <m/>
  </r>
  <r>
    <x v="16"/>
    <x v="41"/>
    <s v="Rafael Tavares Serrão"/>
    <s v="Masculino"/>
    <x v="7"/>
    <x v="26"/>
    <s v="Sao José - 7 - Acupuntura - Pacote (R$ 40,00)"/>
    <s v="Acupuntura"/>
    <n v="170259"/>
    <s v="Finalizado (4/5)"/>
    <n v="30"/>
    <n v="10"/>
    <n v="40"/>
    <s v="Pago"/>
    <n v="59504"/>
    <n v="59504"/>
    <s v="Unidade Sao Jose"/>
    <n v="170259"/>
    <m/>
  </r>
  <r>
    <x v="16"/>
    <x v="39"/>
    <s v="Sheila Ferreira do Nascimento"/>
    <s v="Feminino"/>
    <x v="31"/>
    <x v="26"/>
    <s v="31601014 - Acupuntura (R$ 54,56)"/>
    <s v="Acupuntura"/>
    <n v="1704257150"/>
    <s v="Finalizado (3/5)"/>
    <n v="45.830399999999997"/>
    <n v="8.7295999999999996"/>
    <n v="54.56"/>
    <s v="Sessão Faturada"/>
    <n v="774239001511020"/>
    <n v="27492"/>
    <s v="Unidade Sao Jose"/>
    <n v="1704257150"/>
    <m/>
  </r>
  <r>
    <x v="16"/>
    <x v="22"/>
    <s v="Bruna Naiana Alves Gonçalves"/>
    <m/>
    <x v="31"/>
    <x v="26"/>
    <s v="31601014 - Acupuntura (R$ 54,56)"/>
    <s v="Acupuntura"/>
    <n v="1699012059"/>
    <s v="Finalizado (5/5)"/>
    <n v="45.830399999999997"/>
    <n v="8.7295999999999996"/>
    <n v="54.56"/>
    <s v="Sessão Faturada"/>
    <n v="898786000019010"/>
    <n v="57518"/>
    <s v="Unidade Sao Jose"/>
    <n v="1699012059"/>
    <m/>
  </r>
  <r>
    <x v="16"/>
    <x v="2"/>
    <s v="Jose Edson Moura de Melo"/>
    <s v="Masculino"/>
    <x v="4"/>
    <x v="26"/>
    <s v="31601014 - Acupuntura (R$ 54,56)"/>
    <s v="Acupuntura"/>
    <n v="1707950594"/>
    <s v="Finalizado (1/5)"/>
    <n v="45.830399999999997"/>
    <n v="8.7295999999999996"/>
    <n v="54.56"/>
    <s v="Sessão Faturada"/>
    <n v="774722014389010"/>
    <n v="45960"/>
    <s v="Unidade Sao Jose"/>
    <n v="1707950594"/>
    <m/>
  </r>
  <r>
    <x v="16"/>
    <x v="4"/>
    <s v="Milza Santos"/>
    <s v="Feminino"/>
    <x v="32"/>
    <x v="26"/>
    <s v="31601014 - Acupuntura (R$ 54,56)"/>
    <s v="Acupuntura"/>
    <n v="1708005854"/>
    <s v="Finalizado (1/5)"/>
    <n v="45.830399999999997"/>
    <n v="8.7295999999999996"/>
    <n v="54.56"/>
    <s v="Sessão Faturada"/>
    <n v="954600000493010"/>
    <n v="41659"/>
    <s v="Unidade Sao Jose"/>
    <n v="1708005854"/>
    <m/>
  </r>
  <r>
    <x v="16"/>
    <x v="13"/>
    <s v="Diane Pinto de Souza"/>
    <s v="Feminino"/>
    <x v="31"/>
    <x v="26"/>
    <s v="31601014 - Acupuntura (R$ 54,56)"/>
    <s v="Acupuntura"/>
    <n v="1702859274"/>
    <s v="Finalizado (5/5)"/>
    <n v="45.830399999999997"/>
    <n v="8.7295999999999996"/>
    <n v="54.56"/>
    <s v="Sessão Faturada"/>
    <n v="770179013056000"/>
    <n v="55682"/>
    <s v="Unidade Sao Jose"/>
    <n v="1702859274"/>
    <m/>
  </r>
  <r>
    <x v="16"/>
    <x v="6"/>
    <s v="Erick Ariel dos Santos Evangelista"/>
    <s v="Masculino"/>
    <x v="31"/>
    <x v="26"/>
    <s v="31601014 - Acupuntura (R$ 54,56)"/>
    <s v="Acupuntura"/>
    <n v="1708059689"/>
    <s v="Finalizado (1/1)"/>
    <n v="45.830399999999997"/>
    <n v="8.7295999999999996"/>
    <n v="54.56"/>
    <s v="Sessão Faturada"/>
    <n v="960019378522020"/>
    <n v="59549"/>
    <s v="Unidade Sao Jose"/>
    <n v="1708059689"/>
    <m/>
  </r>
  <r>
    <x v="16"/>
    <x v="15"/>
    <s v="Ana Cleude Pantoja da Silva"/>
    <s v="Feminino"/>
    <x v="9"/>
    <x v="26"/>
    <s v="31601014 - Acupuntura (R$ 54,56)"/>
    <s v="Acupuntura"/>
    <n v="1706446591"/>
    <s v="Finalizado (2/4)"/>
    <n v="45.830399999999997"/>
    <n v="8.7295999999999996"/>
    <n v="54.56"/>
    <s v="Sessão Faturada"/>
    <n v="954600008567000"/>
    <n v="23678"/>
    <s v="Unidade Sao Jose"/>
    <n v="1706446591"/>
    <m/>
  </r>
  <r>
    <x v="16"/>
    <x v="15"/>
    <s v="Lauriethe Silva Nascimento Garrido"/>
    <s v="Feminino"/>
    <x v="7"/>
    <x v="26"/>
    <s v="Sao José - 7 - Acupuntura - Pacote (R$ 40,00)"/>
    <s v="Acupuntura"/>
    <n v="170691"/>
    <s v="Finalizado (1/5)"/>
    <n v="30"/>
    <n v="10"/>
    <n v="40"/>
    <s v="Pago"/>
    <n v="59555"/>
    <n v="59555"/>
    <s v="Unidade Sao Jose"/>
    <n v="170691"/>
    <m/>
  </r>
  <r>
    <x v="21"/>
    <x v="44"/>
    <s v="Tereza da Rocha Vieira"/>
    <s v="Feminino"/>
    <x v="10"/>
    <x v="26"/>
    <s v="31601014 - Acupuntura Por Sessão (R$ 25,00)"/>
    <s v="Acupuntura"/>
    <n v="15101078"/>
    <s v="Finalizado (1/10)"/>
    <n v="21"/>
    <n v="4"/>
    <n v="25"/>
    <s v="Sessão Faturada"/>
    <s v="00010001253014045"/>
    <n v="52943"/>
    <s v="Unidade Sao Jose"/>
    <n v="15101078"/>
    <m/>
  </r>
  <r>
    <x v="21"/>
    <x v="36"/>
    <s v="Ruan de Souza Mesquita"/>
    <s v="Masculino"/>
    <x v="9"/>
    <x v="26"/>
    <s v="31601014 - Acupuntura (R$ 54,56)"/>
    <s v="Acupuntura"/>
    <n v="1705117314"/>
    <s v="Finalizado (2/3)"/>
    <n v="45.830399999999997"/>
    <n v="8.7295999999999996"/>
    <n v="54.56"/>
    <s v="Sessão Faturada"/>
    <n v="954600015873000"/>
    <n v="56318"/>
    <s v="Unidade Sao Jose"/>
    <n v="1705117314"/>
    <m/>
  </r>
  <r>
    <x v="21"/>
    <x v="36"/>
    <s v="Soniele Maria Santos da Silva"/>
    <s v="Feminino"/>
    <x v="9"/>
    <x v="26"/>
    <s v="31601014 - Acupuntura (R$ 54,56)"/>
    <s v="Acupuntura"/>
    <n v="1700232308"/>
    <s v="Finalizado (3/4)"/>
    <n v="45.830399999999997"/>
    <n v="8.7295999999999996"/>
    <n v="54.56"/>
    <s v="Sessão Faturada"/>
    <n v="954600000507010"/>
    <n v="50297"/>
    <s v="Unidade Sao Jose"/>
    <n v="1700232308"/>
    <m/>
  </r>
  <r>
    <x v="21"/>
    <x v="40"/>
    <s v="Rafael Tavares Serrão"/>
    <s v="Masculino"/>
    <x v="7"/>
    <x v="26"/>
    <s v="Sao José - 7 - Acupuntura - Pacote (R$ 40,00)"/>
    <s v="Acupuntura"/>
    <n v="170259"/>
    <s v="Finalizado (5/5)"/>
    <n v="30"/>
    <n v="10"/>
    <n v="40"/>
    <s v="Pago"/>
    <n v="59504"/>
    <n v="59504"/>
    <s v="Unidade Sao Jose"/>
    <n v="170259"/>
    <m/>
  </r>
  <r>
    <x v="21"/>
    <x v="38"/>
    <s v="Maria Neide Oliveira Marques"/>
    <s v="Feminino"/>
    <x v="9"/>
    <x v="26"/>
    <s v="31601014 - Acupuntura (R$ 54,56)"/>
    <s v="Acupuntura"/>
    <n v="1702947543"/>
    <s v="Finalizado (5/5)"/>
    <n v="45.830399999999997"/>
    <n v="8.7295999999999996"/>
    <n v="54.56"/>
    <s v="Sessão Faturada"/>
    <n v="954600008419020"/>
    <n v="52794"/>
    <s v="Unidade Sao Jose"/>
    <n v="1702947543"/>
    <m/>
  </r>
  <r>
    <x v="17"/>
    <x v="35"/>
    <s v="Josiane de Sousa Santos"/>
    <s v="Feminino"/>
    <x v="9"/>
    <x v="26"/>
    <s v="31601014 - Acupuntura (R$ 54,56)"/>
    <s v="Acupuntura"/>
    <n v="1708868741"/>
    <s v="Finalizado (1/3)"/>
    <n v="45.830399999999997"/>
    <n v="8.7295999999999996"/>
    <n v="54.56"/>
    <s v="Sessão Faturada"/>
    <n v="954600005274010"/>
    <n v="23225"/>
    <s v="Unidade Sao Jose"/>
    <n v="1708868741"/>
    <m/>
  </r>
  <r>
    <x v="17"/>
    <x v="37"/>
    <s v="Jacqueline Lima de Oliveira"/>
    <s v="Feminino"/>
    <x v="31"/>
    <x v="26"/>
    <s v="31601014 - Acupuntura (R$ 54,56)"/>
    <s v="Acupuntura"/>
    <n v="1707329080"/>
    <s v="Finalizado (2/5)"/>
    <n v="45.830399999999997"/>
    <n v="8.7295999999999996"/>
    <n v="54.56"/>
    <s v="Sessão Faturada"/>
    <n v="611481880006000"/>
    <n v="59217"/>
    <s v="Unidade Sao Jose"/>
    <n v="1707329080"/>
    <m/>
  </r>
  <r>
    <x v="17"/>
    <x v="39"/>
    <s v="Rosilene Marinho Melo"/>
    <s v="Feminino"/>
    <x v="7"/>
    <x v="26"/>
    <s v="Sao José - 7 - Acupuntura - Pacote (R$ 40,00)"/>
    <s v="Acupuntura"/>
    <n v="166874"/>
    <s v="Finalizado (4/5)"/>
    <n v="30"/>
    <n v="10"/>
    <n v="40"/>
    <s v="Pago"/>
    <n v="44150"/>
    <n v="44150"/>
    <s v="Unidade Sao Jose"/>
    <n v="166874"/>
    <m/>
  </r>
  <r>
    <x v="17"/>
    <x v="22"/>
    <s v="Wildson Costa dos Santos"/>
    <s v="Masculino"/>
    <x v="6"/>
    <x v="26"/>
    <s v="31601014 - Acupuntura (R$ 51,33)"/>
    <s v="Acupuntura"/>
    <n v="170985"/>
    <s v="Finalizado (1/4)"/>
    <n v="43.117199999999997"/>
    <n v="8.2127999999999997"/>
    <n v="51.33"/>
    <s v="Sessão Faturada"/>
    <s v="58201065998121610018"/>
    <n v="59580"/>
    <s v="Unidade Sao Jose"/>
    <n v="170985"/>
    <m/>
  </r>
  <r>
    <x v="17"/>
    <x v="0"/>
    <s v="Natan Michiles"/>
    <s v="Masculino"/>
    <x v="7"/>
    <x v="26"/>
    <s v="Sao José - 7 - Acupuntura - Pacote (R$ 40,00)"/>
    <s v="Acupuntura"/>
    <n v="170184"/>
    <s v="Finalizado (2/5)"/>
    <n v="30"/>
    <n v="10"/>
    <n v="40"/>
    <s v="Pago"/>
    <n v="53679"/>
    <n v="53679"/>
    <s v="Unidade Sao Jose"/>
    <n v="170184"/>
    <m/>
  </r>
  <r>
    <x v="17"/>
    <x v="2"/>
    <s v="Maria Sueide Pacheco"/>
    <s v="Feminino"/>
    <x v="12"/>
    <x v="26"/>
    <s v="31601014 - Acupuntura (R$ 54,56)"/>
    <s v="Acupuntura"/>
    <n v="10292557"/>
    <s v="Finalizado (5/10)"/>
    <n v="45.830399999999997"/>
    <n v="8.7295999999999996"/>
    <n v="54.56"/>
    <s v="Sessão Faturada"/>
    <s v="000432154994220501"/>
    <n v="26513"/>
    <s v="Unidade Sao Jose"/>
    <n v="10292557"/>
    <m/>
  </r>
  <r>
    <x v="17"/>
    <x v="4"/>
    <s v="Raimundo Marques Barreiros Junior"/>
    <s v="Masculino"/>
    <x v="32"/>
    <x v="26"/>
    <s v="31601014 - Acupuntura (R$ 54,56)"/>
    <s v="Acupuntura"/>
    <n v="117146"/>
    <s v="Finalizado (5/10)"/>
    <n v="45.830399999999997"/>
    <n v="8.7295999999999996"/>
    <n v="54.56"/>
    <s v="Sessão Faturada"/>
    <n v="954290031526000"/>
    <n v="53139"/>
    <s v="Unidade Sao Jose"/>
    <n v="117146"/>
    <m/>
  </r>
  <r>
    <x v="17"/>
    <x v="13"/>
    <s v="Victor Hugo Tavares Pereira"/>
    <s v="Masculino"/>
    <x v="31"/>
    <x v="26"/>
    <s v="31601014 - Acupuntura (R$ 54,56)"/>
    <s v="Acupuntura"/>
    <n v="1702839933"/>
    <s v="Finalizado (3/5)"/>
    <n v="45.830399999999997"/>
    <n v="8.7295999999999996"/>
    <n v="54.56"/>
    <s v="Sessão Faturada"/>
    <n v="774642023205000"/>
    <n v="54184"/>
    <s v="Unidade Sao Jose"/>
    <n v="1702839933"/>
    <m/>
  </r>
  <r>
    <x v="17"/>
    <x v="13"/>
    <s v="Joici Pinto de Freitas"/>
    <s v="Feminino"/>
    <x v="32"/>
    <x v="26"/>
    <s v="31601014 - Acupuntura (R$ 54,56)"/>
    <s v="Acupuntura"/>
    <n v="1709202975"/>
    <s v="Finalizado (1/2)"/>
    <n v="45.830399999999997"/>
    <n v="8.7295999999999996"/>
    <n v="54.56"/>
    <s v="Sessão Faturada"/>
    <n v="954290031526020"/>
    <n v="59577"/>
    <s v="Unidade Sao Jose"/>
    <n v="1709202975"/>
    <m/>
  </r>
  <r>
    <x v="17"/>
    <x v="6"/>
    <s v="Jean da Silva Melo"/>
    <s v="Masculino"/>
    <x v="9"/>
    <x v="26"/>
    <s v="31601014 - Acupuntura (R$ 54,56)"/>
    <s v="Acupuntura"/>
    <n v="1705877043"/>
    <s v="Finalizado (5/5)"/>
    <n v="45.830399999999997"/>
    <n v="8.7295999999999996"/>
    <n v="54.56"/>
    <s v="Sessão Faturada"/>
    <n v="954600003042000"/>
    <n v="29915"/>
    <s v="Unidade Sao Jose"/>
    <n v="1705877043"/>
    <m/>
  </r>
  <r>
    <x v="17"/>
    <x v="15"/>
    <s v="Lauriethe Silva Nascimento Garrido"/>
    <s v="Feminino"/>
    <x v="7"/>
    <x v="26"/>
    <s v="Sao José - 7 - Acupuntura - Pacote (R$ 40,00)"/>
    <s v="Acupuntura"/>
    <n v="170691"/>
    <s v="Finalizado (2/5)"/>
    <n v="30"/>
    <n v="10"/>
    <n v="40"/>
    <s v="Pago"/>
    <n v="59555"/>
    <n v="59555"/>
    <s v="Unidade Sao Jose"/>
    <n v="170691"/>
    <m/>
  </r>
  <r>
    <x v="17"/>
    <x v="15"/>
    <s v="Ketlem Kamila Ribeiro dos Santos"/>
    <m/>
    <x v="31"/>
    <x v="26"/>
    <s v="31601014 - Acupuntura (R$ 54,56)"/>
    <s v="Acupuntura"/>
    <n v="1709162175"/>
    <s v="Finalizado (1/3)"/>
    <n v="45.830399999999997"/>
    <n v="8.7295999999999996"/>
    <n v="54.56"/>
    <s v="Sessão a Faturar"/>
    <n v="881758800094000"/>
    <n v="52913"/>
    <s v="Unidade Sao Jose"/>
    <n v="1709162175"/>
    <m/>
  </r>
  <r>
    <x v="17"/>
    <x v="8"/>
    <s v="Adna Melo da Silva Juvenal"/>
    <s v="Feminino"/>
    <x v="9"/>
    <x v="26"/>
    <s v="31601014 - Acupuntura (R$ 54,56)"/>
    <s v="Acupuntura"/>
    <n v="1701501209"/>
    <s v="Finalizado (4/5)"/>
    <n v="45.830399999999997"/>
    <n v="8.7295999999999996"/>
    <n v="54.56"/>
    <s v="Sessão Faturada"/>
    <n v="954600025615010"/>
    <n v="54008"/>
    <s v="Unidade Sao Jose"/>
    <n v="1701501209"/>
    <m/>
  </r>
  <r>
    <x v="17"/>
    <x v="10"/>
    <s v="Wilsiane Aciole Lopes"/>
    <s v="Feminino"/>
    <x v="4"/>
    <x v="26"/>
    <s v="31601014 - Acupuntura (R$ 54,56)"/>
    <s v="Acupuntura"/>
    <n v="1709206022"/>
    <s v="Finalizado (1/1)"/>
    <n v="45.830399999999997"/>
    <n v="8.7295999999999996"/>
    <n v="54.56"/>
    <s v="Sessão Faturada"/>
    <n v="773709039322010"/>
    <n v="56208"/>
    <s v="Unidade Sao Jose"/>
    <n v="1709206022"/>
    <m/>
  </r>
  <r>
    <x v="17"/>
    <x v="10"/>
    <s v="Maria Neide Oliveira Marques"/>
    <s v="Feminino"/>
    <x v="9"/>
    <x v="26"/>
    <s v="31601014 - Acupuntura (R$ 54,56)"/>
    <s v="Acupuntura"/>
    <n v="1709226379"/>
    <s v="Finalizado (1/5)"/>
    <n v="45.830399999999997"/>
    <n v="8.7295999999999996"/>
    <n v="54.56"/>
    <s v="Sessão Faturada"/>
    <n v="954600008419020"/>
    <n v="52794"/>
    <s v="Unidade Sao Jose"/>
    <n v="1709226379"/>
    <m/>
  </r>
  <r>
    <x v="18"/>
    <x v="36"/>
    <s v="Noraney Gonçalves Costa"/>
    <s v="Feminino"/>
    <x v="7"/>
    <x v="26"/>
    <s v="Sao José - 7 - Acupuntura - Pacote (R$ 40,00)"/>
    <s v="Acupuntura"/>
    <n v="170411"/>
    <s v="Finalizado (4/5)"/>
    <n v="30"/>
    <n v="10"/>
    <n v="40"/>
    <s v="Pago"/>
    <n v="55992"/>
    <n v="55992"/>
    <s v="Unidade Sao Jose"/>
    <n v="170411"/>
    <m/>
  </r>
  <r>
    <x v="18"/>
    <x v="36"/>
    <s v="Tereza da Rocha Vieira"/>
    <s v="Feminino"/>
    <x v="10"/>
    <x v="26"/>
    <s v="31601014 - Acupuntura Por Sessão (R$ 25,00)"/>
    <s v="Acupuntura"/>
    <n v="15101078"/>
    <s v="Finalizado (2/10)"/>
    <n v="21"/>
    <n v="4"/>
    <n v="25"/>
    <s v="Sessão Faturada"/>
    <s v="00010001253014045"/>
    <n v="52943"/>
    <s v="Unidade Sao Jose"/>
    <n v="15101078"/>
    <m/>
  </r>
  <r>
    <x v="18"/>
    <x v="36"/>
    <s v="Dilson Pereira Dourado"/>
    <m/>
    <x v="31"/>
    <x v="26"/>
    <s v="31601014 - Acupuntura (R$ 54,56)"/>
    <s v="Acupuntura"/>
    <n v="1705672983"/>
    <s v="Finalizado (4/5)"/>
    <n v="45.830399999999997"/>
    <n v="8.7295999999999996"/>
    <n v="54.56"/>
    <s v="Sessão Faturada"/>
    <n v="898081400019000"/>
    <n v="54845"/>
    <s v="Unidade Sao Jose"/>
    <n v="1705672983"/>
    <m/>
  </r>
  <r>
    <x v="18"/>
    <x v="36"/>
    <s v="Marta Marcione Bentes Albuquerque"/>
    <s v="Feminino"/>
    <x v="9"/>
    <x v="26"/>
    <s v="31601014 - Acupuntura (R$ 54,56)"/>
    <s v="Acupuntura"/>
    <n v="1709437644"/>
    <s v="Finalizado (1/5)"/>
    <n v="45.830399999999997"/>
    <n v="8.7295999999999996"/>
    <n v="54.56"/>
    <s v="Sessão Faturada"/>
    <n v="954600004960000"/>
    <n v="40103"/>
    <s v="Unidade Sao Jose"/>
    <n v="1709437644"/>
    <m/>
  </r>
  <r>
    <x v="18"/>
    <x v="40"/>
    <s v="Sheila Miranda de Brito"/>
    <s v="Feminino"/>
    <x v="9"/>
    <x v="26"/>
    <s v="31601014 - Acupuntura (R$ 54,56)"/>
    <s v="Acupuntura"/>
    <n v="1702711684"/>
    <s v="Finalizado (3/5)"/>
    <n v="45.830399999999997"/>
    <n v="8.7295999999999996"/>
    <n v="54.56"/>
    <s v="Sessão Faturada"/>
    <n v="954440000590010"/>
    <n v="46121"/>
    <s v="Unidade Sao Jose"/>
    <n v="1702711684"/>
    <m/>
  </r>
  <r>
    <x v="18"/>
    <x v="40"/>
    <s v="Ana Cristina Soares dos Santos Nunes"/>
    <s v="Feminino"/>
    <x v="6"/>
    <x v="26"/>
    <s v="31601014 - Acupuntura (R$ 51,33)"/>
    <s v="Acupuntura"/>
    <n v="168971"/>
    <s v="Finalizado (4/4)"/>
    <n v="43.117199999999997"/>
    <n v="8.2127999999999997"/>
    <n v="51.33"/>
    <s v="Sessão Faturada"/>
    <s v="56788888483384430019"/>
    <n v="46812"/>
    <s v="Unidade Sao Jose"/>
    <n v="168971"/>
    <m/>
  </r>
  <r>
    <x v="18"/>
    <x v="35"/>
    <s v="Misleia Fernandes Mendes"/>
    <s v="Feminino"/>
    <x v="31"/>
    <x v="26"/>
    <s v="31601014 - Acupuntura (R$ 54,56)"/>
    <s v="Acupuntura"/>
    <n v="1698955526"/>
    <s v="Finalizado (3/3)"/>
    <n v="45.830399999999997"/>
    <n v="8.7295999999999996"/>
    <n v="54.56"/>
    <s v="Sessão Faturada"/>
    <n v="770179020664010"/>
    <n v="44824"/>
    <s v="Unidade Sao Jose"/>
    <n v="1698955526"/>
    <m/>
  </r>
  <r>
    <x v="18"/>
    <x v="35"/>
    <s v="Alessandro Ramos Veiga"/>
    <s v="Masculino"/>
    <x v="4"/>
    <x v="26"/>
    <s v="31601014 - Acupuntura (R$ 54,56)"/>
    <s v="Acupuntura"/>
    <n v="1709588644"/>
    <s v="Finalizado (1/3)"/>
    <n v="45.830399999999997"/>
    <n v="8.7295999999999996"/>
    <n v="54.56"/>
    <s v="Sessão Faturada"/>
    <n v="771015061093000"/>
    <n v="59531"/>
    <s v="Unidade Sao Jose"/>
    <n v="1709588644"/>
    <m/>
  </r>
  <r>
    <x v="18"/>
    <x v="38"/>
    <s v="Gilmara Barbosa da Silva"/>
    <s v="Feminino"/>
    <x v="6"/>
    <x v="26"/>
    <s v="31601014 - Acupuntura (R$ 51,33)"/>
    <s v="Acupuntura"/>
    <n v="170256"/>
    <s v="Finalizado (2/4)"/>
    <n v="43.117199999999997"/>
    <n v="8.2127999999999997"/>
    <n v="51.33"/>
    <s v="Sessão Faturada"/>
    <s v="56788888481804800011"/>
    <n v="55664"/>
    <s v="Unidade Sao Jose"/>
    <n v="170256"/>
    <m/>
  </r>
  <r>
    <x v="18"/>
    <x v="38"/>
    <s v="Milena Souza de Sant'ana"/>
    <s v="Feminino"/>
    <x v="6"/>
    <x v="26"/>
    <s v="31601014 - Acupuntura (R$ 51,33)"/>
    <s v="Acupuntura"/>
    <n v="170308"/>
    <s v="Finalizado (3/4)"/>
    <n v="43.117199999999997"/>
    <n v="8.2127999999999997"/>
    <n v="51.33"/>
    <s v="Sessão Faturada"/>
    <s v="56788888477947370012"/>
    <n v="59507"/>
    <s v="Unidade Sao Jose"/>
    <n v="170308"/>
    <m/>
  </r>
  <r>
    <x v="18"/>
    <x v="38"/>
    <s v="Elisangela de Araujo Souza"/>
    <s v="Feminino"/>
    <x v="9"/>
    <x v="26"/>
    <s v="31601014 - Acupuntura (R$ 54,56)"/>
    <s v="Acupuntura"/>
    <n v="1707292399"/>
    <s v="Finalizado (2/5)"/>
    <n v="45.830399999999997"/>
    <n v="8.7295999999999996"/>
    <n v="54.56"/>
    <s v="Sessão Faturada"/>
    <n v="954600000884010"/>
    <n v="26307"/>
    <s v="Unidade Sao Jose"/>
    <n v="1707292399"/>
    <m/>
  </r>
  <r>
    <x v="18"/>
    <x v="0"/>
    <s v="Andréa Nadiane Corrêa Rosa"/>
    <s v="Feminino"/>
    <x v="6"/>
    <x v="26"/>
    <s v="31601014 - Acupuntura (R$ 51,33)"/>
    <s v="Acupuntura"/>
    <n v="168397"/>
    <s v="Finalizado (4/4)"/>
    <n v="43.117199999999997"/>
    <n v="8.2127999999999997"/>
    <n v="51.33"/>
    <s v="Sessão Faturada"/>
    <s v="54588888005928480026"/>
    <n v="50931"/>
    <s v="Unidade Sao Jose"/>
    <n v="168397"/>
    <m/>
  </r>
  <r>
    <x v="18"/>
    <x v="2"/>
    <s v="Maria Francisca da Silva Carvalho"/>
    <s v="Feminino"/>
    <x v="7"/>
    <x v="26"/>
    <s v="Sao José - 7 - Acupuntura - Pacote (R$ 40,00)"/>
    <s v="Acupuntura"/>
    <n v="171207"/>
    <s v="Finalizado (1/5)"/>
    <n v="30"/>
    <n v="10"/>
    <n v="40"/>
    <s v="Pago"/>
    <n v="58726"/>
    <n v="58726"/>
    <s v="Unidade Sao Jose"/>
    <n v="171207"/>
    <m/>
  </r>
  <r>
    <x v="18"/>
    <x v="6"/>
    <s v="Clicia Nayara Coimbra Soares"/>
    <s v="Feminino"/>
    <x v="4"/>
    <x v="26"/>
    <s v="31601014 - Acupuntura (R$ 54,56)"/>
    <s v="Acupuntura"/>
    <n v="1701931925"/>
    <s v="Finalizado (5/5)"/>
    <n v="45.830399999999997"/>
    <n v="8.7295999999999996"/>
    <n v="54.56"/>
    <s v="Sessão Faturada"/>
    <n v="843486100370000"/>
    <n v="49710"/>
    <s v="Unidade Sao Jose"/>
    <n v="1701931925"/>
    <m/>
  </r>
  <r>
    <x v="18"/>
    <x v="6"/>
    <s v="Beatriz de Souza Figueiredo"/>
    <s v="Feminino"/>
    <x v="9"/>
    <x v="26"/>
    <s v="31601014 - Acupuntura (R$ 54,56)"/>
    <s v="Acupuntura"/>
    <n v="1705886026"/>
    <s v="Finalizado (2/2)"/>
    <n v="45.830399999999997"/>
    <n v="8.7295999999999996"/>
    <n v="54.56"/>
    <s v="Sessão Faturada"/>
    <n v="954440004065020"/>
    <n v="57037"/>
    <s v="Unidade Sao Jose"/>
    <n v="1705886026"/>
    <m/>
  </r>
  <r>
    <x v="18"/>
    <x v="6"/>
    <s v="Diana Costa Tavares Gonçalves"/>
    <s v="Feminino"/>
    <x v="31"/>
    <x v="26"/>
    <s v="31601014 - Acupuntura (R$ 54,56)"/>
    <s v="Acupuntura"/>
    <n v="116785"/>
    <s v="Finalizado (7/10)"/>
    <n v="45.830399999999997"/>
    <n v="8.7295999999999996"/>
    <n v="54.56"/>
    <s v="Sessão Faturada"/>
    <n v="813227000817000"/>
    <n v="52256"/>
    <s v="Unidade Sao Jose"/>
    <n v="116785"/>
    <m/>
  </r>
  <r>
    <x v="18"/>
    <x v="17"/>
    <s v="Fernanda Neves Sabugosa"/>
    <s v="Feminino"/>
    <x v="31"/>
    <x v="26"/>
    <s v="31601014 - Acupuntura (R$ 54,56)"/>
    <s v="Acupuntura"/>
    <n v="1705919283"/>
    <s v="Finalizado (3/5)"/>
    <n v="45.830399999999997"/>
    <n v="8.7295999999999996"/>
    <n v="54.56"/>
    <s v="Sessão Faturada"/>
    <n v="771015043370010"/>
    <n v="38199"/>
    <s v="Unidade Sao Jose"/>
    <n v="1705919283"/>
    <m/>
  </r>
  <r>
    <x v="18"/>
    <x v="8"/>
    <s v="Raimundo Marques Barreiros Junior"/>
    <s v="Masculino"/>
    <x v="32"/>
    <x v="26"/>
    <s v="31601014 - Acupuntura (R$ 54,56)"/>
    <s v="Acupuntura"/>
    <n v="117146"/>
    <s v="Finalizado (6/10)"/>
    <n v="45.830399999999997"/>
    <n v="8.7295999999999996"/>
    <n v="54.56"/>
    <s v="Sessão Faturada"/>
    <n v="954290031526000"/>
    <n v="53139"/>
    <s v="Unidade Sao Jose"/>
    <n v="117146"/>
    <m/>
  </r>
  <r>
    <x v="18"/>
    <x v="8"/>
    <s v="Joici Pinto de Freitas"/>
    <s v="Feminino"/>
    <x v="32"/>
    <x v="26"/>
    <s v="31601014 - Acupuntura (R$ 54,56)"/>
    <s v="Acupuntura"/>
    <n v="1709202975"/>
    <s v="Finalizado (2/2)"/>
    <n v="45.830399999999997"/>
    <n v="8.7295999999999996"/>
    <n v="54.56"/>
    <s v="Sessão Faturada"/>
    <n v="954290031526020"/>
    <n v="59577"/>
    <s v="Unidade Sao Jose"/>
    <n v="1709202975"/>
    <m/>
  </r>
  <r>
    <x v="18"/>
    <x v="8"/>
    <s v="Samuel Santana Bruce"/>
    <s v="Masculino"/>
    <x v="4"/>
    <x v="26"/>
    <s v="31601014 - Acupuntura (R$ 54,56)"/>
    <s v="Acupuntura"/>
    <n v="1702233780"/>
    <s v="Finalizado (2/2)"/>
    <n v="45.830399999999997"/>
    <n v="8.7295999999999996"/>
    <n v="54.56"/>
    <s v="Sessão Faturada"/>
    <n v="775225007463010"/>
    <n v="58863"/>
    <s v="Unidade Sao Jose"/>
    <n v="1702233780"/>
    <m/>
  </r>
  <r>
    <x v="18"/>
    <x v="10"/>
    <s v="Ana Cleude Pantoja da Silva"/>
    <s v="Feminino"/>
    <x v="9"/>
    <x v="26"/>
    <s v="31601014 - Acupuntura (R$ 54,56)"/>
    <s v="Acupuntura"/>
    <n v="1706446591"/>
    <s v="Finalizado (3/4)"/>
    <n v="45.830399999999997"/>
    <n v="8.7295999999999996"/>
    <n v="54.56"/>
    <s v="Sessão Faturada"/>
    <n v="954600008567000"/>
    <n v="23678"/>
    <s v="Unidade Sao Jose"/>
    <n v="1706446591"/>
    <m/>
  </r>
  <r>
    <x v="18"/>
    <x v="10"/>
    <s v="Luan Raphael Fernandes da Silva"/>
    <s v="Masculino"/>
    <x v="31"/>
    <x v="26"/>
    <s v="31601014 - Acupuntura (R$ 54,56)"/>
    <s v="Acupuntura"/>
    <n v="1709854400"/>
    <s v="Finalizado (1/5)"/>
    <n v="45.830399999999997"/>
    <n v="8.7295999999999996"/>
    <n v="54.56"/>
    <s v="Sessão Faturada"/>
    <n v="775216014346010"/>
    <n v="59334"/>
    <s v="Unidade Sao Jose"/>
    <n v="1709854400"/>
    <m/>
  </r>
  <r>
    <x v="22"/>
    <x v="41"/>
    <s v="Noraney Gonçalves Costa"/>
    <s v="Feminino"/>
    <x v="7"/>
    <x v="26"/>
    <s v="Sao José - 7 - Acupuntura - Pacote (R$ 40,00)"/>
    <s v="Acupuntura"/>
    <n v="170411"/>
    <s v="Finalizado (5/5)"/>
    <n v="30"/>
    <n v="10"/>
    <n v="40"/>
    <s v="Pago"/>
    <n v="55992"/>
    <n v="55992"/>
    <s v="Unidade Sao Jose"/>
    <n v="170411"/>
    <m/>
  </r>
  <r>
    <x v="22"/>
    <x v="36"/>
    <s v="Josiane de Sousa Santos"/>
    <s v="Feminino"/>
    <x v="9"/>
    <x v="26"/>
    <s v="31601014 - Acupuntura (R$ 54,56)"/>
    <s v="Acupuntura"/>
    <n v="1708868741"/>
    <s v="Finalizado (2/3)"/>
    <n v="45.830399999999997"/>
    <n v="8.7295999999999996"/>
    <n v="54.56"/>
    <s v="Sessão Faturada"/>
    <n v="954600005274010"/>
    <n v="23225"/>
    <s v="Unidade Sao Jose"/>
    <n v="1708868741"/>
    <m/>
  </r>
  <r>
    <x v="22"/>
    <x v="40"/>
    <s v="Ketlem Kamila Ribeiro dos Santos"/>
    <m/>
    <x v="31"/>
    <x v="26"/>
    <s v="31601014 - Acupuntura (R$ 54,56)"/>
    <s v="Acupuntura"/>
    <n v="1709162175"/>
    <s v="Finalizado (2/3)"/>
    <n v="45.830399999999997"/>
    <n v="8.7295999999999996"/>
    <n v="54.56"/>
    <s v="Sessão a Faturar"/>
    <n v="881758800094000"/>
    <n v="52913"/>
    <s v="Unidade Sao Jose"/>
    <n v="1709162175"/>
    <m/>
  </r>
  <r>
    <x v="22"/>
    <x v="35"/>
    <s v="Francinete Ferreira de Souza"/>
    <s v="Feminino"/>
    <x v="9"/>
    <x v="26"/>
    <s v="31601014 - Acupuntura (R$ 54,56)"/>
    <s v="Acupuntura"/>
    <n v="1706717565"/>
    <s v="Finalizado (3/5)"/>
    <n v="45.830399999999997"/>
    <n v="8.7295999999999996"/>
    <n v="54.56"/>
    <s v="Sessão Faturada"/>
    <n v="954390037672020"/>
    <n v="41225"/>
    <s v="Unidade Sao Jose"/>
    <n v="1706717565"/>
    <m/>
  </r>
  <r>
    <x v="22"/>
    <x v="35"/>
    <s v="Milza Santos"/>
    <s v="Feminino"/>
    <x v="32"/>
    <x v="26"/>
    <s v="31601014 - Acupuntura (R$ 54,56)"/>
    <s v="Acupuntura"/>
    <n v="1708005854"/>
    <s v="Finalizado (2/5)"/>
    <n v="45.830399999999997"/>
    <n v="8.7295999999999996"/>
    <n v="54.56"/>
    <s v="Sessão Faturada"/>
    <n v="954600000493010"/>
    <n v="41659"/>
    <s v="Unidade Sao Jose"/>
    <n v="1708005854"/>
    <m/>
  </r>
  <r>
    <x v="22"/>
    <x v="35"/>
    <s v="Sheila Ferreira do Nascimento"/>
    <s v="Feminino"/>
    <x v="31"/>
    <x v="26"/>
    <s v="31601014 - Acupuntura (R$ 54,56)"/>
    <s v="Acupuntura"/>
    <n v="1704257150"/>
    <s v="Finalizado (4/5)"/>
    <n v="45.830399999999997"/>
    <n v="8.7295999999999996"/>
    <n v="54.56"/>
    <s v="Sessão Faturada"/>
    <n v="774239001511020"/>
    <n v="27492"/>
    <s v="Unidade Sao Jose"/>
    <n v="1704257150"/>
    <m/>
  </r>
  <r>
    <x v="22"/>
    <x v="38"/>
    <s v="Cildomar dos Santos Lira"/>
    <s v="Masculino"/>
    <x v="7"/>
    <x v="26"/>
    <s v="Sao José - 7 - Acupuntura - Pacote (R$ 40,00)"/>
    <s v="Acupuntura"/>
    <n v="170988"/>
    <s v="Finalizado (1/5)"/>
    <n v="30"/>
    <n v="10"/>
    <n v="40"/>
    <s v="No Prazo"/>
    <n v="331883"/>
    <n v="33183"/>
    <s v="Unidade Sao Jose"/>
    <n v="170988"/>
    <m/>
  </r>
  <r>
    <x v="22"/>
    <x v="39"/>
    <s v="Elisangela de Araujo Souza"/>
    <s v="Feminino"/>
    <x v="9"/>
    <x v="26"/>
    <s v="31601014 - Acupuntura (R$ 54,56)"/>
    <s v="Acupuntura"/>
    <n v="1707292399"/>
    <s v="Finalizado (3/5)"/>
    <n v="45.830399999999997"/>
    <n v="8.7295999999999996"/>
    <n v="54.56"/>
    <s v="Sessão Faturada"/>
    <n v="954600000884010"/>
    <n v="26307"/>
    <s v="Unidade Sao Jose"/>
    <n v="1707292399"/>
    <m/>
  </r>
  <r>
    <x v="22"/>
    <x v="43"/>
    <s v="Jacqueline Lima de Oliveira"/>
    <s v="Feminino"/>
    <x v="31"/>
    <x v="26"/>
    <s v="31601014 - Acupuntura (R$ 54,56)"/>
    <s v="Acupuntura"/>
    <n v="1707329080"/>
    <s v="Finalizado (3/5)"/>
    <n v="45.830399999999997"/>
    <n v="8.7295999999999996"/>
    <n v="54.56"/>
    <s v="Sessão Faturada"/>
    <n v="611481880006000"/>
    <n v="59217"/>
    <s v="Unidade Sao Jose"/>
    <n v="1707329080"/>
    <m/>
  </r>
  <r>
    <x v="22"/>
    <x v="43"/>
    <s v="Wildson Costa dos Santos"/>
    <s v="Masculino"/>
    <x v="6"/>
    <x v="26"/>
    <s v="31601014 - Acupuntura (R$ 51,33)"/>
    <s v="Acupuntura"/>
    <n v="170985"/>
    <s v="Finalizado (2/4)"/>
    <n v="43.117199999999997"/>
    <n v="8.2127999999999997"/>
    <n v="51.33"/>
    <s v="Sessão Faturada"/>
    <s v="58201065998121610018"/>
    <n v="59580"/>
    <s v="Unidade Sao Jose"/>
    <n v="170985"/>
    <m/>
  </r>
  <r>
    <x v="22"/>
    <x v="0"/>
    <s v="Maria Francisca da Silva Carvalho"/>
    <s v="Feminino"/>
    <x v="7"/>
    <x v="26"/>
    <s v="Sao José - 7 - Acupuntura - Pacote (R$ 40,00)"/>
    <s v="Acupuntura"/>
    <n v="171207"/>
    <s v="Finalizado (2/5)"/>
    <n v="30"/>
    <n v="10"/>
    <n v="40"/>
    <s v="Pago"/>
    <n v="58726"/>
    <n v="58726"/>
    <s v="Unidade Sao Jose"/>
    <n v="171207"/>
    <m/>
  </r>
  <r>
    <x v="22"/>
    <x v="0"/>
    <s v="Natan Michiles"/>
    <s v="Masculino"/>
    <x v="7"/>
    <x v="26"/>
    <s v="Sao José - 7 - Acupuntura - Pacote (R$ 40,00)"/>
    <s v="Acupuntura"/>
    <n v="170184"/>
    <s v="Finalizado (3/5)"/>
    <n v="30"/>
    <n v="10"/>
    <n v="40"/>
    <s v="Pago"/>
    <n v="53679"/>
    <n v="53679"/>
    <s v="Unidade Sao Jose"/>
    <n v="170184"/>
    <m/>
  </r>
  <r>
    <x v="22"/>
    <x v="2"/>
    <s v="Clicia Nayara Coimbra Soares"/>
    <s v="Feminino"/>
    <x v="4"/>
    <x v="26"/>
    <s v="31601014 - Acupuntura (R$ 54,56)"/>
    <s v="Acupuntura"/>
    <n v="1710356739"/>
    <s v="Finalizado (1/4)"/>
    <n v="45.830399999999997"/>
    <n v="8.7295999999999996"/>
    <n v="54.56"/>
    <s v="Sessão Faturada"/>
    <n v="843486100370000"/>
    <n v="49710"/>
    <s v="Unidade Sao Jose"/>
    <n v="1710356739"/>
    <m/>
  </r>
  <r>
    <x v="22"/>
    <x v="2"/>
    <s v="Maria Sueide Pacheco"/>
    <s v="Feminino"/>
    <x v="12"/>
    <x v="26"/>
    <s v="31601014 - Acupuntura (R$ 54,56)"/>
    <s v="Acupuntura"/>
    <n v="10292557"/>
    <s v="Finalizado (6/10)"/>
    <n v="45.830399999999997"/>
    <n v="8.7295999999999996"/>
    <n v="54.56"/>
    <s v="Sessão Faturada"/>
    <s v="000432154994220501"/>
    <n v="26513"/>
    <s v="Unidade Sao Jose"/>
    <n v="10292557"/>
    <m/>
  </r>
  <r>
    <x v="22"/>
    <x v="13"/>
    <s v="Lauriethe Silva Nascimento Garrido"/>
    <s v="Feminino"/>
    <x v="7"/>
    <x v="26"/>
    <s v="Sao José - 7 - Acupuntura - Pacote (R$ 40,00)"/>
    <s v="Acupuntura"/>
    <n v="170691"/>
    <s v="Finalizado (3/5)"/>
    <n v="30"/>
    <n v="10"/>
    <n v="40"/>
    <s v="Pago"/>
    <n v="59555"/>
    <n v="59555"/>
    <s v="Unidade Sao Jose"/>
    <n v="170691"/>
    <m/>
  </r>
  <r>
    <x v="22"/>
    <x v="6"/>
    <s v="Jean da Silva Melo"/>
    <s v="Masculino"/>
    <x v="32"/>
    <x v="26"/>
    <s v="31601014 - Acupuntura (R$ 54,56)"/>
    <s v="Acupuntura"/>
    <n v="1710461196"/>
    <s v="Finalizado (1/5)"/>
    <n v="45.830399999999997"/>
    <n v="8.7295999999999996"/>
    <n v="54.56"/>
    <s v="Sessão Faturada"/>
    <n v="954600003042000"/>
    <n v="29915"/>
    <s v="Unidade Sao Jose"/>
    <n v="1710461196"/>
    <m/>
  </r>
  <r>
    <x v="22"/>
    <x v="17"/>
    <s v="Jeane Cardoso Pinheiro"/>
    <s v="Feminino"/>
    <x v="9"/>
    <x v="26"/>
    <s v="31601014 - Acupuntura (R$ 54,56)"/>
    <s v="Acupuntura"/>
    <n v="1710428067"/>
    <s v="Finalizado (1/1)"/>
    <n v="45.830399999999997"/>
    <n v="8.7295999999999996"/>
    <n v="54.56"/>
    <s v="Sessão Faturada"/>
    <n v="954600033294000"/>
    <n v="57294"/>
    <s v="Unidade Sao Jose"/>
    <n v="1710428067"/>
    <m/>
  </r>
  <r>
    <x v="22"/>
    <x v="10"/>
    <s v="Maria Neide Oliveira Marques"/>
    <s v="Feminino"/>
    <x v="9"/>
    <x v="26"/>
    <s v="31601014 - Acupuntura (R$ 54,56)"/>
    <s v="Acupuntura"/>
    <n v="1709226379"/>
    <s v="Finalizado (2/5)"/>
    <n v="45.830399999999997"/>
    <n v="8.7295999999999996"/>
    <n v="54.56"/>
    <s v="Sessão Faturada"/>
    <n v="954600008419020"/>
    <n v="52794"/>
    <s v="Unidade Sao Jose"/>
    <n v="1709226379"/>
    <m/>
  </r>
  <r>
    <x v="22"/>
    <x v="10"/>
    <s v="Fernanda Neves Sabugosa"/>
    <s v="Feminino"/>
    <x v="31"/>
    <x v="26"/>
    <s v="31601014 - Acupuntura (R$ 54,56)"/>
    <s v="Acupuntura"/>
    <n v="1705919283"/>
    <s v="Finalizado (4/5)"/>
    <n v="45.830399999999997"/>
    <n v="8.7295999999999996"/>
    <n v="54.56"/>
    <s v="Sessão Faturada"/>
    <n v="771015043370010"/>
    <n v="38199"/>
    <s v="Unidade Sao Jose"/>
    <n v="1705919283"/>
    <m/>
  </r>
  <r>
    <x v="19"/>
    <x v="36"/>
    <s v="Alessandro Ramos Veiga"/>
    <s v="Masculino"/>
    <x v="4"/>
    <x v="26"/>
    <s v="31601014 - Acupuntura (R$ 54,56)"/>
    <s v="Acupuntura"/>
    <n v="1709588644"/>
    <s v="Finalizado (2/3)"/>
    <n v="45.830399999999997"/>
    <n v="8.7295999999999996"/>
    <n v="54.56"/>
    <s v="Sessão Faturada"/>
    <n v="771015061093000"/>
    <n v="59531"/>
    <s v="Unidade Sao Jose"/>
    <n v="1709588644"/>
    <m/>
  </r>
  <r>
    <x v="19"/>
    <x v="36"/>
    <s v="Tereza da Rocha Vieira"/>
    <s v="Feminino"/>
    <x v="10"/>
    <x v="26"/>
    <s v="31601014 - Acupuntura Por Sessão (R$ 25,00)"/>
    <s v="Acupuntura"/>
    <n v="15101078"/>
    <s v="Finalizado (3/10)"/>
    <n v="21"/>
    <n v="4"/>
    <n v="25"/>
    <s v="Sessão Faturada"/>
    <s v="00010001253014045"/>
    <n v="52943"/>
    <s v="Unidade Sao Jose"/>
    <n v="15101078"/>
    <m/>
  </r>
  <r>
    <x v="19"/>
    <x v="36"/>
    <s v="Marta Marcione Bentes Albuquerque"/>
    <s v="Feminino"/>
    <x v="9"/>
    <x v="26"/>
    <s v="31601014 - Acupuntura (R$ 54,56)"/>
    <s v="Acupuntura"/>
    <n v="1709437644"/>
    <s v="Finalizado (2/5)"/>
    <n v="45.830399999999997"/>
    <n v="8.7295999999999996"/>
    <n v="54.56"/>
    <s v="Sessão Faturada"/>
    <n v="954600004960000"/>
    <n v="40103"/>
    <s v="Unidade Sao Jose"/>
    <n v="1709437644"/>
    <m/>
  </r>
  <r>
    <x v="19"/>
    <x v="40"/>
    <s v="Simone Soares Franco"/>
    <s v="Feminino"/>
    <x v="9"/>
    <x v="26"/>
    <s v="31601014 - Acupuntura (R$ 54,56)"/>
    <s v="Acupuntura"/>
    <n v="1710719202"/>
    <s v="Finalizado (1/5)"/>
    <n v="45.830399999999997"/>
    <n v="8.7295999999999996"/>
    <n v="54.56"/>
    <s v="Sessão Faturada"/>
    <n v="954600000256000"/>
    <n v="24181"/>
    <s v="Unidade Sao Jose"/>
    <n v="1710719202"/>
    <m/>
  </r>
  <r>
    <x v="19"/>
    <x v="40"/>
    <s v="Manuela Soares de Freitas Mendonca"/>
    <s v="Feminino"/>
    <x v="9"/>
    <x v="26"/>
    <s v="31601014 - Acupuntura (R$ 54,56)"/>
    <s v="Acupuntura"/>
    <n v="1710721761"/>
    <s v="Finalizado (1/5)"/>
    <n v="45.830399999999997"/>
    <n v="8.7295999999999996"/>
    <n v="54.56"/>
    <s v="Sessão Faturada"/>
    <n v="954600000256030"/>
    <n v="53656"/>
    <s v="Unidade Sao Jose"/>
    <n v="1710721761"/>
    <m/>
  </r>
  <r>
    <x v="19"/>
    <x v="40"/>
    <s v="Manoel de Freitas Mendonça Neto"/>
    <s v="Masculino"/>
    <x v="9"/>
    <x v="26"/>
    <s v="31601014 - Acupuntura (R$ 54,56)"/>
    <s v="Acupuntura"/>
    <n v="1710726719"/>
    <s v="Finalizado (1/5)"/>
    <n v="45.830399999999997"/>
    <n v="8.7295999999999996"/>
    <n v="54.56"/>
    <s v="Sessão Faturada"/>
    <n v="954600000256020"/>
    <n v="47993"/>
    <s v="Unidade Sao Jose"/>
    <n v="1710726719"/>
    <m/>
  </r>
  <r>
    <x v="19"/>
    <x v="35"/>
    <s v="Francinete Ferreira de Souza"/>
    <s v="Feminino"/>
    <x v="9"/>
    <x v="26"/>
    <s v="31601014 - Acupuntura (R$ 54,56)"/>
    <s v="Acupuntura"/>
    <n v="1706717565"/>
    <s v="Finalizado (4/5)"/>
    <n v="45.830399999999997"/>
    <n v="8.7295999999999996"/>
    <n v="54.56"/>
    <s v="Sessão Faturada"/>
    <n v="954390037672020"/>
    <n v="41225"/>
    <s v="Unidade Sao Jose"/>
    <n v="1706717565"/>
    <m/>
  </r>
  <r>
    <x v="19"/>
    <x v="38"/>
    <s v="Kize Coelho Mar"/>
    <s v="Feminino"/>
    <x v="9"/>
    <x v="26"/>
    <s v="31601014 - Acupuntura (R$ 54,56)"/>
    <s v="Acupuntura"/>
    <n v="1710803927"/>
    <s v="Finalizado (1/5)"/>
    <n v="45.830399999999997"/>
    <n v="8.7295999999999996"/>
    <n v="54.56"/>
    <s v="Sessão Faturada"/>
    <n v="954600030813000"/>
    <n v="59602"/>
    <s v="Unidade Sao Jose"/>
    <n v="1710803927"/>
    <m/>
  </r>
  <r>
    <x v="19"/>
    <x v="38"/>
    <s v="Milena Souza de Sant'ana"/>
    <s v="Feminino"/>
    <x v="6"/>
    <x v="26"/>
    <s v="31601014 - Acupuntura (R$ 51,33)"/>
    <s v="Acupuntura"/>
    <n v="170308"/>
    <s v="Finalizado (4/4)"/>
    <n v="43.117199999999997"/>
    <n v="8.2127999999999997"/>
    <n v="51.33"/>
    <s v="Sessão Faturada"/>
    <s v="56788888477947370012"/>
    <n v="59507"/>
    <s v="Unidade Sao Jose"/>
    <n v="170308"/>
    <m/>
  </r>
  <r>
    <x v="19"/>
    <x v="38"/>
    <s v="Gilmara Barbosa da Silva"/>
    <s v="Feminino"/>
    <x v="6"/>
    <x v="26"/>
    <s v="31601014 - Acupuntura (R$ 51,33)"/>
    <s v="Acupuntura"/>
    <n v="170256"/>
    <s v="Finalizado (3/4)"/>
    <n v="43.117199999999997"/>
    <n v="8.2127999999999997"/>
    <n v="51.33"/>
    <s v="Sessão Faturada"/>
    <s v="56788888481804800011"/>
    <n v="55664"/>
    <s v="Unidade Sao Jose"/>
    <n v="170256"/>
    <m/>
  </r>
  <r>
    <x v="19"/>
    <x v="38"/>
    <s v="Dilson Pereira Dourado"/>
    <m/>
    <x v="31"/>
    <x v="26"/>
    <s v="31601014 - Acupuntura (R$ 54,56)"/>
    <s v="Acupuntura"/>
    <n v="1705672983"/>
    <s v="Finalizado (5/5)"/>
    <n v="45.830399999999997"/>
    <n v="8.7295999999999996"/>
    <n v="54.56"/>
    <s v="Sessão Faturada"/>
    <n v="898081400019000"/>
    <n v="54845"/>
    <s v="Unidade Sao Jose"/>
    <n v="1705672983"/>
    <m/>
  </r>
  <r>
    <x v="19"/>
    <x v="2"/>
    <s v="Maria Francisca da Silva Carvalho"/>
    <s v="Feminino"/>
    <x v="7"/>
    <x v="26"/>
    <s v="Sao José - 7 - Acupuntura - Pacote (R$ 40,00)"/>
    <s v="Acupuntura"/>
    <n v="171207"/>
    <s v="Finalizado (3/5)"/>
    <n v="30"/>
    <n v="10"/>
    <n v="40"/>
    <s v="Pago"/>
    <n v="58726"/>
    <n v="58726"/>
    <s v="Unidade Sao Jose"/>
    <n v="171207"/>
    <m/>
  </r>
  <r>
    <x v="19"/>
    <x v="13"/>
    <s v="Leonardo Batista de Souza"/>
    <s v="Masculino"/>
    <x v="5"/>
    <x v="26"/>
    <s v="31601014 - Acupuntura - 04/03/2026 (R$ 86,81)"/>
    <s v="Acupuntura"/>
    <n v="65115940"/>
    <s v="Finalizado (2/10)"/>
    <n v="72.920400000000001"/>
    <n v="13.8896"/>
    <n v="86.81"/>
    <s v="Sessão Faturada"/>
    <s v="0101516639000159"/>
    <n v="54993"/>
    <s v="Unidade Sao Jose"/>
    <n v="65115940"/>
    <m/>
  </r>
  <r>
    <x v="19"/>
    <x v="6"/>
    <s v="Francinete Lima de Souza"/>
    <s v="Feminino"/>
    <x v="7"/>
    <x v="26"/>
    <s v="Sao José - 6 - Acupuntura - Sessão (R$ 60,00)"/>
    <s v="Acupuntura"/>
    <n v="161339"/>
    <s v="Finalizado (1/1)"/>
    <n v="45"/>
    <n v="15"/>
    <n v="60"/>
    <s v="Pago"/>
    <n v="58537"/>
    <n v="58537"/>
    <s v="Unidade Sao Jose"/>
    <n v="161339"/>
    <m/>
  </r>
  <r>
    <x v="19"/>
    <x v="17"/>
    <s v="Rosalvo Jerônimo Corrêa Júnior"/>
    <s v="Masculino"/>
    <x v="5"/>
    <x v="26"/>
    <s v="31601014 - Acupuntura (R$ 90,51)"/>
    <s v="Acupuntura"/>
    <n v="78535120"/>
    <s v="Finalizado (1/10)"/>
    <n v="76.028400000000005"/>
    <n v="14.4816"/>
    <n v="90.51"/>
    <s v="Sessão a Faturar"/>
    <s v="010119271100"/>
    <n v="21327"/>
    <s v="Unidade Sao Jose"/>
    <n v="78535120"/>
    <m/>
  </r>
  <r>
    <x v="19"/>
    <x v="8"/>
    <s v="Luan Raphael Fernandes da Silva"/>
    <s v="Masculino"/>
    <x v="31"/>
    <x v="26"/>
    <s v="31601014 - Acupuntura (R$ 54,56)"/>
    <s v="Acupuntura"/>
    <n v="1709854400"/>
    <s v="Finalizado (2/5)"/>
    <n v="45.830399999999997"/>
    <n v="8.7295999999999996"/>
    <n v="54.56"/>
    <s v="Sessão Faturada"/>
    <n v="775216014346010"/>
    <n v="59334"/>
    <s v="Unidade Sao Jose"/>
    <n v="1709854400"/>
    <m/>
  </r>
  <r>
    <x v="19"/>
    <x v="10"/>
    <s v="Sarah Gabriela  da Silva Debastiani Amorim"/>
    <s v="Feminino"/>
    <x v="9"/>
    <x v="26"/>
    <s v="31601014 - Acupuntura (R$ 54,56)"/>
    <s v="Acupuntura"/>
    <n v="1711081169"/>
    <s v="Finalizado (1/2)"/>
    <n v="45.830399999999997"/>
    <n v="8.7295999999999996"/>
    <n v="54.56"/>
    <s v="Sessão Faturada"/>
    <n v="954600015270010"/>
    <n v="44887"/>
    <s v="Unidade Sao Jose"/>
    <n v="1711081169"/>
    <m/>
  </r>
  <r>
    <x v="20"/>
    <x v="36"/>
    <s v="Andrea de Moraes  Campos"/>
    <s v="Feminino"/>
    <x v="9"/>
    <x v="26"/>
    <s v="31601014 - Acupuntura (R$ 54,56)"/>
    <s v="Acupuntura"/>
    <n v="131426"/>
    <s v="Finalizado (7/10)"/>
    <n v="45.830399999999997"/>
    <n v="8.7295999999999996"/>
    <n v="54.56"/>
    <s v="Sessão Faturada"/>
    <n v="954600006130000"/>
    <n v="50427"/>
    <s v="Unidade Sao Jose"/>
    <n v="131426"/>
    <m/>
  </r>
  <r>
    <x v="20"/>
    <x v="40"/>
    <s v="Marta Marcione Bentes Albuquerque"/>
    <s v="Feminino"/>
    <x v="9"/>
    <x v="26"/>
    <s v="31601014 - Acupuntura (R$ 54,56)"/>
    <s v="Acupuntura"/>
    <n v="1709437644"/>
    <s v="Finalizado (3/5)"/>
    <n v="45.830399999999997"/>
    <n v="8.7295999999999996"/>
    <n v="54.56"/>
    <s v="Sessão Faturada"/>
    <n v="954600004960000"/>
    <n v="40103"/>
    <s v="Unidade Sao Jose"/>
    <n v="1709437644"/>
    <m/>
  </r>
  <r>
    <x v="20"/>
    <x v="35"/>
    <s v="Manuela Soares de Freitas Mendonca"/>
    <s v="Feminino"/>
    <x v="9"/>
    <x v="26"/>
    <s v="31601014 - Acupuntura (R$ 54,56)"/>
    <s v="Acupuntura"/>
    <n v="1710721761"/>
    <s v="Finalizado (2/5)"/>
    <n v="45.830399999999997"/>
    <n v="8.7295999999999996"/>
    <n v="54.56"/>
    <s v="Sessão Faturada"/>
    <n v="954600000256030"/>
    <n v="53656"/>
    <s v="Unidade Sao Jose"/>
    <n v="1710721761"/>
    <m/>
  </r>
  <r>
    <x v="20"/>
    <x v="35"/>
    <s v="Simone Soares Franco"/>
    <s v="Feminino"/>
    <x v="9"/>
    <x v="26"/>
    <s v="31601014 - Acupuntura (R$ 54,56)"/>
    <s v="Acupuntura"/>
    <n v="1710719202"/>
    <s v="Finalizado (2/5)"/>
    <n v="45.830399999999997"/>
    <n v="8.7295999999999996"/>
    <n v="54.56"/>
    <s v="Sessão Faturada"/>
    <n v="954600000256000"/>
    <n v="24181"/>
    <s v="Unidade Sao Jose"/>
    <n v="1710719202"/>
    <m/>
  </r>
  <r>
    <x v="20"/>
    <x v="35"/>
    <s v="Manoel de Freitas Mendonça Neto"/>
    <s v="Masculino"/>
    <x v="9"/>
    <x v="26"/>
    <s v="31601014 - Acupuntura (R$ 54,56)"/>
    <s v="Acupuntura"/>
    <n v="1710726719"/>
    <s v="Finalizado (2/5)"/>
    <n v="45.830399999999997"/>
    <n v="8.7295999999999996"/>
    <n v="54.56"/>
    <s v="Sessão Faturada"/>
    <n v="954600000256020"/>
    <n v="47993"/>
    <s v="Unidade Sao Jose"/>
    <n v="1710726719"/>
    <m/>
  </r>
  <r>
    <x v="20"/>
    <x v="37"/>
    <s v="Francinete Ferreira de Souza"/>
    <s v="Feminino"/>
    <x v="9"/>
    <x v="26"/>
    <s v="31601014 - Acupuntura (R$ 54,56)"/>
    <s v="Acupuntura"/>
    <n v="1706717565"/>
    <s v="Finalizado (5/5)"/>
    <n v="45.830399999999997"/>
    <n v="8.7295999999999996"/>
    <n v="54.56"/>
    <s v="Sessão Faturada"/>
    <n v="954390037672020"/>
    <n v="41225"/>
    <s v="Unidade Sao Jose"/>
    <n v="1706717565"/>
    <m/>
  </r>
  <r>
    <x v="20"/>
    <x v="37"/>
    <s v="Elisangela de Araujo Souza"/>
    <s v="Feminino"/>
    <x v="9"/>
    <x v="26"/>
    <s v="31601014 - Acupuntura (R$ 54,56)"/>
    <s v="Acupuntura"/>
    <n v="1707292399"/>
    <s v="Finalizado (4/5)"/>
    <n v="45.830399999999997"/>
    <n v="8.7295999999999996"/>
    <n v="54.56"/>
    <s v="Sessão Faturada"/>
    <n v="954600000884010"/>
    <n v="26307"/>
    <s v="Unidade Sao Jose"/>
    <n v="1707292399"/>
    <m/>
  </r>
  <r>
    <x v="20"/>
    <x v="37"/>
    <s v="Victor Hugo Tavares Pereira"/>
    <s v="Masculino"/>
    <x v="31"/>
    <x v="26"/>
    <s v="31601014 - Acupuntura (R$ 54,56)"/>
    <s v="Acupuntura"/>
    <n v="1702839933"/>
    <s v="Finalizado (4/5)"/>
    <n v="45.830399999999997"/>
    <n v="8.7295999999999996"/>
    <n v="54.56"/>
    <s v="Sessão Faturada"/>
    <n v="774642023205000"/>
    <n v="54184"/>
    <s v="Unidade Sao Jose"/>
    <n v="1702839933"/>
    <m/>
  </r>
  <r>
    <x v="20"/>
    <x v="37"/>
    <s v="Sheila Ferreira do Nascimento"/>
    <s v="Feminino"/>
    <x v="31"/>
    <x v="26"/>
    <s v="31601014 - Acupuntura (R$ 54,56)"/>
    <s v="Acupuntura"/>
    <n v="1704257150"/>
    <s v="Finalizado (5/5)"/>
    <n v="45.830399999999997"/>
    <n v="8.7295999999999996"/>
    <n v="54.56"/>
    <s v="Sessão Faturada"/>
    <n v="774239001511020"/>
    <n v="27492"/>
    <s v="Unidade Sao Jose"/>
    <n v="1704257150"/>
    <m/>
  </r>
  <r>
    <x v="20"/>
    <x v="39"/>
    <s v="Kize Coelho Mar"/>
    <s v="Feminino"/>
    <x v="9"/>
    <x v="26"/>
    <s v="31601014 - Acupuntura (R$ 54,56)"/>
    <s v="Acupuntura"/>
    <n v="1710803927"/>
    <s v="Finalizado (2/5)"/>
    <n v="45.830399999999997"/>
    <n v="8.7295999999999996"/>
    <n v="54.56"/>
    <s v="Sessão Faturada"/>
    <n v="954600030813000"/>
    <n v="59602"/>
    <s v="Unidade Sao Jose"/>
    <n v="1710803927"/>
    <m/>
  </r>
  <r>
    <x v="20"/>
    <x v="39"/>
    <s v="Cildomar dos Santos Lira"/>
    <s v="Masculino"/>
    <x v="7"/>
    <x v="26"/>
    <s v="Sao José - 7 - Acupuntura - Pacote (R$ 40,00)"/>
    <s v="Acupuntura"/>
    <n v="170988"/>
    <s v="Finalizado (2/5)"/>
    <n v="30"/>
    <n v="10"/>
    <n v="40"/>
    <s v="No Prazo"/>
    <n v="331883"/>
    <n v="33183"/>
    <s v="Unidade Sao Jose"/>
    <n v="170988"/>
    <m/>
  </r>
  <r>
    <x v="20"/>
    <x v="43"/>
    <s v="Jorge Frank dos Santos Lira"/>
    <s v="Masculino"/>
    <x v="9"/>
    <x v="26"/>
    <s v="31601014 - Acupuntura (R$ 54,56)"/>
    <s v="Acupuntura"/>
    <n v="1711429346"/>
    <s v="Finalizado (1/5)"/>
    <n v="45.830399999999997"/>
    <n v="8.7295999999999996"/>
    <n v="54.56"/>
    <s v="Sessão Faturada"/>
    <n v="954600002780020"/>
    <n v="58709"/>
    <s v="Unidade Sao Jose"/>
    <n v="1711429346"/>
    <m/>
  </r>
  <r>
    <x v="20"/>
    <x v="2"/>
    <s v="Osmar Barbosa dos Santos Junior"/>
    <s v="Masculino"/>
    <x v="9"/>
    <x v="26"/>
    <s v="31601014 - Acupuntura (R$ 54,56)"/>
    <s v="Acupuntura"/>
    <n v="1711548500"/>
    <s v="Finalizado (1/5)"/>
    <n v="45.830399999999997"/>
    <n v="8.7295999999999996"/>
    <n v="54.56"/>
    <s v="Sessão Faturada"/>
    <n v="954600036315000"/>
    <n v="58555"/>
    <s v="Unidade Sao Jose"/>
    <n v="1711548500"/>
    <m/>
  </r>
  <r>
    <x v="20"/>
    <x v="2"/>
    <s v="Maria Sueide Pacheco"/>
    <s v="Feminino"/>
    <x v="12"/>
    <x v="26"/>
    <s v="31601014 - Acupuntura (R$ 54,56)"/>
    <s v="Acupuntura"/>
    <n v="10292557"/>
    <s v="Finalizado (7/10)"/>
    <n v="45.830399999999997"/>
    <n v="8.7295999999999996"/>
    <n v="54.56"/>
    <s v="Sessão Faturada"/>
    <s v="000432154994220501"/>
    <n v="26513"/>
    <s v="Unidade Sao Jose"/>
    <n v="10292557"/>
    <m/>
  </r>
  <r>
    <x v="20"/>
    <x v="13"/>
    <s v="Cristiane Villar de Holanda"/>
    <s v="Feminino"/>
    <x v="7"/>
    <x v="26"/>
    <s v="Sao José - 13 - Liberação Miofascial (R$ 150,00)"/>
    <s v="Acupuntura"/>
    <m/>
    <s v="Finalizado (1/1)"/>
    <n v="112.5"/>
    <n v="37.5"/>
    <n v="150"/>
    <s v="Pago"/>
    <n v="41493"/>
    <n v="41493"/>
    <s v="Unidade Sao Jose"/>
    <m/>
    <m/>
  </r>
  <r>
    <x v="20"/>
    <x v="15"/>
    <s v="Lauriethe Silva Nascimento Garrido"/>
    <s v="Feminino"/>
    <x v="7"/>
    <x v="26"/>
    <s v="Sao José - 7 - Acupuntura - Pacote (R$ 40,00)"/>
    <s v="Acupuntura"/>
    <n v="170691"/>
    <s v="Finalizado (4/5)"/>
    <n v="30"/>
    <n v="10"/>
    <n v="40"/>
    <s v="Pago"/>
    <n v="59555"/>
    <n v="59555"/>
    <s v="Unidade Sao Jose"/>
    <n v="170691"/>
    <m/>
  </r>
  <r>
    <x v="20"/>
    <x v="8"/>
    <s v="Andréa Nadiane Corrêa Rosa"/>
    <s v="Feminino"/>
    <x v="6"/>
    <x v="26"/>
    <s v="31601014 - Acupuntura (R$ 51,33)"/>
    <s v="Acupuntura"/>
    <n v="171195"/>
    <s v="Finalizado (1/4)"/>
    <n v="43.117199999999997"/>
    <n v="8.2127999999999997"/>
    <n v="51.33"/>
    <s v="Sessão Faturada"/>
    <s v="54588888005928480026"/>
    <n v="50931"/>
    <s v="Unidade Sao Jose"/>
    <n v="171195"/>
    <m/>
  </r>
  <r>
    <x v="20"/>
    <x v="10"/>
    <s v="Maria Neide Oliveira Marques"/>
    <s v="Feminino"/>
    <x v="9"/>
    <x v="26"/>
    <s v="31601014 - Acupuntura (R$ 54,56)"/>
    <s v="Acupuntura"/>
    <n v="1709226379"/>
    <s v="Finalizado (3/5)"/>
    <n v="45.830399999999997"/>
    <n v="8.7295999999999996"/>
    <n v="54.56"/>
    <s v="Sessão Faturada"/>
    <n v="954600008419020"/>
    <n v="52794"/>
    <s v="Unidade Sao Jose"/>
    <n v="1709226379"/>
    <m/>
  </r>
  <r>
    <x v="23"/>
    <x v="36"/>
    <s v="Tereza da Rocha Vieira"/>
    <s v="Feminino"/>
    <x v="10"/>
    <x v="26"/>
    <s v="31601014 - Acupuntura Por Sessão (R$ 25,00)"/>
    <s v="Acupuntura"/>
    <n v="15101078"/>
    <s v="Finalizado (4/10)"/>
    <n v="21"/>
    <n v="4"/>
    <n v="25"/>
    <s v="Sessão Faturada"/>
    <s v="00010001253014045"/>
    <n v="52943"/>
    <s v="Unidade Sao Jose"/>
    <n v="15101078"/>
    <m/>
  </r>
  <r>
    <x v="23"/>
    <x v="36"/>
    <s v="Ana Cristina Soares dos Santos Nunes"/>
    <s v="Feminino"/>
    <x v="6"/>
    <x v="26"/>
    <s v="31601014 - Acupuntura (R$ 51,33)"/>
    <s v="Acupuntura"/>
    <n v="171723"/>
    <s v="Finalizado (1/4)"/>
    <n v="43.117199999999997"/>
    <n v="8.2127999999999997"/>
    <n v="51.33"/>
    <s v="Sessão Faturada"/>
    <s v="56788888483384430019"/>
    <n v="46812"/>
    <s v="Unidade Sao Jose"/>
    <n v="171723"/>
    <m/>
  </r>
  <r>
    <x v="23"/>
    <x v="36"/>
    <s v="Kyssia Roberta Sena Batista de Souza"/>
    <s v="Feminino"/>
    <x v="9"/>
    <x v="26"/>
    <s v="31601014 - Acupuntura (R$ 54,56)"/>
    <s v="Acupuntura"/>
    <n v="1700221280"/>
    <s v="Finalizado (5/5)"/>
    <n v="45.830399999999997"/>
    <n v="8.7295999999999996"/>
    <n v="54.56"/>
    <s v="Sessão Faturada"/>
    <n v="954600002461000"/>
    <n v="58661"/>
    <s v="Unidade Sao Jose"/>
    <n v="1700221280"/>
    <m/>
  </r>
  <r>
    <x v="23"/>
    <x v="40"/>
    <s v="Luiz Gustavo André Oliveira"/>
    <s v="Masculino"/>
    <x v="7"/>
    <x v="26"/>
    <s v="Sao José - 7 - Acupuntura - Pacote (R$ 40,00)"/>
    <s v="Acupuntura"/>
    <n v="171585"/>
    <s v="Finalizado (1/5)"/>
    <n v="30"/>
    <n v="10"/>
    <n v="40"/>
    <s v="No Prazo"/>
    <n v="59634"/>
    <n v="59634"/>
    <s v="Unidade Sao Jose"/>
    <n v="171585"/>
    <m/>
  </r>
  <r>
    <x v="23"/>
    <x v="40"/>
    <s v="Soniele Maria Santos da Silva"/>
    <s v="Feminino"/>
    <x v="9"/>
    <x v="26"/>
    <s v="31601014 - Acupuntura (R$ 54,56)"/>
    <s v="Acupuntura"/>
    <n v="1700232308"/>
    <s v="Finalizado (4/4)"/>
    <n v="45.830399999999997"/>
    <n v="8.7295999999999996"/>
    <n v="54.56"/>
    <s v="Sessão Faturada"/>
    <n v="954600000507010"/>
    <n v="50297"/>
    <s v="Unidade Sao Jose"/>
    <n v="1700232308"/>
    <m/>
  </r>
  <r>
    <x v="23"/>
    <x v="40"/>
    <s v="Natan Michiles"/>
    <s v="Masculino"/>
    <x v="7"/>
    <x v="26"/>
    <s v="Sao José - 7 - Acupuntura - Pacote (R$ 40,00)"/>
    <s v="Acupuntura"/>
    <n v="170184"/>
    <s v="Finalizado (4/5)"/>
    <n v="30"/>
    <n v="10"/>
    <n v="40"/>
    <s v="Pago"/>
    <n v="53679"/>
    <n v="53679"/>
    <s v="Unidade Sao Jose"/>
    <n v="170184"/>
    <m/>
  </r>
  <r>
    <x v="23"/>
    <x v="38"/>
    <s v="Milza Santos"/>
    <s v="Feminino"/>
    <x v="32"/>
    <x v="26"/>
    <s v="31601014 - Acupuntura (R$ 54,56)"/>
    <s v="Acupuntura"/>
    <n v="1708005854"/>
    <s v="Finalizado (3/5)"/>
    <n v="45.830399999999997"/>
    <n v="8.7295999999999996"/>
    <n v="54.56"/>
    <s v="Sessão Faturada"/>
    <n v="954600000493010"/>
    <n v="41659"/>
    <s v="Unidade Sao Jose"/>
    <n v="1708005854"/>
    <m/>
  </r>
  <r>
    <x v="23"/>
    <x v="39"/>
    <s v="Josinaldo Sampaio da Silva"/>
    <s v="Masculino"/>
    <x v="6"/>
    <x v="26"/>
    <s v="10101012 - Consulta Médica (R$ 121,28)"/>
    <s v="Acupuntura"/>
    <n v="7700047236"/>
    <s v="Finalizado (1/1)"/>
    <n v="121.28"/>
    <n v="0"/>
    <n v="121.28"/>
    <s v="Sessão Faturada"/>
    <s v="54588888004873420010"/>
    <n v="41506"/>
    <s v="Unidade Sao Jose"/>
    <n v="7700047236"/>
    <m/>
  </r>
  <r>
    <x v="23"/>
    <x v="39"/>
    <s v="Josinaldo Sampaio da Silva"/>
    <s v="Masculino"/>
    <x v="6"/>
    <x v="26"/>
    <s v="31601014 - Acupuntura (R$ 51,33)"/>
    <s v="Acupuntura"/>
    <n v="171754"/>
    <s v="Finalizado (1/4)"/>
    <n v="43.117199999999997"/>
    <n v="8.2127999999999997"/>
    <n v="51.33"/>
    <s v="Sessão Faturada"/>
    <s v="54588888004873420010"/>
    <n v="41506"/>
    <s v="Unidade Sao Jose"/>
    <n v="171754"/>
    <m/>
  </r>
  <r>
    <x v="23"/>
    <x v="43"/>
    <s v="Kize Coelho Mar"/>
    <s v="Feminino"/>
    <x v="9"/>
    <x v="26"/>
    <s v="31601014 - Acupuntura (R$ 54,56)"/>
    <s v="Acupuntura"/>
    <n v="1710803927"/>
    <s v="Finalizado (3/5)"/>
    <n v="45.830399999999997"/>
    <n v="8.7295999999999996"/>
    <n v="54.56"/>
    <s v="Sessão Faturada"/>
    <n v="954600030813000"/>
    <n v="59602"/>
    <s v="Unidade Sao Jose"/>
    <n v="1710803927"/>
    <m/>
  </r>
  <r>
    <x v="0"/>
    <x v="41"/>
    <s v="Simone Soares Franco"/>
    <s v="Feminino"/>
    <x v="9"/>
    <x v="26"/>
    <s v="31601014 - Acupuntura (R$ 54,56)"/>
    <s v="Acupuntura"/>
    <n v="1710719202"/>
    <s v="Finalizado (3/5)"/>
    <n v="45.830399999999997"/>
    <n v="8.7295999999999996"/>
    <n v="54.56"/>
    <s v="Sessão Faturada"/>
    <n v="954600000256000"/>
    <n v="24181"/>
    <s v="Unidade Sao Jose"/>
    <n v="1710719202"/>
    <m/>
  </r>
  <r>
    <x v="0"/>
    <x v="41"/>
    <s v="Manuela Soares de Freitas Mendonca"/>
    <s v="Feminino"/>
    <x v="9"/>
    <x v="26"/>
    <s v="31601014 - Acupuntura (R$ 54,56)"/>
    <s v="Acupuntura"/>
    <n v="1710721761"/>
    <s v="Finalizado (3/5)"/>
    <n v="45.830399999999997"/>
    <n v="8.7295999999999996"/>
    <n v="54.56"/>
    <s v="Sessão Faturada"/>
    <n v="954600000256030"/>
    <n v="53656"/>
    <s v="Unidade Sao Jose"/>
    <n v="1710721761"/>
    <m/>
  </r>
  <r>
    <x v="0"/>
    <x v="41"/>
    <s v="Manoel de Freitas Mendonça Neto"/>
    <s v="Masculino"/>
    <x v="9"/>
    <x v="26"/>
    <s v="31601014 - Acupuntura (R$ 54,56)"/>
    <s v="Acupuntura"/>
    <n v="1710726719"/>
    <s v="Finalizado (3/5)"/>
    <n v="45.830399999999997"/>
    <n v="8.7295999999999996"/>
    <n v="54.56"/>
    <s v="Sessão Faturada"/>
    <n v="954600000256020"/>
    <n v="47993"/>
    <s v="Unidade Sao Jose"/>
    <n v="1710726719"/>
    <m/>
  </r>
  <r>
    <x v="0"/>
    <x v="36"/>
    <s v="Josinaldo Sampaio da Silva"/>
    <s v="Masculino"/>
    <x v="6"/>
    <x v="26"/>
    <s v="31601014 - Acupuntura (R$ 51,33)"/>
    <s v="Acupuntura"/>
    <n v="171754"/>
    <s v="Finalizado (2/4)"/>
    <n v="43.117199999999997"/>
    <n v="8.2127999999999997"/>
    <n v="51.33"/>
    <s v="Sessão Faturada"/>
    <s v="54588888004873420010"/>
    <n v="41506"/>
    <s v="Unidade Sao Jose"/>
    <n v="171754"/>
    <m/>
  </r>
  <r>
    <x v="0"/>
    <x v="40"/>
    <s v="Marta Marcione Bentes Albuquerque"/>
    <s v="Feminino"/>
    <x v="9"/>
    <x v="26"/>
    <s v="31601014 - Acupuntura (R$ 54,56)"/>
    <s v="Acupuntura"/>
    <n v="1709437644"/>
    <s v="Finalizado (4/5)"/>
    <n v="45.830399999999997"/>
    <n v="8.7295999999999996"/>
    <n v="54.56"/>
    <s v="Sessão Faturada"/>
    <n v="954600004960000"/>
    <n v="40103"/>
    <s v="Unidade Sao Jose"/>
    <n v="1709437644"/>
    <m/>
  </r>
  <r>
    <x v="0"/>
    <x v="40"/>
    <s v="Patrícia Kelly Vaz de Oliveira"/>
    <s v="Feminino"/>
    <x v="31"/>
    <x v="26"/>
    <s v="31601014 - Acupuntura (R$ 54,56)"/>
    <s v="Acupuntura"/>
    <n v="1702639230"/>
    <s v="Finalizado (5/5)"/>
    <n v="45.830399999999997"/>
    <n v="8.7295999999999996"/>
    <n v="54.56"/>
    <s v="Sessão Faturada"/>
    <n v="774634040606020"/>
    <n v="57788"/>
    <s v="Unidade Sao Jose"/>
    <n v="1702639230"/>
    <m/>
  </r>
  <r>
    <x v="0"/>
    <x v="40"/>
    <s v="Josiane de Sousa Santos"/>
    <s v="Feminino"/>
    <x v="9"/>
    <x v="26"/>
    <s v="31601014 - Acupuntura (R$ 54,56)"/>
    <s v="Acupuntura"/>
    <n v="1708868741"/>
    <s v="Finalizado (3/3)"/>
    <n v="45.830399999999997"/>
    <n v="8.7295999999999996"/>
    <n v="54.56"/>
    <s v="Sessão Faturada"/>
    <n v="954600005274010"/>
    <n v="23225"/>
    <s v="Unidade Sao Jose"/>
    <n v="1708868741"/>
    <m/>
  </r>
  <r>
    <x v="0"/>
    <x v="35"/>
    <s v="Jorge Frank dos Santos Lira"/>
    <s v="Masculino"/>
    <x v="9"/>
    <x v="26"/>
    <s v="31601014 - Acupuntura (R$ 54,56)"/>
    <s v="Acupuntura"/>
    <n v="1711429346"/>
    <s v="Finalizado (2/5)"/>
    <n v="45.830399999999997"/>
    <n v="8.7295999999999996"/>
    <n v="54.56"/>
    <s v="Sessão Faturada"/>
    <n v="954600002780020"/>
    <n v="58709"/>
    <s v="Unidade Sao Jose"/>
    <n v="1711429346"/>
    <m/>
  </r>
  <r>
    <x v="0"/>
    <x v="35"/>
    <s v="Vania Valeria Belo"/>
    <s v="Feminino"/>
    <x v="31"/>
    <x v="26"/>
    <s v="31601014 - Acupuntura (R$ 54,56)"/>
    <s v="Acupuntura"/>
    <n v="112147"/>
    <s v="Finalizado (4/10)"/>
    <n v="45.830399999999997"/>
    <n v="8.7295999999999996"/>
    <n v="54.56"/>
    <s v="Sessão Faturada"/>
    <n v="814053200035000"/>
    <n v="28034"/>
    <s v="Unidade Sao Jose"/>
    <n v="112147"/>
    <s v="GUIA ASSINADA"/>
  </r>
  <r>
    <x v="0"/>
    <x v="38"/>
    <s v="Sheila Miranda de Brito"/>
    <s v="Feminino"/>
    <x v="9"/>
    <x v="26"/>
    <s v="31601014 - Acupuntura (R$ 54,56)"/>
    <s v="Acupuntura"/>
    <n v="1702711684"/>
    <s v="Finalizado (4/5)"/>
    <n v="45.830399999999997"/>
    <n v="8.7295999999999996"/>
    <n v="54.56"/>
    <s v="Sessão Faturada"/>
    <n v="954440000590010"/>
    <n v="46121"/>
    <s v="Unidade Sao Jose"/>
    <n v="1702711684"/>
    <m/>
  </r>
  <r>
    <x v="0"/>
    <x v="38"/>
    <s v="Sheila Ferreira do Nascimento"/>
    <s v="Feminino"/>
    <x v="31"/>
    <x v="26"/>
    <s v="31601014 - Acupuntura (R$ 54,56)"/>
    <s v="Acupuntura"/>
    <n v="1712652752"/>
    <s v="Finalizado (1/5)"/>
    <n v="45.830399999999997"/>
    <n v="8.7295999999999996"/>
    <n v="54.56"/>
    <s v="Sessão Faturada"/>
    <n v="774239001511020"/>
    <n v="27492"/>
    <s v="Unidade Sao Jose"/>
    <n v="1712652752"/>
    <m/>
  </r>
  <r>
    <x v="0"/>
    <x v="39"/>
    <s v="Elisangela de Araujo Souza"/>
    <s v="Feminino"/>
    <x v="9"/>
    <x v="26"/>
    <s v="31601014 - Acupuntura (R$ 54,56)"/>
    <s v="Acupuntura"/>
    <n v="1707292399"/>
    <s v="Finalizado (5/5)"/>
    <n v="45.830399999999997"/>
    <n v="8.7295999999999996"/>
    <n v="54.56"/>
    <s v="Sessão Faturada"/>
    <n v="954600000884010"/>
    <n v="26307"/>
    <s v="Unidade Sao Jose"/>
    <n v="1707292399"/>
    <m/>
  </r>
  <r>
    <x v="0"/>
    <x v="43"/>
    <s v="Jacqueline Lima de Oliveira"/>
    <s v="Feminino"/>
    <x v="31"/>
    <x v="26"/>
    <s v="31601014 - Acupuntura (R$ 54,56)"/>
    <s v="Acupuntura"/>
    <n v="1707329080"/>
    <s v="Finalizado (4/5)"/>
    <n v="45.830399999999997"/>
    <n v="8.7295999999999996"/>
    <n v="54.56"/>
    <s v="Sessão Faturada"/>
    <n v="611481880006000"/>
    <n v="59217"/>
    <s v="Unidade Sao Jose"/>
    <n v="1707329080"/>
    <m/>
  </r>
  <r>
    <x v="0"/>
    <x v="43"/>
    <s v="Cildomar dos Santos Lira"/>
    <s v="Masculino"/>
    <x v="7"/>
    <x v="26"/>
    <s v="Sao José - 7 - Acupuntura - Pacote (R$ 40,00)"/>
    <s v="Acupuntura"/>
    <n v="170988"/>
    <s v="Finalizado (3/5)"/>
    <n v="30"/>
    <n v="10"/>
    <n v="40"/>
    <s v="No Prazo"/>
    <n v="331883"/>
    <n v="33183"/>
    <s v="Unidade Sao Jose"/>
    <n v="170988"/>
    <m/>
  </r>
  <r>
    <x v="0"/>
    <x v="0"/>
    <s v="Natan Michiles"/>
    <s v="Masculino"/>
    <x v="7"/>
    <x v="26"/>
    <s v="Sao José - 7 - Acupuntura - Pacote (R$ 40,00)"/>
    <s v="Acupuntura"/>
    <n v="170184"/>
    <s v="Finalizado (5/5)"/>
    <n v="30"/>
    <n v="10"/>
    <n v="40"/>
    <s v="Pago"/>
    <n v="53679"/>
    <n v="53679"/>
    <s v="Unidade Sao Jose"/>
    <n v="170184"/>
    <m/>
  </r>
  <r>
    <x v="0"/>
    <x v="2"/>
    <s v="Jose Edson Moura de Melo"/>
    <s v="Masculino"/>
    <x v="4"/>
    <x v="26"/>
    <s v="31601014 - Acupuntura (R$ 54,56)"/>
    <s v="Acupuntura"/>
    <n v="1707950594"/>
    <s v="Finalizado (2/5)"/>
    <n v="45.830399999999997"/>
    <n v="8.7295999999999996"/>
    <n v="54.56"/>
    <s v="Sessão Faturada"/>
    <n v="774722014389010"/>
    <n v="45960"/>
    <s v="Unidade Sao Jose"/>
    <n v="1707950594"/>
    <m/>
  </r>
  <r>
    <x v="0"/>
    <x v="13"/>
    <s v="Leonardo Batista de Souza"/>
    <s v="Masculino"/>
    <x v="5"/>
    <x v="26"/>
    <s v="31601014 - Acupuntura - 04/03/2026 (R$ 86,81)"/>
    <s v="Acupuntura"/>
    <n v="65115940"/>
    <s v="Finalizado (3/10)"/>
    <n v="72.920400000000001"/>
    <n v="13.8896"/>
    <n v="86.81"/>
    <s v="Sessão Faturada"/>
    <s v="0101516639000159"/>
    <n v="54993"/>
    <s v="Unidade Sao Jose"/>
    <n v="65115940"/>
    <m/>
  </r>
  <r>
    <x v="0"/>
    <x v="6"/>
    <s v="Jean da Silva Melo"/>
    <s v="Masculino"/>
    <x v="32"/>
    <x v="26"/>
    <s v="31601014 - Acupuntura (R$ 54,56)"/>
    <s v="Acupuntura"/>
    <n v="1710461196"/>
    <s v="Finalizado (2/5)"/>
    <n v="45.830399999999997"/>
    <n v="8.7295999999999996"/>
    <n v="54.56"/>
    <s v="Sessão Faturada"/>
    <n v="954600003042000"/>
    <n v="29915"/>
    <s v="Unidade Sao Jose"/>
    <n v="1710461196"/>
    <m/>
  </r>
  <r>
    <x v="0"/>
    <x v="6"/>
    <s v="Erick de Sousa Cruz"/>
    <s v="Masculino"/>
    <x v="6"/>
    <x v="26"/>
    <s v="31601014 - Acupuntura (R$ 51,33)"/>
    <s v="Acupuntura"/>
    <n v="171892"/>
    <s v="Finalizado (1/4)"/>
    <n v="43.117199999999997"/>
    <n v="8.2127999999999997"/>
    <n v="51.33"/>
    <s v="Sessão Faturada"/>
    <s v="56788888488763560019"/>
    <n v="59635"/>
    <s v="Unidade Sao Jose"/>
    <n v="171892"/>
    <s v="ASSINAR GUIA"/>
  </r>
  <r>
    <x v="0"/>
    <x v="6"/>
    <s v="Erick de Sousa Cruz"/>
    <s v="Masculino"/>
    <x v="6"/>
    <x v="26"/>
    <s v="10101012 - Consulta Médica (R$ 121,28)"/>
    <s v="Acupuntura"/>
    <n v="7700047244"/>
    <s v="Finalizado (1/1)"/>
    <n v="121.28"/>
    <n v="0"/>
    <n v="121.28"/>
    <s v="Sessão Faturada"/>
    <s v="56788888488763560019"/>
    <n v="59635"/>
    <s v="Unidade Sao Jose"/>
    <n v="7700047244"/>
    <m/>
  </r>
  <r>
    <x v="0"/>
    <x v="6"/>
    <s v="Clicia Nayara Coimbra Soares"/>
    <s v="Feminino"/>
    <x v="4"/>
    <x v="26"/>
    <s v="31601014 - Acupuntura (R$ 54,56)"/>
    <s v="Acupuntura"/>
    <n v="1710356739"/>
    <s v="Finalizado (2/4)"/>
    <n v="45.830399999999997"/>
    <n v="8.7295999999999996"/>
    <n v="54.56"/>
    <s v="Sessão Faturada"/>
    <n v="843486100370000"/>
    <n v="49710"/>
    <s v="Unidade Sao Jose"/>
    <n v="1710356739"/>
    <m/>
  </r>
  <r>
    <x v="0"/>
    <x v="15"/>
    <s v="Maria de Fátima Cardoso de Medeiros"/>
    <s v="Feminino"/>
    <x v="31"/>
    <x v="26"/>
    <s v="31601014 - Acupuntura (R$ 54,56)"/>
    <s v="Acupuntura"/>
    <n v="1712932250"/>
    <s v="Finalizado (1/5)"/>
    <n v="45.830399999999997"/>
    <n v="8.7295999999999996"/>
    <n v="54.56"/>
    <s v="Sessão a Faturar"/>
    <n v="773458021210010"/>
    <n v="59643"/>
    <s v="Unidade Sao Jose"/>
    <n v="1712932250"/>
    <m/>
  </r>
  <r>
    <x v="0"/>
    <x v="8"/>
    <s v="Marleson  Correa de Souza"/>
    <s v="Masculino"/>
    <x v="4"/>
    <x v="26"/>
    <s v="31601014 - Acupuntura (R$ 54,56)"/>
    <s v="Acupuntura"/>
    <n v="1712995191"/>
    <s v="Finalizado (1/1)"/>
    <n v="45.830399999999997"/>
    <n v="8.7295999999999996"/>
    <n v="54.56"/>
    <s v="Sessão Faturada"/>
    <n v="610611160025000"/>
    <n v="55194"/>
    <s v="Unidade Sao Jose"/>
    <n v="1712995191"/>
    <m/>
  </r>
  <r>
    <x v="0"/>
    <x v="8"/>
    <s v="Diane Pinto de Souza"/>
    <s v="Feminino"/>
    <x v="31"/>
    <x v="26"/>
    <s v="31601014 - Acupuntura (R$ 54,56)"/>
    <s v="Acupuntura"/>
    <n v="1712997251"/>
    <s v="Finalizado (1/2)"/>
    <n v="45.830399999999997"/>
    <n v="8.7295999999999996"/>
    <n v="54.56"/>
    <s v="Sessão a Faturar"/>
    <n v="770179013056000"/>
    <n v="55682"/>
    <s v="Unidade Sao Jose"/>
    <n v="1712997251"/>
    <m/>
  </r>
  <r>
    <x v="0"/>
    <x v="10"/>
    <s v="Luan Raphael Fernandes da Silva"/>
    <s v="Masculino"/>
    <x v="31"/>
    <x v="26"/>
    <s v="31601014 - Acupuntura (R$ 54,56)"/>
    <s v="Acupuntura"/>
    <n v="1709854400"/>
    <s v="Finalizado (3/5)"/>
    <n v="45.830399999999997"/>
    <n v="8.7295999999999996"/>
    <n v="54.56"/>
    <s v="Sessão Faturada"/>
    <n v="775216014346010"/>
    <n v="59334"/>
    <s v="Unidade Sao Jose"/>
    <n v="1709854400"/>
    <m/>
  </r>
  <r>
    <x v="1"/>
    <x v="41"/>
    <s v="Manuela Soares de Freitas Mendonca"/>
    <s v="Feminino"/>
    <x v="9"/>
    <x v="26"/>
    <s v="31601014 - Acupuntura (R$ 54,56)"/>
    <s v="Acupuntura"/>
    <n v="1710721761"/>
    <s v="Finalizado (4/5)"/>
    <n v="45.830399999999997"/>
    <n v="8.7295999999999996"/>
    <n v="54.56"/>
    <s v="Sessão Faturada"/>
    <n v="954600000256030"/>
    <n v="53656"/>
    <s v="Unidade Sao Jose"/>
    <n v="1710721761"/>
    <m/>
  </r>
  <r>
    <x v="1"/>
    <x v="41"/>
    <s v="Simone Soares Franco"/>
    <s v="Feminino"/>
    <x v="9"/>
    <x v="26"/>
    <s v="31601014 - Acupuntura (R$ 54,56)"/>
    <s v="Acupuntura"/>
    <n v="1710719202"/>
    <s v="Finalizado (4/5)"/>
    <n v="45.830399999999997"/>
    <n v="8.7295999999999996"/>
    <n v="54.56"/>
    <s v="Sessão Faturada"/>
    <n v="954600000256000"/>
    <n v="24181"/>
    <s v="Unidade Sao Jose"/>
    <n v="1710719202"/>
    <m/>
  </r>
  <r>
    <x v="1"/>
    <x v="36"/>
    <s v="Eliza Macedo Vale"/>
    <s v="Feminino"/>
    <x v="7"/>
    <x v="26"/>
    <s v="Sao José - 6 - Acupuntura - Sessão (R$ 60,00)"/>
    <s v="Acupuntura"/>
    <n v="171899"/>
    <s v="Finalizado (1/5)"/>
    <n v="45"/>
    <n v="15"/>
    <n v="60"/>
    <s v="Pago"/>
    <n v="59672"/>
    <n v="59672"/>
    <s v="Unidade Sao Jose"/>
    <n v="171899"/>
    <m/>
  </r>
  <r>
    <x v="1"/>
    <x v="36"/>
    <s v="Marta Marcione Bentes Albuquerque"/>
    <s v="Feminino"/>
    <x v="9"/>
    <x v="26"/>
    <s v="31601014 - Acupuntura (R$ 54,56)"/>
    <s v="Acupuntura"/>
    <n v="1709437644"/>
    <s v="Finalizado (5/5)"/>
    <n v="45.830399999999997"/>
    <n v="8.7295999999999996"/>
    <n v="54.56"/>
    <s v="Sessão Faturada"/>
    <n v="954600004960000"/>
    <n v="40103"/>
    <s v="Unidade Sao Jose"/>
    <n v="1709437644"/>
    <m/>
  </r>
  <r>
    <x v="1"/>
    <x v="36"/>
    <s v="Tereza da Rocha Vieira"/>
    <s v="Feminino"/>
    <x v="10"/>
    <x v="26"/>
    <s v="31601014 - Acupuntura Por Sessão (R$ 25,00)"/>
    <s v="Acupuntura"/>
    <n v="15101078"/>
    <s v="Finalizado (5/10)"/>
    <n v="21"/>
    <n v="4"/>
    <n v="25"/>
    <s v="Sessão Faturada"/>
    <s v="00010001253014045"/>
    <n v="52943"/>
    <s v="Unidade Sao Jose"/>
    <n v="15101078"/>
    <m/>
  </r>
  <r>
    <x v="1"/>
    <x v="35"/>
    <s v="Manoel de Freitas Mendonça Neto"/>
    <s v="Masculino"/>
    <x v="9"/>
    <x v="26"/>
    <s v="31601014 - Acupuntura (R$ 54,56)"/>
    <s v="Acupuntura"/>
    <n v="1710726719"/>
    <s v="Finalizado (4/5)"/>
    <n v="45.830399999999997"/>
    <n v="8.7295999999999996"/>
    <n v="54.56"/>
    <s v="Sessão Faturada"/>
    <n v="954600000256020"/>
    <n v="47993"/>
    <s v="Unidade Sao Jose"/>
    <n v="1710726719"/>
    <m/>
  </r>
  <r>
    <x v="1"/>
    <x v="35"/>
    <s v="Osmar Barbosa dos Santos Junior"/>
    <s v="Masculino"/>
    <x v="9"/>
    <x v="26"/>
    <s v="31601014 - Acupuntura (R$ 54,56)"/>
    <s v="Acupuntura"/>
    <n v="1711548500"/>
    <s v="Finalizado (2/5)"/>
    <n v="45.830399999999997"/>
    <n v="8.7295999999999996"/>
    <n v="54.56"/>
    <s v="Sessão Faturada"/>
    <n v="954600036315000"/>
    <n v="58555"/>
    <s v="Unidade Sao Jose"/>
    <n v="1711548500"/>
    <m/>
  </r>
  <r>
    <x v="1"/>
    <x v="38"/>
    <s v="Alessandro Ramos Veiga"/>
    <s v="Masculino"/>
    <x v="4"/>
    <x v="26"/>
    <s v="31601014 - Acupuntura (R$ 54,56)"/>
    <s v="Acupuntura"/>
    <n v="1709588644"/>
    <s v="Finalizado (3/3)"/>
    <n v="45.830399999999997"/>
    <n v="8.7295999999999996"/>
    <n v="54.56"/>
    <s v="Sessão Faturada"/>
    <n v="771015061093000"/>
    <n v="59531"/>
    <s v="Unidade Sao Jose"/>
    <n v="1709588644"/>
    <m/>
  </r>
  <r>
    <x v="1"/>
    <x v="38"/>
    <s v="Misleia Fernandes Mendes"/>
    <s v="Feminino"/>
    <x v="31"/>
    <x v="26"/>
    <s v="31601014 - Acupuntura (R$ 54,56)"/>
    <s v="Acupuntura"/>
    <n v="1713382990"/>
    <s v="Finalizado (1/5)"/>
    <n v="45.830399999999997"/>
    <n v="8.7295999999999996"/>
    <n v="54.56"/>
    <s v="Sessão Faturada"/>
    <n v="770179020664010"/>
    <n v="44824"/>
    <s v="Unidade Sao Jose"/>
    <n v="1713382990"/>
    <m/>
  </r>
  <r>
    <x v="1"/>
    <x v="2"/>
    <s v="Maria Francisca da Silva Carvalho"/>
    <s v="Feminino"/>
    <x v="7"/>
    <x v="26"/>
    <s v="Sao José - 7 - Acupuntura - Pacote (R$ 40,00)"/>
    <s v="Acupuntura"/>
    <n v="171207"/>
    <s v="Finalizado (4/5)"/>
    <n v="30"/>
    <n v="10"/>
    <n v="40"/>
    <s v="Pago"/>
    <n v="58726"/>
    <n v="58726"/>
    <s v="Unidade Sao Jose"/>
    <n v="171207"/>
    <m/>
  </r>
  <r>
    <x v="1"/>
    <x v="13"/>
    <s v="Clicia Nayara Coimbra Soares"/>
    <s v="Feminino"/>
    <x v="4"/>
    <x v="26"/>
    <s v="31601014 - Acupuntura (R$ 54,56)"/>
    <s v="Acupuntura"/>
    <n v="1710356739"/>
    <s v="Finalizado (3/4)"/>
    <n v="45.830399999999997"/>
    <n v="8.7295999999999996"/>
    <n v="54.56"/>
    <s v="Sessão Faturada"/>
    <n v="843486100370000"/>
    <n v="49710"/>
    <s v="Unidade Sao Jose"/>
    <n v="1710356739"/>
    <m/>
  </r>
  <r>
    <x v="1"/>
    <x v="13"/>
    <s v="Lauriethe Silva Nascimento Garrido"/>
    <s v="Feminino"/>
    <x v="7"/>
    <x v="26"/>
    <s v="Sao José - 7 - Acupuntura - Pacote (R$ 40,00)"/>
    <s v="Acupuntura"/>
    <n v="170691"/>
    <s v="Finalizado (5/5)"/>
    <n v="30"/>
    <n v="10"/>
    <n v="40"/>
    <s v="Pago"/>
    <n v="59555"/>
    <n v="59555"/>
    <s v="Unidade Sao Jose"/>
    <n v="170691"/>
    <m/>
  </r>
  <r>
    <x v="1"/>
    <x v="6"/>
    <s v="Andrea de Moraes  Campos"/>
    <s v="Feminino"/>
    <x v="9"/>
    <x v="26"/>
    <s v="31601014 - Acupuntura (R$ 54,56)"/>
    <s v="Acupuntura"/>
    <n v="131426"/>
    <s v="Finalizado (8/10)"/>
    <n v="45.830399999999997"/>
    <n v="8.7295999999999996"/>
    <n v="54.56"/>
    <s v="Sessão Faturada"/>
    <n v="954600006130000"/>
    <n v="50427"/>
    <s v="Unidade Sao Jose"/>
    <n v="131426"/>
    <m/>
  </r>
  <r>
    <x v="1"/>
    <x v="8"/>
    <s v="Silvaneide Pinto Rodrigues Pontes"/>
    <s v="Feminino"/>
    <x v="5"/>
    <x v="26"/>
    <s v="31601014 - Acupuntura (R$ 90,51)"/>
    <s v="Acupuntura"/>
    <n v="77034220"/>
    <s v="Finalizado (1/10)"/>
    <n v="76.028400000000005"/>
    <n v="14.4816"/>
    <n v="90.51"/>
    <s v="Sessão a Faturar"/>
    <s v="0100788548001225"/>
    <n v="57040"/>
    <s v="Unidade Sao Jose"/>
    <n v="77034220"/>
    <m/>
  </r>
  <r>
    <x v="1"/>
    <x v="10"/>
    <s v="Sarah Gabriela  da Silva Debastiani Amorim"/>
    <s v="Feminino"/>
    <x v="9"/>
    <x v="26"/>
    <s v="31601014 - Acupuntura (R$ 54,56)"/>
    <s v="Acupuntura"/>
    <n v="1711081169"/>
    <s v="Finalizado (2/2)"/>
    <n v="45.830399999999997"/>
    <n v="8.7295999999999996"/>
    <n v="54.56"/>
    <s v="Sessão Faturada"/>
    <n v="954600015270010"/>
    <n v="44887"/>
    <s v="Unidade Sao Jose"/>
    <n v="1711081169"/>
    <m/>
  </r>
  <r>
    <x v="1"/>
    <x v="10"/>
    <s v="Jairo Barboza Domingues"/>
    <s v="Masculino"/>
    <x v="4"/>
    <x v="26"/>
    <s v="31601014 - Acupuntura (R$ 54,56)"/>
    <s v="Acupuntura"/>
    <n v="1713652278"/>
    <s v="Finalizado (1/5)"/>
    <n v="45.830399999999997"/>
    <n v="8.7295999999999996"/>
    <n v="54.56"/>
    <s v="Sessão a Faturar"/>
    <n v="960016147828000"/>
    <n v="18356"/>
    <s v="Unidade Sao Jose"/>
    <n v="1713652278"/>
    <m/>
  </r>
  <r>
    <x v="2"/>
    <x v="36"/>
    <s v="Ana Cristina Soares dos Santos Nunes"/>
    <s v="Feminino"/>
    <x v="6"/>
    <x v="26"/>
    <s v="31601014 - Acupuntura (R$ 51,33)"/>
    <s v="Acupuntura"/>
    <n v="171723"/>
    <s v="Finalizado (2/4)"/>
    <n v="43.117199999999997"/>
    <n v="8.2127999999999997"/>
    <n v="51.33"/>
    <s v="Sessão Faturada"/>
    <s v="56788888483384430019"/>
    <n v="46812"/>
    <s v="Unidade Sao Jose"/>
    <n v="171723"/>
    <m/>
  </r>
  <r>
    <x v="2"/>
    <x v="36"/>
    <s v="Patrícia Kelly Vaz de Oliveira"/>
    <s v="Feminino"/>
    <x v="31"/>
    <x v="26"/>
    <s v="31601014 - Acupuntura (R$ 54,56)"/>
    <s v="Acupuntura"/>
    <n v="1713917825"/>
    <s v="Finalizado (1/5)"/>
    <n v="45.830399999999997"/>
    <n v="8.7295999999999996"/>
    <n v="54.56"/>
    <s v="Sessão a Faturar"/>
    <n v="774634040606020"/>
    <n v="57788"/>
    <s v="Unidade Sao Jose"/>
    <n v="1713917825"/>
    <m/>
  </r>
  <r>
    <x v="2"/>
    <x v="36"/>
    <s v="Manoel de Freitas Mendonça Neto"/>
    <s v="Masculino"/>
    <x v="9"/>
    <x v="26"/>
    <s v="31601014 - Acupuntura (R$ 54,56)"/>
    <s v="Acupuntura"/>
    <n v="1710726719"/>
    <s v="Finalizado (5/5)"/>
    <n v="45.830399999999997"/>
    <n v="8.7295999999999996"/>
    <n v="54.56"/>
    <s v="Sessão Faturada"/>
    <n v="954600000256020"/>
    <n v="47993"/>
    <s v="Unidade Sao Jose"/>
    <n v="1710726719"/>
    <m/>
  </r>
  <r>
    <x v="2"/>
    <x v="40"/>
    <s v="Manuela Soares de Freitas Mendonca"/>
    <s v="Feminino"/>
    <x v="9"/>
    <x v="26"/>
    <s v="31601014 - Acupuntura (R$ 54,56)"/>
    <s v="Acupuntura"/>
    <n v="1710721761"/>
    <s v="Finalizado (5/5)"/>
    <n v="45.830399999999997"/>
    <n v="8.7295999999999996"/>
    <n v="54.56"/>
    <s v="Sessão Faturada"/>
    <n v="954600000256030"/>
    <n v="53656"/>
    <s v="Unidade Sao Jose"/>
    <n v="1710721761"/>
    <m/>
  </r>
  <r>
    <x v="2"/>
    <x v="40"/>
    <s v="Simone Soares Franco"/>
    <s v="Feminino"/>
    <x v="9"/>
    <x v="26"/>
    <s v="31601014 - Acupuntura (R$ 54,56)"/>
    <s v="Acupuntura"/>
    <n v="1710719202"/>
    <s v="Finalizado (5/5)"/>
    <n v="45.830399999999997"/>
    <n v="8.7295999999999996"/>
    <n v="54.56"/>
    <s v="Sessão Faturada"/>
    <n v="954600000256000"/>
    <n v="24181"/>
    <s v="Unidade Sao Jose"/>
    <n v="1710719202"/>
    <m/>
  </r>
  <r>
    <x v="2"/>
    <x v="40"/>
    <s v="Josiane de Sousa Santos"/>
    <s v="Feminino"/>
    <x v="9"/>
    <x v="26"/>
    <s v="31601014 - Acupuntura (R$ 54,56)"/>
    <s v="Acupuntura"/>
    <n v="1713895445"/>
    <s v="Finalizado (1/5)"/>
    <n v="45.830399999999997"/>
    <n v="8.7295999999999996"/>
    <n v="54.56"/>
    <s v="Sessão Faturada"/>
    <n v="954600005274010"/>
    <n v="23225"/>
    <s v="Unidade Sao Jose"/>
    <n v="1713895445"/>
    <m/>
  </r>
  <r>
    <x v="2"/>
    <x v="35"/>
    <s v="Misleia Fernandes Mendes"/>
    <s v="Feminino"/>
    <x v="31"/>
    <x v="26"/>
    <s v="31601014 - Acupuntura (R$ 54,56)"/>
    <s v="Acupuntura"/>
    <n v="1713382990"/>
    <s v="Finalizado (2/5)"/>
    <n v="45.830399999999997"/>
    <n v="8.7295999999999996"/>
    <n v="54.56"/>
    <s v="Sessão Faturada"/>
    <n v="770179020664010"/>
    <n v="44824"/>
    <s v="Unidade Sao Jose"/>
    <n v="1713382990"/>
    <m/>
  </r>
  <r>
    <x v="2"/>
    <x v="35"/>
    <s v="Marta Marcione Bentes Albuquerque"/>
    <s v="Feminino"/>
    <x v="9"/>
    <x v="26"/>
    <s v="31601014 - Acupuntura (R$ 54,56)"/>
    <s v="Acupuntura"/>
    <n v="1713843771"/>
    <s v="Finalizado (1/5)"/>
    <n v="45.830399999999997"/>
    <n v="8.7295999999999996"/>
    <n v="54.56"/>
    <s v="Sessão a Faturar"/>
    <n v="954600004960000"/>
    <n v="40103"/>
    <s v="Unidade Sao Jose"/>
    <n v="1713843771"/>
    <m/>
  </r>
  <r>
    <x v="2"/>
    <x v="35"/>
    <s v="Francinete Ferreira de Souza"/>
    <s v="Feminino"/>
    <x v="9"/>
    <x v="26"/>
    <s v="31601014 - Acupuntura (R$ 54,56)"/>
    <s v="Acupuntura"/>
    <n v="1713909103"/>
    <s v="Finalizado (1/5)"/>
    <n v="45.830399999999997"/>
    <n v="8.7295999999999996"/>
    <n v="54.56"/>
    <s v="Sessão Faturada"/>
    <n v="954390037672020"/>
    <n v="41225"/>
    <s v="Unidade Sao Jose"/>
    <n v="1713909103"/>
    <m/>
  </r>
  <r>
    <x v="2"/>
    <x v="35"/>
    <s v="Thiago Moreira Teixeira"/>
    <s v="Masculino"/>
    <x v="29"/>
    <x v="26"/>
    <s v="31601014 - Acupuntura (R$ 73,38)"/>
    <s v="Acupuntura"/>
    <n v="1039533"/>
    <s v="Finalizado (2/10)"/>
    <n v="61.639200000000002"/>
    <n v="11.7408"/>
    <n v="73.38"/>
    <s v="Sessão Faturada"/>
    <n v="130260003638000"/>
    <n v="53116"/>
    <s v="Unidade Sao Jose"/>
    <n v="1039533"/>
    <s v="Guia Assinada"/>
  </r>
  <r>
    <x v="2"/>
    <x v="38"/>
    <s v="Sheila Miranda de Brito"/>
    <s v="Feminino"/>
    <x v="9"/>
    <x v="26"/>
    <s v="31601014 - Acupuntura (R$ 54,56)"/>
    <s v="Acupuntura"/>
    <n v="1702711684"/>
    <s v="Finalizado (5/5)"/>
    <n v="45.830399999999997"/>
    <n v="8.7295999999999996"/>
    <n v="54.56"/>
    <s v="Sessão Faturada"/>
    <n v="954440000590010"/>
    <n v="46121"/>
    <s v="Unidade Sao Jose"/>
    <n v="1702711684"/>
    <m/>
  </r>
  <r>
    <x v="2"/>
    <x v="38"/>
    <s v="Sheila Ferreira do Nascimento"/>
    <s v="Feminino"/>
    <x v="31"/>
    <x v="26"/>
    <s v="31601014 - Acupuntura (R$ 54,56)"/>
    <s v="Acupuntura"/>
    <n v="1712652752"/>
    <s v="Finalizado (2/5)"/>
    <n v="45.830399999999997"/>
    <n v="8.7295999999999996"/>
    <n v="54.56"/>
    <s v="Sessão Faturada"/>
    <n v="774239001511020"/>
    <n v="27492"/>
    <s v="Unidade Sao Jose"/>
    <n v="1712652752"/>
    <m/>
  </r>
  <r>
    <x v="2"/>
    <x v="37"/>
    <s v="Milza Santos"/>
    <s v="Feminino"/>
    <x v="32"/>
    <x v="26"/>
    <s v="31601014 - Acupuntura (R$ 54,56)"/>
    <s v="Acupuntura"/>
    <n v="1708005854"/>
    <s v="Finalizado (4/5)"/>
    <n v="45.830399999999997"/>
    <n v="8.7295999999999996"/>
    <n v="54.56"/>
    <s v="Sessão Faturada"/>
    <n v="954600000493010"/>
    <n v="41659"/>
    <s v="Unidade Sao Jose"/>
    <n v="1708005854"/>
    <m/>
  </r>
  <r>
    <x v="2"/>
    <x v="37"/>
    <s v="Gilmara Barbosa da Silva"/>
    <s v="Feminino"/>
    <x v="6"/>
    <x v="26"/>
    <s v="31601014 - Acupuntura (R$ 51,33)"/>
    <s v="Acupuntura"/>
    <n v="170256"/>
    <s v="Finalizado (4/4)"/>
    <n v="43.117199999999997"/>
    <n v="8.2127999999999997"/>
    <n v="51.33"/>
    <s v="Sessão Faturada"/>
    <s v="56788888481804800011"/>
    <n v="55664"/>
    <s v="Unidade Sao Jose"/>
    <n v="170256"/>
    <m/>
  </r>
  <r>
    <x v="2"/>
    <x v="37"/>
    <s v="Milena Souza de Sant'ana"/>
    <s v="Feminino"/>
    <x v="6"/>
    <x v="26"/>
    <s v="31601014 - Acupuntura (R$ 51,33)"/>
    <s v="Acupuntura"/>
    <n v="172111"/>
    <s v="Finalizado (1/4)"/>
    <n v="43.117199999999997"/>
    <n v="8.2127999999999997"/>
    <n v="51.33"/>
    <s v="Sessão Faturada"/>
    <s v="56788888477947370012"/>
    <n v="59507"/>
    <s v="Unidade Sao Jose"/>
    <n v="172111"/>
    <m/>
  </r>
  <r>
    <x v="2"/>
    <x v="39"/>
    <s v="Jorge Frank dos Santos Lira"/>
    <s v="Masculino"/>
    <x v="9"/>
    <x v="26"/>
    <s v="31601014 - Acupuntura (R$ 54,56)"/>
    <s v="Acupuntura"/>
    <n v="1711429346"/>
    <s v="Finalizado (3/5)"/>
    <n v="45.830399999999997"/>
    <n v="8.7295999999999996"/>
    <n v="54.56"/>
    <s v="Sessão Faturada"/>
    <n v="954600002780020"/>
    <n v="58709"/>
    <s v="Unidade Sao Jose"/>
    <n v="1711429346"/>
    <m/>
  </r>
  <r>
    <x v="2"/>
    <x v="39"/>
    <s v="Jacqueline Lima de Oliveira"/>
    <s v="Feminino"/>
    <x v="31"/>
    <x v="26"/>
    <s v="31601014 - Acupuntura (R$ 54,56)"/>
    <s v="Acupuntura"/>
    <n v="1707329080"/>
    <s v="Finalizado (5/5)"/>
    <n v="45.830399999999997"/>
    <n v="8.7295999999999996"/>
    <n v="54.56"/>
    <s v="Sessão Faturada"/>
    <n v="611481880006000"/>
    <n v="59217"/>
    <s v="Unidade Sao Jose"/>
    <n v="1707329080"/>
    <m/>
  </r>
  <r>
    <x v="2"/>
    <x v="43"/>
    <s v="Cildomar dos Santos Lira"/>
    <s v="Masculino"/>
    <x v="7"/>
    <x v="26"/>
    <s v="Sao José - 7 - Acupuntura - Pacote (R$ 40,00)"/>
    <s v="Acupuntura"/>
    <n v="170988"/>
    <s v="Finalizado (4/5)"/>
    <n v="30"/>
    <n v="10"/>
    <n v="40"/>
    <s v="No Prazo"/>
    <n v="331883"/>
    <n v="33183"/>
    <s v="Unidade Sao Jose"/>
    <n v="170988"/>
    <m/>
  </r>
  <r>
    <x v="2"/>
    <x v="43"/>
    <s v="Wildson Costa dos Santos"/>
    <s v="Masculino"/>
    <x v="6"/>
    <x v="26"/>
    <s v="31601014 - Acupuntura (R$ 51,33)"/>
    <s v="Acupuntura"/>
    <n v="170985"/>
    <s v="Finalizado (3/4)"/>
    <n v="43.117199999999997"/>
    <n v="8.2127999999999997"/>
    <n v="51.33"/>
    <s v="Sessão Faturada"/>
    <s v="58201065998121610018"/>
    <n v="59580"/>
    <s v="Unidade Sao Jose"/>
    <n v="170985"/>
    <m/>
  </r>
  <r>
    <x v="2"/>
    <x v="2"/>
    <s v="Nádia Eunice Batalha de Pinho"/>
    <s v="Feminino"/>
    <x v="31"/>
    <x v="26"/>
    <s v="31601014 - Acupuntura (R$ 54,56)"/>
    <s v="Acupuntura"/>
    <n v="1714108737"/>
    <s v="Finalizado (1/5)"/>
    <n v="45.830399999999997"/>
    <n v="8.7295999999999996"/>
    <n v="54.56"/>
    <s v="Sessão Faturada"/>
    <n v="774385001546010"/>
    <n v="58963"/>
    <s v="Unidade Sao Jose"/>
    <n v="1714108737"/>
    <m/>
  </r>
  <r>
    <x v="2"/>
    <x v="2"/>
    <s v="Maria Francisca da Silva Carvalho"/>
    <s v="Feminino"/>
    <x v="7"/>
    <x v="26"/>
    <s v="Sao José - 7 - Acupuntura - Pacote (R$ 40,00)"/>
    <s v="Acupuntura"/>
    <n v="171207"/>
    <s v="Finalizado (5/5)"/>
    <n v="30"/>
    <n v="10"/>
    <n v="40"/>
    <s v="Pago"/>
    <n v="58726"/>
    <n v="58726"/>
    <s v="Unidade Sao Jose"/>
    <n v="171207"/>
    <m/>
  </r>
  <r>
    <x v="2"/>
    <x v="2"/>
    <s v="Cinthia Alves da Silva"/>
    <m/>
    <x v="7"/>
    <x v="26"/>
    <s v="Sao José - 6 - Acupuntura - Sessão (R$ 60,00)"/>
    <s v="Acupuntura"/>
    <m/>
    <s v="Finalizado (1/1)"/>
    <n v="45"/>
    <n v="15"/>
    <n v="60"/>
    <s v="Pago"/>
    <m/>
    <n v="59704"/>
    <s v="Unidade Sao Jose"/>
    <m/>
    <m/>
  </r>
  <r>
    <x v="2"/>
    <x v="13"/>
    <s v="Dayane  Rodrigues de Souza"/>
    <s v="Feminino"/>
    <x v="9"/>
    <x v="26"/>
    <s v="31601014 - Acupuntura (R$ 54,56)"/>
    <s v="Acupuntura"/>
    <n v="1714176494"/>
    <s v="Finalizado (1/5)"/>
    <n v="45.830399999999997"/>
    <n v="8.7295999999999996"/>
    <n v="54.56"/>
    <s v="Sessão a Faturar"/>
    <n v="954600024317000"/>
    <n v="55040"/>
    <s v="Unidade Sao Jose"/>
    <n v="1714176494"/>
    <m/>
  </r>
  <r>
    <x v="2"/>
    <x v="13"/>
    <s v="Clicia Nayara Coimbra Soares"/>
    <s v="Feminino"/>
    <x v="4"/>
    <x v="26"/>
    <s v="31601014 - Acupuntura (R$ 54,56)"/>
    <s v="Acupuntura"/>
    <n v="1710356739"/>
    <s v="Finalizado (4/4)"/>
    <n v="45.830399999999997"/>
    <n v="8.7295999999999996"/>
    <n v="54.56"/>
    <s v="Sessão Faturada"/>
    <n v="843486100370000"/>
    <n v="49710"/>
    <s v="Unidade Sao Jose"/>
    <n v="1710356739"/>
    <m/>
  </r>
  <r>
    <x v="2"/>
    <x v="6"/>
    <s v="Maria de Fátima Cardoso de Medeiros"/>
    <s v="Feminino"/>
    <x v="31"/>
    <x v="26"/>
    <s v="31601014 - Acupuntura (R$ 54,56)"/>
    <s v="Acupuntura"/>
    <n v="1712932250"/>
    <s v="Finalizado (2/5)"/>
    <n v="45.830399999999997"/>
    <n v="8.7295999999999996"/>
    <n v="54.56"/>
    <s v="Sessão a Faturar"/>
    <n v="773458021210010"/>
    <n v="59643"/>
    <s v="Unidade Sao Jose"/>
    <n v="1712932250"/>
    <m/>
  </r>
  <r>
    <x v="2"/>
    <x v="6"/>
    <s v="Keila Maria Ferreira de Brito"/>
    <s v="Feminino"/>
    <x v="31"/>
    <x v="26"/>
    <s v="31601014 - Acupuntura (R$ 54,56)"/>
    <s v="Acupuntura"/>
    <n v="1701890049"/>
    <s v="Finalizado (3/3)"/>
    <n v="45.830399999999997"/>
    <n v="8.7295999999999996"/>
    <n v="54.56"/>
    <s v="Sessão Faturada"/>
    <n v="773458004820010"/>
    <n v="11496"/>
    <s v="Unidade Sao Jose"/>
    <n v="1701890049"/>
    <m/>
  </r>
  <r>
    <x v="2"/>
    <x v="15"/>
    <s v="Leonardo Batista de Souza"/>
    <s v="Masculino"/>
    <x v="5"/>
    <x v="26"/>
    <s v="31601014 - Acupuntura - 04/03/2026 (R$ 86,81)"/>
    <s v="Acupuntura"/>
    <n v="65115940"/>
    <s v="Finalizado (4/10)"/>
    <n v="72.920400000000001"/>
    <n v="13.8896"/>
    <n v="86.81"/>
    <s v="Sessão Faturada"/>
    <s v="0101516639000159"/>
    <n v="54993"/>
    <s v="Unidade Sao Jose"/>
    <n v="65115940"/>
    <m/>
  </r>
  <r>
    <x v="2"/>
    <x v="17"/>
    <s v="Victor Hugo Tavares Pereira"/>
    <s v="Masculino"/>
    <x v="31"/>
    <x v="26"/>
    <s v="31601014 - Acupuntura (R$ 54,56)"/>
    <s v="Acupuntura"/>
    <n v="1702839933"/>
    <s v="Finalizado (5/5)"/>
    <n v="45.830399999999997"/>
    <n v="8.7295999999999996"/>
    <n v="54.56"/>
    <s v="Sessão Faturada"/>
    <n v="774642023205000"/>
    <n v="54184"/>
    <s v="Unidade Sao Jose"/>
    <n v="1702839933"/>
    <m/>
  </r>
  <r>
    <x v="2"/>
    <x v="8"/>
    <s v="Adna Melo da Silva Juvenal"/>
    <s v="Feminino"/>
    <x v="9"/>
    <x v="26"/>
    <s v="31601014 - Acupuntura (R$ 54,56)"/>
    <s v="Acupuntura"/>
    <n v="1701501209"/>
    <s v="Finalizado (5/5)"/>
    <n v="45.830399999999997"/>
    <n v="8.7295999999999996"/>
    <n v="54.56"/>
    <s v="Sessão Faturada"/>
    <n v="954600025615010"/>
    <n v="54008"/>
    <s v="Unidade Sao Jose"/>
    <n v="1701501209"/>
    <m/>
  </r>
  <r>
    <x v="2"/>
    <x v="8"/>
    <s v="Jean da Silva Melo"/>
    <s v="Masculino"/>
    <x v="32"/>
    <x v="26"/>
    <s v="31601014 - Acupuntura (R$ 54,56)"/>
    <s v="Acupuntura"/>
    <n v="1710461196"/>
    <s v="Finalizado (3/5)"/>
    <n v="45.830399999999997"/>
    <n v="8.7295999999999996"/>
    <n v="54.56"/>
    <s v="Sessão Faturada"/>
    <n v="954600003042000"/>
    <n v="29915"/>
    <s v="Unidade Sao Jose"/>
    <n v="1710461196"/>
    <m/>
  </r>
  <r>
    <x v="2"/>
    <x v="8"/>
    <s v="Paulo Henrique Barros Diniz"/>
    <s v="Masculino"/>
    <x v="31"/>
    <x v="26"/>
    <s v="31601014 - Acupuntura (R$ 54,56)"/>
    <s v="Acupuntura"/>
    <n v="1707526341"/>
    <s v="Finalizado (2/2)"/>
    <n v="45.830399999999997"/>
    <n v="8.7295999999999996"/>
    <n v="54.56"/>
    <s v="Sessão Faturada"/>
    <n v="774642029483010"/>
    <n v="57252"/>
    <s v="Unidade Sao Jose"/>
    <n v="1707526341"/>
    <m/>
  </r>
  <r>
    <x v="2"/>
    <x v="10"/>
    <s v="Tamires Cordeiro de Melo"/>
    <s v="Feminino"/>
    <x v="31"/>
    <x v="26"/>
    <s v="31601014 - Acupuntura (R$ 54,56)"/>
    <s v="Acupuntura"/>
    <n v="1714251825"/>
    <s v="Finalizado (1/3)"/>
    <n v="45.830399999999997"/>
    <n v="8.7295999999999996"/>
    <n v="54.56"/>
    <s v="Sessão a Faturar"/>
    <n v="773626012483020"/>
    <n v="59648"/>
    <s v="Unidade Sao Jose"/>
    <n v="1714251825"/>
    <m/>
  </r>
  <r>
    <x v="3"/>
    <x v="36"/>
    <s v="Marta Marcione Bentes Albuquerque"/>
    <s v="Feminino"/>
    <x v="9"/>
    <x v="26"/>
    <s v="31601014 - Acupuntura (R$ 54,56)"/>
    <s v="Acupuntura"/>
    <n v="1713843771"/>
    <s v="Finalizado (2/5)"/>
    <n v="45.830399999999997"/>
    <n v="8.7295999999999996"/>
    <n v="54.56"/>
    <s v="Sessão a Faturar"/>
    <n v="954600004960000"/>
    <n v="40103"/>
    <s v="Unidade Sao Jose"/>
    <n v="1713843771"/>
    <m/>
  </r>
  <r>
    <x v="3"/>
    <x v="36"/>
    <s v="Tereza da Rocha Vieira"/>
    <s v="Feminino"/>
    <x v="10"/>
    <x v="26"/>
    <s v="31601014 - Acupuntura Por Sessão (R$ 25,00)"/>
    <s v="Acupuntura"/>
    <n v="15101078"/>
    <s v="Finalizado (6/10)"/>
    <n v="21"/>
    <n v="4"/>
    <n v="25"/>
    <s v="Sessão Faturada"/>
    <s v="00010001253014045"/>
    <n v="52943"/>
    <s v="Unidade Sao Jose"/>
    <n v="15101078"/>
    <m/>
  </r>
  <r>
    <x v="3"/>
    <x v="40"/>
    <s v="Thiago Moreira Teixeira"/>
    <s v="Masculino"/>
    <x v="29"/>
    <x v="26"/>
    <s v="31601014 - Acupuntura (R$ 73,38)"/>
    <s v="Acupuntura"/>
    <n v="1039533"/>
    <s v="Finalizado (3/10)"/>
    <n v="61.639200000000002"/>
    <n v="11.7408"/>
    <n v="73.38"/>
    <s v="Sessão Faturada"/>
    <n v="130260003638000"/>
    <n v="53116"/>
    <s v="Unidade Sao Jose"/>
    <n v="1039533"/>
    <s v="Guia Assinada"/>
  </r>
  <r>
    <x v="3"/>
    <x v="35"/>
    <s v="Osmar Barbosa dos Santos Junior"/>
    <s v="Masculino"/>
    <x v="9"/>
    <x v="26"/>
    <s v="31601014 - Acupuntura (R$ 54,56)"/>
    <s v="Acupuntura"/>
    <n v="1711548500"/>
    <s v="Finalizado (3/5)"/>
    <n v="45.830399999999997"/>
    <n v="8.7295999999999996"/>
    <n v="54.56"/>
    <s v="Sessão Faturada"/>
    <n v="954600036315000"/>
    <n v="58555"/>
    <s v="Unidade Sao Jose"/>
    <n v="1711548500"/>
    <m/>
  </r>
  <r>
    <x v="3"/>
    <x v="35"/>
    <s v="Francinete Ferreira de Souza"/>
    <s v="Feminino"/>
    <x v="9"/>
    <x v="26"/>
    <s v="31601014 - Acupuntura (R$ 54,56)"/>
    <s v="Acupuntura"/>
    <n v="1713909103"/>
    <s v="Finalizado (2/5)"/>
    <n v="45.830399999999997"/>
    <n v="8.7295999999999996"/>
    <n v="54.56"/>
    <s v="Sessão Faturada"/>
    <n v="954390037672020"/>
    <n v="41225"/>
    <s v="Unidade Sao Jose"/>
    <n v="1713909103"/>
    <m/>
  </r>
  <r>
    <x v="3"/>
    <x v="2"/>
    <s v="Maria Francisca da Silva Carvalho"/>
    <s v="Feminino"/>
    <x v="7"/>
    <x v="26"/>
    <s v="Sao José - 7 - Acupuntura - Pacote (R$ 40,00)"/>
    <s v="Acupuntura"/>
    <n v="172300"/>
    <s v="Finalizado (1/5)"/>
    <n v="30"/>
    <n v="10"/>
    <n v="40"/>
    <s v="Pago"/>
    <n v="58726"/>
    <n v="58726"/>
    <s v="Unidade Sao Jose"/>
    <n v="172300"/>
    <m/>
  </r>
  <r>
    <x v="3"/>
    <x v="2"/>
    <s v="Eliza Macedo Vale"/>
    <s v="Feminino"/>
    <x v="7"/>
    <x v="26"/>
    <s v="Sao José - 6 - Acupuntura - Sessão (R$ 60,00)"/>
    <s v="Acupuntura"/>
    <n v="171899"/>
    <s v="Finalizado (2/5)"/>
    <n v="45"/>
    <n v="15"/>
    <n v="60"/>
    <s v="Pago"/>
    <n v="59672"/>
    <n v="59672"/>
    <s v="Unidade Sao Jose"/>
    <n v="171899"/>
    <m/>
  </r>
  <r>
    <x v="3"/>
    <x v="6"/>
    <s v="Silvaneide Pinto Rodrigues Pontes"/>
    <s v="Feminino"/>
    <x v="5"/>
    <x v="26"/>
    <s v="31601014 - Acupuntura (R$ 90,51)"/>
    <s v="Acupuntura"/>
    <n v="77034220"/>
    <s v="Finalizado (2/10)"/>
    <n v="76.028400000000005"/>
    <n v="14.4816"/>
    <n v="90.51"/>
    <s v="Sessão a Faturar"/>
    <s v="0100788548001225"/>
    <n v="57040"/>
    <s v="Unidade Sao Jose"/>
    <n v="77034220"/>
    <m/>
  </r>
  <r>
    <x v="3"/>
    <x v="15"/>
    <s v="Eunice Maria de Sena e Freitas"/>
    <s v="Feminino"/>
    <x v="6"/>
    <x v="26"/>
    <s v="10101012 - Consulta Médica (R$ 121,28)"/>
    <s v="Acupuntura"/>
    <n v="7700047307"/>
    <s v="Finalizado (1/1)"/>
    <n v="121.28"/>
    <n v="0"/>
    <n v="121.28"/>
    <s v="Sessão Faturada"/>
    <s v="58200789997228961026"/>
    <n v="38740"/>
    <s v="Unidade Sao Jose"/>
    <n v="7700047307"/>
    <m/>
  </r>
  <r>
    <x v="3"/>
    <x v="15"/>
    <s v="Eunice Maria de Sena e Freitas"/>
    <s v="Feminino"/>
    <x v="6"/>
    <x v="26"/>
    <s v="31601014 - Acupuntura (R$ 51,33)"/>
    <s v="Acupuntura"/>
    <n v="172324"/>
    <s v="Finalizado (1/4)"/>
    <n v="43.117199999999997"/>
    <n v="8.2127999999999997"/>
    <n v="51.33"/>
    <s v="Sessão Faturada"/>
    <s v="58200789997228961026"/>
    <n v="38740"/>
    <s v="Unidade Sao Jose"/>
    <n v="172324"/>
    <m/>
  </r>
  <r>
    <x v="3"/>
    <x v="17"/>
    <s v="Josinaldo Sampaio da Silva"/>
    <s v="Masculino"/>
    <x v="6"/>
    <x v="26"/>
    <s v="31601014 - Acupuntura (R$ 51,33)"/>
    <s v="Acupuntura"/>
    <n v="171754"/>
    <s v="Finalizado (3/4)"/>
    <n v="43.117199999999997"/>
    <n v="8.2127999999999997"/>
    <n v="51.33"/>
    <s v="Sessão Faturada"/>
    <s v="54588888004873420010"/>
    <n v="41506"/>
    <s v="Unidade Sao Jose"/>
    <n v="171754"/>
    <m/>
  </r>
  <r>
    <x v="3"/>
    <x v="8"/>
    <s v="Fernanda Neves Sabugosa"/>
    <s v="Feminino"/>
    <x v="31"/>
    <x v="26"/>
    <s v="31601014 - Acupuntura (R$ 54,56)"/>
    <s v="Acupuntura"/>
    <n v="1705919283"/>
    <s v="Finalizado (5/5)"/>
    <n v="45.830399999999997"/>
    <n v="8.7295999999999996"/>
    <n v="54.56"/>
    <s v="Sessão Faturada"/>
    <n v="771015043370010"/>
    <n v="38199"/>
    <s v="Unidade Sao Jose"/>
    <n v="1705919283"/>
    <m/>
  </r>
  <r>
    <x v="3"/>
    <x v="10"/>
    <s v="Maria Neide Oliveira Marques"/>
    <s v="Feminino"/>
    <x v="9"/>
    <x v="26"/>
    <s v="31601014 - Acupuntura (R$ 54,56)"/>
    <s v="Acupuntura"/>
    <n v="1709226379"/>
    <s v="Finalizado (4/5)"/>
    <n v="45.830399999999997"/>
    <n v="8.7295999999999996"/>
    <n v="54.56"/>
    <s v="Sessão Faturada"/>
    <n v="954600008419020"/>
    <n v="52794"/>
    <s v="Unidade Sao Jose"/>
    <n v="1709226379"/>
    <m/>
  </r>
  <r>
    <x v="4"/>
    <x v="36"/>
    <s v="Francinete Ferreira de Souza"/>
    <s v="Feminino"/>
    <x v="9"/>
    <x v="26"/>
    <s v="31601014 - Acupuntura (R$ 54,56)"/>
    <s v="Acupuntura"/>
    <n v="1713909103"/>
    <s v="Finalizado (3/5)"/>
    <n v="45.830399999999997"/>
    <n v="8.7295999999999996"/>
    <n v="54.56"/>
    <s v="Sessão Faturada"/>
    <n v="954390037672020"/>
    <n v="41225"/>
    <s v="Unidade Sao Jose"/>
    <n v="1713909103"/>
    <m/>
  </r>
  <r>
    <x v="4"/>
    <x v="40"/>
    <s v="Sheila Miranda de Brito"/>
    <s v="Feminino"/>
    <x v="9"/>
    <x v="26"/>
    <s v="31601014 - Acupuntura (R$ 54,56)"/>
    <s v="Acupuntura"/>
    <n v="1714946931"/>
    <s v="Finalizado (1/5)"/>
    <n v="45.830399999999997"/>
    <n v="8.7295999999999996"/>
    <n v="54.56"/>
    <s v="Sessão Faturada"/>
    <n v="954440000590010"/>
    <n v="46121"/>
    <s v="Unidade Sao Jose"/>
    <n v="1714946931"/>
    <m/>
  </r>
  <r>
    <x v="4"/>
    <x v="40"/>
    <s v="Ana Cristina Soares dos Santos Nunes"/>
    <s v="Feminino"/>
    <x v="6"/>
    <x v="26"/>
    <s v="31601014 - Acupuntura (R$ 51,33)"/>
    <s v="Acupuntura"/>
    <n v="171723"/>
    <s v="Finalizado (3/4)"/>
    <n v="43.117199999999997"/>
    <n v="8.2127999999999997"/>
    <n v="51.33"/>
    <s v="Sessão Faturada"/>
    <s v="56788888483384430019"/>
    <n v="46812"/>
    <s v="Unidade Sao Jose"/>
    <n v="171723"/>
    <m/>
  </r>
  <r>
    <x v="4"/>
    <x v="40"/>
    <s v="Josiane de Sousa Santos"/>
    <s v="Feminino"/>
    <x v="9"/>
    <x v="26"/>
    <s v="31601014 - Acupuntura (R$ 54,56)"/>
    <s v="Acupuntura"/>
    <n v="1713895445"/>
    <s v="Finalizado (2/5)"/>
    <n v="45.830399999999997"/>
    <n v="8.7295999999999996"/>
    <n v="54.56"/>
    <s v="Sessão Faturada"/>
    <n v="954600005274010"/>
    <n v="23225"/>
    <s v="Unidade Sao Jose"/>
    <n v="1713895445"/>
    <m/>
  </r>
  <r>
    <x v="4"/>
    <x v="40"/>
    <s v="Raynara Santos de Carvalho"/>
    <s v="Feminino"/>
    <x v="31"/>
    <x v="26"/>
    <s v="31601014 - Acupuntura (R$ 54,56)"/>
    <s v="Acupuntura"/>
    <n v="1714985403"/>
    <s v="Finalizado (1/5)"/>
    <n v="45.830399999999997"/>
    <n v="8.7295999999999996"/>
    <n v="54.56"/>
    <s v="Sessão a Faturar"/>
    <n v="774634001384000"/>
    <n v="59689"/>
    <s v="Unidade Sao Jose"/>
    <n v="1714985403"/>
    <m/>
  </r>
  <r>
    <x v="4"/>
    <x v="35"/>
    <s v="Renilson Santos de Assis"/>
    <s v="Masculino"/>
    <x v="31"/>
    <x v="26"/>
    <s v="31601014 - Acupuntura (R$ 54,56)"/>
    <s v="Acupuntura"/>
    <n v="1714999921"/>
    <s v="Finalizado (1/1)"/>
    <n v="45.830399999999997"/>
    <n v="8.7295999999999996"/>
    <n v="54.56"/>
    <s v="Sessão a Faturar"/>
    <n v="772682001643000"/>
    <n v="57157"/>
    <s v="Unidade Sao Jose"/>
    <n v="1714999921"/>
    <m/>
  </r>
  <r>
    <x v="4"/>
    <x v="37"/>
    <s v="Ana Cristina de Frota Palheta"/>
    <s v="Feminino"/>
    <x v="6"/>
    <x v="26"/>
    <s v="31601014 - Acupuntura (R$ 51,33)"/>
    <s v="Acupuntura"/>
    <n v="169243"/>
    <s v="Finalizado (3/4)"/>
    <n v="43.117199999999997"/>
    <n v="8.2127999999999997"/>
    <n v="51.33"/>
    <s v="Sessão Faturada"/>
    <s v="54588888012065310011"/>
    <n v="20193"/>
    <s v="Unidade Sao Jose"/>
    <n v="169243"/>
    <m/>
  </r>
  <r>
    <x v="4"/>
    <x v="37"/>
    <s v="Sheila Ferreira do Nascimento"/>
    <s v="Feminino"/>
    <x v="31"/>
    <x v="26"/>
    <s v="31601014 - Acupuntura (R$ 54,56)"/>
    <s v="Acupuntura"/>
    <n v="1712652752"/>
    <s v="Finalizado (3/5)"/>
    <n v="45.830399999999997"/>
    <n v="8.7295999999999996"/>
    <n v="54.56"/>
    <s v="Sessão Faturada"/>
    <n v="774239001511020"/>
    <n v="27492"/>
    <s v="Unidade Sao Jose"/>
    <n v="1712652752"/>
    <m/>
  </r>
  <r>
    <x v="4"/>
    <x v="39"/>
    <s v="Misleia Fernandes Mendes"/>
    <s v="Feminino"/>
    <x v="31"/>
    <x v="26"/>
    <s v="31601014 - Acupuntura (R$ 54,56)"/>
    <s v="Acupuntura"/>
    <n v="1713382990"/>
    <s v="Finalizado (3/5)"/>
    <n v="45.830399999999997"/>
    <n v="8.7295999999999996"/>
    <n v="54.56"/>
    <s v="Sessão Faturada"/>
    <n v="770179020664010"/>
    <n v="44824"/>
    <s v="Unidade Sao Jose"/>
    <n v="1713382990"/>
    <m/>
  </r>
  <r>
    <x v="4"/>
    <x v="39"/>
    <s v="Ana Cristina de Frota Palheta"/>
    <s v="Feminino"/>
    <x v="6"/>
    <x v="26"/>
    <s v="31601014 - Acupuntura (R$ 51,33)"/>
    <s v="Acupuntura"/>
    <n v="169243"/>
    <s v="Finalizado (4/4)"/>
    <n v="43.117199999999997"/>
    <n v="8.2127999999999997"/>
    <n v="51.33"/>
    <s v="Sessão Faturada"/>
    <s v="54588888012065310011"/>
    <n v="20193"/>
    <s v="Unidade Sao Jose"/>
    <n v="169243"/>
    <m/>
  </r>
  <r>
    <x v="4"/>
    <x v="39"/>
    <s v="Wildson Costa dos Santos"/>
    <s v="Masculino"/>
    <x v="6"/>
    <x v="26"/>
    <s v="31601014 - Acupuntura (R$ 51,33)"/>
    <s v="Acupuntura"/>
    <n v="170985"/>
    <s v="Finalizado (4/4)"/>
    <n v="43.117199999999997"/>
    <n v="8.2127999999999997"/>
    <n v="51.33"/>
    <s v="Sessão Faturada"/>
    <s v="58201065998121610018"/>
    <n v="59580"/>
    <s v="Unidade Sao Jose"/>
    <n v="170985"/>
    <m/>
  </r>
  <r>
    <x v="4"/>
    <x v="43"/>
    <s v="Tamires Cordeiro de Melo"/>
    <s v="Feminino"/>
    <x v="31"/>
    <x v="26"/>
    <s v="31601014 - Acupuntura (R$ 54,56)"/>
    <s v="Acupuntura"/>
    <n v="1714251825"/>
    <s v="Finalizado (2/3)"/>
    <n v="45.830399999999997"/>
    <n v="8.7295999999999996"/>
    <n v="54.56"/>
    <s v="Sessão a Faturar"/>
    <n v="773626012483020"/>
    <n v="59648"/>
    <s v="Unidade Sao Jose"/>
    <n v="1714251825"/>
    <m/>
  </r>
  <r>
    <x v="4"/>
    <x v="2"/>
    <s v="Nádia Eunice Batalha de Pinho"/>
    <s v="Feminino"/>
    <x v="31"/>
    <x v="26"/>
    <s v="31601014 - Acupuntura (R$ 54,56)"/>
    <s v="Acupuntura"/>
    <n v="1714108737"/>
    <s v="Finalizado (2/5)"/>
    <n v="45.830399999999997"/>
    <n v="8.7295999999999996"/>
    <n v="54.56"/>
    <s v="Sessão Faturada"/>
    <n v="774385001546010"/>
    <n v="58963"/>
    <s v="Unidade Sao Jose"/>
    <n v="1714108737"/>
    <m/>
  </r>
  <r>
    <x v="4"/>
    <x v="2"/>
    <s v="Maria Sueide Pacheco"/>
    <s v="Feminino"/>
    <x v="12"/>
    <x v="26"/>
    <s v="31601014 - Acupuntura (R$ 54,56)"/>
    <s v="Acupuntura"/>
    <n v="10292557"/>
    <s v="Finalizado (8/10)"/>
    <n v="45.830399999999997"/>
    <n v="8.7295999999999996"/>
    <n v="54.56"/>
    <s v="Sessão Faturada"/>
    <s v="000432154994220501"/>
    <n v="26513"/>
    <s v="Unidade Sao Jose"/>
    <n v="10292557"/>
    <m/>
  </r>
  <r>
    <x v="4"/>
    <x v="2"/>
    <s v="Thiago Moreira Teixeira"/>
    <s v="Masculino"/>
    <x v="29"/>
    <x v="26"/>
    <s v="31601014 - Acupuntura (R$ 73,38)"/>
    <s v="Acupuntura"/>
    <n v="1039533"/>
    <s v="Finalizado (4/10)"/>
    <n v="61.639200000000002"/>
    <n v="11.7408"/>
    <n v="73.38"/>
    <s v="Sessão Faturada"/>
    <n v="130260003638000"/>
    <n v="53116"/>
    <s v="Unidade Sao Jose"/>
    <n v="1039533"/>
    <s v="Guia Assinada"/>
  </r>
  <r>
    <x v="4"/>
    <x v="13"/>
    <s v="Milza Santos"/>
    <s v="Feminino"/>
    <x v="32"/>
    <x v="26"/>
    <s v="31601014 - Acupuntura (R$ 54,56)"/>
    <s v="Acupuntura"/>
    <n v="1708005854"/>
    <s v="Finalizado (5/5)"/>
    <n v="45.830399999999997"/>
    <n v="8.7295999999999996"/>
    <n v="54.56"/>
    <s v="Sessão Faturada"/>
    <n v="954600000493010"/>
    <n v="41659"/>
    <s v="Unidade Sao Jose"/>
    <n v="1708005854"/>
    <m/>
  </r>
  <r>
    <x v="4"/>
    <x v="15"/>
    <s v="Maria de Fátima Cardoso de Medeiros"/>
    <s v="Feminino"/>
    <x v="31"/>
    <x v="26"/>
    <s v="31601014 - Acupuntura (R$ 54,56)"/>
    <s v="Acupuntura"/>
    <n v="1712932250"/>
    <s v="Finalizado (3/5)"/>
    <n v="45.830399999999997"/>
    <n v="8.7295999999999996"/>
    <n v="54.56"/>
    <s v="Sessão a Faturar"/>
    <n v="773458021210010"/>
    <n v="59643"/>
    <s v="Unidade Sao Jose"/>
    <n v="1712932250"/>
    <m/>
  </r>
  <r>
    <x v="4"/>
    <x v="15"/>
    <s v="Jean da Silva Melo"/>
    <s v="Masculino"/>
    <x v="32"/>
    <x v="26"/>
    <s v="31601014 - Acupuntura (R$ 54,56)"/>
    <s v="Acupuntura"/>
    <n v="1710461196"/>
    <s v="Finalizado (4/5)"/>
    <n v="45.830399999999997"/>
    <n v="8.7295999999999996"/>
    <n v="54.56"/>
    <s v="Sessão Faturada"/>
    <n v="954600003042000"/>
    <n v="29915"/>
    <s v="Unidade Sao Jose"/>
    <n v="1710461196"/>
    <m/>
  </r>
  <r>
    <x v="4"/>
    <x v="17"/>
    <s v="Leonardo Batista de Souza"/>
    <s v="Masculino"/>
    <x v="5"/>
    <x v="26"/>
    <s v="31601014 - Acupuntura - 04/03/2026 (R$ 86,81)"/>
    <s v="Acupuntura"/>
    <n v="65115940"/>
    <s v="Finalizado (5/10)"/>
    <n v="72.920400000000001"/>
    <n v="13.8896"/>
    <n v="86.81"/>
    <s v="Sessão Faturada"/>
    <s v="0101516639000159"/>
    <n v="54993"/>
    <s v="Unidade Sao Jose"/>
    <n v="65115940"/>
    <m/>
  </r>
  <r>
    <x v="4"/>
    <x v="8"/>
    <s v="Luan Raphael Fernandes da Silva"/>
    <s v="Masculino"/>
    <x v="31"/>
    <x v="26"/>
    <s v="31601014 - Acupuntura (R$ 54,56)"/>
    <s v="Acupuntura"/>
    <n v="1709854400"/>
    <s v="Finalizado (4/5)"/>
    <n v="45.830399999999997"/>
    <n v="8.7295999999999996"/>
    <n v="54.56"/>
    <s v="Sessão Faturada"/>
    <n v="775216014346010"/>
    <n v="59334"/>
    <s v="Unidade Sao Jose"/>
    <n v="1709854400"/>
    <m/>
  </r>
  <r>
    <x v="4"/>
    <x v="8"/>
    <s v="Andréa Nadiane Corrêa Rosa"/>
    <s v="Feminino"/>
    <x v="6"/>
    <x v="26"/>
    <s v="31601014 - Acupuntura (R$ 51,33)"/>
    <s v="Acupuntura"/>
    <n v="171195"/>
    <s v="Finalizado (2/4)"/>
    <n v="43.117199999999997"/>
    <n v="8.2127999999999997"/>
    <n v="51.33"/>
    <s v="Sessão Faturada"/>
    <s v="54588888005928480026"/>
    <n v="50931"/>
    <s v="Unidade Sao Jose"/>
    <n v="171195"/>
    <m/>
  </r>
  <r>
    <x v="4"/>
    <x v="10"/>
    <s v="Jairo Barboza Domingues"/>
    <s v="Masculino"/>
    <x v="4"/>
    <x v="26"/>
    <s v="31601014 - Acupuntura (R$ 54,56)"/>
    <s v="Acupuntura"/>
    <n v="1713652278"/>
    <s v="Finalizado (2/5)"/>
    <n v="45.830399999999997"/>
    <n v="8.7295999999999996"/>
    <n v="54.56"/>
    <s v="Sessão a Faturar"/>
    <n v="960016147828000"/>
    <n v="18356"/>
    <s v="Unidade Sao Jose"/>
    <n v="1713652278"/>
    <m/>
  </r>
  <r>
    <x v="4"/>
    <x v="10"/>
    <s v="Adna Melo da Silva Juvenal"/>
    <s v="Feminino"/>
    <x v="9"/>
    <x v="26"/>
    <s v="31601014 - Acupuntura (R$ 54,56)"/>
    <s v="Acupuntura"/>
    <n v="1715260464"/>
    <s v="Finalizado (1/1)"/>
    <n v="45.830399999999997"/>
    <n v="8.7295999999999996"/>
    <n v="54.56"/>
    <s v="Sessão Faturada"/>
    <n v="954600025615010"/>
    <n v="54008"/>
    <s v="Unidade Sao Jose"/>
    <n v="1715260464"/>
    <m/>
  </r>
  <r>
    <x v="24"/>
    <x v="36"/>
    <s v="Osmar Barbosa dos Santos Junior"/>
    <s v="Masculino"/>
    <x v="9"/>
    <x v="26"/>
    <s v="31601014 - Acupuntura (R$ 54,56)"/>
    <s v="Acupuntura"/>
    <n v="1711548500"/>
    <s v="Finalizado (4/5)"/>
    <n v="45.830399999999997"/>
    <n v="8.7295999999999996"/>
    <n v="54.56"/>
    <s v="Sessão Faturada"/>
    <n v="954600036315000"/>
    <n v="58555"/>
    <s v="Unidade Sao Jose"/>
    <n v="1711548500"/>
    <m/>
  </r>
  <r>
    <x v="24"/>
    <x v="36"/>
    <s v="Tereza da Rocha Vieira"/>
    <s v="Feminino"/>
    <x v="10"/>
    <x v="26"/>
    <s v="31601014 - Acupuntura Por Sessão (R$ 25,00)"/>
    <s v="Acupuntura"/>
    <n v="15101078"/>
    <s v="Finalizado (7/10)"/>
    <n v="21"/>
    <n v="4"/>
    <n v="25"/>
    <s v="Sessão Faturada"/>
    <s v="00010001253014045"/>
    <n v="52943"/>
    <s v="Unidade Sao Jose"/>
    <n v="15101078"/>
    <m/>
  </r>
  <r>
    <x v="24"/>
    <x v="36"/>
    <s v="Kyssia Roberta Sena Batista de Souza"/>
    <s v="Feminino"/>
    <x v="9"/>
    <x v="26"/>
    <s v="31601014 - Acupuntura (R$ 54,56)"/>
    <s v="Acupuntura"/>
    <n v="1715397538"/>
    <s v="Finalizado (1/5)"/>
    <n v="45.830399999999997"/>
    <n v="8.7295999999999996"/>
    <n v="54.56"/>
    <s v="Sessão a Faturar"/>
    <n v="954600002461000"/>
    <n v="58661"/>
    <s v="Unidade Sao Jose"/>
    <n v="1715397538"/>
    <m/>
  </r>
  <r>
    <x v="24"/>
    <x v="40"/>
    <s v="Maria Neide Oliveira Marques"/>
    <s v="Feminino"/>
    <x v="9"/>
    <x v="26"/>
    <s v="31601014 - Acupuntura (R$ 54,56)"/>
    <s v="Acupuntura"/>
    <n v="1709226379"/>
    <s v="Finalizado (5/5)"/>
    <n v="45.830399999999997"/>
    <n v="8.7295999999999996"/>
    <n v="54.56"/>
    <s v="Sessão Faturada"/>
    <n v="954600008419020"/>
    <n v="52794"/>
    <s v="Unidade Sao Jose"/>
    <n v="1709226379"/>
    <m/>
  </r>
  <r>
    <x v="24"/>
    <x v="35"/>
    <s v="Soniele Maria Santos da Silva"/>
    <s v="Feminino"/>
    <x v="9"/>
    <x v="26"/>
    <s v="31601014 - Acupuntura (R$ 54,56)"/>
    <s v="Acupuntura"/>
    <n v="1715422308"/>
    <s v="Finalizado (1/1)"/>
    <n v="45.830399999999997"/>
    <n v="8.7295999999999996"/>
    <n v="54.56"/>
    <s v="Sessão Faturada"/>
    <n v="954600000507010"/>
    <n v="50297"/>
    <s v="Unidade Sao Jose"/>
    <n v="1715422308"/>
    <m/>
  </r>
  <r>
    <x v="24"/>
    <x v="38"/>
    <s v="Jorge Frank dos Santos Lira"/>
    <s v="Masculino"/>
    <x v="9"/>
    <x v="26"/>
    <s v="31601014 - Acupuntura (R$ 54,56)"/>
    <s v="Acupuntura"/>
    <n v="1711429346"/>
    <s v="Finalizado (4/5)"/>
    <n v="45.830399999999997"/>
    <n v="8.7295999999999996"/>
    <n v="54.56"/>
    <s v="Sessão Faturada"/>
    <n v="954600002780020"/>
    <n v="58709"/>
    <s v="Unidade Sao Jose"/>
    <n v="1711429346"/>
    <m/>
  </r>
  <r>
    <x v="24"/>
    <x v="37"/>
    <s v="Helem Sintia Souza da Silva"/>
    <s v="Feminino"/>
    <x v="6"/>
    <x v="26"/>
    <s v="31601014 - Acupuntura - 29/01/2026 (R$ 48,95)"/>
    <s v="Acupuntura"/>
    <n v="152029"/>
    <s v="Finalizado (2/4)"/>
    <n v="41.118000000000002"/>
    <n v="7.8319999999999999"/>
    <n v="48.95"/>
    <s v="Sessão Faturada"/>
    <s v="54588888461717910027"/>
    <n v="23857"/>
    <s v="Unidade Sao Jose"/>
    <n v="152029"/>
    <m/>
  </r>
  <r>
    <x v="24"/>
    <x v="37"/>
    <s v="Marciana Bastos Araújo de Lima"/>
    <s v="Feminino"/>
    <x v="31"/>
    <x v="26"/>
    <s v="31601014 - Acupuntura (R$ 54,56)"/>
    <s v="Acupuntura"/>
    <n v="128505"/>
    <s v="Finalizado (3/5)"/>
    <n v="45.830399999999997"/>
    <n v="8.7295999999999996"/>
    <n v="54.56"/>
    <s v="Sessão Faturada"/>
    <n v="771015044180010"/>
    <n v="50306"/>
    <s v="Unidade Sao Jose"/>
    <n v="128505"/>
    <m/>
  </r>
  <r>
    <x v="5"/>
    <x v="36"/>
    <s v="Ruan de Souza Mesquita"/>
    <s v="Masculino"/>
    <x v="9"/>
    <x v="26"/>
    <s v="31601014 - Acupuntura (R$ 54,56)"/>
    <s v="Acupuntura"/>
    <n v="1705117314"/>
    <s v="Finalizado (3/3)"/>
    <n v="45.830399999999997"/>
    <n v="8.7295999999999996"/>
    <n v="54.56"/>
    <s v="Sessão Faturada"/>
    <n v="954600015873000"/>
    <n v="56318"/>
    <s v="Unidade Sao Jose"/>
    <n v="1705117314"/>
    <m/>
  </r>
  <r>
    <x v="5"/>
    <x v="40"/>
    <s v="Josiane de Sousa Santos"/>
    <s v="Feminino"/>
    <x v="9"/>
    <x v="26"/>
    <s v="31601014 - Acupuntura (R$ 54,56)"/>
    <s v="Acupuntura"/>
    <n v="1713895445"/>
    <s v="Finalizado (3/5)"/>
    <n v="45.830399999999997"/>
    <n v="8.7295999999999996"/>
    <n v="54.56"/>
    <s v="Sessão Faturada"/>
    <n v="954600005274010"/>
    <n v="23225"/>
    <s v="Unidade Sao Jose"/>
    <n v="1713895445"/>
    <m/>
  </r>
  <r>
    <x v="5"/>
    <x v="40"/>
    <s v="Eliza Macedo Vale"/>
    <s v="Feminino"/>
    <x v="7"/>
    <x v="26"/>
    <s v="Sao José - 6 - Acupuntura - Sessão (R$ 60,00)"/>
    <s v="Acupuntura"/>
    <n v="171899"/>
    <s v="Finalizado (3/5)"/>
    <n v="45"/>
    <n v="15"/>
    <n v="60"/>
    <s v="Pago"/>
    <n v="59672"/>
    <n v="59672"/>
    <s v="Unidade Sao Jose"/>
    <n v="171899"/>
    <m/>
  </r>
  <r>
    <x v="5"/>
    <x v="40"/>
    <s v="Sheila Ferreira do Nascimento"/>
    <s v="Feminino"/>
    <x v="31"/>
    <x v="26"/>
    <s v="31601014 - Acupuntura (R$ 54,56)"/>
    <s v="Acupuntura"/>
    <n v="1712652752"/>
    <s v="Finalizado (4/5)"/>
    <n v="45.830399999999997"/>
    <n v="8.7295999999999996"/>
    <n v="54.56"/>
    <s v="Sessão Faturada"/>
    <n v="774239001511020"/>
    <n v="27492"/>
    <s v="Unidade Sao Jose"/>
    <n v="1712652752"/>
    <m/>
  </r>
  <r>
    <x v="5"/>
    <x v="35"/>
    <s v="Natanael Costa Cruz"/>
    <s v="Masculino"/>
    <x v="31"/>
    <x v="26"/>
    <s v="31601014 - Acupuntura (R$ 54,56)"/>
    <s v="Acupuntura"/>
    <n v="1715917142"/>
    <s v="Finalizado (1/5)"/>
    <n v="45.830399999999997"/>
    <n v="8.7295999999999996"/>
    <n v="54.56"/>
    <s v="Sessão Faturada"/>
    <n v="775072015105020"/>
    <n v="59724"/>
    <s v="Unidade Sao Jose"/>
    <n v="1715917142"/>
    <m/>
  </r>
  <r>
    <x v="5"/>
    <x v="35"/>
    <s v="Jorge Frank dos Santos Lira"/>
    <s v="Masculino"/>
    <x v="9"/>
    <x v="26"/>
    <s v="31601014 - Acupuntura (R$ 54,56)"/>
    <s v="Acupuntura"/>
    <n v="1711429346"/>
    <s v="Finalizado (5/5)"/>
    <n v="45.830399999999997"/>
    <n v="8.7295999999999996"/>
    <n v="54.56"/>
    <s v="Sessão Faturada"/>
    <n v="954600002780020"/>
    <n v="58709"/>
    <s v="Unidade Sao Jose"/>
    <n v="1711429346"/>
    <m/>
  </r>
  <r>
    <x v="5"/>
    <x v="37"/>
    <s v="Jean da Silva Melo"/>
    <s v="Masculino"/>
    <x v="32"/>
    <x v="26"/>
    <s v="31601014 - Acupuntura (R$ 54,56)"/>
    <s v="Acupuntura"/>
    <n v="1710461196"/>
    <s v="Finalizado (5/5)"/>
    <n v="45.830399999999997"/>
    <n v="8.7295999999999996"/>
    <n v="54.56"/>
    <s v="Sessão Faturada"/>
    <n v="954600003042000"/>
    <n v="29915"/>
    <s v="Unidade Sao Jose"/>
    <n v="1710461196"/>
    <m/>
  </r>
  <r>
    <x v="5"/>
    <x v="37"/>
    <s v="Raynara Santos de Carvalho"/>
    <s v="Feminino"/>
    <x v="31"/>
    <x v="26"/>
    <s v="31601014 - Acupuntura (R$ 54,56)"/>
    <s v="Acupuntura"/>
    <n v="1714985403"/>
    <s v="Finalizado (2/5)"/>
    <n v="45.830399999999997"/>
    <n v="8.7295999999999996"/>
    <n v="54.56"/>
    <s v="Sessão a Faturar"/>
    <n v="774634001384000"/>
    <n v="59689"/>
    <s v="Unidade Sao Jose"/>
    <n v="1714985403"/>
    <m/>
  </r>
  <r>
    <x v="5"/>
    <x v="4"/>
    <s v="Nádia Eunice Batalha de Pinho"/>
    <s v="Feminino"/>
    <x v="31"/>
    <x v="26"/>
    <s v="31601014 - Acupuntura (R$ 54,56)"/>
    <s v="Acupuntura"/>
    <n v="1714108737"/>
    <s v="Finalizado (3/5)"/>
    <n v="45.830399999999997"/>
    <n v="8.7295999999999996"/>
    <n v="54.56"/>
    <s v="Sessão Faturada"/>
    <n v="774385001546010"/>
    <n v="58963"/>
    <s v="Unidade Sao Jose"/>
    <n v="1714108737"/>
    <m/>
  </r>
  <r>
    <x v="5"/>
    <x v="4"/>
    <s v="Leonardo Batista de Souza"/>
    <s v="Masculino"/>
    <x v="5"/>
    <x v="26"/>
    <s v="31601014 - Acupuntura - 04/03/2026 (R$ 86,81)"/>
    <s v="Acupuntura"/>
    <n v="65115940"/>
    <s v="Finalizado (6/10)"/>
    <n v="72.920400000000001"/>
    <n v="13.8896"/>
    <n v="86.81"/>
    <s v="Sessão Faturada"/>
    <s v="0101516639000159"/>
    <n v="54993"/>
    <s v="Unidade Sao Jose"/>
    <n v="65115940"/>
    <m/>
  </r>
  <r>
    <x v="5"/>
    <x v="6"/>
    <s v="Ana Cristina de Frota Palheta"/>
    <s v="Feminino"/>
    <x v="6"/>
    <x v="26"/>
    <s v="31601014 - Acupuntura (R$ 51,33)"/>
    <s v="Acupuntura"/>
    <n v="172582"/>
    <s v="Finalizado (1/4)"/>
    <n v="43.117199999999997"/>
    <n v="8.2127999999999997"/>
    <n v="51.33"/>
    <s v="Sessão Faturada"/>
    <s v="54588888012065310011"/>
    <n v="20193"/>
    <s v="Unidade Sao Jose"/>
    <n v="172582"/>
    <m/>
  </r>
  <r>
    <x v="5"/>
    <x v="15"/>
    <s v="Kize Coelho Mar"/>
    <s v="Feminino"/>
    <x v="9"/>
    <x v="26"/>
    <s v="31601014 - Acupuntura (R$ 54,56)"/>
    <s v="Acupuntura"/>
    <n v="1710803927"/>
    <s v="Finalizado (4/5)"/>
    <n v="45.830399999999997"/>
    <n v="8.7295999999999996"/>
    <n v="54.56"/>
    <s v="Sessão Faturada"/>
    <n v="954600030813000"/>
    <n v="59602"/>
    <s v="Unidade Sao Jose"/>
    <n v="1710803927"/>
    <m/>
  </r>
  <r>
    <x v="5"/>
    <x v="8"/>
    <s v="Rosalvo Jerônimo Corrêa Júnior"/>
    <s v="Masculino"/>
    <x v="5"/>
    <x v="26"/>
    <s v="31601014 - Acupuntura (R$ 90,51)"/>
    <s v="Acupuntura"/>
    <n v="78535120"/>
    <s v="Finalizado (2/10)"/>
    <n v="76.028400000000005"/>
    <n v="14.4816"/>
    <n v="90.51"/>
    <s v="Sessão a Faturar"/>
    <s v="010119271100"/>
    <n v="21327"/>
    <s v="Unidade Sao Jose"/>
    <n v="78535120"/>
    <m/>
  </r>
  <r>
    <x v="5"/>
    <x v="8"/>
    <s v="Jailson da Silva Teixeira"/>
    <s v="Masculino"/>
    <x v="31"/>
    <x v="26"/>
    <s v="31601014 - Acupuntura (R$ 54,56)"/>
    <s v="Acupuntura"/>
    <n v="1716251181"/>
    <s v="Finalizado (1/5)"/>
    <n v="45.830399999999997"/>
    <n v="8.7295999999999996"/>
    <n v="54.56"/>
    <s v="Sessão a Faturar"/>
    <n v="771015056251000"/>
    <n v="49655"/>
    <s v="Unidade Sao Jose"/>
    <n v="1716251181"/>
    <m/>
  </r>
  <r>
    <x v="5"/>
    <x v="10"/>
    <s v="Luan Raphael Fernandes da Silva"/>
    <s v="Masculino"/>
    <x v="31"/>
    <x v="26"/>
    <s v="31601014 - Acupuntura (R$ 54,56)"/>
    <s v="Acupuntura"/>
    <n v="1709854400"/>
    <s v="Finalizado (5/5)"/>
    <n v="45.830399999999997"/>
    <n v="8.7295999999999996"/>
    <n v="54.56"/>
    <s v="Sessão Faturada"/>
    <n v="775216014346010"/>
    <n v="59334"/>
    <s v="Unidade Sao Jose"/>
    <n v="1709854400"/>
    <m/>
  </r>
  <r>
    <x v="5"/>
    <x v="10"/>
    <s v="Diane Pinto de Souza"/>
    <s v="Feminino"/>
    <x v="31"/>
    <x v="26"/>
    <s v="31601014 - Acupuntura (R$ 54,56)"/>
    <s v="Acupuntura"/>
    <n v="1712997251"/>
    <s v="Finalizado (2/2)"/>
    <n v="45.830399999999997"/>
    <n v="8.7295999999999996"/>
    <n v="54.56"/>
    <s v="Sessão a Faturar"/>
    <n v="770179013056000"/>
    <n v="55682"/>
    <s v="Unidade Sao Jose"/>
    <n v="1712997251"/>
    <m/>
  </r>
  <r>
    <x v="6"/>
    <x v="36"/>
    <s v="Tereza da Rocha Vieira"/>
    <s v="Feminino"/>
    <x v="10"/>
    <x v="26"/>
    <s v="31601014 - Acupuntura Por Sessão (R$ 25,00)"/>
    <s v="Acupuntura"/>
    <n v="15101078"/>
    <s v="Finalizado (8/10)"/>
    <n v="21"/>
    <n v="4"/>
    <n v="25"/>
    <s v="Sessão Faturada"/>
    <s v="00010001253014045"/>
    <n v="52943"/>
    <s v="Unidade Sao Jose"/>
    <n v="15101078"/>
    <m/>
  </r>
  <r>
    <x v="6"/>
    <x v="36"/>
    <s v="Cleide Luiza da Silva Cabral"/>
    <s v="Feminino"/>
    <x v="31"/>
    <x v="26"/>
    <s v="31601014 - Acupuntura (R$ 54,56)"/>
    <s v="Acupuntura"/>
    <n v="1703114151"/>
    <s v="Finalizado (3/4)"/>
    <n v="45.830399999999997"/>
    <n v="8.7295999999999996"/>
    <n v="54.56"/>
    <s v="Sessão Faturada"/>
    <n v="897137800051020"/>
    <n v="54445"/>
    <s v="Unidade Sao Jose"/>
    <n v="1703114151"/>
    <m/>
  </r>
  <r>
    <x v="6"/>
    <x v="40"/>
    <s v="Osmar Barbosa dos Santos Junior"/>
    <s v="Masculino"/>
    <x v="9"/>
    <x v="26"/>
    <s v="31601014 - Acupuntura (R$ 54,56)"/>
    <s v="Acupuntura"/>
    <n v="1711548500"/>
    <s v="Finalizado (5/5)"/>
    <n v="45.830399999999997"/>
    <n v="8.7295999999999996"/>
    <n v="54.56"/>
    <s v="Sessão Faturada"/>
    <n v="954600036315000"/>
    <n v="58555"/>
    <s v="Unidade Sao Jose"/>
    <n v="1711548500"/>
    <m/>
  </r>
  <r>
    <x v="6"/>
    <x v="40"/>
    <s v="Songila da Silva Lopes Morato"/>
    <s v="Feminino"/>
    <x v="31"/>
    <x v="26"/>
    <s v="31601014 - Acupuntura (R$ 54,56)"/>
    <s v="Acupuntura"/>
    <n v="1716493572"/>
    <s v="Finalizado (1/1)"/>
    <n v="45.830399999999997"/>
    <n v="8.7295999999999996"/>
    <n v="54.56"/>
    <s v="Sessão a Faturar"/>
    <n v="773626002577020"/>
    <n v="38761"/>
    <s v="Unidade Sao Jose"/>
    <n v="1716493572"/>
    <m/>
  </r>
  <r>
    <x v="6"/>
    <x v="40"/>
    <s v="Eliza Macedo Vale"/>
    <s v="Feminino"/>
    <x v="7"/>
    <x v="26"/>
    <s v="Sao José - 6 - Acupuntura - Sessão (R$ 60,00)"/>
    <s v="Acupuntura"/>
    <n v="171899"/>
    <s v="Finalizado (4/5)"/>
    <n v="45"/>
    <n v="15"/>
    <n v="60"/>
    <s v="Pago"/>
    <n v="59672"/>
    <n v="59672"/>
    <s v="Unidade Sao Jose"/>
    <n v="171899"/>
    <m/>
  </r>
  <r>
    <x v="6"/>
    <x v="39"/>
    <s v="Cildomar dos Santos Lira"/>
    <s v="Masculino"/>
    <x v="7"/>
    <x v="26"/>
    <s v="Sao José - 7 - Acupuntura - Pacote (R$ 40,00)"/>
    <s v="Acupuntura"/>
    <n v="170988"/>
    <s v="Finalizado (5/5)"/>
    <n v="30"/>
    <n v="10"/>
    <n v="40"/>
    <s v="No Prazo"/>
    <n v="331883"/>
    <n v="33183"/>
    <s v="Unidade Sao Jose"/>
    <n v="170988"/>
    <m/>
  </r>
  <r>
    <x v="6"/>
    <x v="22"/>
    <s v="Maria Francisca da Silva Carvalho"/>
    <s v="Feminino"/>
    <x v="7"/>
    <x v="26"/>
    <s v="Sao José - 7 - Acupuntura - Pacote (R$ 40,00)"/>
    <s v="Acupuntura"/>
    <n v="172300"/>
    <s v="Finalizado (2/5)"/>
    <n v="30"/>
    <n v="10"/>
    <n v="40"/>
    <s v="Pago"/>
    <n v="58726"/>
    <n v="58726"/>
    <s v="Unidade Sao Jose"/>
    <n v="172300"/>
    <m/>
  </r>
  <r>
    <x v="6"/>
    <x v="2"/>
    <s v="Jose Edson Moura de Melo"/>
    <s v="Masculino"/>
    <x v="4"/>
    <x v="26"/>
    <s v="31601014 - Acupuntura (R$ 54,56)"/>
    <s v="Acupuntura"/>
    <n v="1707950594"/>
    <s v="Finalizado (3/5)"/>
    <n v="45.830399999999997"/>
    <n v="8.7295999999999996"/>
    <n v="54.56"/>
    <s v="Sessão Faturada"/>
    <n v="774722014389010"/>
    <n v="45960"/>
    <s v="Unidade Sao Jose"/>
    <n v="1707950594"/>
    <m/>
  </r>
  <r>
    <x v="6"/>
    <x v="6"/>
    <s v="Ana Cleude Pantoja da Silva"/>
    <s v="Feminino"/>
    <x v="9"/>
    <x v="26"/>
    <s v="31601014 - Acupuntura (R$ 54,56)"/>
    <s v="Acupuntura"/>
    <n v="1706446591"/>
    <s v="Finalizado (4/4)"/>
    <n v="45.830399999999997"/>
    <n v="8.7295999999999996"/>
    <n v="54.56"/>
    <s v="Sessão Faturada"/>
    <n v="954600008567000"/>
    <n v="23678"/>
    <s v="Unidade Sao Jose"/>
    <n v="1706446591"/>
    <m/>
  </r>
  <r>
    <x v="6"/>
    <x v="6"/>
    <s v="Natalia Anacleto Carvalho da Silva"/>
    <s v="Feminino"/>
    <x v="6"/>
    <x v="26"/>
    <s v="10101012 - Consulta Médica (R$ 121,28)"/>
    <s v="Acupuntura"/>
    <n v="7700047328"/>
    <s v="Finalizado (1/1)"/>
    <n v="121.28"/>
    <n v="0"/>
    <n v="121.28"/>
    <s v="Sessão Faturada"/>
    <s v="51588888477546590011"/>
    <n v="59693"/>
    <s v="Unidade Sao Jose"/>
    <n v="7700047328"/>
    <m/>
  </r>
  <r>
    <x v="6"/>
    <x v="6"/>
    <s v="Natalia Anacleto Carvalho da Silva"/>
    <s v="Feminino"/>
    <x v="6"/>
    <x v="26"/>
    <s v="31601014 - Acupuntura (R$ 51,33)"/>
    <s v="Acupuntura"/>
    <n v="172605"/>
    <s v="Finalizado (1/4)"/>
    <n v="43.117199999999997"/>
    <n v="8.2127999999999997"/>
    <n v="51.33"/>
    <s v="Sessão Faturada"/>
    <s v="51588888477546590011"/>
    <n v="59693"/>
    <s v="Unidade Sao Jose"/>
    <n v="172605"/>
    <m/>
  </r>
  <r>
    <x v="6"/>
    <x v="15"/>
    <s v="Claudenice Sales de Matos"/>
    <s v="Feminino"/>
    <x v="7"/>
    <x v="26"/>
    <s v="Sao José - 7 - Acupuntura - Pacote (R$ 40,00)"/>
    <s v="Acupuntura"/>
    <n v="172695"/>
    <s v="Finalizado (1/5)"/>
    <n v="30"/>
    <n v="10"/>
    <n v="40"/>
    <s v="No Prazo"/>
    <n v="59758"/>
    <n v="59758"/>
    <s v="Unidade Sao Jose"/>
    <n v="172695"/>
    <m/>
  </r>
  <r>
    <x v="6"/>
    <x v="15"/>
    <s v="Pietro Mar Carvalho"/>
    <s v="Masculino"/>
    <x v="9"/>
    <x v="26"/>
    <s v="31601014 - Acupuntura (R$ 54,56)"/>
    <s v="Acupuntura"/>
    <n v="1716751187"/>
    <s v="Finalizado (1/1)"/>
    <n v="45.830399999999997"/>
    <n v="8.7295999999999996"/>
    <n v="54.56"/>
    <s v="Sessão Faturada"/>
    <n v="954600030813010"/>
    <n v="55858"/>
    <s v="Unidade Sao Jose"/>
    <n v="1716751187"/>
    <m/>
  </r>
  <r>
    <x v="6"/>
    <x v="17"/>
    <s v="Kize Coelho Mar"/>
    <s v="Feminino"/>
    <x v="9"/>
    <x v="26"/>
    <s v="31601014 - Acupuntura (R$ 54,56)"/>
    <s v="Acupuntura"/>
    <n v="1710803927"/>
    <s v="Finalizado (5/5)"/>
    <n v="45.830399999999997"/>
    <n v="8.7295999999999996"/>
    <n v="54.56"/>
    <s v="Sessão Faturada"/>
    <n v="954600030813000"/>
    <n v="59602"/>
    <s v="Unidade Sao Jose"/>
    <n v="1710803927"/>
    <m/>
  </r>
  <r>
    <x v="6"/>
    <x v="17"/>
    <s v="Fernanda Neves Sabugosa"/>
    <s v="Feminino"/>
    <x v="31"/>
    <x v="26"/>
    <s v="31601014 - Acupuntura (R$ 54,56)"/>
    <s v="Acupuntura"/>
    <n v="1716771199"/>
    <s v="Finalizado (1/5)"/>
    <n v="45.830399999999997"/>
    <n v="8.7295999999999996"/>
    <n v="54.56"/>
    <s v="Sessão a Faturar"/>
    <n v="771015043370010"/>
    <n v="38199"/>
    <s v="Unidade Sao Jose"/>
    <n v="1716771199"/>
    <m/>
  </r>
  <r>
    <x v="6"/>
    <x v="17"/>
    <s v="Jean da Silva Melo"/>
    <s v="Masculino"/>
    <x v="32"/>
    <x v="26"/>
    <s v="31601014 - Acupuntura (R$ 54,56)"/>
    <s v="Acupuntura"/>
    <n v="1716762978"/>
    <s v="Finalizado (1/5)"/>
    <n v="45.830399999999997"/>
    <n v="8.7295999999999996"/>
    <n v="54.56"/>
    <s v="Sessão a Faturar"/>
    <n v="954600003042000"/>
    <n v="29915"/>
    <s v="Unidade Sao Jose"/>
    <n v="1716762978"/>
    <m/>
  </r>
  <r>
    <x v="6"/>
    <x v="8"/>
    <s v="Jailson da Silva Teixeira"/>
    <s v="Masculino"/>
    <x v="31"/>
    <x v="26"/>
    <s v="31601014 - Acupuntura (R$ 54,56)"/>
    <s v="Acupuntura"/>
    <n v="1716251181"/>
    <s v="Finalizado (2/5)"/>
    <n v="45.830399999999997"/>
    <n v="8.7295999999999996"/>
    <n v="54.56"/>
    <s v="Sessão a Faturar"/>
    <n v="771015056251000"/>
    <n v="49655"/>
    <s v="Unidade Sao Jose"/>
    <n v="1716251181"/>
    <m/>
  </r>
  <r>
    <x v="7"/>
    <x v="22"/>
    <s v="Luiz Gustavo André Oliveira"/>
    <s v="Masculino"/>
    <x v="7"/>
    <x v="26"/>
    <s v="Sao José - 7 - Acupuntura - Pacote (R$ 40,00)"/>
    <s v="Acupuntura"/>
    <n v="171585"/>
    <s v="Finalizado (2/5)"/>
    <n v="30"/>
    <n v="10"/>
    <n v="40"/>
    <s v="No Prazo"/>
    <n v="59634"/>
    <n v="59634"/>
    <s v="Unidade Sao Jose"/>
    <n v="171585"/>
    <m/>
  </r>
  <r>
    <x v="7"/>
    <x v="22"/>
    <s v="Gilmara Barbosa da Silva"/>
    <s v="Feminino"/>
    <x v="6"/>
    <x v="26"/>
    <s v="31601014 - Acupuntura (R$ 51,33)"/>
    <s v="Acupuntura"/>
    <n v="172903"/>
    <s v="Finalizado (1/4)"/>
    <n v="43.117199999999997"/>
    <n v="8.2127999999999997"/>
    <n v="51.33"/>
    <s v="Sessão Faturada"/>
    <s v="56788888481804800011"/>
    <n v="55664"/>
    <s v="Unidade Sao Jose"/>
    <n v="172903"/>
    <m/>
  </r>
  <r>
    <x v="7"/>
    <x v="22"/>
    <s v="Milena Souza de Sant'ana"/>
    <s v="Feminino"/>
    <x v="6"/>
    <x v="26"/>
    <s v="31601014 - Acupuntura (R$ 51,33)"/>
    <s v="Acupuntura"/>
    <n v="172111"/>
    <s v="Finalizado (2/4)"/>
    <n v="43.117199999999997"/>
    <n v="8.2127999999999997"/>
    <n v="51.33"/>
    <s v="Sessão Faturada"/>
    <s v="56788888477947370012"/>
    <n v="59507"/>
    <s v="Unidade Sao Jose"/>
    <n v="172111"/>
    <m/>
  </r>
  <r>
    <x v="7"/>
    <x v="13"/>
    <s v="Ketlem Kamila Ribeiro dos Santos"/>
    <m/>
    <x v="31"/>
    <x v="26"/>
    <s v="31601014 - Acupuntura (R$ 54,56)"/>
    <s v="Acupuntura"/>
    <n v="1709162175"/>
    <s v="Finalizado (3/3)"/>
    <n v="45.830399999999997"/>
    <n v="8.7295999999999996"/>
    <n v="54.56"/>
    <s v="Sessão a Faturar"/>
    <n v="881758800094000"/>
    <n v="52913"/>
    <s v="Unidade Sao Jose"/>
    <n v="1709162175"/>
    <m/>
  </r>
  <r>
    <x v="7"/>
    <x v="17"/>
    <s v="Eliza Macedo Vale"/>
    <s v="Feminino"/>
    <x v="7"/>
    <x v="26"/>
    <s v="Sao José - 6 - Acupuntura - Sessão (R$ 60,00)"/>
    <s v="Acupuntura"/>
    <n v="171899"/>
    <s v="Finalizado (5/5)"/>
    <n v="45"/>
    <n v="15"/>
    <n v="60"/>
    <s v="Pago"/>
    <n v="59672"/>
    <n v="59672"/>
    <s v="Unidade Sao Jose"/>
    <n v="171899"/>
    <m/>
  </r>
  <r>
    <x v="8"/>
    <x v="36"/>
    <s v="Francinete Ferreira de Souza"/>
    <s v="Feminino"/>
    <x v="9"/>
    <x v="26"/>
    <s v="31601014 - Acupuntura (R$ 54,56)"/>
    <s v="Acupuntura"/>
    <n v="1713909103"/>
    <s v="Finalizado (4/5)"/>
    <n v="45.830399999999997"/>
    <n v="8.7295999999999996"/>
    <n v="54.56"/>
    <s v="Sessão Faturada"/>
    <n v="954390037672020"/>
    <n v="41225"/>
    <s v="Unidade Sao Jose"/>
    <n v="1713909103"/>
    <m/>
  </r>
  <r>
    <x v="8"/>
    <x v="36"/>
    <s v="Tereza da Rocha Vieira"/>
    <s v="Feminino"/>
    <x v="10"/>
    <x v="26"/>
    <s v="31601014 - Acupuntura Por Sessão (R$ 25,00)"/>
    <s v="Acupuntura"/>
    <n v="15101078"/>
    <s v="Finalizado (9/10)"/>
    <n v="21"/>
    <n v="4"/>
    <n v="25"/>
    <s v="Sessão Faturada"/>
    <s v="00010001253014045"/>
    <n v="52943"/>
    <s v="Unidade Sao Jose"/>
    <n v="15101078"/>
    <m/>
  </r>
  <r>
    <x v="8"/>
    <x v="36"/>
    <s v="Natanael Costa Cruz"/>
    <s v="Masculino"/>
    <x v="31"/>
    <x v="26"/>
    <s v="31601014 - Acupuntura (R$ 54,56)"/>
    <s v="Acupuntura"/>
    <n v="1715917142"/>
    <s v="Finalizado (2/5)"/>
    <n v="45.830399999999997"/>
    <n v="8.7295999999999996"/>
    <n v="54.56"/>
    <s v="Sessão Faturada"/>
    <n v="775072015105020"/>
    <n v="59724"/>
    <s v="Unidade Sao Jose"/>
    <n v="1715917142"/>
    <m/>
  </r>
  <r>
    <x v="8"/>
    <x v="36"/>
    <s v="Cleide Luiza da Silva Cabral"/>
    <s v="Feminino"/>
    <x v="31"/>
    <x v="26"/>
    <s v="31601014 - Acupuntura (R$ 54,56)"/>
    <s v="Acupuntura"/>
    <n v="1703114151"/>
    <s v="Finalizado (4/4)"/>
    <n v="45.830399999999997"/>
    <n v="8.7295999999999996"/>
    <n v="54.56"/>
    <s v="Sessão Faturada"/>
    <n v="897137800051020"/>
    <n v="54445"/>
    <s v="Unidade Sao Jose"/>
    <n v="1703114151"/>
    <m/>
  </r>
  <r>
    <x v="8"/>
    <x v="40"/>
    <s v="Marcelo Ferreira de Aquino"/>
    <s v="Masculino"/>
    <x v="31"/>
    <x v="26"/>
    <s v="31601014 - Acupuntura (R$ 54,56)"/>
    <s v="Acupuntura"/>
    <n v="1717484641"/>
    <s v="Finalizado (1/5)"/>
    <n v="45.830399999999997"/>
    <n v="8.7295999999999996"/>
    <n v="54.56"/>
    <s v="Sessão a Faturar"/>
    <n v="774642017078000"/>
    <n v="47052"/>
    <s v="Unidade Sao Jose"/>
    <n v="1717484641"/>
    <m/>
  </r>
  <r>
    <x v="8"/>
    <x v="40"/>
    <s v="Adan Williams Campos dos Santos"/>
    <s v="Masculino"/>
    <x v="31"/>
    <x v="26"/>
    <s v="31601014 - Acupuntura (R$ 54,56), 31601014 - Acupuntura (R$ 54,56)"/>
    <s v="Acupuntura"/>
    <n v="1717583901"/>
    <s v="Finalizado (1/5)"/>
    <n v="91.660799999999995"/>
    <n v="17.459199999999999"/>
    <n v="109.12"/>
    <s v="Sessão a Faturar"/>
    <n v="775252004774010"/>
    <n v="59766"/>
    <s v="Unidade Sao Jose"/>
    <n v="1717583901"/>
    <m/>
  </r>
  <r>
    <x v="8"/>
    <x v="35"/>
    <s v="Raynara Santos de Carvalho"/>
    <s v="Feminino"/>
    <x v="31"/>
    <x v="26"/>
    <s v="31601014 - Acupuntura (R$ 54,56)"/>
    <s v="Acupuntura"/>
    <n v="1714985403"/>
    <s v="Finalizado (3/5)"/>
    <n v="45.830399999999997"/>
    <n v="8.7295999999999996"/>
    <n v="54.56"/>
    <s v="Sessão a Faturar"/>
    <n v="774634001384000"/>
    <n v="59689"/>
    <s v="Unidade Sao Jose"/>
    <n v="1714985403"/>
    <m/>
  </r>
  <r>
    <x v="8"/>
    <x v="35"/>
    <s v="Josiane de Sousa Santos"/>
    <s v="Feminino"/>
    <x v="9"/>
    <x v="26"/>
    <s v="31601014 - Acupuntura (R$ 54,56)"/>
    <s v="Acupuntura"/>
    <n v="1713895445"/>
    <s v="Finalizado (4/5)"/>
    <n v="45.830399999999997"/>
    <n v="8.7295999999999996"/>
    <n v="54.56"/>
    <s v="Sessão Faturada"/>
    <n v="954600005274010"/>
    <n v="23225"/>
    <s v="Unidade Sao Jose"/>
    <n v="1713895445"/>
    <m/>
  </r>
  <r>
    <x v="8"/>
    <x v="38"/>
    <s v="Elizangela Souza Araujo"/>
    <s v="Feminino"/>
    <x v="31"/>
    <x v="26"/>
    <s v="31601014 - Acupuntura (R$ 54,56)"/>
    <s v="Acupuntura"/>
    <n v="1717584397"/>
    <s v="Finalizado (1/5)"/>
    <n v="45.830399999999997"/>
    <n v="8.7295999999999996"/>
    <n v="54.56"/>
    <s v="Sessão a Faturar"/>
    <n v="771015061379010"/>
    <n v="57309"/>
    <s v="Unidade Sao Jose"/>
    <n v="1717584397"/>
    <m/>
  </r>
  <r>
    <x v="8"/>
    <x v="38"/>
    <s v="Osmar Barbosa dos Santos Junior"/>
    <s v="Masculino"/>
    <x v="9"/>
    <x v="26"/>
    <s v="31601014 - Acupuntura (R$ 54,56)"/>
    <s v="Acupuntura"/>
    <n v="1717537345"/>
    <s v="Finalizado (1/5)"/>
    <n v="45.830399999999997"/>
    <n v="8.7295999999999996"/>
    <n v="54.56"/>
    <s v="Sessão Faturada"/>
    <n v="954600036315000"/>
    <n v="58555"/>
    <s v="Unidade Sao Jose"/>
    <n v="1717537345"/>
    <m/>
  </r>
  <r>
    <x v="8"/>
    <x v="38"/>
    <s v="Jorge Frank dos Santos Lira"/>
    <s v="Masculino"/>
    <x v="9"/>
    <x v="26"/>
    <s v="31601014 - Acupuntura (R$ 54,56)"/>
    <s v="Acupuntura"/>
    <n v="1717554825"/>
    <s v="Finalizado (1/5)"/>
    <n v="45.830399999999997"/>
    <n v="8.7295999999999996"/>
    <n v="54.56"/>
    <s v="Sessão a Faturar"/>
    <n v="954600002780020"/>
    <n v="58709"/>
    <s v="Unidade Sao Jose"/>
    <n v="1717554825"/>
    <m/>
  </r>
  <r>
    <x v="8"/>
    <x v="39"/>
    <s v="Wildson Costa dos Santos"/>
    <s v="Masculino"/>
    <x v="6"/>
    <x v="26"/>
    <s v="31601014 - Acupuntura (R$ 51,33)"/>
    <s v="Acupuntura"/>
    <n v="173011"/>
    <s v="Finalizado (1/4)"/>
    <n v="43.117199999999997"/>
    <n v="8.2127999999999997"/>
    <n v="51.33"/>
    <s v="Sessão Faturada"/>
    <s v="58201065998121610018"/>
    <n v="59580"/>
    <s v="Unidade Sao Jose"/>
    <n v="173011"/>
    <m/>
  </r>
  <r>
    <x v="8"/>
    <x v="39"/>
    <s v="Tamires Cordeiro de Melo"/>
    <s v="Feminino"/>
    <x v="31"/>
    <x v="26"/>
    <s v="31601014 - Acupuntura (R$ 54,56)"/>
    <s v="Acupuntura"/>
    <n v="1714251825"/>
    <s v="Finalizado (3/3)"/>
    <n v="45.830399999999997"/>
    <n v="8.7295999999999996"/>
    <n v="54.56"/>
    <s v="Sessão a Faturar"/>
    <n v="773626012483020"/>
    <n v="59648"/>
    <s v="Unidade Sao Jose"/>
    <n v="1714251825"/>
    <m/>
  </r>
  <r>
    <x v="8"/>
    <x v="4"/>
    <s v="Dayane  Rodrigues de Souza"/>
    <s v="Feminino"/>
    <x v="9"/>
    <x v="26"/>
    <s v="31601014 - Acupuntura (R$ 54,56)"/>
    <s v="Acupuntura"/>
    <n v="1714176494"/>
    <s v="Finalizado (2/5)"/>
    <n v="45.830399999999997"/>
    <n v="8.7295999999999996"/>
    <n v="54.56"/>
    <s v="Sessão a Faturar"/>
    <n v="954600024317000"/>
    <n v="55040"/>
    <s v="Unidade Sao Jose"/>
    <n v="1714176494"/>
    <m/>
  </r>
  <r>
    <x v="8"/>
    <x v="4"/>
    <s v="Ana Cristina de Frota Palheta"/>
    <s v="Feminino"/>
    <x v="6"/>
    <x v="26"/>
    <s v="31601014 - Acupuntura (R$ 51,33)"/>
    <s v="Acupuntura"/>
    <n v="172582"/>
    <s v="Finalizado (2/4)"/>
    <n v="43.117199999999997"/>
    <n v="8.2127999999999997"/>
    <n v="51.33"/>
    <s v="Sessão Faturada"/>
    <s v="54588888012065310011"/>
    <n v="20193"/>
    <s v="Unidade Sao Jose"/>
    <n v="172582"/>
    <m/>
  </r>
  <r>
    <x v="8"/>
    <x v="13"/>
    <s v="Natalia Anacleto Carvalho da Silva"/>
    <s v="Feminino"/>
    <x v="6"/>
    <x v="26"/>
    <s v="31601014 - Acupuntura (R$ 51,33)"/>
    <s v="Acupuntura"/>
    <n v="172605"/>
    <s v="Finalizado (2/4)"/>
    <n v="43.117199999999997"/>
    <n v="8.2127999999999997"/>
    <n v="51.33"/>
    <s v="Sessão Faturada"/>
    <s v="51588888477546590011"/>
    <n v="59693"/>
    <s v="Unidade Sao Jose"/>
    <n v="172605"/>
    <m/>
  </r>
  <r>
    <x v="8"/>
    <x v="13"/>
    <s v="Claudenice Sales de Matos"/>
    <s v="Feminino"/>
    <x v="7"/>
    <x v="26"/>
    <s v="Sao José - 7 - Acupuntura - Pacote (R$ 40,00)"/>
    <s v="Acupuntura"/>
    <n v="172695"/>
    <s v="Finalizado (2/5)"/>
    <n v="30"/>
    <n v="10"/>
    <n v="40"/>
    <s v="No Prazo"/>
    <n v="59758"/>
    <n v="59758"/>
    <s v="Unidade Sao Jose"/>
    <n v="172695"/>
    <m/>
  </r>
  <r>
    <x v="8"/>
    <x v="6"/>
    <s v="Mônica Batista Jakinon"/>
    <s v="Feminino"/>
    <x v="9"/>
    <x v="26"/>
    <s v="31601014 - Acupuntura (R$ 54,56)"/>
    <s v="Acupuntura"/>
    <n v="1706915570"/>
    <s v="Finalizado (2/3)"/>
    <n v="45.830399999999997"/>
    <n v="8.7295999999999996"/>
    <n v="54.56"/>
    <s v="Sessão Faturada"/>
    <n v="954600030899000"/>
    <n v="57642"/>
    <s v="Unidade Sao Jose"/>
    <n v="1706915570"/>
    <m/>
  </r>
  <r>
    <x v="8"/>
    <x v="6"/>
    <s v="Raymara Mendes Costa"/>
    <s v="Feminino"/>
    <x v="31"/>
    <x v="26"/>
    <s v="31601014 - Acupuntura (R$ 54,56)"/>
    <s v="Acupuntura"/>
    <n v="1717807603"/>
    <s v="Finalizado (1/5)"/>
    <n v="45.830399999999997"/>
    <n v="8.7295999999999996"/>
    <n v="54.56"/>
    <s v="Sessão a Faturar"/>
    <n v="774642028720000"/>
    <n v="59768"/>
    <s v="Unidade Sao Jose"/>
    <n v="1717807603"/>
    <m/>
  </r>
  <r>
    <x v="8"/>
    <x v="8"/>
    <s v="Andréa Nadiane Corrêa Rosa"/>
    <s v="Feminino"/>
    <x v="6"/>
    <x v="26"/>
    <s v="31601014 - Acupuntura (R$ 51,33)"/>
    <s v="Acupuntura"/>
    <n v="171195"/>
    <s v="Finalizado (3/4)"/>
    <n v="43.117199999999997"/>
    <n v="8.2127999999999997"/>
    <n v="51.33"/>
    <s v="Sessão Faturada"/>
    <s v="54588888005928480026"/>
    <n v="50931"/>
    <s v="Unidade Sao Jose"/>
    <n v="171195"/>
    <m/>
  </r>
  <r>
    <x v="8"/>
    <x v="8"/>
    <s v="Silvaneide Pinto Rodrigues Pontes"/>
    <s v="Feminino"/>
    <x v="5"/>
    <x v="26"/>
    <s v="31601014 - Acupuntura (R$ 90,51)"/>
    <s v="Acupuntura"/>
    <n v="77034220"/>
    <s v="Finalizado (3/10)"/>
    <n v="76.028400000000005"/>
    <n v="14.4816"/>
    <n v="90.51"/>
    <s v="Sessão a Faturar"/>
    <s v="0100788548001225"/>
    <n v="57040"/>
    <s v="Unidade Sao Jose"/>
    <n v="77034220"/>
    <m/>
  </r>
  <r>
    <x v="8"/>
    <x v="10"/>
    <s v="Jairo Barboza Domingues"/>
    <s v="Masculino"/>
    <x v="4"/>
    <x v="26"/>
    <s v="31601014 - Acupuntura (R$ 54,56)"/>
    <s v="Acupuntura"/>
    <n v="1713652278"/>
    <s v="Finalizado (3/5)"/>
    <n v="45.830399999999997"/>
    <n v="8.7295999999999996"/>
    <n v="54.56"/>
    <s v="Sessão a Faturar"/>
    <n v="960016147828000"/>
    <n v="18356"/>
    <s v="Unidade Sao Jose"/>
    <n v="1713652278"/>
    <m/>
  </r>
  <r>
    <x v="8"/>
    <x v="10"/>
    <s v="Mayk Gama Vidigal"/>
    <s v="Feminino"/>
    <x v="9"/>
    <x v="26"/>
    <s v="31601014 - Acupuntura (R$ 54,56)"/>
    <s v="Acupuntura"/>
    <n v="1717820808"/>
    <s v="Finalizado (1/5)"/>
    <n v="45.830399999999997"/>
    <n v="8.7295999999999996"/>
    <n v="54.56"/>
    <s v="Sessão a Faturar"/>
    <n v="954600000345040"/>
    <n v="49087"/>
    <s v="Unidade Sao Jose"/>
    <n v="1717820808"/>
    <m/>
  </r>
  <r>
    <x v="8"/>
    <x v="10"/>
    <s v="Helem Sintia Souza da Silva"/>
    <s v="Feminino"/>
    <x v="6"/>
    <x v="26"/>
    <s v="31601014 - Acupuntura - 29/01/2026 (R$ 48,95)"/>
    <s v="Acupuntura"/>
    <n v="152029"/>
    <s v="Finalizado (3/4)"/>
    <n v="41.118000000000002"/>
    <n v="7.8319999999999999"/>
    <n v="48.95"/>
    <s v="Sessão Faturada"/>
    <s v="54588888461717910027"/>
    <n v="23857"/>
    <s v="Unidade Sao Jose"/>
    <n v="152029"/>
    <m/>
  </r>
  <r>
    <x v="9"/>
    <x v="36"/>
    <s v="Natanael Costa Cruz"/>
    <s v="Masculino"/>
    <x v="31"/>
    <x v="26"/>
    <s v="31601014 - Acupuntura (R$ 54,56)"/>
    <s v="Acupuntura"/>
    <n v="1715917142"/>
    <s v="Finalizado (3/5)"/>
    <n v="45.830399999999997"/>
    <n v="8.7295999999999996"/>
    <n v="54.56"/>
    <s v="Sessão Faturada"/>
    <n v="775072015105020"/>
    <n v="59724"/>
    <s v="Unidade Sao Jose"/>
    <n v="1715917142"/>
    <m/>
  </r>
  <r>
    <x v="9"/>
    <x v="36"/>
    <s v="Francinete Ferreira de Souza"/>
    <s v="Feminino"/>
    <x v="9"/>
    <x v="26"/>
    <s v="31601014 - Acupuntura (R$ 54,56)"/>
    <s v="Acupuntura"/>
    <n v="1713909103"/>
    <s v="Finalizado (5/5)"/>
    <n v="45.830399999999997"/>
    <n v="8.7295999999999996"/>
    <n v="54.56"/>
    <s v="Sessão Faturada"/>
    <n v="954390037672020"/>
    <n v="41225"/>
    <s v="Unidade Sao Jose"/>
    <n v="1713909103"/>
    <m/>
  </r>
  <r>
    <x v="9"/>
    <x v="35"/>
    <s v="Ana Cristina de Frota Palheta"/>
    <s v="Feminino"/>
    <x v="6"/>
    <x v="26"/>
    <s v="31601014 - Acupuntura (R$ 51,33)"/>
    <s v="Acupuntura"/>
    <n v="172582"/>
    <s v="Finalizado (3/4)"/>
    <n v="43.117199999999997"/>
    <n v="8.2127999999999997"/>
    <n v="51.33"/>
    <s v="Sessão Faturada"/>
    <s v="54588888012065310011"/>
    <n v="20193"/>
    <s v="Unidade Sao Jose"/>
    <n v="172582"/>
    <m/>
  </r>
  <r>
    <x v="9"/>
    <x v="38"/>
    <s v="Milena Souza de Sant'ana"/>
    <s v="Feminino"/>
    <x v="6"/>
    <x v="26"/>
    <s v="31601014 - Acupuntura (R$ 51,33)"/>
    <s v="Acupuntura"/>
    <n v="172111"/>
    <s v="Finalizado (3/4)"/>
    <n v="43.117199999999997"/>
    <n v="8.2127999999999997"/>
    <n v="51.33"/>
    <s v="Sessão Faturada"/>
    <s v="56788888477947370012"/>
    <n v="59507"/>
    <s v="Unidade Sao Jose"/>
    <n v="172111"/>
    <m/>
  </r>
  <r>
    <x v="9"/>
    <x v="38"/>
    <s v="Gilmara Barbosa da Silva"/>
    <s v="Feminino"/>
    <x v="6"/>
    <x v="26"/>
    <s v="31601014 - Acupuntura (R$ 51,33)"/>
    <s v="Acupuntura"/>
    <n v="172903"/>
    <s v="Finalizado (2/4)"/>
    <n v="43.117199999999997"/>
    <n v="8.2127999999999997"/>
    <n v="51.33"/>
    <s v="Sessão Faturada"/>
    <s v="56788888481804800011"/>
    <n v="55664"/>
    <s v="Unidade Sao Jose"/>
    <n v="172903"/>
    <m/>
  </r>
  <r>
    <x v="9"/>
    <x v="38"/>
    <s v="Sheila Ferreira do Nascimento"/>
    <s v="Feminino"/>
    <x v="31"/>
    <x v="26"/>
    <s v="31601014 - Acupuntura (R$ 54,56)"/>
    <s v="Acupuntura"/>
    <n v="1712652752"/>
    <s v="Finalizado (5/5)"/>
    <n v="45.830399999999997"/>
    <n v="8.7295999999999996"/>
    <n v="54.56"/>
    <s v="Sessão Faturada"/>
    <n v="774239001511020"/>
    <n v="27492"/>
    <s v="Unidade Sao Jose"/>
    <n v="1712652752"/>
    <m/>
  </r>
  <r>
    <x v="9"/>
    <x v="37"/>
    <s v="Jacqueline Lima de Oliveira"/>
    <s v="Feminino"/>
    <x v="31"/>
    <x v="26"/>
    <s v="31601014 - Acupuntura (R$ 54,56)"/>
    <s v="Acupuntura"/>
    <n v="1718095780"/>
    <s v="Finalizado (1/5)"/>
    <n v="45.830399999999997"/>
    <n v="8.7295999999999996"/>
    <n v="54.56"/>
    <s v="Sessão a Faturar"/>
    <n v="611481880006000"/>
    <n v="59217"/>
    <s v="Unidade Sao Jose"/>
    <n v="1718095780"/>
    <m/>
  </r>
  <r>
    <x v="9"/>
    <x v="39"/>
    <s v="Misleia Fernandes Mendes"/>
    <s v="Feminino"/>
    <x v="31"/>
    <x v="26"/>
    <s v="31601014 - Acupuntura (R$ 54,56)"/>
    <s v="Acupuntura"/>
    <n v="1713382990"/>
    <s v="Finalizado (4/5)"/>
    <n v="45.830399999999997"/>
    <n v="8.7295999999999996"/>
    <n v="54.56"/>
    <s v="Sessão Faturada"/>
    <n v="770179020664010"/>
    <n v="44824"/>
    <s v="Unidade Sao Jose"/>
    <n v="1713382990"/>
    <m/>
  </r>
  <r>
    <x v="9"/>
    <x v="39"/>
    <s v="Elizangela Souza Araujo"/>
    <s v="Feminino"/>
    <x v="31"/>
    <x v="26"/>
    <s v="31601014 - Acupuntura (R$ 54,56)"/>
    <s v="Acupuntura"/>
    <n v="1717584397"/>
    <s v="Finalizado (2/5)"/>
    <n v="45.830399999999997"/>
    <n v="8.7295999999999996"/>
    <n v="54.56"/>
    <s v="Sessão a Faturar"/>
    <n v="771015061379010"/>
    <n v="57309"/>
    <s v="Unidade Sao Jose"/>
    <n v="1717584397"/>
    <m/>
  </r>
  <r>
    <x v="9"/>
    <x v="43"/>
    <s v="Wildson Costa dos Santos"/>
    <s v="Masculino"/>
    <x v="6"/>
    <x v="26"/>
    <s v="31601014 - Acupuntura (R$ 51,33)"/>
    <s v="Acupuntura"/>
    <n v="173011"/>
    <s v="Finalizado (2/4)"/>
    <n v="43.117199999999997"/>
    <n v="8.2127999999999997"/>
    <n v="51.33"/>
    <s v="Sessão Faturada"/>
    <s v="58201065998121610018"/>
    <n v="59580"/>
    <s v="Unidade Sao Jose"/>
    <n v="173011"/>
    <m/>
  </r>
  <r>
    <x v="9"/>
    <x v="2"/>
    <s v="Juliana Garcia Viana"/>
    <s v="Feminino"/>
    <x v="9"/>
    <x v="26"/>
    <s v="31601014 - Acupuntura (R$ 54,56)"/>
    <s v="Acupuntura"/>
    <n v="1718176036"/>
    <s v="Finalizado (1/5)"/>
    <n v="45.830399999999997"/>
    <n v="8.7295999999999996"/>
    <n v="54.56"/>
    <s v="Sessão a Faturar"/>
    <n v="954600033006000"/>
    <n v="56608"/>
    <s v="Unidade Sao Jose"/>
    <n v="1718176036"/>
    <m/>
  </r>
  <r>
    <x v="9"/>
    <x v="2"/>
    <s v="Milza Santos"/>
    <s v="Feminino"/>
    <x v="32"/>
    <x v="26"/>
    <s v="31601014 - Acupuntura (R$ 54,56)"/>
    <s v="Acupuntura"/>
    <n v="1718200204"/>
    <s v="Finalizado (1/5)"/>
    <n v="45.830399999999997"/>
    <n v="8.7295999999999996"/>
    <n v="54.56"/>
    <s v="Sessão a Faturar"/>
    <n v="954600000493010"/>
    <n v="41659"/>
    <s v="Unidade Sao Jose"/>
    <n v="1718200204"/>
    <m/>
  </r>
  <r>
    <x v="9"/>
    <x v="2"/>
    <s v="Rodrigo Serrao da Silva"/>
    <s v="Masculino"/>
    <x v="9"/>
    <x v="26"/>
    <s v="31601014 - Acupuntura (R$ 54,56)"/>
    <s v="Acupuntura"/>
    <n v="1718244825"/>
    <s v="Finalizado (1/5)"/>
    <n v="45.830399999999997"/>
    <n v="8.7295999999999996"/>
    <n v="54.56"/>
    <s v="Sessão a Faturar"/>
    <n v="954600021490020"/>
    <n v="50970"/>
    <s v="Unidade Sao Jose"/>
    <n v="1718244825"/>
    <m/>
  </r>
  <r>
    <x v="9"/>
    <x v="4"/>
    <s v="Nádia Eunice Batalha de Pinho"/>
    <s v="Feminino"/>
    <x v="31"/>
    <x v="26"/>
    <s v="31601014 - Acupuntura (R$ 54,56)"/>
    <s v="Acupuntura"/>
    <n v="1714108737"/>
    <s v="Finalizado (4/5)"/>
    <n v="45.830399999999997"/>
    <n v="8.7295999999999996"/>
    <n v="54.56"/>
    <s v="Sessão Faturada"/>
    <n v="774385001546010"/>
    <n v="58963"/>
    <s v="Unidade Sao Jose"/>
    <n v="1714108737"/>
    <m/>
  </r>
  <r>
    <x v="9"/>
    <x v="6"/>
    <s v="Ana Cleude Pantoja da Silva"/>
    <s v="Feminino"/>
    <x v="9"/>
    <x v="26"/>
    <s v="31601014 - Acupuntura (R$ 54,56)"/>
    <s v="Acupuntura"/>
    <n v="1718246132"/>
    <s v="Finalizado (1/5)"/>
    <n v="45.830399999999997"/>
    <n v="8.7295999999999996"/>
    <n v="54.56"/>
    <s v="Sessão a Faturar"/>
    <n v="954600008567000"/>
    <n v="23678"/>
    <s v="Unidade Sao Jose"/>
    <n v="1718246132"/>
    <m/>
  </r>
  <r>
    <x v="9"/>
    <x v="15"/>
    <s v="Josiane de Sousa Santos"/>
    <s v="Feminino"/>
    <x v="9"/>
    <x v="26"/>
    <s v="31601014 - Acupuntura (R$ 54,56)"/>
    <s v="Acupuntura"/>
    <n v="1713895445"/>
    <s v="Finalizado (5/5)"/>
    <n v="45.830399999999997"/>
    <n v="8.7295999999999996"/>
    <n v="54.56"/>
    <s v="Sessão Faturada"/>
    <n v="954600005274010"/>
    <n v="23225"/>
    <s v="Unidade Sao Jose"/>
    <n v="1713895445"/>
    <m/>
  </r>
  <r>
    <x v="9"/>
    <x v="17"/>
    <s v="Kethely Adelaide Acipar Rocha"/>
    <s v="Feminino"/>
    <x v="9"/>
    <x v="26"/>
    <s v="31601014 - Acupuntura (R$ 54,56)"/>
    <s v="Acupuntura"/>
    <n v="1718279407"/>
    <s v="Finalizado (1/5)"/>
    <n v="45.830399999999997"/>
    <n v="8.7295999999999996"/>
    <n v="54.56"/>
    <s v="Sessão a Faturar"/>
    <n v="954600011517000"/>
    <n v="46669"/>
    <s v="Unidade Sao Jose"/>
    <n v="1718279407"/>
    <m/>
  </r>
  <r>
    <x v="9"/>
    <x v="8"/>
    <s v="Luan Raphael Fernandes da Silva"/>
    <s v="Masculino"/>
    <x v="31"/>
    <x v="26"/>
    <s v="31601014 - Acupuntura (R$ 54,56)"/>
    <s v="Acupuntura"/>
    <n v="1718282229"/>
    <s v="Finalizado (1/5)"/>
    <n v="45.830399999999997"/>
    <n v="8.7295999999999996"/>
    <n v="54.56"/>
    <s v="Sessão a Faturar"/>
    <n v="775216014346010"/>
    <n v="59334"/>
    <s v="Unidade Sao Jose"/>
    <n v="1718282229"/>
    <m/>
  </r>
  <r>
    <x v="25"/>
    <x v="41"/>
    <s v="Osmar Barbosa dos Santos Junior"/>
    <s v="Masculino"/>
    <x v="9"/>
    <x v="26"/>
    <s v="31601014 - Acupuntura (R$ 54,56)"/>
    <s v="Acupuntura"/>
    <n v="1717537345"/>
    <s v="Finalizado (2/5)"/>
    <n v="45.830399999999997"/>
    <n v="8.7295999999999996"/>
    <n v="54.56"/>
    <s v="Sessão Faturada"/>
    <n v="954600036315000"/>
    <n v="58555"/>
    <s v="Unidade Sao Jose"/>
    <n v="1717537345"/>
    <m/>
  </r>
  <r>
    <x v="25"/>
    <x v="36"/>
    <s v="Kyssia Roberta Sena Batista de Souza"/>
    <s v="Feminino"/>
    <x v="9"/>
    <x v="26"/>
    <s v="31601014 - Acupuntura (R$ 54,56)"/>
    <s v="Acupuntura"/>
    <n v="1715397538"/>
    <s v="Finalizado (2/5)"/>
    <n v="45.830399999999997"/>
    <n v="8.7295999999999996"/>
    <n v="54.56"/>
    <s v="Sessão a Faturar"/>
    <n v="954600002461000"/>
    <n v="58661"/>
    <s v="Unidade Sao Jose"/>
    <n v="1715397538"/>
    <m/>
  </r>
  <r>
    <x v="25"/>
    <x v="36"/>
    <s v="Tereza da Rocha Vieira"/>
    <s v="Feminino"/>
    <x v="10"/>
    <x v="26"/>
    <s v="31601014 - Acupuntura Por Sessão (R$ 25,00)"/>
    <s v="Acupuntura"/>
    <n v="15101078"/>
    <s v="Finalizado (10/10)"/>
    <n v="21"/>
    <n v="4"/>
    <n v="25"/>
    <s v="Sessão Faturada"/>
    <s v="00010001253014045"/>
    <n v="52943"/>
    <s v="Unidade Sao Jose"/>
    <n v="15101078"/>
    <m/>
  </r>
  <r>
    <x v="25"/>
    <x v="36"/>
    <s v="Adan Williams Campos dos Santos"/>
    <s v="Masculino"/>
    <x v="31"/>
    <x v="26"/>
    <s v="31601014 - Acupuntura (R$ 54,56)"/>
    <s v="Acupuntura"/>
    <n v="1717583901"/>
    <s v="Finalizado (2/5)"/>
    <n v="45.830399999999997"/>
    <n v="8.7295999999999996"/>
    <n v="54.56"/>
    <s v="Sessão a Faturar"/>
    <n v="775252004774010"/>
    <n v="59766"/>
    <s v="Unidade Sao Jose"/>
    <n v="1717583901"/>
    <m/>
  </r>
  <r>
    <x v="25"/>
    <x v="35"/>
    <s v="Claudenice Sales de Matos"/>
    <s v="Feminino"/>
    <x v="7"/>
    <x v="26"/>
    <s v="Sao José - 7 - Acupuntura - Pacote (R$ 40,00)"/>
    <s v="Acupuntura"/>
    <n v="172695"/>
    <s v="Finalizado (3/5)"/>
    <n v="30"/>
    <n v="10"/>
    <n v="40"/>
    <s v="No Prazo"/>
    <n v="59758"/>
    <n v="59758"/>
    <s v="Unidade Sao Jose"/>
    <n v="172695"/>
    <m/>
  </r>
  <r>
    <x v="25"/>
    <x v="35"/>
    <s v="Maria Celia Viana de Oliveira"/>
    <s v="Feminino"/>
    <x v="6"/>
    <x v="26"/>
    <s v="31601014 - Acupuntura (R$ 51,33)"/>
    <s v="Acupuntura"/>
    <n v="173274"/>
    <s v="Finalizado (1/4)"/>
    <n v="43.117199999999997"/>
    <n v="8.2127999999999997"/>
    <n v="51.33"/>
    <s v="Sessão a Faturar"/>
    <s v="56788888493902800028"/>
    <n v="33"/>
    <s v="Unidade Sao Jose"/>
    <n v="173274"/>
    <m/>
  </r>
  <r>
    <x v="10"/>
    <x v="41"/>
    <s v="Patrícia Kelly Vaz de Oliveira"/>
    <s v="Feminino"/>
    <x v="31"/>
    <x v="26"/>
    <s v="31601014 - Acupuntura (R$ 54,56)"/>
    <s v="Acupuntura"/>
    <n v="1713917825"/>
    <s v="Finalizado (2/5)"/>
    <n v="45.830399999999997"/>
    <n v="8.7295999999999996"/>
    <n v="54.56"/>
    <s v="Sessão a Faturar"/>
    <n v="774634040606020"/>
    <n v="57788"/>
    <s v="Unidade Sao Jose"/>
    <n v="1713917825"/>
    <m/>
  </r>
  <r>
    <x v="10"/>
    <x v="36"/>
    <s v="Sheila Miranda de Brito"/>
    <s v="Feminino"/>
    <x v="9"/>
    <x v="26"/>
    <s v="31601014 - Acupuntura (R$ 54,56)"/>
    <s v="Acupuntura"/>
    <n v="1714946931"/>
    <s v="Finalizado (2/5)"/>
    <n v="45.830399999999997"/>
    <n v="8.7295999999999996"/>
    <n v="54.56"/>
    <s v="Sessão Faturada"/>
    <n v="954440000590010"/>
    <n v="46121"/>
    <s v="Unidade Sao Jose"/>
    <n v="1714946931"/>
    <m/>
  </r>
  <r>
    <x v="10"/>
    <x v="40"/>
    <s v="Jean da Silva Melo"/>
    <s v="Masculino"/>
    <x v="32"/>
    <x v="26"/>
    <s v="31601014 - Acupuntura (R$ 54,56)"/>
    <s v="Acupuntura"/>
    <n v="1716762978"/>
    <s v="Finalizado (2/5)"/>
    <n v="45.830399999999997"/>
    <n v="8.7295999999999996"/>
    <n v="54.56"/>
    <s v="Sessão a Faturar"/>
    <n v="954600003042000"/>
    <n v="29915"/>
    <s v="Unidade Sao Jose"/>
    <n v="1716762978"/>
    <m/>
  </r>
  <r>
    <x v="10"/>
    <x v="35"/>
    <s v="Adan Williams Campos dos Santos"/>
    <s v="Masculino"/>
    <x v="31"/>
    <x v="26"/>
    <s v="31601014 - Acupuntura (R$ 54,56)"/>
    <s v="Acupuntura"/>
    <n v="1717583901"/>
    <s v="Finalizado (3/5)"/>
    <n v="45.830399999999997"/>
    <n v="8.7295999999999996"/>
    <n v="54.56"/>
    <s v="Sessão a Faturar"/>
    <n v="775252004774010"/>
    <n v="59766"/>
    <s v="Unidade Sao Jose"/>
    <n v="1717583901"/>
    <m/>
  </r>
  <r>
    <x v="10"/>
    <x v="35"/>
    <s v="Simone Soares Franco"/>
    <s v="Feminino"/>
    <x v="9"/>
    <x v="26"/>
    <s v="31601014 - Acupuntura (R$ 54,56)"/>
    <s v="Acupuntura"/>
    <n v="1718847157"/>
    <s v="Finalizado (1/5)"/>
    <n v="45.830399999999997"/>
    <n v="8.7295999999999996"/>
    <n v="54.56"/>
    <s v="Sessão a Faturar"/>
    <n v="954600000256000"/>
    <n v="24181"/>
    <s v="Unidade Sao Jose"/>
    <n v="1718847157"/>
    <m/>
  </r>
  <r>
    <x v="10"/>
    <x v="35"/>
    <s v="Manoel de Freitas Mendonça Neto"/>
    <s v="Masculino"/>
    <x v="9"/>
    <x v="26"/>
    <s v="31601014 - Acupuntura (R$ 54,56)"/>
    <s v="Acupuntura"/>
    <n v="1718846695"/>
    <s v="Finalizado (1/5)"/>
    <n v="45.830399999999997"/>
    <n v="8.7295999999999996"/>
    <n v="54.56"/>
    <s v="Sessão a Faturar"/>
    <n v="954600000256020"/>
    <n v="47993"/>
    <s v="Unidade Sao Jose"/>
    <n v="1718846695"/>
    <m/>
  </r>
  <r>
    <x v="10"/>
    <x v="38"/>
    <s v="Maria Celia Viana de Oliveira"/>
    <s v="Feminino"/>
    <x v="6"/>
    <x v="26"/>
    <s v="31601014 - Acupuntura (R$ 51,33)"/>
    <s v="Acupuntura"/>
    <n v="173274"/>
    <s v="Finalizado (2/4)"/>
    <n v="43.117199999999997"/>
    <n v="8.2127999999999997"/>
    <n v="51.33"/>
    <s v="Sessão a Faturar"/>
    <s v="56788888493902800028"/>
    <n v="33"/>
    <s v="Unidade Sao Jose"/>
    <n v="173274"/>
    <m/>
  </r>
  <r>
    <x v="10"/>
    <x v="38"/>
    <s v="Osmar Barbosa dos Santos Junior"/>
    <s v="Masculino"/>
    <x v="9"/>
    <x v="26"/>
    <s v="31601014 - Acupuntura (R$ 54,56)"/>
    <s v="Acupuntura"/>
    <n v="1717537345"/>
    <s v="Finalizado (3/5)"/>
    <n v="45.830399999999997"/>
    <n v="8.7295999999999996"/>
    <n v="54.56"/>
    <s v="Sessão Faturada"/>
    <n v="954600036315000"/>
    <n v="58555"/>
    <s v="Unidade Sao Jose"/>
    <n v="1717537345"/>
    <m/>
  </r>
  <r>
    <x v="10"/>
    <x v="38"/>
    <s v="Sheila Ferreira do Nascimento"/>
    <s v="Feminino"/>
    <x v="31"/>
    <x v="26"/>
    <s v="31601014 - Acupuntura (R$ 54,56)"/>
    <s v="Acupuntura"/>
    <n v="1718914440"/>
    <s v="Finalizado (1/5)"/>
    <n v="45.830399999999997"/>
    <n v="8.7295999999999996"/>
    <n v="54.56"/>
    <s v="Sessão a Faturar"/>
    <n v="774239001511020"/>
    <n v="27492"/>
    <s v="Unidade Sao Jose"/>
    <n v="1718914440"/>
    <m/>
  </r>
  <r>
    <x v="10"/>
    <x v="37"/>
    <s v="Raynara Santos de Carvalho"/>
    <s v="Feminino"/>
    <x v="31"/>
    <x v="26"/>
    <s v="31601014 - Acupuntura (R$ 54,56)"/>
    <s v="Acupuntura"/>
    <n v="1714985403"/>
    <s v="Finalizado (4/5)"/>
    <n v="45.830399999999997"/>
    <n v="8.7295999999999996"/>
    <n v="54.56"/>
    <s v="Sessão a Faturar"/>
    <n v="774634001384000"/>
    <n v="59689"/>
    <s v="Unidade Sao Jose"/>
    <n v="1714985403"/>
    <m/>
  </r>
  <r>
    <x v="10"/>
    <x v="39"/>
    <s v="Misleia Fernandes Mendes"/>
    <s v="Feminino"/>
    <x v="31"/>
    <x v="26"/>
    <s v="31601014 - Acupuntura (R$ 54,56)"/>
    <s v="Acupuntura"/>
    <n v="1713382990"/>
    <s v="Finalizado (5/5)"/>
    <n v="45.830399999999997"/>
    <n v="8.7295999999999996"/>
    <n v="54.56"/>
    <s v="Sessão Faturada"/>
    <n v="770179020664010"/>
    <n v="44824"/>
    <s v="Unidade Sao Jose"/>
    <n v="1713382990"/>
    <m/>
  </r>
  <r>
    <x v="10"/>
    <x v="2"/>
    <s v="Jose Edson Moura de Melo"/>
    <s v="Masculino"/>
    <x v="4"/>
    <x v="26"/>
    <s v="31601014 - Acupuntura (R$ 54,56)"/>
    <s v="Acupuntura"/>
    <n v="1707950594"/>
    <s v="Finalizado (4/5)"/>
    <n v="45.830399999999997"/>
    <n v="8.7295999999999996"/>
    <n v="54.56"/>
    <s v="Sessão Faturada"/>
    <n v="774722014389010"/>
    <n v="45960"/>
    <s v="Unidade Sao Jose"/>
    <n v="1707950594"/>
    <m/>
  </r>
  <r>
    <x v="10"/>
    <x v="2"/>
    <s v="Rodrigo Serrao da Silva"/>
    <s v="Masculino"/>
    <x v="9"/>
    <x v="26"/>
    <s v="31601014 - Acupuntura (R$ 54,56)"/>
    <s v="Acupuntura"/>
    <n v="1718244825"/>
    <s v="Finalizado (2/5)"/>
    <n v="45.830399999999997"/>
    <n v="8.7295999999999996"/>
    <n v="54.56"/>
    <s v="Sessão a Faturar"/>
    <n v="954600021490020"/>
    <n v="50970"/>
    <s v="Unidade Sao Jose"/>
    <n v="1718244825"/>
    <m/>
  </r>
  <r>
    <x v="10"/>
    <x v="2"/>
    <s v="Jacqueline Lima de Oliveira"/>
    <s v="Feminino"/>
    <x v="31"/>
    <x v="26"/>
    <s v="31601014 - Acupuntura (R$ 54,56)"/>
    <s v="Acupuntura"/>
    <n v="1718095780"/>
    <s v="Finalizado (2/5)"/>
    <n v="45.830399999999997"/>
    <n v="8.7295999999999996"/>
    <n v="54.56"/>
    <s v="Sessão a Faturar"/>
    <n v="611481880006000"/>
    <n v="59217"/>
    <s v="Unidade Sao Jose"/>
    <n v="1718095780"/>
    <m/>
  </r>
  <r>
    <x v="10"/>
    <x v="4"/>
    <s v="Nádia Eunice Batalha de Pinho"/>
    <s v="Feminino"/>
    <x v="31"/>
    <x v="26"/>
    <s v="31601014 - Acupuntura (R$ 54,56)"/>
    <s v="Acupuntura"/>
    <n v="1714108737"/>
    <s v="Finalizado (5/5)"/>
    <n v="45.830399999999997"/>
    <n v="8.7295999999999996"/>
    <n v="54.56"/>
    <s v="Sessão Faturada"/>
    <n v="774385001546010"/>
    <n v="58963"/>
    <s v="Unidade Sao Jose"/>
    <n v="1714108737"/>
    <m/>
  </r>
  <r>
    <x v="10"/>
    <x v="13"/>
    <s v="Dayane  Rodrigues de Souza"/>
    <s v="Feminino"/>
    <x v="9"/>
    <x v="26"/>
    <s v="31601014 - Acupuntura (R$ 54,56)"/>
    <s v="Acupuntura"/>
    <n v="1714176494"/>
    <s v="Finalizado (3/5)"/>
    <n v="45.830399999999997"/>
    <n v="8.7295999999999996"/>
    <n v="54.56"/>
    <s v="Sessão a Faturar"/>
    <n v="954600024317000"/>
    <n v="55040"/>
    <s v="Unidade Sao Jose"/>
    <n v="1714176494"/>
    <m/>
  </r>
  <r>
    <x v="10"/>
    <x v="6"/>
    <s v="Claudenice Sales de Matos"/>
    <s v="Feminino"/>
    <x v="7"/>
    <x v="26"/>
    <s v="Sao José - 7 - Acupuntura - Pacote (R$ 40,00)"/>
    <s v="Acupuntura"/>
    <n v="172695"/>
    <s v="Finalizado (4/5)"/>
    <n v="30"/>
    <n v="10"/>
    <n v="40"/>
    <s v="No Prazo"/>
    <n v="59758"/>
    <n v="59758"/>
    <s v="Unidade Sao Jose"/>
    <n v="172695"/>
    <m/>
  </r>
  <r>
    <x v="10"/>
    <x v="6"/>
    <s v="Leonardo Batista de Souza"/>
    <s v="Masculino"/>
    <x v="5"/>
    <x v="26"/>
    <s v="31601014 - Acupuntura - 04/03/2026 (R$ 86,81)"/>
    <s v="Acupuntura"/>
    <n v="65115940"/>
    <s v="Finalizado (7/10)"/>
    <n v="72.920400000000001"/>
    <n v="13.8896"/>
    <n v="86.81"/>
    <s v="Sessão Faturada"/>
    <s v="0101516639000159"/>
    <n v="54993"/>
    <s v="Unidade Sao Jose"/>
    <n v="65115940"/>
    <m/>
  </r>
  <r>
    <x v="10"/>
    <x v="15"/>
    <s v="Adriane Rodrigues da Costa"/>
    <s v="Feminino"/>
    <x v="4"/>
    <x v="26"/>
    <s v="31601014 - Acupuntura (R$ 54,56)"/>
    <s v="Acupuntura"/>
    <n v="1719112470"/>
    <s v="Finalizado (1/5)"/>
    <n v="45.830399999999997"/>
    <n v="8.7295999999999996"/>
    <n v="54.56"/>
    <s v="Sessão a Faturar"/>
    <n v="770202163023010"/>
    <n v="59812"/>
    <s v="Unidade Sao Jose"/>
    <n v="1719112470"/>
    <m/>
  </r>
  <r>
    <x v="10"/>
    <x v="15"/>
    <s v="Kize Coelho Mar"/>
    <s v="Feminino"/>
    <x v="9"/>
    <x v="26"/>
    <s v="31601014 - Acupuntura (R$ 54,56)"/>
    <s v="Acupuntura"/>
    <n v="1719127592"/>
    <s v="Finalizado (1/10)"/>
    <n v="45.830399999999997"/>
    <n v="8.7295999999999996"/>
    <n v="54.56"/>
    <s v="Sessão a Faturar"/>
    <n v="954600030813000"/>
    <n v="59602"/>
    <s v="Unidade Sao Jose"/>
    <n v="1719127592"/>
    <m/>
  </r>
  <r>
    <x v="10"/>
    <x v="17"/>
    <s v="Paulo Vitor Brasil Santos"/>
    <s v="Masculino"/>
    <x v="9"/>
    <x v="26"/>
    <s v="31601014 - Acupuntura (R$ 54,56)"/>
    <s v="Acupuntura"/>
    <n v="1719177962"/>
    <s v="Finalizado (1/5)"/>
    <n v="45.830399999999997"/>
    <n v="8.7295999999999996"/>
    <n v="54.56"/>
    <s v="Sessão a Faturar"/>
    <n v="954600016713010"/>
    <n v="59793"/>
    <s v="Unidade Sao Jose"/>
    <n v="1719177962"/>
    <m/>
  </r>
  <r>
    <x v="10"/>
    <x v="8"/>
    <s v="Erika Andrade Ramos"/>
    <s v="Feminino"/>
    <x v="13"/>
    <x v="26"/>
    <s v="31601014 - Acupuntura (R$ 42,00)"/>
    <s v="Acupuntura"/>
    <n v="12777274"/>
    <s v="Finalizado (8/10)"/>
    <n v="35.28"/>
    <n v="6.72"/>
    <n v="42"/>
    <s v="Sessão Faturada"/>
    <s v="00010130000043004"/>
    <n v="41108"/>
    <s v="Unidade Sao Jose"/>
    <n v="12777274"/>
    <m/>
  </r>
  <r>
    <x v="10"/>
    <x v="10"/>
    <s v="Maria Neide Oliveira Marques"/>
    <s v="Feminino"/>
    <x v="9"/>
    <x v="26"/>
    <s v="31601014 - Acupuntura (R$ 54,56)"/>
    <s v="Acupuntura"/>
    <n v="1719166202"/>
    <s v="Finalizado (1/5)"/>
    <n v="45.830399999999997"/>
    <n v="8.7295999999999996"/>
    <n v="54.56"/>
    <s v="Sessão a Faturar"/>
    <n v="954600008419020"/>
    <n v="52794"/>
    <s v="Unidade Sao Jose"/>
    <n v="1719166202"/>
    <m/>
  </r>
  <r>
    <x v="10"/>
    <x v="10"/>
    <s v="Fernanda Neves Sabugosa"/>
    <s v="Feminino"/>
    <x v="31"/>
    <x v="26"/>
    <s v="31601014 - Acupuntura (R$ 54,56)"/>
    <s v="Acupuntura"/>
    <n v="1716771199"/>
    <s v="Finalizado (2/5)"/>
    <n v="45.830399999999997"/>
    <n v="8.7295999999999996"/>
    <n v="54.56"/>
    <s v="Sessão a Faturar"/>
    <n v="771015043370010"/>
    <n v="38199"/>
    <s v="Unidade Sao Jose"/>
    <n v="1716771199"/>
    <m/>
  </r>
  <r>
    <x v="11"/>
    <x v="44"/>
    <s v="Marta Marcione Bentes Albuquerque"/>
    <s v="Feminino"/>
    <x v="9"/>
    <x v="26"/>
    <s v="31601014 - Acupuntura (R$ 54,56)"/>
    <s v="Acupuntura"/>
    <n v="1713843771"/>
    <s v="Finalizado (3/5)"/>
    <n v="45.830399999999997"/>
    <n v="8.7295999999999996"/>
    <n v="54.56"/>
    <s v="Sessão a Faturar"/>
    <n v="954600004960000"/>
    <n v="40103"/>
    <s v="Unidade Sao Jose"/>
    <n v="1713843771"/>
    <m/>
  </r>
  <r>
    <x v="11"/>
    <x v="36"/>
    <s v="Natanael Costa Cruz"/>
    <s v="Masculino"/>
    <x v="31"/>
    <x v="26"/>
    <s v="31601014 - Acupuntura (R$ 54,56)"/>
    <s v="Acupuntura"/>
    <n v="1715917142"/>
    <s v="Finalizado (4/5)"/>
    <n v="45.830399999999997"/>
    <n v="8.7295999999999996"/>
    <n v="54.56"/>
    <s v="Sessão Faturada"/>
    <n v="775072015105020"/>
    <n v="59724"/>
    <s v="Unidade Sao Jose"/>
    <n v="1715917142"/>
    <m/>
  </r>
  <r>
    <x v="11"/>
    <x v="40"/>
    <s v="Maria Celia Viana de Oliveira"/>
    <s v="Feminino"/>
    <x v="6"/>
    <x v="26"/>
    <s v="31601014 - Acupuntura (R$ 51,33)"/>
    <s v="Acupuntura"/>
    <n v="173274"/>
    <s v="Finalizado (3/4)"/>
    <n v="43.117199999999997"/>
    <n v="8.2127999999999997"/>
    <n v="51.33"/>
    <s v="Sessão a Faturar"/>
    <s v="56788888493902800028"/>
    <n v="33"/>
    <s v="Unidade Sao Jose"/>
    <n v="173274"/>
    <m/>
  </r>
  <r>
    <x v="11"/>
    <x v="39"/>
    <s v="Elizangela Souza Araujo"/>
    <s v="Feminino"/>
    <x v="31"/>
    <x v="26"/>
    <s v="31601014 - Acupuntura (R$ 54,56)"/>
    <s v="Acupuntura"/>
    <n v="1717584397"/>
    <s v="Finalizado (3/5)"/>
    <n v="45.830399999999997"/>
    <n v="8.7295999999999996"/>
    <n v="54.56"/>
    <s v="Sessão a Faturar"/>
    <n v="771015061379010"/>
    <n v="57309"/>
    <s v="Unidade Sao Jose"/>
    <n v="1717584397"/>
    <m/>
  </r>
  <r>
    <x v="11"/>
    <x v="39"/>
    <s v="Lucia Seixas de Alencar"/>
    <s v="Feminino"/>
    <x v="9"/>
    <x v="26"/>
    <s v="31601014 - Acupuntura (R$ 54,56)"/>
    <s v="Acupuntura"/>
    <n v="1719529341"/>
    <s v="Finalizado (1/5)"/>
    <n v="45.830399999999997"/>
    <n v="8.7295999999999996"/>
    <n v="54.56"/>
    <s v="Sessão a Faturar"/>
    <n v="954600005908000"/>
    <n v="59735"/>
    <s v="Unidade Sao Jose"/>
    <n v="1719529341"/>
    <m/>
  </r>
  <r>
    <x v="11"/>
    <x v="39"/>
    <s v="Wildson Costa dos Santos"/>
    <s v="Masculino"/>
    <x v="6"/>
    <x v="26"/>
    <s v="31601014 - Acupuntura (R$ 51,33)"/>
    <s v="Acupuntura"/>
    <n v="173011"/>
    <s v="Finalizado (3/4)"/>
    <n v="43.117199999999997"/>
    <n v="8.2127999999999997"/>
    <n v="51.33"/>
    <s v="Sessão Faturada"/>
    <s v="58201065998121610018"/>
    <n v="59580"/>
    <s v="Unidade Sao Jose"/>
    <n v="173011"/>
    <m/>
  </r>
  <r>
    <x v="11"/>
    <x v="0"/>
    <s v="Maria Francisca da Silva Carvalho"/>
    <s v="Feminino"/>
    <x v="7"/>
    <x v="26"/>
    <s v="Sao José - 7 - Acupuntura - Pacote (R$ 40,00)"/>
    <s v="Acupuntura"/>
    <n v="172300"/>
    <s v="Finalizado (3/5)"/>
    <n v="30"/>
    <n v="10"/>
    <n v="40"/>
    <s v="Pago"/>
    <n v="58726"/>
    <n v="58726"/>
    <s v="Unidade Sao Jose"/>
    <n v="172300"/>
    <m/>
  </r>
  <r>
    <x v="11"/>
    <x v="2"/>
    <s v="Jose Edson Moura de Melo"/>
    <s v="Masculino"/>
    <x v="4"/>
    <x v="26"/>
    <s v="31601014 - Acupuntura (R$ 54,56)"/>
    <s v="Acupuntura"/>
    <n v="1707950594"/>
    <s v="Finalizado (5/5)"/>
    <n v="45.830399999999997"/>
    <n v="8.7295999999999996"/>
    <n v="54.56"/>
    <s v="Sessão Faturada"/>
    <n v="774722014389010"/>
    <n v="45960"/>
    <s v="Unidade Sao Jose"/>
    <n v="1707950594"/>
    <m/>
  </r>
  <r>
    <x v="11"/>
    <x v="6"/>
    <s v="Paulo Vitor Brasil Santos"/>
    <s v="Masculino"/>
    <x v="9"/>
    <x v="26"/>
    <s v="31601014 - Acupuntura (R$ 54,56)"/>
    <s v="Acupuntura"/>
    <n v="1719177962"/>
    <s v="Finalizado (2/5)"/>
    <n v="45.830399999999997"/>
    <n v="8.7295999999999996"/>
    <n v="54.56"/>
    <s v="Sessão a Faturar"/>
    <n v="954600016713010"/>
    <n v="59793"/>
    <s v="Unidade Sao Jose"/>
    <n v="1719177962"/>
    <m/>
  </r>
  <r>
    <x v="11"/>
    <x v="15"/>
    <s v="Jean da Silva Melo"/>
    <s v="Masculino"/>
    <x v="32"/>
    <x v="26"/>
    <s v="31601014 - Acupuntura (R$ 54,56)"/>
    <s v="Acupuntura"/>
    <n v="1716762978"/>
    <s v="Finalizado (3/5)"/>
    <n v="45.830399999999997"/>
    <n v="8.7295999999999996"/>
    <n v="54.56"/>
    <s v="Sessão a Faturar"/>
    <n v="954600003042000"/>
    <n v="29915"/>
    <s v="Unidade Sao Jose"/>
    <n v="1716762978"/>
    <m/>
  </r>
  <r>
    <x v="11"/>
    <x v="15"/>
    <s v="Raymara Mendes Costa"/>
    <s v="Feminino"/>
    <x v="31"/>
    <x v="26"/>
    <s v="31601014 - Acupuntura (R$ 54,56)"/>
    <s v="Acupuntura"/>
    <n v="1717807603"/>
    <s v="Finalizado (2/5)"/>
    <n v="45.830399999999997"/>
    <n v="8.7295999999999996"/>
    <n v="54.56"/>
    <s v="Sessão a Faturar"/>
    <n v="774642028720000"/>
    <n v="59768"/>
    <s v="Unidade Sao Jose"/>
    <n v="1717807603"/>
    <m/>
  </r>
  <r>
    <x v="11"/>
    <x v="17"/>
    <s v="Gabriel Parente de Castro"/>
    <s v="Masculino"/>
    <x v="12"/>
    <x v="26"/>
    <s v="31601014 - Acupuntura (R$ 54,56)"/>
    <s v="Acupuntura"/>
    <n v="10353052"/>
    <s v="Finalizado (1/10)"/>
    <n v="45.830399999999997"/>
    <n v="8.7295999999999996"/>
    <n v="54.56"/>
    <s v="Sessão a Faturar"/>
    <n v="9.5078029485153997E+17"/>
    <n v="59364"/>
    <s v="Unidade Sao Jose"/>
    <n v="10353052"/>
    <m/>
  </r>
  <r>
    <x v="11"/>
    <x v="10"/>
    <s v="Yara Christiane de Souza Henriques Rodrigues"/>
    <s v="Feminino"/>
    <x v="7"/>
    <x v="26"/>
    <s v="Sao José - 7 - Acupuntura - Pacote (R$ 40,00)"/>
    <s v="Acupuntura"/>
    <n v="163362"/>
    <s v="Finalizado (4/5)"/>
    <n v="30"/>
    <n v="10"/>
    <n v="40"/>
    <s v="Pago"/>
    <s v="070001454000"/>
    <n v="50841"/>
    <s v="Unidade Sao Jose"/>
    <n v="163362"/>
    <m/>
  </r>
  <r>
    <x v="11"/>
    <x v="10"/>
    <s v="Jairo Barboza Domingues"/>
    <s v="Masculino"/>
    <x v="4"/>
    <x v="26"/>
    <s v="31601014 - Acupuntura (R$ 54,56)"/>
    <s v="Acupuntura"/>
    <n v="1713652278"/>
    <s v="Finalizado (4/5)"/>
    <n v="45.830399999999997"/>
    <n v="8.7295999999999996"/>
    <n v="54.56"/>
    <s v="Sessão a Faturar"/>
    <n v="960016147828000"/>
    <n v="18356"/>
    <s v="Unidade Sao Jose"/>
    <n v="1713652278"/>
    <m/>
  </r>
  <r>
    <x v="13"/>
    <x v="40"/>
    <s v="Dilson Pereira Dourado"/>
    <m/>
    <x v="4"/>
    <x v="27"/>
    <s v="10101012 - Consulta Médica (R$ 134,79)"/>
    <s v="Ortopedia"/>
    <n v="1706196047"/>
    <s v="Finalizado (1/1)"/>
    <n v="40.436999999999998"/>
    <n v="94.352999999999994"/>
    <n v="134.79"/>
    <s v="Sessão Faturada"/>
    <n v="898081400019000"/>
    <n v="54845"/>
    <s v="Unidade Sao Jose"/>
    <n v="1706196047"/>
    <m/>
  </r>
  <r>
    <x v="13"/>
    <x v="40"/>
    <s v="Jean da Silva Melo"/>
    <s v="Masculino"/>
    <x v="9"/>
    <x v="27"/>
    <s v="10101012 - Consulta Médica (R$ 134,79)"/>
    <s v="Ortopedia"/>
    <n v="1706149606"/>
    <s v="Finalizado (1/1)"/>
    <n v="40.436999999999998"/>
    <n v="94.352999999999994"/>
    <n v="134.79"/>
    <s v="Sessão Faturada"/>
    <n v="954600003042000"/>
    <n v="29915"/>
    <s v="Unidade Sao Jose"/>
    <n v="1706149606"/>
    <m/>
  </r>
  <r>
    <x v="13"/>
    <x v="35"/>
    <s v="Francisco de Assis do Carmo Barbosa"/>
    <s v="Masculino"/>
    <x v="7"/>
    <x v="27"/>
    <s v="Sao José - 11 - Consulta Médica - Dinheiro (R$ 200,00)"/>
    <s v="Ortopedia"/>
    <n v="170241"/>
    <s v="Finalizado (1/1)"/>
    <n v="40"/>
    <n v="160"/>
    <n v="200"/>
    <s v="Pago"/>
    <n v="41967"/>
    <n v="41967"/>
    <s v="Unidade Sao Jose"/>
    <n v="170241"/>
    <m/>
  </r>
  <r>
    <x v="13"/>
    <x v="35"/>
    <s v="Lia Vieira Pinheiro"/>
    <s v="Feminino"/>
    <x v="9"/>
    <x v="27"/>
    <s v="10101012 - Consulta Médica (R$ 134,79)"/>
    <s v="Ortopedia"/>
    <n v="1706200882"/>
    <s v="Finalizado (1/1)"/>
    <n v="40.436999999999998"/>
    <n v="94.352999999999994"/>
    <n v="134.79"/>
    <s v="Sessão Faturada"/>
    <n v="954600012653000"/>
    <n v="33224"/>
    <s v="Unidade Sao Jose"/>
    <n v="1706200882"/>
    <m/>
  </r>
  <r>
    <x v="13"/>
    <x v="38"/>
    <s v="Claudenilson Salvador da Silva"/>
    <s v="Masculino"/>
    <x v="7"/>
    <x v="27"/>
    <s v="Sao José - 11 - Consulta Médica - Dinheiro (R$ 200,00)"/>
    <s v="Ortopedia"/>
    <m/>
    <s v="Finalizado (1/1)"/>
    <n v="40"/>
    <n v="160"/>
    <n v="200"/>
    <s v="Pago"/>
    <n v="54965"/>
    <n v="54965"/>
    <s v="Unidade Sao Jose"/>
    <m/>
    <m/>
  </r>
  <r>
    <x v="13"/>
    <x v="4"/>
    <s v="João Victor Santos de Lima"/>
    <m/>
    <x v="4"/>
    <x v="27"/>
    <s v="10101012 - Consulta Médica (R$ 134,79)"/>
    <s v="Ortopedia"/>
    <n v="1706449551"/>
    <s v="Finalizado (1/1)"/>
    <n v="40.436999999999998"/>
    <n v="94.352999999999994"/>
    <n v="134.79"/>
    <s v="Sessão Faturada"/>
    <n v="774239003573010"/>
    <n v="50275"/>
    <s v="Unidade Vieiralves"/>
    <n v="1706449551"/>
    <m/>
  </r>
  <r>
    <x v="13"/>
    <x v="4"/>
    <s v="Joao Augusto de Oliveira Lopes"/>
    <s v="Masculino"/>
    <x v="1"/>
    <x v="27"/>
    <s v="10101012 - Consulta Ortopédica (R$ 100,00)"/>
    <s v="Ortopedia"/>
    <n v="9140771"/>
    <s v="Finalizado (1/1)"/>
    <n v="30"/>
    <n v="70"/>
    <n v="100"/>
    <s v="Sessão Faturada"/>
    <s v="0501012567250102"/>
    <n v="59272"/>
    <s v="Unidade Vieiralves"/>
    <n v="9140771"/>
    <m/>
  </r>
  <r>
    <x v="13"/>
    <x v="4"/>
    <s v="Edineia de Medeiros Castro"/>
    <s v="Feminino"/>
    <x v="4"/>
    <x v="27"/>
    <s v="10101012 - Consulta Médica (R$ 134,79)"/>
    <s v="Ortopedia"/>
    <n v="1706455404"/>
    <s v="Finalizado (1/1)"/>
    <n v="40.436999999999998"/>
    <n v="94.352999999999994"/>
    <n v="134.79"/>
    <s v="Sessão Faturada"/>
    <n v="960016147526000"/>
    <n v="59383"/>
    <s v="Unidade Vieiralves"/>
    <n v="1706455404"/>
    <m/>
  </r>
  <r>
    <x v="13"/>
    <x v="4"/>
    <s v="Alessandra Silveira Rocha"/>
    <s v="Feminino"/>
    <x v="4"/>
    <x v="27"/>
    <s v="10101012 - Consulta Médica (R$ 134,79)"/>
    <s v="Ortopedia"/>
    <n v="1705927344"/>
    <s v="Finalizado (1/1)"/>
    <n v="40.436999999999998"/>
    <n v="94.352999999999994"/>
    <n v="134.79"/>
    <s v="Sessão Faturada"/>
    <n v="774063023809020"/>
    <n v="58966"/>
    <s v="Unidade Vieiralves"/>
    <n v="1705927344"/>
    <m/>
  </r>
  <r>
    <x v="13"/>
    <x v="4"/>
    <s v="Magaly Portela Regis"/>
    <s v="Feminino"/>
    <x v="4"/>
    <x v="27"/>
    <s v="10101012 - Consulta Médica (R$ 134,79)"/>
    <s v="Ortopedia"/>
    <n v="1706292270"/>
    <s v="Finalizado (1/1)"/>
    <n v="40.436999999999998"/>
    <n v="94.352999999999994"/>
    <n v="134.79"/>
    <s v="Sessão Faturada"/>
    <n v="838224200051000"/>
    <n v="16940"/>
    <s v="Unidade Vieiralves"/>
    <n v="1706292270"/>
    <m/>
  </r>
  <r>
    <x v="13"/>
    <x v="4"/>
    <s v="Jandui Diniz Araujo"/>
    <s v="Masculino"/>
    <x v="4"/>
    <x v="27"/>
    <s v="10101012 - Consulta Médica (R$ 134,79)"/>
    <s v="Ortopedia"/>
    <n v="1706380032"/>
    <s v="Finalizado (1/1)"/>
    <n v="40.436999999999998"/>
    <n v="94.352999999999994"/>
    <n v="134.79"/>
    <s v="Sessão Faturada"/>
    <n v="836407200035000"/>
    <n v="42187"/>
    <s v="Unidade Vieiralves"/>
    <n v="1706380032"/>
    <m/>
  </r>
  <r>
    <x v="13"/>
    <x v="4"/>
    <s v="Paulo Sergio da Silva Farias"/>
    <s v="Masculino"/>
    <x v="4"/>
    <x v="27"/>
    <s v="10101012 - Consulta Médica (R$ 134,79)"/>
    <s v="Ortopedia"/>
    <n v="1706428826"/>
    <s v="Finalizado (1/1)"/>
    <n v="40.436999999999998"/>
    <n v="94.352999999999994"/>
    <n v="134.79"/>
    <s v="Sessão Faturada"/>
    <n v="774642012793000"/>
    <n v="55532"/>
    <s v="Unidade Vieiralves"/>
    <n v="1706428826"/>
    <m/>
  </r>
  <r>
    <x v="13"/>
    <x v="13"/>
    <s v="Rafaela Mascarenhas Coelho Brasil"/>
    <s v="Feminino"/>
    <x v="1"/>
    <x v="27"/>
    <s v="10101012 - Consulta Ortopédica (R$ 100,00)"/>
    <s v="Ortopedia"/>
    <n v="9139829"/>
    <s v="Finalizado (1/1)"/>
    <n v="30"/>
    <n v="70"/>
    <n v="100"/>
    <s v="Sessão Faturada"/>
    <n v="1101013085360100"/>
    <n v="58097"/>
    <s v="Unidade Vieiralves"/>
    <n v="9139829"/>
    <m/>
  </r>
  <r>
    <x v="13"/>
    <x v="13"/>
    <s v="Fernando Mendonça Hayek"/>
    <s v="Masculino"/>
    <x v="1"/>
    <x v="27"/>
    <s v="10101012 - Consulta Ortopédica (R$ 100,00)"/>
    <s v="Ortopedia"/>
    <n v="9139070"/>
    <s v="Finalizado (1/1)"/>
    <n v="30"/>
    <n v="70"/>
    <n v="100"/>
    <s v="Sessão Faturada"/>
    <s v="0501013240670006"/>
    <n v="57734"/>
    <s v="Unidade Vieiralves"/>
    <n v="9139070"/>
    <m/>
  </r>
  <r>
    <x v="13"/>
    <x v="13"/>
    <s v="Virgínia Ketlen dos Santos Xavier"/>
    <s v="Feminino"/>
    <x v="4"/>
    <x v="27"/>
    <s v="10101012 - Consulta Médica (R$ 134,79)"/>
    <s v="Ortopedia"/>
    <n v="1706452501"/>
    <s v="Finalizado (1/1)"/>
    <n v="40.436999999999998"/>
    <n v="94.352999999999994"/>
    <n v="134.79"/>
    <s v="Sessão Faturada"/>
    <n v="772901027731010"/>
    <n v="47393"/>
    <s v="Unidade Vieiralves"/>
    <n v="1706452501"/>
    <m/>
  </r>
  <r>
    <x v="13"/>
    <x v="13"/>
    <s v="Wilde de Azevedo Bentes"/>
    <s v="Masculino"/>
    <x v="4"/>
    <x v="27"/>
    <s v="10101012 - Consulta Médica (R$ 134,79)"/>
    <s v="Ortopedia"/>
    <n v="1706437711"/>
    <s v="Finalizado (1/1)"/>
    <n v="40.436999999999998"/>
    <n v="94.352999999999994"/>
    <n v="134.79"/>
    <s v="Sessão Faturada"/>
    <n v="838296600027000"/>
    <n v="44140"/>
    <s v="Unidade Vieiralves"/>
    <n v="1706437711"/>
    <m/>
  </r>
  <r>
    <x v="13"/>
    <x v="13"/>
    <s v="Maria do Socorro Sena Albuquerque"/>
    <s v="Feminino"/>
    <x v="1"/>
    <x v="27"/>
    <s v="10101012 - Consulta Ortopédica (R$ 100,00)"/>
    <s v="Ortopedia"/>
    <n v="9138164"/>
    <s v="Finalizado (1/1)"/>
    <n v="30"/>
    <n v="70"/>
    <n v="100"/>
    <s v="Sessão Faturada"/>
    <n v="1401013803670100"/>
    <n v="57417"/>
    <s v="Unidade Vieiralves"/>
    <n v="9138164"/>
    <m/>
  </r>
  <r>
    <x v="13"/>
    <x v="13"/>
    <s v="Albejamere Pereira de Castro"/>
    <s v="Feminino"/>
    <x v="1"/>
    <x v="27"/>
    <s v="10101012 - Consulta Ortopédica (R$ 100,00)"/>
    <s v="Ortopedia"/>
    <n v="9142876"/>
    <s v="Finalizado (1/1)"/>
    <n v="30"/>
    <n v="70"/>
    <n v="100"/>
    <s v="Sessão Faturada"/>
    <n v="1901010162540100"/>
    <n v="53882"/>
    <s v="Unidade Vieiralves"/>
    <n v="9142876"/>
    <m/>
  </r>
  <r>
    <x v="13"/>
    <x v="13"/>
    <s v="Willian Jean Silva Colares"/>
    <s v="Masculino"/>
    <x v="4"/>
    <x v="27"/>
    <s v="10101012 - Consulta Médica Retorno (R$ 0,00)"/>
    <s v="Ortopedia"/>
    <s v="00"/>
    <s v="Finalizado (1/1)"/>
    <n v="0"/>
    <n v="0"/>
    <n v="0"/>
    <s v="Sessão a Faturar"/>
    <n v="775219005800000"/>
    <n v="59277"/>
    <s v="Unidade Vieiralves"/>
    <s v="00"/>
    <m/>
  </r>
  <r>
    <x v="15"/>
    <x v="8"/>
    <s v="Diana Costa Tavares Gonçalves"/>
    <s v="Feminino"/>
    <x v="4"/>
    <x v="27"/>
    <s v="10101012 - Consulta Médica (R$ 134,79)"/>
    <s v="Ortopedia"/>
    <n v="1707498444"/>
    <s v="Finalizado (1/1)"/>
    <n v="40.436999999999998"/>
    <n v="94.352999999999994"/>
    <n v="134.79"/>
    <s v="Sessão Faturada"/>
    <n v="813227000817000"/>
    <n v="52256"/>
    <s v="Unidade Vieiralves"/>
    <n v="1707498444"/>
    <m/>
  </r>
  <r>
    <x v="15"/>
    <x v="8"/>
    <s v="Ediane da Silveira Vieira"/>
    <s v="Feminino"/>
    <x v="4"/>
    <x v="27"/>
    <s v="10101012 - Consulta Médica (R$ 134,79)"/>
    <s v="Ortopedia"/>
    <n v="1707525543"/>
    <s v="Finalizado (1/1)"/>
    <n v="40.436999999999998"/>
    <n v="94.352999999999994"/>
    <n v="134.79"/>
    <s v="Sessão Faturada"/>
    <n v="775262001287000"/>
    <n v="17985"/>
    <s v="Unidade Vieiralves"/>
    <n v="1707525543"/>
    <m/>
  </r>
  <r>
    <x v="15"/>
    <x v="8"/>
    <s v="Ricardo Marques de Abreu"/>
    <s v="Masculino"/>
    <x v="1"/>
    <x v="27"/>
    <s v="10101012 - Consulta Ortopédica (R$ 100,00)"/>
    <s v="Ortopedia"/>
    <n v="9193920"/>
    <s v="Finalizado (1/1)"/>
    <n v="30"/>
    <n v="70"/>
    <n v="100"/>
    <s v="Sessão Faturada"/>
    <n v="2001013216580000"/>
    <n v="43902"/>
    <s v="Unidade Vieiralves"/>
    <n v="9193920"/>
    <m/>
  </r>
  <r>
    <x v="15"/>
    <x v="8"/>
    <s v="Alice da Silva dos Santos"/>
    <m/>
    <x v="4"/>
    <x v="27"/>
    <s v="10101012 - Consulta Médica (R$ 134,79)"/>
    <s v="Ortopedia"/>
    <n v="1707486765"/>
    <s v="Finalizado (1/1)"/>
    <n v="40.436999999999998"/>
    <n v="94.352999999999994"/>
    <n v="134.79"/>
    <s v="Sessão Faturada"/>
    <n v="843486100604000"/>
    <n v="56112"/>
    <s v="Unidade Vieiralves"/>
    <n v="1707486765"/>
    <m/>
  </r>
  <r>
    <x v="15"/>
    <x v="8"/>
    <s v="Adenise Leitão Barbosa"/>
    <s v="Feminino"/>
    <x v="12"/>
    <x v="27"/>
    <s v="10101012 - Consulta Medica (R$ 134,79)"/>
    <s v="Ortopedia"/>
    <n v="33424917"/>
    <s v="Finalizado (1/1)"/>
    <n v="40.436999999999998"/>
    <n v="94.352999999999994"/>
    <n v="134.79"/>
    <s v="Sessão Faturada"/>
    <s v="000432203160121601"/>
    <n v="26264"/>
    <s v="Unidade Vieiralves"/>
    <n v="33424917"/>
    <m/>
  </r>
  <r>
    <x v="15"/>
    <x v="8"/>
    <s v="Anthony Jesus Farias Villarroel"/>
    <s v="Masculino"/>
    <x v="9"/>
    <x v="27"/>
    <s v="10101012 - Consulta Médica (R$ 134,79)"/>
    <s v="Ortopedia"/>
    <n v="1707522355"/>
    <s v="Finalizado (1/1)"/>
    <n v="40.436999999999998"/>
    <n v="94.352999999999994"/>
    <n v="134.79"/>
    <s v="Sessão Faturada"/>
    <n v="954600016969020"/>
    <n v="53566"/>
    <s v="Unidade Vieiralves"/>
    <n v="1707522355"/>
    <m/>
  </r>
  <r>
    <x v="15"/>
    <x v="8"/>
    <s v="Alexandre Wagner Kiyoshi Uehara"/>
    <s v="Masculino"/>
    <x v="4"/>
    <x v="27"/>
    <s v="10101012 - Consulta Médica (R$ 134,79)"/>
    <s v="Ortopedia"/>
    <n v="1707520821"/>
    <s v="Finalizado (1/1)"/>
    <n v="40.436999999999998"/>
    <n v="94.352999999999994"/>
    <n v="134.79"/>
    <s v="Sessão Faturada"/>
    <n v="842974900019010"/>
    <n v="13920"/>
    <s v="Unidade Vieiralves"/>
    <n v="1707520821"/>
    <m/>
  </r>
  <r>
    <x v="15"/>
    <x v="10"/>
    <s v="Henrique Meneses Mestres"/>
    <s v="Masculino"/>
    <x v="1"/>
    <x v="27"/>
    <s v="10101012 - Consulta Ortopédica (R$ 100,00)"/>
    <s v="Ortopedia"/>
    <n v="9194680"/>
    <s v="Finalizado (1/1)"/>
    <n v="30"/>
    <n v="70"/>
    <n v="100"/>
    <s v="Sessão Faturada"/>
    <n v="1101014105240300"/>
    <n v="59525"/>
    <s v="Unidade Vieiralves"/>
    <n v="9194680"/>
    <m/>
  </r>
  <r>
    <x v="15"/>
    <x v="10"/>
    <s v="Joyce Sales de Sousa Guedes"/>
    <s v="Feminino"/>
    <x v="4"/>
    <x v="27"/>
    <s v="10101012 - Consulta Médica (R$ 134,79)"/>
    <s v="Ortopedia"/>
    <n v="1707540381"/>
    <s v="Finalizado (1/1)"/>
    <n v="40.436999999999998"/>
    <n v="94.352999999999994"/>
    <n v="134.79"/>
    <s v="Sessão Faturada"/>
    <n v="960019317525010"/>
    <n v="59107"/>
    <s v="Unidade Vieiralves"/>
    <n v="1707540381"/>
    <m/>
  </r>
  <r>
    <x v="15"/>
    <x v="10"/>
    <s v="Thiago Lima Guedes"/>
    <s v="Masculino"/>
    <x v="4"/>
    <x v="27"/>
    <s v="10101012 - Consulta Médica (R$ 134,79)"/>
    <s v="Ortopedia"/>
    <n v="1707537585"/>
    <s v="Finalizado (1/1)"/>
    <n v="40.436999999999998"/>
    <n v="94.352999999999994"/>
    <n v="134.79"/>
    <s v="Sessão Faturada"/>
    <n v="960019317525020"/>
    <n v="59106"/>
    <s v="Unidade Vieiralves"/>
    <n v="1707537585"/>
    <m/>
  </r>
  <r>
    <x v="15"/>
    <x v="10"/>
    <s v="Janderson dos Santos Pereira"/>
    <s v="Masculino"/>
    <x v="4"/>
    <x v="27"/>
    <s v="10101012 - Consulta Médica (R$ 134,79)"/>
    <s v="Ortopedia"/>
    <n v="1707530651"/>
    <s v="Finalizado (1/1)"/>
    <n v="40.436999999999998"/>
    <n v="94.352999999999994"/>
    <n v="134.79"/>
    <s v="Sessão Faturada"/>
    <n v="610611160057000"/>
    <n v="42788"/>
    <s v="Unidade Vieiralves"/>
    <n v="1707530651"/>
    <m/>
  </r>
  <r>
    <x v="16"/>
    <x v="38"/>
    <s v="Anne Kelly Fróes Fontinele"/>
    <s v="Feminino"/>
    <x v="9"/>
    <x v="27"/>
    <s v="10101012 - Consulta Médica (R$ 134,79)"/>
    <s v="Ortopedia"/>
    <n v="1707856328"/>
    <s v="Finalizado (1/1)"/>
    <n v="40.436999999999998"/>
    <n v="94.352999999999994"/>
    <n v="134.79"/>
    <s v="Sessão Faturada"/>
    <n v="954600022691010"/>
    <n v="47757"/>
    <s v="Unidade Vieiralves"/>
    <n v="1707856328"/>
    <m/>
  </r>
  <r>
    <x v="16"/>
    <x v="38"/>
    <s v="Denise de Souza Lima Herzog"/>
    <s v="Feminino"/>
    <x v="4"/>
    <x v="27"/>
    <s v="10101012 - Consulta Médica (R$ 134,79)"/>
    <s v="Ortopedia"/>
    <n v="1707833432"/>
    <s v="Finalizado (1/1)"/>
    <n v="40.436999999999998"/>
    <n v="94.352999999999994"/>
    <n v="134.79"/>
    <s v="Sessão Faturada"/>
    <n v="810177500019010"/>
    <n v="52971"/>
    <s v="Unidade Vieiralves"/>
    <n v="1707833432"/>
    <m/>
  </r>
  <r>
    <x v="16"/>
    <x v="38"/>
    <s v="Ana Clara Froes Leite"/>
    <s v="Feminino"/>
    <x v="9"/>
    <x v="27"/>
    <s v="10101012 - Consulta Médica (R$ 134,79)"/>
    <s v="Ortopedia"/>
    <n v="1707854964"/>
    <s v="Finalizado (1/1)"/>
    <n v="40.436999999999998"/>
    <n v="94.352999999999994"/>
    <n v="134.79"/>
    <s v="Sessão Faturada"/>
    <n v="954600022691040"/>
    <n v="47756"/>
    <s v="Unidade Vieiralves"/>
    <n v="1707854964"/>
    <m/>
  </r>
  <r>
    <x v="16"/>
    <x v="38"/>
    <s v="Alessandro Ramos Veiga"/>
    <s v="Masculino"/>
    <x v="4"/>
    <x v="27"/>
    <s v="10101012 - Consulta Médica (R$ 134,79)"/>
    <s v="Ortopedia"/>
    <n v="1707782138"/>
    <s v="Finalizado (1/1)"/>
    <n v="40.436999999999998"/>
    <n v="94.352999999999994"/>
    <n v="134.79"/>
    <s v="Sessão Faturada"/>
    <n v="771015061093000"/>
    <n v="59531"/>
    <s v="Unidade Vieiralves"/>
    <n v="1707782138"/>
    <m/>
  </r>
  <r>
    <x v="16"/>
    <x v="37"/>
    <s v="Joeline Dutra da Silva"/>
    <s v="Feminino"/>
    <x v="1"/>
    <x v="27"/>
    <s v="10101012 - Consulta Ortopédica (R$ 100,00)"/>
    <s v="Ortopedia"/>
    <n v="9204086"/>
    <s v="Finalizado (1/1)"/>
    <n v="30"/>
    <n v="70"/>
    <n v="100"/>
    <s v="Sessão Faturada"/>
    <n v="1101013081410400"/>
    <n v="56667"/>
    <s v="Unidade Vieiralves"/>
    <n v="9204086"/>
    <m/>
  </r>
  <r>
    <x v="16"/>
    <x v="37"/>
    <s v="Izadora Fernandes Rodrigues"/>
    <s v="Feminino"/>
    <x v="4"/>
    <x v="27"/>
    <s v="10101012 - Consulta Médica (R$ 134,79)"/>
    <s v="Ortopedia"/>
    <n v="1707856966"/>
    <s v="Finalizado (1/1)"/>
    <n v="40.436999999999998"/>
    <n v="94.352999999999994"/>
    <n v="134.79"/>
    <s v="Sessão Faturada"/>
    <n v="960019362835000"/>
    <n v="51778"/>
    <s v="Unidade Vieiralves"/>
    <n v="1707856966"/>
    <m/>
  </r>
  <r>
    <x v="16"/>
    <x v="37"/>
    <s v="Tarcizio Yanke de Oliveira Nobrega"/>
    <s v="Masculino"/>
    <x v="4"/>
    <x v="27"/>
    <s v="10101012 - Consulta Médica (R$ 134,79)"/>
    <s v="Ortopedia"/>
    <n v="1707802028"/>
    <s v="Finalizado (1/1)"/>
    <n v="40.436999999999998"/>
    <n v="94.352999999999994"/>
    <n v="134.79"/>
    <s v="Sessão Faturada"/>
    <n v="771015056464000"/>
    <n v="59544"/>
    <s v="Unidade Vieiralves"/>
    <n v="1707802028"/>
    <m/>
  </r>
  <r>
    <x v="16"/>
    <x v="37"/>
    <s v="Mitie Malagueta da Conceição"/>
    <s v="Feminino"/>
    <x v="12"/>
    <x v="27"/>
    <s v="10101012 - Consulta Medica (R$ 134,79)"/>
    <s v="Ortopedia"/>
    <n v="33462322"/>
    <s v="Finalizado (1/1)"/>
    <n v="40.436999999999998"/>
    <n v="94.352999999999994"/>
    <n v="134.79"/>
    <s v="Sessão Faturada"/>
    <n v="9.5125088222117005E+17"/>
    <n v="50255"/>
    <s v="Unidade Vieiralves"/>
    <n v="33462322"/>
    <m/>
  </r>
  <r>
    <x v="16"/>
    <x v="37"/>
    <s v="Talita Ávila Lucena"/>
    <m/>
    <x v="20"/>
    <x v="27"/>
    <s v="10101012 - Consulta Medica (R$ 80,00)"/>
    <s v="Ortopedia"/>
    <n v="55573390"/>
    <s v="Finalizado (1/1)"/>
    <n v="24"/>
    <n v="56"/>
    <n v="80"/>
    <s v="Sessão Faturada"/>
    <n v="1051100331140100"/>
    <n v="58568"/>
    <s v="Unidade Vieiralves"/>
    <n v="55573390"/>
    <m/>
  </r>
  <r>
    <x v="16"/>
    <x v="37"/>
    <s v="Chirly Ribeiro de Souza Lira"/>
    <s v="Feminino"/>
    <x v="4"/>
    <x v="27"/>
    <s v="10101012 - Consulta Médica (R$ 134,79)"/>
    <s v="Ortopedia"/>
    <n v="1707816508"/>
    <s v="Finalizado (1/1)"/>
    <n v="40.436999999999998"/>
    <n v="94.352999999999994"/>
    <n v="134.79"/>
    <s v="Sessão Faturada"/>
    <n v="771015039004010"/>
    <n v="47661"/>
    <s v="Unidade Vieiralves"/>
    <n v="1707816508"/>
    <m/>
  </r>
  <r>
    <x v="21"/>
    <x v="40"/>
    <s v="Edmundo dos Santos Freitas"/>
    <s v="Masculino"/>
    <x v="10"/>
    <x v="27"/>
    <s v="10101012 - Consulta Ortopédica (R$ 75,00)"/>
    <s v="Ortopedia"/>
    <n v="15109220"/>
    <s v="Finalizado (1/1)"/>
    <n v="22.5"/>
    <n v="52.5"/>
    <n v="75"/>
    <s v="Sessão Faturada"/>
    <s v="00010064289222002"/>
    <n v="59546"/>
    <s v="Unidade Vieiralves"/>
    <n v="15109220"/>
    <m/>
  </r>
  <r>
    <x v="21"/>
    <x v="40"/>
    <s v="Leonardo Emmanuel Neves Rodrigues"/>
    <s v="Masculino"/>
    <x v="4"/>
    <x v="27"/>
    <s v="10101012 - Consulta Médica (R$ 134,79)"/>
    <s v="Ortopedia"/>
    <n v="1708044961"/>
    <s v="Finalizado (1/1)"/>
    <n v="40.436999999999998"/>
    <n v="94.352999999999994"/>
    <n v="134.79"/>
    <s v="Sessão Faturada"/>
    <n v="867546100043000"/>
    <n v="59479"/>
    <s v="Unidade Vieiralves"/>
    <n v="1708044961"/>
    <m/>
  </r>
  <r>
    <x v="21"/>
    <x v="35"/>
    <s v="Marcela Hagge de Mendonça"/>
    <s v="Feminino"/>
    <x v="4"/>
    <x v="27"/>
    <s v="10101012 - Consulta Médica (R$ 134,79)"/>
    <s v="Ortopedia"/>
    <n v="1708326252"/>
    <s v="Finalizado (1/1)"/>
    <n v="40.436999999999998"/>
    <n v="94.352999999999994"/>
    <n v="134.79"/>
    <s v="Sessão Faturada"/>
    <n v="774981004804000"/>
    <n v="59513"/>
    <s v="Unidade Vieiralves"/>
    <n v="1708326252"/>
    <m/>
  </r>
  <r>
    <x v="21"/>
    <x v="35"/>
    <s v="Bruno Oliveira Cortez"/>
    <s v="Masculino"/>
    <x v="4"/>
    <x v="27"/>
    <s v="10101012 - Consulta Médica (R$ 134,79)"/>
    <s v="Ortopedia"/>
    <n v="1708295543"/>
    <s v="Finalizado (1/1)"/>
    <n v="40.436999999999998"/>
    <n v="94.352999999999994"/>
    <n v="134.79"/>
    <s v="Sessão Faturada"/>
    <n v="811652200396000"/>
    <n v="46040"/>
    <s v="Unidade Vieiralves"/>
    <n v="1708295543"/>
    <m/>
  </r>
  <r>
    <x v="21"/>
    <x v="35"/>
    <s v="Marco Aurélio Bezerra Lopes"/>
    <s v="Masculino"/>
    <x v="4"/>
    <x v="27"/>
    <s v="10101012 - Consulta Médica (R$ 134,79)"/>
    <s v="Ortopedia"/>
    <n v="1708269457"/>
    <s v="Finalizado (1/1)"/>
    <n v="40.436999999999998"/>
    <n v="94.352999999999994"/>
    <n v="134.79"/>
    <s v="Sessão Faturada"/>
    <n v="771015040827010"/>
    <n v="51421"/>
    <s v="Unidade Vieiralves"/>
    <n v="1708269457"/>
    <m/>
  </r>
  <r>
    <x v="18"/>
    <x v="40"/>
    <s v="Taynara Souza da Costa"/>
    <s v="Feminino"/>
    <x v="4"/>
    <x v="27"/>
    <s v="10101012 - Consulta Médica (R$ 134,79)"/>
    <s v="Ortopedia"/>
    <n v="1709525882"/>
    <s v="Finalizado (1/1)"/>
    <n v="40.436999999999998"/>
    <n v="94.352999999999994"/>
    <n v="134.79"/>
    <s v="Sessão Faturada"/>
    <n v="773626012580000"/>
    <n v="58767"/>
    <s v="Unidade Sao Jose"/>
    <n v="1709525882"/>
    <m/>
  </r>
  <r>
    <x v="18"/>
    <x v="40"/>
    <s v="Simone Soares Franco"/>
    <s v="Feminino"/>
    <x v="9"/>
    <x v="27"/>
    <s v="10101012 - Consulta Médica (R$ 134,79)"/>
    <s v="Ortopedia"/>
    <n v="1709550866"/>
    <s v="Finalizado (1/1)"/>
    <n v="40.436999999999998"/>
    <n v="94.352999999999994"/>
    <n v="134.79"/>
    <s v="Sessão Faturada"/>
    <n v="954600000256000"/>
    <n v="24181"/>
    <s v="Unidade Sao Jose"/>
    <n v="1709550866"/>
    <m/>
  </r>
  <r>
    <x v="18"/>
    <x v="35"/>
    <s v="Dilson Pereira Dourado"/>
    <m/>
    <x v="4"/>
    <x v="27"/>
    <s v="10101012 - Consulta Médica Retorno (R$ 0,00)"/>
    <s v="Ortopedia"/>
    <m/>
    <s v="Finalizado (1/1)"/>
    <n v="0"/>
    <n v="0"/>
    <n v="0"/>
    <s v="Sessão a Faturar"/>
    <n v="898081400019000"/>
    <n v="54845"/>
    <s v="Unidade Sao Jose"/>
    <m/>
    <m/>
  </r>
  <r>
    <x v="18"/>
    <x v="4"/>
    <s v="Thaisa Cadais Semen"/>
    <s v="Feminino"/>
    <x v="11"/>
    <x v="27"/>
    <s v="10101012 - Consulta Medica (R$ 241,94)"/>
    <s v="Ortopedia"/>
    <n v="171030"/>
    <s v="Finalizado (1/1)"/>
    <n v="72.581999999999994"/>
    <n v="169.358"/>
    <n v="241.94"/>
    <s v="Sessão Faturada"/>
    <s v="01689"/>
    <n v="22428"/>
    <s v="Unidade Vieiralves"/>
    <n v="171030"/>
    <m/>
  </r>
  <r>
    <x v="18"/>
    <x v="4"/>
    <s v="Icaro de Melo Amorim"/>
    <s v="Masculino"/>
    <x v="4"/>
    <x v="27"/>
    <s v="10101012 - Consulta Médica (R$ 134,79)"/>
    <s v="Ortopedia"/>
    <n v="1709254488"/>
    <s v="Finalizado (1/1)"/>
    <n v="40.436999999999998"/>
    <n v="94.352999999999994"/>
    <n v="134.79"/>
    <s v="Sessão Faturada"/>
    <n v="960019332171000"/>
    <n v="30492"/>
    <s v="Unidade Vieiralves"/>
    <n v="1709254488"/>
    <m/>
  </r>
  <r>
    <x v="18"/>
    <x v="4"/>
    <s v="Ana Georgina Viga Lacorte"/>
    <s v="Feminino"/>
    <x v="4"/>
    <x v="27"/>
    <s v="10101012 - Consulta Médica (R$ 134,79)"/>
    <s v="Ortopedia"/>
    <n v="1709260059"/>
    <s v="Finalizado (1/1)"/>
    <n v="40.436999999999998"/>
    <n v="94.352999999999994"/>
    <n v="134.79"/>
    <s v="Sessão Faturada"/>
    <n v="882749100043010"/>
    <n v="50823"/>
    <s v="Unidade Vieiralves"/>
    <n v="1709260059"/>
    <m/>
  </r>
  <r>
    <x v="18"/>
    <x v="4"/>
    <s v="Cizia Freitas de Silva Costa"/>
    <s v="Feminino"/>
    <x v="4"/>
    <x v="27"/>
    <s v="10101012 - Consulta Médica (R$ 134,79)"/>
    <s v="Ortopedia"/>
    <n v="1709239143"/>
    <s v="Finalizado (1/1)"/>
    <n v="40.436999999999998"/>
    <n v="94.352999999999994"/>
    <n v="134.79"/>
    <s v="Sessão Faturada"/>
    <n v="960016147089050"/>
    <n v="46973"/>
    <s v="Unidade Vieiralves"/>
    <n v="1709239143"/>
    <m/>
  </r>
  <r>
    <x v="18"/>
    <x v="4"/>
    <s v="Milton Correa Prudente Costa"/>
    <s v="Masculino"/>
    <x v="4"/>
    <x v="27"/>
    <s v="10101012 - Consulta Médica (R$ 134,79)"/>
    <s v="Ortopedia"/>
    <n v="1709794777"/>
    <s v="Finalizado (1/1)"/>
    <n v="40.436999999999998"/>
    <n v="94.352999999999994"/>
    <n v="134.79"/>
    <s v="Sessão Faturada"/>
    <n v="960019385179020"/>
    <n v="5417"/>
    <s v="Unidade Vieiralves"/>
    <n v="1709794777"/>
    <m/>
  </r>
  <r>
    <x v="18"/>
    <x v="4"/>
    <s v="Kellen Regina Pereira da Silva"/>
    <s v="Feminino"/>
    <x v="4"/>
    <x v="27"/>
    <s v="10101012 - Consulta Médica (R$ 134,79)"/>
    <s v="Ortopedia"/>
    <n v="1709778291"/>
    <s v="Finalizado (1/1)"/>
    <n v="40.436999999999998"/>
    <n v="94.352999999999994"/>
    <n v="134.79"/>
    <s v="Sessão Faturada"/>
    <n v="890729700027020"/>
    <n v="59263"/>
    <s v="Unidade Vieiralves"/>
    <n v="1709778291"/>
    <m/>
  </r>
  <r>
    <x v="18"/>
    <x v="4"/>
    <s v="Ana Lucia Medeiros Figliuolo"/>
    <s v="Feminino"/>
    <x v="1"/>
    <x v="27"/>
    <s v="10101012 - Consulta Ortopédica (R$ 100,00)"/>
    <s v="Ortopedia"/>
    <n v="9270349"/>
    <s v="Finalizado (1/1)"/>
    <n v="30"/>
    <n v="70"/>
    <n v="100"/>
    <s v="Sessão Faturada"/>
    <s v="0901013317940180"/>
    <n v="32208"/>
    <s v="Unidade Vieiralves"/>
    <n v="9270349"/>
    <m/>
  </r>
  <r>
    <x v="18"/>
    <x v="4"/>
    <s v="David de Souza Brandão"/>
    <s v="Masculino"/>
    <x v="1"/>
    <x v="27"/>
    <s v="10101012 - Consulta Ortopédica (R$ 100,00)"/>
    <s v="Ortopedia"/>
    <n v="9269742"/>
    <s v="Finalizado (1/1)"/>
    <n v="30"/>
    <n v="70"/>
    <n v="100"/>
    <s v="Sessão Faturada"/>
    <s v="0901013409150193"/>
    <n v="48043"/>
    <s v="Unidade Vieiralves"/>
    <n v="9269742"/>
    <m/>
  </r>
  <r>
    <x v="18"/>
    <x v="4"/>
    <s v="Bruno Oliveira Cortez"/>
    <s v="Masculino"/>
    <x v="4"/>
    <x v="27"/>
    <s v="10101012 - Consulta Médica Retorno (R$ 0,00)"/>
    <s v="Ortopedia"/>
    <m/>
    <s v="Finalizado (1/1)"/>
    <n v="0"/>
    <n v="0"/>
    <n v="0"/>
    <s v="Sessão a Faturar"/>
    <n v="811652200396000"/>
    <n v="46040"/>
    <s v="Unidade Vieiralves"/>
    <m/>
    <m/>
  </r>
  <r>
    <x v="18"/>
    <x v="13"/>
    <s v="Luiza Silvestre da Silva"/>
    <s v="Feminino"/>
    <x v="4"/>
    <x v="27"/>
    <s v="10101012 - Consulta Médica Retorno (R$ 0,00)"/>
    <s v="Ortopedia"/>
    <m/>
    <s v="Finalizado (1/1)"/>
    <n v="0"/>
    <n v="0"/>
    <n v="0"/>
    <s v="Sessão a Faturar"/>
    <n v="770179021261010"/>
    <n v="11820"/>
    <s v="Unidade Vieiralves"/>
    <m/>
    <m/>
  </r>
  <r>
    <x v="18"/>
    <x v="13"/>
    <s v="Allan Kardec Pires Xavier"/>
    <s v="Masculino"/>
    <x v="9"/>
    <x v="27"/>
    <s v="10101012 - Consulta Médica (R$ 134,79)"/>
    <s v="Ortopedia"/>
    <n v="1709756486"/>
    <s v="Finalizado (1/1)"/>
    <n v="40.436999999999998"/>
    <n v="94.352999999999994"/>
    <n v="134.79"/>
    <s v="Sessão Faturada"/>
    <n v="954060052906000"/>
    <n v="51773"/>
    <s v="Unidade Vieiralves"/>
    <n v="1709756486"/>
    <m/>
  </r>
  <r>
    <x v="18"/>
    <x v="13"/>
    <s v="Suzy Moraes de Souza"/>
    <s v="Feminino"/>
    <x v="4"/>
    <x v="27"/>
    <s v="10101012 - Consulta Médica (R$ 134,79)"/>
    <s v="Ortopedia"/>
    <n v="1709747159"/>
    <s v="Finalizado (1/1)"/>
    <n v="40.436999999999998"/>
    <n v="94.352999999999994"/>
    <n v="134.79"/>
    <s v="Sessão Faturada"/>
    <n v="973700010774020"/>
    <n v="48848"/>
    <s v="Unidade Vieiralves"/>
    <n v="1709747159"/>
    <m/>
  </r>
  <r>
    <x v="18"/>
    <x v="13"/>
    <s v="Oliver Deoclécio Honorato Reis"/>
    <s v="Masculino"/>
    <x v="4"/>
    <x v="27"/>
    <s v="10101012 - Consulta Médica (R$ 134,79)"/>
    <s v="Ortopedia"/>
    <n v="1709803230"/>
    <s v="Finalizado (1/1)"/>
    <n v="40.436999999999998"/>
    <n v="94.352999999999994"/>
    <n v="134.79"/>
    <s v="Sessão Faturada"/>
    <n v="611481880010020"/>
    <n v="59465"/>
    <s v="Unidade Vieiralves"/>
    <n v="1709803230"/>
    <m/>
  </r>
  <r>
    <x v="18"/>
    <x v="13"/>
    <s v="Graciana de Souza Honorato"/>
    <s v="Feminino"/>
    <x v="4"/>
    <x v="27"/>
    <s v="10101012 - Consulta Médica (R$ 134,79)"/>
    <s v="Ortopedia"/>
    <n v="1709800585"/>
    <s v="Finalizado (1/1)"/>
    <n v="40.436999999999998"/>
    <n v="94.352999999999994"/>
    <n v="134.79"/>
    <s v="Sessão Faturada"/>
    <n v="611481880010010"/>
    <n v="59464"/>
    <s v="Unidade Vieiralves"/>
    <n v="1709800585"/>
    <m/>
  </r>
  <r>
    <x v="18"/>
    <x v="13"/>
    <s v="Diuel da Silva Moura"/>
    <s v="Feminino"/>
    <x v="4"/>
    <x v="27"/>
    <s v="10101012 - Consulta Médica (R$ 134,79)"/>
    <s v="Ortopedia"/>
    <n v="1709792397"/>
    <s v="Finalizado (1/1)"/>
    <n v="40.436999999999998"/>
    <n v="94.352999999999994"/>
    <n v="134.79"/>
    <s v="Sessão Faturada"/>
    <n v="774642021040000"/>
    <n v="54305"/>
    <s v="Unidade Vieiralves"/>
    <n v="1709792397"/>
    <m/>
  </r>
  <r>
    <x v="18"/>
    <x v="13"/>
    <s v="Daniel Carvalho Castro"/>
    <s v="Masculino"/>
    <x v="4"/>
    <x v="27"/>
    <s v="10101012 - Consulta Médica (R$ 134,79)"/>
    <s v="Ortopedia"/>
    <n v="1709830444"/>
    <s v="Finalizado (1/1)"/>
    <n v="40.436999999999998"/>
    <n v="94.352999999999994"/>
    <n v="134.79"/>
    <s v="Sessão Faturada"/>
    <n v="960016866689030"/>
    <n v="58551"/>
    <s v="Unidade Vieiralves"/>
    <n v="1709830444"/>
    <m/>
  </r>
  <r>
    <x v="20"/>
    <x v="38"/>
    <s v="Andre Wilson Archer Pinto Salgado"/>
    <s v="Masculino"/>
    <x v="1"/>
    <x v="27"/>
    <s v="10101012 - Consulta Ortopédica (R$ 100,00)"/>
    <s v="Ortopedia"/>
    <n v="9332351"/>
    <s v="Finalizado (1/1)"/>
    <n v="30"/>
    <n v="70"/>
    <n v="100"/>
    <s v="Sessão Faturada"/>
    <n v="1301013386030000"/>
    <n v="39676"/>
    <s v="Unidade Vieiralves"/>
    <n v="9332351"/>
    <m/>
  </r>
  <r>
    <x v="20"/>
    <x v="38"/>
    <s v="Gilmar Nogueira Rocha"/>
    <s v="Masculino"/>
    <x v="4"/>
    <x v="27"/>
    <s v="10101012 - Consulta Médica (R$ 134,79)"/>
    <s v="Ortopedia"/>
    <n v="1711400874"/>
    <s v="Finalizado (1/1)"/>
    <n v="40.436999999999998"/>
    <n v="94.352999999999994"/>
    <n v="134.79"/>
    <s v="Sessão Faturada"/>
    <n v="771015042609020"/>
    <n v="51478"/>
    <s v="Unidade Vieiralves"/>
    <n v="1711400874"/>
    <m/>
  </r>
  <r>
    <x v="20"/>
    <x v="38"/>
    <s v="Maria de Fatima da Silva Souza"/>
    <s v="Feminino"/>
    <x v="4"/>
    <x v="27"/>
    <s v="10101012 - Consulta Médica (R$ 134,79)"/>
    <s v="Ortopedia"/>
    <n v="1710421762"/>
    <s v="Finalizado (1/1)"/>
    <n v="40.436999999999998"/>
    <n v="94.352999999999994"/>
    <n v="134.79"/>
    <s v="Sessão Faturada"/>
    <n v="952140115211010"/>
    <n v="23931"/>
    <s v="Unidade Vieiralves"/>
    <n v="1710421762"/>
    <m/>
  </r>
  <r>
    <x v="20"/>
    <x v="38"/>
    <s v="Artemiza Virginio de Moura"/>
    <s v="Feminino"/>
    <x v="4"/>
    <x v="27"/>
    <s v="10101012 - Consulta Médica (R$ 134,79)"/>
    <s v="Ortopedia"/>
    <n v="1711378181"/>
    <s v="Finalizado (1/1)"/>
    <n v="40.436999999999998"/>
    <n v="94.352999999999994"/>
    <n v="134.79"/>
    <s v="Sessão Faturada"/>
    <n v="812512800019000"/>
    <n v="560"/>
    <s v="Unidade Vieiralves"/>
    <n v="1711378181"/>
    <m/>
  </r>
  <r>
    <x v="20"/>
    <x v="38"/>
    <s v="Barbara Barros Jacob"/>
    <s v="Feminino"/>
    <x v="1"/>
    <x v="27"/>
    <s v="10101012 - Consulta Ortopédica (R$ 100,00)"/>
    <s v="Ortopedia"/>
    <n v="9334806"/>
    <s v="Finalizado (1/1)"/>
    <n v="30"/>
    <n v="70"/>
    <n v="100"/>
    <s v="Sessão Faturada"/>
    <s v="0201013029220011"/>
    <n v="41008"/>
    <s v="Unidade Vieiralves"/>
    <n v="9334806"/>
    <m/>
  </r>
  <r>
    <x v="20"/>
    <x v="38"/>
    <s v="Adriana Santos Gonçalves da Silva"/>
    <s v="Feminino"/>
    <x v="4"/>
    <x v="27"/>
    <s v="10101012 - Consulta Médica (R$ 134,79)"/>
    <s v="Ortopedia"/>
    <n v="1711308650"/>
    <s v="Finalizado (1/1)"/>
    <n v="40.436999999999998"/>
    <n v="94.352999999999994"/>
    <n v="134.79"/>
    <s v="Sessão Faturada"/>
    <n v="611019330003020"/>
    <n v="45664"/>
    <s v="Unidade Vieiralves"/>
    <n v="1711308650"/>
    <m/>
  </r>
  <r>
    <x v="20"/>
    <x v="38"/>
    <s v="Emanuele Menezes da Silva"/>
    <s v="Feminino"/>
    <x v="4"/>
    <x v="27"/>
    <s v="10101012 - Consulta Médica (R$ 134,79)"/>
    <s v="Ortopedia"/>
    <n v="1711405611"/>
    <s v="Finalizado (1/1)"/>
    <n v="40.436999999999998"/>
    <n v="94.352999999999994"/>
    <n v="134.79"/>
    <s v="Sessão Faturada"/>
    <n v="774642014893010"/>
    <n v="44534"/>
    <s v="Unidade Vieiralves"/>
    <n v="1711405611"/>
    <m/>
  </r>
  <r>
    <x v="20"/>
    <x v="38"/>
    <s v="Elcilene Pinheiro Ferreira Gadelha"/>
    <s v="Feminino"/>
    <x v="4"/>
    <x v="27"/>
    <s v="10101012 - Consulta Médica (R$ 134,79)"/>
    <s v="Ortopedia"/>
    <n v="1711378399"/>
    <s v="Finalizado (1/1)"/>
    <n v="40.436999999999998"/>
    <n v="94.352999999999994"/>
    <n v="134.79"/>
    <s v="Sessão Faturada"/>
    <n v="896128600019000"/>
    <n v="51111"/>
    <s v="Unidade Vieiralves"/>
    <n v="1711378399"/>
    <m/>
  </r>
  <r>
    <x v="20"/>
    <x v="38"/>
    <s v="Alida Ewelin Moura de Araújo"/>
    <s v="Feminino"/>
    <x v="4"/>
    <x v="27"/>
    <s v="10101012 - Consulta Médica (R$ 134,79)"/>
    <s v="Ortopedia"/>
    <n v="1711438145"/>
    <s v="Finalizado (1/1)"/>
    <n v="40.436999999999998"/>
    <n v="94.352999999999994"/>
    <n v="134.79"/>
    <s v="Sessão Faturada"/>
    <n v="771015062227000"/>
    <n v="57307"/>
    <s v="Unidade Vieiralves"/>
    <n v="1711438145"/>
    <m/>
  </r>
  <r>
    <x v="20"/>
    <x v="37"/>
    <s v="Davi Ferreira Gadelha"/>
    <s v="Masculino"/>
    <x v="4"/>
    <x v="27"/>
    <s v="10101012 - Consulta Médica (R$ 134,79)"/>
    <s v="Ortopedia"/>
    <n v="1711380332"/>
    <s v="Finalizado (1/1)"/>
    <n v="40.436999999999998"/>
    <n v="94.352999999999994"/>
    <n v="134.79"/>
    <s v="Sessão Faturada"/>
    <n v="896128600019030"/>
    <n v="51103"/>
    <s v="Unidade Vieiralves"/>
    <n v="1711380332"/>
    <m/>
  </r>
  <r>
    <x v="20"/>
    <x v="37"/>
    <s v="Larissa Castro Barbosa"/>
    <s v="Feminino"/>
    <x v="1"/>
    <x v="27"/>
    <s v="10101012 - Consulta Ortopédica Retorno (R$ 0,00)"/>
    <s v="Ortopedia"/>
    <s v="00"/>
    <s v="Finalizado (1/1)"/>
    <n v="0"/>
    <n v="0"/>
    <n v="0"/>
    <s v="Sessão a Faturar"/>
    <s v="0901010162540294"/>
    <n v="53890"/>
    <s v="Unidade Vieiralves"/>
    <s v="00"/>
    <m/>
  </r>
  <r>
    <x v="20"/>
    <x v="37"/>
    <s v="Kamila Nayara dos Anjos Cruz"/>
    <s v="Feminino"/>
    <x v="4"/>
    <x v="27"/>
    <s v="10101012 - Consulta Médica (R$ 134,79)"/>
    <s v="Ortopedia"/>
    <n v="1711410681"/>
    <s v="Finalizado (1/1)"/>
    <n v="40.436999999999998"/>
    <n v="94.352999999999994"/>
    <n v="134.79"/>
    <s v="Sessão Faturada"/>
    <n v="960016968538010"/>
    <n v="58063"/>
    <s v="Unidade Vieiralves"/>
    <n v="1711410681"/>
    <m/>
  </r>
  <r>
    <x v="20"/>
    <x v="37"/>
    <s v="Gloria Lucia Lopes Fernandes"/>
    <s v="Feminino"/>
    <x v="4"/>
    <x v="27"/>
    <s v="10101012 - Consulta Médica (R$ 134,79)"/>
    <s v="Ortopedia"/>
    <n v="1711424622"/>
    <s v="Finalizado (1/1)"/>
    <n v="40.436999999999998"/>
    <n v="94.352999999999994"/>
    <n v="134.79"/>
    <s v="Sessão Faturada"/>
    <n v="774063007390030"/>
    <n v="32428"/>
    <s v="Unidade Vieiralves"/>
    <n v="1711424622"/>
    <m/>
  </r>
  <r>
    <x v="20"/>
    <x v="37"/>
    <s v="Napoleão Cesar Pinheiro Ladim"/>
    <s v="Masculino"/>
    <x v="4"/>
    <x v="27"/>
    <s v="10101012 - Consulta Médica (R$ 134,79)"/>
    <s v="Ortopedia"/>
    <n v="1710484727"/>
    <s v="Finalizado (1/1)"/>
    <n v="40.436999999999998"/>
    <n v="94.352999999999994"/>
    <n v="134.79"/>
    <s v="Sessão Faturada"/>
    <n v="837500800019000"/>
    <n v="58942"/>
    <s v="Unidade Vieiralves"/>
    <n v="1710484727"/>
    <m/>
  </r>
  <r>
    <x v="20"/>
    <x v="37"/>
    <s v="Laercio Sampaio de Souza"/>
    <s v="Masculino"/>
    <x v="4"/>
    <x v="27"/>
    <s v="10101012 - Consulta Médica (R$ 134,79)"/>
    <s v="Ortopedia"/>
    <n v="1711379776"/>
    <s v="Finalizado (1/1)"/>
    <n v="40.436999999999998"/>
    <n v="94.352999999999994"/>
    <n v="134.79"/>
    <s v="Sessão Faturada"/>
    <n v="812512800043000"/>
    <n v="19903"/>
    <s v="Unidade Vieiralves"/>
    <n v="1711379776"/>
    <m/>
  </r>
  <r>
    <x v="20"/>
    <x v="37"/>
    <s v="Eduarda Silva Castilho"/>
    <s v="Feminino"/>
    <x v="4"/>
    <x v="27"/>
    <s v="10101012 - Consulta Médica (R$ 134,79)"/>
    <s v="Ortopedia"/>
    <n v="1710847757"/>
    <s v="Finalizado (1/1)"/>
    <n v="40.436999999999998"/>
    <n v="94.352999999999994"/>
    <n v="134.79"/>
    <s v="Sessão Faturada"/>
    <n v="771015041130020"/>
    <n v="45879"/>
    <s v="Unidade Vieiralves"/>
    <n v="1710847757"/>
    <m/>
  </r>
  <r>
    <x v="20"/>
    <x v="37"/>
    <s v="Amilton da Costa Carvalho"/>
    <s v="Masculino"/>
    <x v="20"/>
    <x v="27"/>
    <s v="10101012 - Consulta Medica (R$ 80,00)"/>
    <s v="Ortopedia"/>
    <n v="55659260"/>
    <s v="Finalizado (1/1)"/>
    <n v="24"/>
    <n v="56"/>
    <n v="80"/>
    <s v="Sessão Faturada"/>
    <n v="10511003315900"/>
    <n v="51485"/>
    <s v="Unidade Vieiralves"/>
    <n v="55659260"/>
    <m/>
  </r>
  <r>
    <x v="23"/>
    <x v="40"/>
    <s v="Erlom André de Matos"/>
    <s v="Masculino"/>
    <x v="4"/>
    <x v="27"/>
    <s v="10101012 - Consulta Médica (R$ 134,79)"/>
    <s v="Ortopedia"/>
    <n v="1711912870"/>
    <s v="Finalizado (1/1)"/>
    <n v="40.436999999999998"/>
    <n v="94.352999999999994"/>
    <n v="134.79"/>
    <s v="Sessão Faturada"/>
    <n v="893331302089010"/>
    <n v="59095"/>
    <s v="Unidade Vieiralves"/>
    <n v="1711912870"/>
    <m/>
  </r>
  <r>
    <x v="23"/>
    <x v="40"/>
    <s v="Diego Nobuyoshi de Souza Tsuji"/>
    <s v="Masculino"/>
    <x v="4"/>
    <x v="27"/>
    <s v="10101012 - Consulta Médica (R$ 134,79)"/>
    <s v="Ortopedia"/>
    <n v="1711922014"/>
    <s v="Finalizado (1/1)"/>
    <n v="40.436999999999998"/>
    <n v="94.352999999999994"/>
    <n v="134.79"/>
    <s v="Sessão Faturada"/>
    <n v="774981009148000"/>
    <n v="11130"/>
    <s v="Unidade Vieiralves"/>
    <n v="1711922014"/>
    <m/>
  </r>
  <r>
    <x v="23"/>
    <x v="40"/>
    <s v="Laresca Cunha Moreira Altomar"/>
    <s v="Feminino"/>
    <x v="4"/>
    <x v="27"/>
    <s v="10101012 - Consulta Médica (R$ 134,79)"/>
    <s v="Ortopedia"/>
    <n v="1711432116"/>
    <s v="Finalizado (1/1)"/>
    <n v="40.436999999999998"/>
    <n v="94.352999999999994"/>
    <n v="134.79"/>
    <s v="Sessão Faturada"/>
    <n v="771015061557010"/>
    <n v="36894"/>
    <s v="Unidade Vieiralves"/>
    <n v="1711432116"/>
    <m/>
  </r>
  <r>
    <x v="23"/>
    <x v="40"/>
    <s v="Luzia Moura Coutinho"/>
    <m/>
    <x v="1"/>
    <x v="27"/>
    <s v="10101012 - Consulta Ortopédica (R$ 100,00)"/>
    <s v="Ortopedia"/>
    <n v="9349409"/>
    <s v="Finalizado (1/1)"/>
    <n v="30"/>
    <n v="70"/>
    <n v="100"/>
    <s v="Sessão Faturada"/>
    <n v="2001013837130100"/>
    <n v="59436"/>
    <s v="Unidade Vieiralves"/>
    <n v="9349409"/>
    <m/>
  </r>
  <r>
    <x v="23"/>
    <x v="40"/>
    <s v="Kleber de Lima Pontes"/>
    <s v="Masculino"/>
    <x v="4"/>
    <x v="27"/>
    <s v="10101012 - Consulta Médica (R$ 134,79)"/>
    <s v="Ortopedia"/>
    <n v="1711962957"/>
    <s v="Finalizado (1/1)"/>
    <n v="40.436999999999998"/>
    <n v="94.352999999999994"/>
    <n v="134.79"/>
    <s v="Sessão Faturada"/>
    <n v="774642003654000"/>
    <n v="44895"/>
    <s v="Unidade Vieiralves"/>
    <n v="1711962957"/>
    <m/>
  </r>
  <r>
    <x v="23"/>
    <x v="40"/>
    <s v="Dayna Simas Geissler"/>
    <s v="Feminino"/>
    <x v="4"/>
    <x v="27"/>
    <s v="10101012 - Consulta Médica (R$ 134,79)"/>
    <s v="Ortopedia"/>
    <n v="1711932811"/>
    <s v="Finalizado (1/1)"/>
    <n v="40.436999999999998"/>
    <n v="94.352999999999994"/>
    <n v="134.79"/>
    <s v="Sessão Faturada"/>
    <n v="771015043664020"/>
    <n v="44260"/>
    <s v="Unidade Vieiralves"/>
    <n v="1711932811"/>
    <m/>
  </r>
  <r>
    <x v="23"/>
    <x v="35"/>
    <s v="Janderson dos Santos Pereira"/>
    <s v="Masculino"/>
    <x v="4"/>
    <x v="27"/>
    <s v="10101012 - Consulta Médica (R$ 134,79)"/>
    <s v="Ortopedia"/>
    <m/>
    <s v="Finalizado (1/1)"/>
    <n v="40.436999999999998"/>
    <n v="94.352999999999994"/>
    <n v="134.79"/>
    <s v="Sessão a Faturar"/>
    <n v="610611160057000"/>
    <n v="42788"/>
    <s v="Unidade Vieiralves"/>
    <m/>
    <m/>
  </r>
  <r>
    <x v="23"/>
    <x v="35"/>
    <s v="Simone de Oliveira Vasconcelos"/>
    <s v="Feminino"/>
    <x v="4"/>
    <x v="27"/>
    <s v="10101012 - Consulta Médica (R$ 134,79)"/>
    <s v="Ortopedia"/>
    <n v="1711915415"/>
    <s v="Finalizado (1/1)"/>
    <n v="40.436999999999998"/>
    <n v="94.352999999999994"/>
    <n v="134.79"/>
    <s v="Sessão Faturada"/>
    <n v="771015038954010"/>
    <n v="54706"/>
    <s v="Unidade Vieiralves"/>
    <n v="1711915415"/>
    <m/>
  </r>
  <r>
    <x v="23"/>
    <x v="35"/>
    <s v="Izadora Fernandes Rodrigues"/>
    <s v="Feminino"/>
    <x v="4"/>
    <x v="27"/>
    <s v="10101012 - Consulta Médica Retorno (R$ 0,00)"/>
    <s v="Ortopedia"/>
    <m/>
    <s v="Finalizado (1/1)"/>
    <n v="0"/>
    <n v="0"/>
    <n v="0"/>
    <s v="Sessão a Faturar"/>
    <n v="960019362835000"/>
    <n v="51778"/>
    <s v="Unidade Vieiralves"/>
    <m/>
    <m/>
  </r>
  <r>
    <x v="23"/>
    <x v="35"/>
    <s v="Renata da Silva Mendonça"/>
    <s v="Feminino"/>
    <x v="1"/>
    <x v="27"/>
    <s v="10101012 - Consulta Ortopédica (R$ 100,00)"/>
    <s v="Ortopedia"/>
    <n v="9348670"/>
    <s v="Finalizado (1/1)"/>
    <n v="30"/>
    <n v="70"/>
    <n v="100"/>
    <s v="Sessão Faturada"/>
    <n v="1101013081560100"/>
    <n v="59620"/>
    <s v="Unidade Vieiralves"/>
    <n v="9348670"/>
    <m/>
  </r>
  <r>
    <x v="23"/>
    <x v="35"/>
    <s v="Carlos Juliano Prado"/>
    <s v="Masculino"/>
    <x v="4"/>
    <x v="27"/>
    <s v="10101012 - Consulta Médica (R$ 134,79)"/>
    <s v="Ortopedia"/>
    <n v="1711923523"/>
    <s v="Finalizado (1/1)"/>
    <n v="40.436999999999998"/>
    <n v="94.352999999999994"/>
    <n v="134.79"/>
    <s v="Sessão Faturada"/>
    <n v="774981010073010"/>
    <n v="55509"/>
    <s v="Unidade Vieiralves"/>
    <n v="1711923523"/>
    <m/>
  </r>
  <r>
    <x v="23"/>
    <x v="35"/>
    <s v="Viviane Paes Barreto da Silva"/>
    <s v="Feminino"/>
    <x v="4"/>
    <x v="27"/>
    <s v="10101012 - Consulta Médica (R$ 134,79)"/>
    <s v="Ortopedia"/>
    <n v="1711940573"/>
    <s v="Finalizado (1/1)"/>
    <n v="40.436999999999998"/>
    <n v="94.352999999999994"/>
    <n v="134.79"/>
    <s v="Sessão Faturada"/>
    <n v="853503800205040"/>
    <n v="59636"/>
    <s v="Unidade Vieiralves"/>
    <n v="1711940573"/>
    <m/>
  </r>
  <r>
    <x v="1"/>
    <x v="40"/>
    <s v="Simone Soares Franco"/>
    <s v="Feminino"/>
    <x v="9"/>
    <x v="27"/>
    <s v="10101012 - Consulta Médica Retorno (R$ 0,00)"/>
    <s v="Ortopedia"/>
    <m/>
    <s v="Finalizado (1/1)"/>
    <n v="0"/>
    <n v="0"/>
    <n v="0"/>
    <s v="Sessão a Faturar"/>
    <n v="954600000256000"/>
    <n v="24181"/>
    <s v="Unidade Sao Jose"/>
    <m/>
    <m/>
  </r>
  <r>
    <x v="1"/>
    <x v="38"/>
    <s v="Andriely Oliveira Braga"/>
    <s v="Feminino"/>
    <x v="4"/>
    <x v="27"/>
    <s v="10101012 - Consulta Médica (R$ 134,79)"/>
    <s v="Ortopedia"/>
    <n v="1711370485"/>
    <s v="Finalizado (1/1)"/>
    <n v="40.436999999999998"/>
    <n v="94.352999999999994"/>
    <n v="134.79"/>
    <s v="Sessão Faturada"/>
    <n v="813227000396000"/>
    <n v="52145"/>
    <s v="Unidade Sao Jose"/>
    <n v="1711370485"/>
    <m/>
  </r>
  <r>
    <x v="1"/>
    <x v="4"/>
    <s v="Julliana Gadelha de Medeiros"/>
    <s v="Feminino"/>
    <x v="9"/>
    <x v="27"/>
    <s v="10101012 - Consulta Médica (R$ 134,79)"/>
    <s v="Ortopedia"/>
    <n v="1713513593"/>
    <s v="Finalizado (1/1)"/>
    <n v="40.436999999999998"/>
    <n v="94.352999999999994"/>
    <n v="134.79"/>
    <s v="Sessão Faturada"/>
    <n v="954600002968020"/>
    <n v="20663"/>
    <s v="Unidade Vieiralves"/>
    <n v="1713513593"/>
    <m/>
  </r>
  <r>
    <x v="1"/>
    <x v="4"/>
    <s v="Gisele Figueira Garcez Mariano"/>
    <s v="Feminino"/>
    <x v="9"/>
    <x v="27"/>
    <s v="10101012 - Consulta Médica Retorno (R$ 0,00)"/>
    <s v="Ortopedia"/>
    <m/>
    <s v="Finalizado (1/1)"/>
    <n v="0"/>
    <n v="0"/>
    <n v="0"/>
    <s v="Sessão a Faturar"/>
    <n v="954600020982010"/>
    <n v="45074"/>
    <s v="Unidade Vieiralves"/>
    <m/>
    <m/>
  </r>
  <r>
    <x v="1"/>
    <x v="4"/>
    <s v="Milena Horta Feitoza"/>
    <s v="Feminino"/>
    <x v="1"/>
    <x v="27"/>
    <s v="10101012 - Consulta Ortopédica (R$ 100,00)"/>
    <s v="Ortopedia"/>
    <n v="9398877"/>
    <s v="Finalizado (1/1)"/>
    <n v="30"/>
    <n v="70"/>
    <n v="100"/>
    <s v="Sessão Faturada"/>
    <n v="1901004652740100"/>
    <n v="56161"/>
    <s v="Unidade Vieiralves"/>
    <n v="9398877"/>
    <m/>
  </r>
  <r>
    <x v="1"/>
    <x v="4"/>
    <s v="Ana Carolina Bento Andrade da Encarnação"/>
    <s v="Feminino"/>
    <x v="4"/>
    <x v="27"/>
    <s v="10101012 - Consulta Médica (R$ 134,79)"/>
    <s v="Ortopedia"/>
    <n v="1713553057"/>
    <s v="Finalizado (1/1)"/>
    <n v="40.436999999999998"/>
    <n v="94.352999999999994"/>
    <n v="134.79"/>
    <s v="Sessão Faturada"/>
    <n v="771015045292010"/>
    <n v="21604"/>
    <s v="Unidade Vieiralves"/>
    <n v="1713553057"/>
    <m/>
  </r>
  <r>
    <x v="1"/>
    <x v="4"/>
    <s v="Nadia Livia Dantas Farias"/>
    <m/>
    <x v="4"/>
    <x v="27"/>
    <s v="10101012 - Consulta Médica (R$ 134,79)"/>
    <s v="Ortopedia"/>
    <n v="1712750028"/>
    <s v="Finalizado (1/1)"/>
    <n v="40.436999999999998"/>
    <n v="94.352999999999994"/>
    <n v="134.79"/>
    <s v="Sessão Faturada"/>
    <n v="812980300400020"/>
    <n v="59087"/>
    <s v="Unidade Vieiralves"/>
    <n v="1712750028"/>
    <m/>
  </r>
  <r>
    <x v="1"/>
    <x v="4"/>
    <s v="Elidiane Bastos Braga Gonçalves"/>
    <s v="Feminino"/>
    <x v="9"/>
    <x v="27"/>
    <s v="10101012 - Consulta Médica (R$ 134,79)"/>
    <s v="Ortopedia"/>
    <n v="1713569590"/>
    <s v="Finalizado (1/1)"/>
    <n v="40.436999999999998"/>
    <n v="94.352999999999994"/>
    <n v="134.79"/>
    <s v="Sessão Faturada"/>
    <n v="954600016926000"/>
    <n v="59667"/>
    <s v="Unidade Vieiralves"/>
    <n v="1713569590"/>
    <m/>
  </r>
  <r>
    <x v="1"/>
    <x v="4"/>
    <s v="Maria Jose Maze Santiago Mourão"/>
    <s v="Feminino"/>
    <x v="1"/>
    <x v="27"/>
    <s v="10101012 - Consulta Ortopédica (R$ 100,00)"/>
    <s v="Ortopedia"/>
    <n v="9397745"/>
    <s v="Finalizado (1/1)"/>
    <n v="30"/>
    <n v="70"/>
    <n v="100"/>
    <s v="Sessão Faturada"/>
    <s v="0901013253950007"/>
    <n v="49678"/>
    <s v="Unidade Vieiralves"/>
    <n v="9397745"/>
    <m/>
  </r>
  <r>
    <x v="1"/>
    <x v="4"/>
    <s v="Tiago Godoy Lopes"/>
    <s v="Masculino"/>
    <x v="4"/>
    <x v="27"/>
    <s v="10101012 - Consulta Médica (R$ 134,79)"/>
    <s v="Ortopedia"/>
    <n v="1712995280"/>
    <s v="Finalizado (1/1)"/>
    <n v="40.436999999999998"/>
    <n v="94.352999999999994"/>
    <n v="134.79"/>
    <s v="Sessão Faturada"/>
    <n v="611265590001020"/>
    <n v="58056"/>
    <s v="Unidade Vieiralves"/>
    <n v="1712995280"/>
    <m/>
  </r>
  <r>
    <x v="1"/>
    <x v="4"/>
    <s v="Renata de Aguiar Torres"/>
    <s v="Feminino"/>
    <x v="4"/>
    <x v="27"/>
    <s v="10101012 - Consulta Médica (R$ 134,79)"/>
    <s v="Ortopedia"/>
    <n v="1713576932"/>
    <s v="Finalizado (1/1)"/>
    <n v="40.436999999999998"/>
    <n v="94.352999999999994"/>
    <n v="134.79"/>
    <s v="Sessão Faturada"/>
    <n v="960019412893000"/>
    <n v="49038"/>
    <s v="Unidade Vieiralves"/>
    <n v="1713576932"/>
    <m/>
  </r>
  <r>
    <x v="1"/>
    <x v="4"/>
    <s v="Marcelo Carvalho Tavares"/>
    <s v="Masculino"/>
    <x v="4"/>
    <x v="27"/>
    <s v="10101012 - Consulta Médica (R$ 134,79)"/>
    <s v="Ortopedia"/>
    <n v="1713574844"/>
    <s v="Finalizado (1/1)"/>
    <n v="40.436999999999998"/>
    <n v="94.352999999999994"/>
    <n v="134.79"/>
    <s v="Sessão Faturada"/>
    <n v="856119000019010"/>
    <n v="58722"/>
    <s v="Unidade Vieiralves"/>
    <n v="1713574844"/>
    <m/>
  </r>
  <r>
    <x v="1"/>
    <x v="13"/>
    <s v="Tarcizio Yanke de Oliveira Nobrega"/>
    <s v="Masculino"/>
    <x v="4"/>
    <x v="27"/>
    <s v="10101012 - Consulta Médica Retorno (R$ 0,00)"/>
    <s v="Ortopedia"/>
    <m/>
    <s v="Finalizado (1/1)"/>
    <n v="0"/>
    <n v="0"/>
    <n v="0"/>
    <s v="Sessão a Faturar"/>
    <n v="771015056464000"/>
    <n v="59544"/>
    <s v="Unidade Vieiralves"/>
    <m/>
    <m/>
  </r>
  <r>
    <x v="1"/>
    <x v="13"/>
    <s v="Mithell Lobo Souto Maior"/>
    <s v="Feminino"/>
    <x v="1"/>
    <x v="27"/>
    <s v="10101012 - Consulta Ortopédica (R$ 100,00)"/>
    <s v="Ortopedia"/>
    <n v="9396585"/>
    <s v="Finalizado (1/1)"/>
    <n v="30"/>
    <n v="70"/>
    <n v="100"/>
    <s v="Sessão Faturada"/>
    <s v="0501007039500102"/>
    <n v="59626"/>
    <s v="Unidade Vieiralves"/>
    <n v="9396585"/>
    <m/>
  </r>
  <r>
    <x v="1"/>
    <x v="13"/>
    <s v="Anna Danielle Oliveira dos Santos Cardozo"/>
    <s v="Feminino"/>
    <x v="4"/>
    <x v="27"/>
    <s v="10101012 - Consulta Médica (R$ 134,79)"/>
    <s v="Ortopedia"/>
    <n v="1713515548"/>
    <s v="Finalizado (1/1)"/>
    <n v="40.436999999999998"/>
    <n v="94.352999999999994"/>
    <n v="134.79"/>
    <s v="Sessão Faturada"/>
    <n v="830416700230010"/>
    <n v="57193"/>
    <s v="Unidade Vieiralves"/>
    <n v="1713515548"/>
    <m/>
  </r>
  <r>
    <x v="1"/>
    <x v="13"/>
    <s v="Valério Ladeira Luniere"/>
    <s v="Masculino"/>
    <x v="1"/>
    <x v="27"/>
    <s v="10101012 - Consulta Ortopédica (R$ 100,00)"/>
    <s v="Ortopedia"/>
    <n v="9399034"/>
    <s v="Finalizado (1/1)"/>
    <n v="30"/>
    <n v="70"/>
    <n v="100"/>
    <s v="Sessão Faturada"/>
    <s v="0901013476020085"/>
    <n v="4590"/>
    <s v="Unidade Vieiralves"/>
    <n v="9399034"/>
    <m/>
  </r>
  <r>
    <x v="1"/>
    <x v="13"/>
    <s v="Yago Amaral Ferreira"/>
    <s v="Masculino"/>
    <x v="4"/>
    <x v="27"/>
    <s v="10101012 - Consulta Médica (R$ 134,79)"/>
    <s v="Ortopedia"/>
    <n v="1713022376"/>
    <s v="Finalizado (1/1)"/>
    <n v="40.436999999999998"/>
    <n v="94.352999999999994"/>
    <n v="134.79"/>
    <s v="Sessão Faturada"/>
    <n v="773626008052010"/>
    <n v="33956"/>
    <s v="Unidade Vieiralves"/>
    <n v="1713022376"/>
    <m/>
  </r>
  <r>
    <x v="1"/>
    <x v="13"/>
    <s v="Jordânia Maria Napoliao Cabo de Vasconcelos"/>
    <m/>
    <x v="4"/>
    <x v="27"/>
    <s v="10101012 - Consulta Médica (R$ 134,79)"/>
    <s v="Ortopedia"/>
    <n v="1713551717"/>
    <s v="Finalizado (1/1)"/>
    <n v="40.436999999999998"/>
    <n v="94.352999999999994"/>
    <n v="134.79"/>
    <s v="Sessão Faturada"/>
    <n v="890729700019010"/>
    <n v="59678"/>
    <s v="Unidade Vieiralves"/>
    <n v="1713551717"/>
    <m/>
  </r>
  <r>
    <x v="1"/>
    <x v="13"/>
    <s v="Izabelly Beatriz Costa de Oliveira"/>
    <s v="Feminino"/>
    <x v="9"/>
    <x v="27"/>
    <s v="10101012 - Consulta Médica (R$ 134,79)"/>
    <s v="Ortopedia"/>
    <n v="1713533694"/>
    <s v="Finalizado (1/1)"/>
    <n v="40.436999999999998"/>
    <n v="94.352999999999994"/>
    <n v="134.79"/>
    <s v="Sessão Faturada"/>
    <n v="954600015326010"/>
    <n v="56994"/>
    <s v="Unidade Vieiralves"/>
    <n v="1713533694"/>
    <m/>
  </r>
  <r>
    <x v="1"/>
    <x v="13"/>
    <s v="Alaide de Souza Lima Lemos"/>
    <s v="Feminino"/>
    <x v="4"/>
    <x v="27"/>
    <s v="10101012 - Consulta Médica (R$ 134,79)"/>
    <s v="Ortopedia"/>
    <n v="1713571135"/>
    <s v="Finalizado (1/1)"/>
    <n v="40.436999999999998"/>
    <n v="94.352999999999994"/>
    <n v="134.79"/>
    <s v="Sessão Faturada"/>
    <n v="772568004855020"/>
    <n v="59604"/>
    <s v="Unidade Vieiralves"/>
    <n v="1713571135"/>
    <m/>
  </r>
  <r>
    <x v="1"/>
    <x v="13"/>
    <s v="Dayane Melo Honorato"/>
    <s v="Feminino"/>
    <x v="9"/>
    <x v="27"/>
    <s v="10101012 - Consulta Médica (R$ 134,79)"/>
    <s v="Ortopedia"/>
    <n v="1713537745"/>
    <s v="Finalizado (1/1)"/>
    <n v="40.436999999999998"/>
    <n v="94.352999999999994"/>
    <n v="134.79"/>
    <s v="Sessão Faturada"/>
    <n v="954170049921010"/>
    <n v="59564"/>
    <s v="Unidade Vieiralves"/>
    <n v="1713537745"/>
    <m/>
  </r>
  <r>
    <x v="3"/>
    <x v="8"/>
    <s v="Ney Henrique Lopes Cordeiro"/>
    <s v="Masculino"/>
    <x v="4"/>
    <x v="27"/>
    <s v="10101012 - Consulta Médica (R$ 134,79)"/>
    <s v="Ortopedia"/>
    <n v="1713641159"/>
    <s v="Finalizado (1/1)"/>
    <n v="40.436999999999998"/>
    <n v="94.352999999999994"/>
    <n v="134.79"/>
    <s v="Sessão Faturada"/>
    <n v="610171790036010"/>
    <n v="58355"/>
    <s v="Unidade Vieiralves"/>
    <n v="1713641159"/>
    <m/>
  </r>
  <r>
    <x v="3"/>
    <x v="8"/>
    <s v="Leonice Soares Lira"/>
    <s v="Feminino"/>
    <x v="9"/>
    <x v="27"/>
    <s v="10101012 - Consulta Médica (R$ 134,79)"/>
    <s v="Ortopedia"/>
    <n v="1714738294"/>
    <s v="Finalizado (1/1)"/>
    <n v="40.436999999999998"/>
    <n v="94.352999999999994"/>
    <n v="134.79"/>
    <s v="Sessão Faturada"/>
    <n v="954600008907000"/>
    <n v="59695"/>
    <s v="Unidade Vieiralves"/>
    <n v="1714738294"/>
    <m/>
  </r>
  <r>
    <x v="3"/>
    <x v="8"/>
    <s v="Aristophanes Ferreira Teodosio"/>
    <s v="Masculino"/>
    <x v="20"/>
    <x v="27"/>
    <s v="10101012 - Consulta Medica (R$ 80,00)"/>
    <s v="Ortopedia"/>
    <n v="55740420"/>
    <s v="Finalizado (1/1)"/>
    <n v="24"/>
    <n v="56"/>
    <n v="80"/>
    <s v="Sessão Faturada"/>
    <n v="10511002209304"/>
    <n v="59199"/>
    <s v="Unidade Vieiralves"/>
    <n v="55740420"/>
    <m/>
  </r>
  <r>
    <x v="3"/>
    <x v="8"/>
    <s v="Arthur Yves Pereira"/>
    <s v="Masculino"/>
    <x v="7"/>
    <x v="27"/>
    <s v="Vieiralves - 12 - Consulta Com Desconto (R$ 250,00)"/>
    <s v="Ortopedia"/>
    <m/>
    <s v="Finalizado (1/1)"/>
    <n v="50"/>
    <n v="200"/>
    <n v="250"/>
    <s v="Pago"/>
    <s v="00"/>
    <n v="36426"/>
    <s v="Unidade Vieiralves"/>
    <m/>
    <m/>
  </r>
  <r>
    <x v="3"/>
    <x v="8"/>
    <s v="Anthony Jesus Farias Villarroel"/>
    <s v="Masculino"/>
    <x v="9"/>
    <x v="27"/>
    <s v="10101012 - Consulta Médica (R$ 134,79)"/>
    <s v="Ortopedia"/>
    <m/>
    <s v="Finalizado (1/1)"/>
    <n v="40.436999999999998"/>
    <n v="94.352999999999994"/>
    <n v="134.79"/>
    <s v="Sessão a Faturar"/>
    <n v="954600016969020"/>
    <n v="53566"/>
    <s v="Unidade Vieiralves"/>
    <m/>
    <m/>
  </r>
  <r>
    <x v="3"/>
    <x v="8"/>
    <s v="Sandrea Flores Ferreira"/>
    <s v="Feminino"/>
    <x v="4"/>
    <x v="27"/>
    <s v="10101012 - Consulta Médica (R$ 134,79)"/>
    <s v="Ortopedia"/>
    <n v="1714658146"/>
    <s v="Finalizado (1/1)"/>
    <n v="40.436999999999998"/>
    <n v="94.352999999999994"/>
    <n v="134.79"/>
    <s v="Sessão Faturada"/>
    <n v="960016290663000"/>
    <n v="55592"/>
    <s v="Unidade Vieiralves"/>
    <n v="1714658146"/>
    <m/>
  </r>
  <r>
    <x v="3"/>
    <x v="10"/>
    <s v="Amilton da Costa Carvalho"/>
    <s v="Masculino"/>
    <x v="20"/>
    <x v="27"/>
    <s v="10101012 - Consulta Medica (R$ 80,00)"/>
    <s v="Ortopedia"/>
    <m/>
    <s v="Finalizado (1/1)"/>
    <n v="24"/>
    <n v="56"/>
    <n v="80"/>
    <s v="Sessão a Faturar"/>
    <n v="10511003315900"/>
    <n v="51485"/>
    <s v="Unidade Vieiralves"/>
    <m/>
    <m/>
  </r>
  <r>
    <x v="3"/>
    <x v="10"/>
    <s v="Luana Braga Botinelly"/>
    <s v="Feminino"/>
    <x v="7"/>
    <x v="27"/>
    <s v="Vieiralves - 12 - Consulta Com Desconto (R$ 250,00)"/>
    <s v="Ortopedia"/>
    <m/>
    <s v="Finalizado (1/1)"/>
    <n v="50"/>
    <n v="200"/>
    <n v="250"/>
    <s v="Pago"/>
    <s v="55788888486460940110"/>
    <n v="59663"/>
    <s v="Unidade Vieiralves"/>
    <m/>
    <m/>
  </r>
  <r>
    <x v="3"/>
    <x v="10"/>
    <s v="Sergio Massayoshi Nunomura"/>
    <s v="Masculino"/>
    <x v="1"/>
    <x v="27"/>
    <s v="10101012 - Consulta Ortopédica (R$ 100,00)"/>
    <s v="Ortopedia"/>
    <n v="9446176"/>
    <s v="Finalizado (1/1)"/>
    <n v="30"/>
    <n v="70"/>
    <n v="100"/>
    <s v="Sessão Faturada"/>
    <s v="0901013262310007"/>
    <n v="55942"/>
    <s v="Unidade Vieiralves"/>
    <n v="9446176"/>
    <m/>
  </r>
  <r>
    <x v="3"/>
    <x v="10"/>
    <s v="Laindks Lopes"/>
    <s v="Feminino"/>
    <x v="4"/>
    <x v="27"/>
    <s v="10101012 - Consulta Médica (R$ 134,79)"/>
    <s v="Ortopedia"/>
    <n v="1714753869"/>
    <s v="Finalizado (1/1)"/>
    <n v="40.436999999999998"/>
    <n v="94.352999999999994"/>
    <n v="134.79"/>
    <s v="Sessão Faturada"/>
    <n v="611453030001010"/>
    <n v="29"/>
    <s v="Unidade Vieiralves"/>
    <n v="1714753869"/>
    <m/>
  </r>
  <r>
    <x v="3"/>
    <x v="10"/>
    <s v="Alessandra Silveira Rocha"/>
    <s v="Feminino"/>
    <x v="4"/>
    <x v="27"/>
    <s v="10101012 - Consulta Médica (R$ 134,79)"/>
    <s v="Ortopedia"/>
    <n v="1714207912"/>
    <s v="Finalizado (1/1)"/>
    <n v="40.436999999999998"/>
    <n v="94.352999999999994"/>
    <n v="134.79"/>
    <s v="Sessão Faturada"/>
    <n v="774063023809020"/>
    <n v="58966"/>
    <s v="Unidade Vieiralves"/>
    <n v="1714207912"/>
    <m/>
  </r>
  <r>
    <x v="4"/>
    <x v="38"/>
    <s v="Francisca Pena de Alencar"/>
    <s v="Feminino"/>
    <x v="1"/>
    <x v="27"/>
    <s v="10101012 - Consulta Ortopédica (R$ 100,00)"/>
    <s v="Ortopedia"/>
    <n v="9457962"/>
    <s v="Finalizado (1/1)"/>
    <n v="30"/>
    <n v="70"/>
    <n v="100"/>
    <s v="Sessão Faturada"/>
    <n v="1901013196900200"/>
    <n v="58870"/>
    <s v="Unidade Vieiralves"/>
    <n v="9457962"/>
    <m/>
  </r>
  <r>
    <x v="4"/>
    <x v="38"/>
    <s v="Aldair Oliveira de Andrade"/>
    <s v="Masculino"/>
    <x v="1"/>
    <x v="27"/>
    <s v="10101012 - Consulta Ortopédica (R$ 100,00)"/>
    <s v="Ortopedia"/>
    <n v="9454894"/>
    <s v="Finalizado (1/1)"/>
    <n v="30"/>
    <n v="70"/>
    <n v="100"/>
    <s v="Sessão Faturada"/>
    <s v="0702007029320058"/>
    <n v="58351"/>
    <s v="Unidade Vieiralves"/>
    <n v="9454894"/>
    <m/>
  </r>
  <r>
    <x v="4"/>
    <x v="38"/>
    <s v="Aline de Paula Lima"/>
    <s v="Feminino"/>
    <x v="9"/>
    <x v="27"/>
    <s v="10101012 - Consulta Médica (R$ 134,79)"/>
    <s v="Ortopedia"/>
    <n v="1715048258"/>
    <s v="Finalizado (1/1)"/>
    <n v="40.436999999999998"/>
    <n v="94.352999999999994"/>
    <n v="134.79"/>
    <s v="Sessão Faturada"/>
    <n v="954600033081030"/>
    <n v="47919"/>
    <s v="Unidade Vieiralves"/>
    <n v="1715048258"/>
    <m/>
  </r>
  <r>
    <x v="4"/>
    <x v="38"/>
    <s v="Jacques Douglas Nascimento Meirelles"/>
    <s v="Masculino"/>
    <x v="4"/>
    <x v="27"/>
    <s v="10101012 - Consulta Médica (R$ 134,79)"/>
    <s v="Ortopedia"/>
    <n v="1715051672"/>
    <s v="Finalizado (1/1)"/>
    <n v="40.436999999999998"/>
    <n v="94.352999999999994"/>
    <n v="134.79"/>
    <s v="Sessão Faturada"/>
    <n v="858329500299010"/>
    <n v="59664"/>
    <s v="Unidade Vieiralves"/>
    <n v="1715051672"/>
    <m/>
  </r>
  <r>
    <x v="4"/>
    <x v="38"/>
    <s v="Ana Gabrielle Menezes Meirelles"/>
    <s v="Feminino"/>
    <x v="4"/>
    <x v="27"/>
    <s v="10101012 - Consulta Médica (R$ 134,79)"/>
    <s v="Ortopedia"/>
    <n v="1715060301"/>
    <s v="Finalizado (1/1)"/>
    <n v="40.436999999999998"/>
    <n v="94.352999999999994"/>
    <n v="134.79"/>
    <s v="Sessão Faturada"/>
    <n v="858329500299020"/>
    <n v="59666"/>
    <s v="Unidade Vieiralves"/>
    <n v="1715060301"/>
    <m/>
  </r>
  <r>
    <x v="4"/>
    <x v="37"/>
    <s v="Valmira Guerreiro Menezes"/>
    <s v="Feminino"/>
    <x v="4"/>
    <x v="27"/>
    <s v="10101012 - Consulta Médica (R$ 134,79)"/>
    <s v="Ortopedia"/>
    <n v="1715049747"/>
    <s v="Finalizado (1/1)"/>
    <n v="40.436999999999998"/>
    <n v="94.352999999999994"/>
    <n v="134.79"/>
    <s v="Sessão Faturada"/>
    <n v="858329500299020"/>
    <n v="59665"/>
    <s v="Unidade Vieiralves"/>
    <n v="1715049747"/>
    <m/>
  </r>
  <r>
    <x v="4"/>
    <x v="37"/>
    <s v="Roberta Ferreira Coelho de Andrade"/>
    <s v="Feminino"/>
    <x v="1"/>
    <x v="27"/>
    <s v="10101012 - Consulta Ortopédica (R$ 100,00)"/>
    <s v="Ortopedia"/>
    <n v="9453812"/>
    <s v="Finalizado (1/1)"/>
    <n v="30"/>
    <n v="70"/>
    <n v="100"/>
    <s v="Sessão Faturada"/>
    <s v="0701010939440006"/>
    <n v="58292"/>
    <s v="Unidade Vieiralves"/>
    <n v="9453812"/>
    <m/>
  </r>
  <r>
    <x v="4"/>
    <x v="37"/>
    <s v="Eloise Miranda dos Santos"/>
    <s v="Feminino"/>
    <x v="4"/>
    <x v="27"/>
    <s v="10101012 - Consulta Médica (R$ 134,79)"/>
    <s v="Ortopedia"/>
    <n v="1714946680"/>
    <s v="Finalizado (1/1)"/>
    <n v="40.436999999999998"/>
    <n v="94.352999999999994"/>
    <n v="134.79"/>
    <s v="Sessão Faturada"/>
    <n v="774642019992020"/>
    <n v="56839"/>
    <s v="Unidade Vieiralves"/>
    <n v="1714946680"/>
    <m/>
  </r>
  <r>
    <x v="4"/>
    <x v="37"/>
    <s v="Carlos Henrique Ferreira de Carvalho"/>
    <s v="Masculino"/>
    <x v="9"/>
    <x v="27"/>
    <s v="10101012 - Consulta Médica (R$ 134,79)"/>
    <s v="Ortopedia"/>
    <n v="1715027152"/>
    <s v="Finalizado (1/1)"/>
    <n v="40.436999999999998"/>
    <n v="94.352999999999994"/>
    <n v="134.79"/>
    <s v="Sessão Faturada"/>
    <n v="954600016195030"/>
    <n v="39447"/>
    <s v="Unidade Vieiralves"/>
    <n v="1715027152"/>
    <m/>
  </r>
  <r>
    <x v="4"/>
    <x v="37"/>
    <s v="Tatiana da Costa Almeida"/>
    <s v="Feminino"/>
    <x v="9"/>
    <x v="27"/>
    <s v="10101012 - Consulta Médica (R$ 134,79)"/>
    <s v="Ortopedia"/>
    <n v="1715073421"/>
    <s v="Finalizado (1/1)"/>
    <n v="40.436999999999998"/>
    <n v="94.352999999999994"/>
    <n v="134.79"/>
    <s v="Sessão Faturada"/>
    <n v="954600023876010"/>
    <n v="54976"/>
    <s v="Unidade Vieiralves"/>
    <n v="1715073421"/>
    <m/>
  </r>
  <r>
    <x v="4"/>
    <x v="37"/>
    <s v="Diana Cristina Castro Guimarães"/>
    <s v="Feminino"/>
    <x v="9"/>
    <x v="27"/>
    <s v="10101012 - Consulta Médica (R$ 134,79)"/>
    <s v="Ortopedia"/>
    <n v="1715056736"/>
    <s v="Finalizado (1/1)"/>
    <n v="40.436999999999998"/>
    <n v="94.352999999999994"/>
    <n v="134.79"/>
    <s v="Sessão Faturada"/>
    <n v="954600016250000"/>
    <n v="55321"/>
    <s v="Unidade Vieiralves"/>
    <n v="1715056736"/>
    <m/>
  </r>
  <r>
    <x v="24"/>
    <x v="40"/>
    <s v="Henrique Douglas Macedo Mendes Júnior"/>
    <s v="Masculino"/>
    <x v="4"/>
    <x v="27"/>
    <s v="10101012 - Consulta Médica (R$ 134,79)"/>
    <s v="Ortopedia"/>
    <n v="1715462482"/>
    <s v="Finalizado (1/1)"/>
    <n v="40.436999999999998"/>
    <n v="94.352999999999994"/>
    <n v="134.79"/>
    <s v="Sessão Faturada"/>
    <n v="897702200019010"/>
    <n v="56664"/>
    <s v="Unidade Vieiralves"/>
    <n v="1715462482"/>
    <m/>
  </r>
  <r>
    <x v="24"/>
    <x v="40"/>
    <s v="José Leandro Ferreira Garcia"/>
    <s v="Masculino"/>
    <x v="4"/>
    <x v="27"/>
    <s v="10101012 - Consulta Médica (R$ 134,79)"/>
    <s v="Ortopedia"/>
    <n v="1715430939"/>
    <s v="Finalizado (1/1)"/>
    <n v="40.436999999999998"/>
    <n v="94.352999999999994"/>
    <n v="134.79"/>
    <s v="Sessão Faturada"/>
    <n v="774855077950000"/>
    <n v="59706"/>
    <s v="Unidade Vieiralves"/>
    <n v="1715430939"/>
    <m/>
  </r>
  <r>
    <x v="24"/>
    <x v="40"/>
    <s v="Rafaela Mascarenhas Coelho Brasil"/>
    <s v="Feminino"/>
    <x v="1"/>
    <x v="27"/>
    <s v="10101012 - Consulta Ortopédica (R$ 100,00)"/>
    <s v="Ortopedia"/>
    <n v="9471413"/>
    <s v="Finalizado (1/1)"/>
    <n v="30"/>
    <n v="70"/>
    <n v="100"/>
    <s v="Sessão Faturada"/>
    <n v="1101013085360100"/>
    <n v="58097"/>
    <s v="Unidade Vieiralves"/>
    <n v="9471413"/>
    <m/>
  </r>
  <r>
    <x v="24"/>
    <x v="40"/>
    <s v="Leandro Nascimento da Silva Tachy"/>
    <s v="Masculino"/>
    <x v="4"/>
    <x v="27"/>
    <s v="10101012 - Consulta Médica (R$ 134,79)"/>
    <s v="Ortopedia"/>
    <n v="1715451649"/>
    <s v="Finalizado (1/1)"/>
    <n v="40.436999999999998"/>
    <n v="94.352999999999994"/>
    <n v="134.79"/>
    <s v="Sessão Faturada"/>
    <n v="774063008605000"/>
    <n v="59722"/>
    <s v="Unidade Vieiralves"/>
    <n v="1715451649"/>
    <m/>
  </r>
  <r>
    <x v="24"/>
    <x v="40"/>
    <s v="Edineia de Medeiros Castro"/>
    <s v="Feminino"/>
    <x v="4"/>
    <x v="27"/>
    <s v="10101012 - Consulta Médica (R$ 134,79)"/>
    <s v="Ortopedia"/>
    <m/>
    <s v="Finalizado (1/1)"/>
    <n v="40.436999999999998"/>
    <n v="94.352999999999994"/>
    <n v="134.79"/>
    <s v="Sessão a Faturar"/>
    <n v="960016147526000"/>
    <n v="59383"/>
    <s v="Unidade Vieiralves"/>
    <m/>
    <m/>
  </r>
  <r>
    <x v="24"/>
    <x v="40"/>
    <s v="Alexandre Wagner Kiyoshi Uehara"/>
    <s v="Masculino"/>
    <x v="4"/>
    <x v="27"/>
    <s v="10101012 - Consulta Médica Retorno (R$ 0,00)"/>
    <s v="Ortopedia"/>
    <m/>
    <s v="Finalizado (1/1)"/>
    <n v="0"/>
    <n v="0"/>
    <n v="0"/>
    <s v="Sessão a Faturar"/>
    <n v="842974900019010"/>
    <n v="13920"/>
    <s v="Unidade Vieiralves"/>
    <m/>
    <m/>
  </r>
  <r>
    <x v="24"/>
    <x v="40"/>
    <s v="Luciana Rodrigues Silva Sebestyen"/>
    <s v="Feminino"/>
    <x v="4"/>
    <x v="27"/>
    <s v="10101012 - Consulta Médica (R$ 134,79)"/>
    <s v="Ortopedia"/>
    <n v="1715400191"/>
    <s v="Finalizado (1/1)"/>
    <n v="40.436999999999998"/>
    <n v="94.352999999999994"/>
    <n v="134.79"/>
    <s v="Sessão Faturada"/>
    <n v="960019373935000"/>
    <n v="59282"/>
    <s v="Unidade Vieiralves"/>
    <n v="1715400191"/>
    <m/>
  </r>
  <r>
    <x v="24"/>
    <x v="35"/>
    <s v="Edla de Araujo Silva"/>
    <s v="Feminino"/>
    <x v="13"/>
    <x v="27"/>
    <s v="10101012 - Consulta Médica (R$ 72,48)"/>
    <s v="Ortopedia"/>
    <n v="13776017"/>
    <s v="Finalizado (1/1)"/>
    <n v="21.744"/>
    <n v="50.735999999999997"/>
    <n v="72.48"/>
    <s v="Sessão Faturada"/>
    <s v="00010300011877026"/>
    <n v="50914"/>
    <s v="Unidade Vieiralves"/>
    <n v="13776017"/>
    <m/>
  </r>
  <r>
    <x v="24"/>
    <x v="35"/>
    <s v="Elaine de Araujo Silva"/>
    <s v="Feminino"/>
    <x v="13"/>
    <x v="27"/>
    <s v="10101012 - Consulta Médica (R$ 72,48)"/>
    <s v="Ortopedia"/>
    <n v="13776260"/>
    <s v="Finalizado (1/1)"/>
    <n v="21.744"/>
    <n v="50.735999999999997"/>
    <n v="72.48"/>
    <s v="Sessão a Faturar"/>
    <s v="00010300029078028"/>
    <n v="51004"/>
    <s v="Unidade Vieiralves"/>
    <n v="13776260"/>
    <m/>
  </r>
  <r>
    <x v="24"/>
    <x v="35"/>
    <s v="Viviane Paes Barreto da Silva"/>
    <s v="Feminino"/>
    <x v="4"/>
    <x v="27"/>
    <s v="10101012 - Consulta Médica (R$ 134,79)"/>
    <s v="Ortopedia"/>
    <m/>
    <s v="Finalizado (1/1)"/>
    <n v="40.436999999999998"/>
    <n v="94.352999999999994"/>
    <n v="134.79"/>
    <s v="Sessão a Faturar"/>
    <n v="853503800205040"/>
    <n v="59636"/>
    <s v="Unidade Vieiralves"/>
    <m/>
    <m/>
  </r>
  <r>
    <x v="24"/>
    <x v="35"/>
    <s v="Luiza Silvestre da Silva"/>
    <s v="Feminino"/>
    <x v="4"/>
    <x v="27"/>
    <s v="10101012 - Consulta Médica (R$ 134,79)"/>
    <s v="Ortopedia"/>
    <n v="1715413877"/>
    <s v="Finalizado (1/1)"/>
    <n v="40.436999999999998"/>
    <n v="94.352999999999994"/>
    <n v="134.79"/>
    <s v="Sessão Faturada"/>
    <n v="770179021261010"/>
    <n v="11820"/>
    <s v="Unidade Vieiralves"/>
    <n v="1715413877"/>
    <m/>
  </r>
  <r>
    <x v="24"/>
    <x v="35"/>
    <s v="Karoline Lima de Oliveira"/>
    <s v="Feminino"/>
    <x v="9"/>
    <x v="27"/>
    <s v="10101012 - Consulta Médica (R$ 134,79)"/>
    <s v="Ortopedia"/>
    <n v="1715457981"/>
    <s v="Finalizado (1/1)"/>
    <n v="40.436999999999998"/>
    <n v="94.352999999999994"/>
    <n v="134.79"/>
    <s v="Sessão Faturada"/>
    <n v="954600003484010"/>
    <n v="59690"/>
    <s v="Unidade Vieiralves"/>
    <n v="1715457981"/>
    <m/>
  </r>
  <r>
    <x v="24"/>
    <x v="35"/>
    <s v="Claudio Albano Guimarães"/>
    <s v="Masculino"/>
    <x v="4"/>
    <x v="27"/>
    <s v="10101012 - Consulta Médica (R$ 134,79)"/>
    <s v="Ortopedia"/>
    <n v="1715461059"/>
    <s v="Finalizado (1/1)"/>
    <n v="40.436999999999998"/>
    <n v="94.352999999999994"/>
    <n v="134.79"/>
    <s v="Sessão Faturada"/>
    <n v="774642007307010"/>
    <n v="59723"/>
    <s v="Unidade Vieiralves"/>
    <n v="1715461059"/>
    <m/>
  </r>
  <r>
    <x v="6"/>
    <x v="40"/>
    <s v="Simone Soares Franco"/>
    <s v="Feminino"/>
    <x v="9"/>
    <x v="27"/>
    <s v="10101012 - Consulta Médica Retorno (R$ 0,00)"/>
    <s v="Ortopedia"/>
    <m/>
    <s v="Finalizado (1/1)"/>
    <n v="0"/>
    <n v="0"/>
    <n v="0"/>
    <s v="Sessão a Faturar"/>
    <n v="954600000256000"/>
    <n v="24181"/>
    <s v="Unidade Sao Jose"/>
    <m/>
    <m/>
  </r>
  <r>
    <x v="6"/>
    <x v="40"/>
    <s v="Silvia Serrão de Figueiredo"/>
    <s v="Feminino"/>
    <x v="4"/>
    <x v="27"/>
    <s v="10101012 - Consulta Médica (R$ 134,79)"/>
    <s v="Ortopedia"/>
    <n v="1716475692"/>
    <s v="Finalizado (1/1)"/>
    <n v="40.436999999999998"/>
    <n v="94.352999999999994"/>
    <n v="134.79"/>
    <s v="Sessão Faturada"/>
    <n v="772133000485020"/>
    <n v="25348"/>
    <s v="Unidade Sao Jose"/>
    <n v="1716475692"/>
    <m/>
  </r>
  <r>
    <x v="6"/>
    <x v="35"/>
    <s v="Osmar Barbosa dos Santos Junior"/>
    <s v="Masculino"/>
    <x v="9"/>
    <x v="27"/>
    <s v="10101012 - Consulta Médica (R$ 134,79)"/>
    <s v="Ortopedia"/>
    <n v="1715453414"/>
    <s v="Finalizado (1/1)"/>
    <n v="40.436999999999998"/>
    <n v="94.352999999999994"/>
    <n v="134.79"/>
    <s v="Sessão Faturada"/>
    <n v="954600036315000"/>
    <n v="58555"/>
    <s v="Unidade Sao Jose"/>
    <n v="1715453414"/>
    <m/>
  </r>
  <r>
    <x v="6"/>
    <x v="35"/>
    <s v="Claudenilson Salvador da Silva"/>
    <s v="Masculino"/>
    <x v="7"/>
    <x v="27"/>
    <s v="Vieiralves - 23 - Retorno - Consulta (R$ 0,00)"/>
    <s v="Ortopedia"/>
    <m/>
    <s v="Finalizado (1/1)"/>
    <n v="0"/>
    <n v="0"/>
    <n v="0"/>
    <s v="Pago"/>
    <n v="54965"/>
    <n v="54965"/>
    <s v="Unidade Sao Jose"/>
    <m/>
    <m/>
  </r>
  <r>
    <x v="6"/>
    <x v="38"/>
    <s v="Helisson da Silva Louzeiro"/>
    <s v="Masculino"/>
    <x v="7"/>
    <x v="27"/>
    <s v="Sao José - 11 - Consulta Médica - Dinheiro (R$ 200,00)"/>
    <s v="Ortopedia"/>
    <m/>
    <s v="Finalizado (1/1)"/>
    <n v="40"/>
    <n v="160"/>
    <n v="200"/>
    <s v="Pago"/>
    <n v="59727"/>
    <n v="59727"/>
    <s v="Unidade Sao Jose"/>
    <m/>
    <m/>
  </r>
  <r>
    <x v="6"/>
    <x v="38"/>
    <s v="Diana Cristina Castro Guimarães"/>
    <s v="Feminino"/>
    <x v="4"/>
    <x v="27"/>
    <s v="10101012 - Consulta Médica Retorno (R$ 0,00)"/>
    <s v="Ortopedia"/>
    <s v="*"/>
    <s v="Finalizado (1/1)"/>
    <n v="0"/>
    <n v="0"/>
    <n v="0"/>
    <s v="Sessão a Faturar"/>
    <n v="954600016250000"/>
    <n v="55321"/>
    <s v="Unidade Sao Jose"/>
    <s v="*"/>
    <m/>
  </r>
  <r>
    <x v="6"/>
    <x v="4"/>
    <s v="Elke Silveira Ferreira de Souza"/>
    <s v="Feminino"/>
    <x v="4"/>
    <x v="27"/>
    <s v="10101012 - Consulta Médica (R$ 134,79)"/>
    <s v="Ortopedia"/>
    <n v="1716741630"/>
    <s v="Finalizado (1/1)"/>
    <n v="40.436999999999998"/>
    <n v="94.352999999999994"/>
    <n v="134.79"/>
    <s v="Sessão Faturada"/>
    <n v="774078000450020"/>
    <n v="40221"/>
    <s v="Unidade Vieiralves"/>
    <n v="1716741630"/>
    <m/>
  </r>
  <r>
    <x v="6"/>
    <x v="4"/>
    <s v="Marcos Andre de Noronha Bezerra"/>
    <s v="Masculino"/>
    <x v="24"/>
    <x v="27"/>
    <s v="09 - Consulta Ortopedia (R$ 150,00)"/>
    <s v="Ortopedia"/>
    <m/>
    <s v="Finalizado (1/1)"/>
    <n v="150"/>
    <n v="0"/>
    <n v="150"/>
    <s v="Sessão a Faturar"/>
    <n v="42296"/>
    <n v="42296"/>
    <s v="Unidade Vieiralves"/>
    <m/>
    <m/>
  </r>
  <r>
    <x v="6"/>
    <x v="4"/>
    <s v="Jose Mario Chaves Gomes de Oliveira"/>
    <s v="Masculino"/>
    <x v="11"/>
    <x v="27"/>
    <s v="10101012 - Consulta Medica (R$ 241,94)"/>
    <s v="Ortopedia"/>
    <n v="172585"/>
    <s v="Finalizado (1/1)"/>
    <n v="72.581999999999994"/>
    <n v="169.358"/>
    <n v="241.94"/>
    <s v="Sessão Faturada"/>
    <n v="2301648"/>
    <n v="7982"/>
    <s v="Unidade Vieiralves"/>
    <n v="172585"/>
    <m/>
  </r>
  <r>
    <x v="6"/>
    <x v="4"/>
    <s v="Larissa Maciel de Souza"/>
    <m/>
    <x v="9"/>
    <x v="27"/>
    <s v="10101012 - Consulta Médica (R$ 134,79)"/>
    <s v="Ortopedia"/>
    <n v="1716700746"/>
    <s v="Finalizado (1/1)"/>
    <n v="40.436999999999998"/>
    <n v="94.352999999999994"/>
    <n v="134.79"/>
    <s v="Sessão Faturada"/>
    <n v="954510161900010"/>
    <n v="59253"/>
    <s v="Unidade Vieiralves"/>
    <n v="1716700746"/>
    <m/>
  </r>
  <r>
    <x v="6"/>
    <x v="4"/>
    <s v="Anne Siqueira Martins"/>
    <s v="Feminino"/>
    <x v="20"/>
    <x v="27"/>
    <s v="10101012 - Consulta Medica (R$ 80,00)"/>
    <s v="Ortopedia"/>
    <n v="55794070"/>
    <s v="Finalizado (1/1)"/>
    <n v="24"/>
    <n v="56"/>
    <n v="80"/>
    <s v="Sessão Faturada"/>
    <n v="1051460083390100"/>
    <n v="43576"/>
    <s v="Unidade Vieiralves"/>
    <n v="55794070"/>
    <m/>
  </r>
  <r>
    <x v="6"/>
    <x v="13"/>
    <s v="Antonio de Castro dos Santos"/>
    <s v="Masculino"/>
    <x v="9"/>
    <x v="27"/>
    <s v="10101012 - Consulta Médica (R$ 134,79)"/>
    <s v="Ortopedia"/>
    <n v="1716726460"/>
    <s v="Finalizado (1/1)"/>
    <n v="40.436999999999998"/>
    <n v="94.352999999999994"/>
    <n v="134.79"/>
    <s v="Sessão Faturada"/>
    <n v="954600038407000"/>
    <n v="59698"/>
    <s v="Unidade Vieiralves"/>
    <n v="1716726460"/>
    <m/>
  </r>
  <r>
    <x v="6"/>
    <x v="13"/>
    <s v="Paulo Geraldo Mello Raposo Camara"/>
    <s v="Masculino"/>
    <x v="13"/>
    <x v="27"/>
    <s v="10101012 - Consulta Médica (R$ 72,48)"/>
    <s v="Ortopedia"/>
    <n v="13793769"/>
    <s v="Finalizado (1/1)"/>
    <n v="21.744"/>
    <n v="50.735999999999997"/>
    <n v="72.48"/>
    <s v="Sessão Faturada"/>
    <s v="00010300011479012"/>
    <n v="17283"/>
    <s v="Unidade Vieiralves"/>
    <n v="13793769"/>
    <m/>
  </r>
  <r>
    <x v="6"/>
    <x v="13"/>
    <s v="Andre Luiz da Rocha Moura"/>
    <s v="Masculino"/>
    <x v="4"/>
    <x v="27"/>
    <s v="10101012 - Consulta Médica (R$ 134,79)"/>
    <s v="Ortopedia"/>
    <n v="1716746769"/>
    <s v="Finalizado (1/1)"/>
    <n v="40.436999999999998"/>
    <n v="94.352999999999994"/>
    <n v="134.79"/>
    <s v="Sessão Faturada"/>
    <n v="771015054119000"/>
    <n v="52042"/>
    <s v="Unidade Vieiralves"/>
    <n v="1716746769"/>
    <m/>
  </r>
  <r>
    <x v="6"/>
    <x v="13"/>
    <s v="Sergio Massayoshi Nunomura"/>
    <s v="Masculino"/>
    <x v="1"/>
    <x v="27"/>
    <s v="10101012 - Consulta Ortopédica Retorno (R$ 0,00)"/>
    <s v="Ortopedia"/>
    <s v="00"/>
    <s v="Finalizado (1/1)"/>
    <n v="0"/>
    <n v="0"/>
    <n v="0"/>
    <s v="Sessão a Faturar"/>
    <s v="0901013262310007"/>
    <n v="55942"/>
    <s v="Unidade Vieiralves"/>
    <s v="00"/>
    <m/>
  </r>
  <r>
    <x v="6"/>
    <x v="13"/>
    <s v="Frank Marlon Ferreira de Naja"/>
    <s v="Masculino"/>
    <x v="4"/>
    <x v="27"/>
    <s v="10101012 - Consulta Médica (R$ 134,79)"/>
    <s v="Ortopedia"/>
    <n v="1716740238"/>
    <s v="Finalizado (1/1)"/>
    <n v="40.436999999999998"/>
    <n v="94.352999999999994"/>
    <n v="134.79"/>
    <s v="Sessão Faturada"/>
    <n v="774831002933000"/>
    <n v="59749"/>
    <s v="Unidade Vieiralves"/>
    <n v="1716740238"/>
    <m/>
  </r>
  <r>
    <x v="6"/>
    <x v="13"/>
    <s v="Ricardo Cruz da Silva"/>
    <s v="Masculino"/>
    <x v="4"/>
    <x v="27"/>
    <s v="10101012 - Consulta Médica (R$ 134,79)"/>
    <s v="Ortopedia"/>
    <n v="1716243265"/>
    <s v="Finalizado (1/1)"/>
    <n v="40.436999999999998"/>
    <n v="94.352999999999994"/>
    <n v="134.79"/>
    <s v="Sessão Faturada"/>
    <n v="771015041114010"/>
    <n v="59213"/>
    <s v="Unidade Vieiralves"/>
    <n v="1716243265"/>
    <m/>
  </r>
  <r>
    <x v="8"/>
    <x v="8"/>
    <s v="Ana Eliza Câmara Rosolino"/>
    <s v="Feminino"/>
    <x v="5"/>
    <x v="27"/>
    <s v="10101012 - Consulta Medica (R$ 114,34)"/>
    <s v="Ortopedia"/>
    <n v="172842"/>
    <s v="Finalizado (1/1)"/>
    <n v="34.302"/>
    <n v="80.037999999999997"/>
    <n v="114.34"/>
    <s v="Sessão Faturada"/>
    <s v="010084522302"/>
    <n v="47054"/>
    <s v="Unidade Vieiralves"/>
    <n v="172842"/>
    <m/>
  </r>
  <r>
    <x v="8"/>
    <x v="8"/>
    <s v="Eliamara de Oliveira Lima"/>
    <s v="Feminino"/>
    <x v="5"/>
    <x v="27"/>
    <s v="10101012 - Consulta Medica (R$ 114,34)"/>
    <s v="Ortopedia"/>
    <n v="172871"/>
    <s v="Finalizado (1/1)"/>
    <n v="34.302"/>
    <n v="80.037999999999997"/>
    <n v="114.34"/>
    <s v="Sessão Faturada"/>
    <s v="0100743818000350"/>
    <n v="59778"/>
    <s v="Unidade Vieiralves"/>
    <n v="172871"/>
    <m/>
  </r>
  <r>
    <x v="8"/>
    <x v="8"/>
    <s v="Sharlene Silva da Rocha"/>
    <s v="Feminino"/>
    <x v="5"/>
    <x v="27"/>
    <s v="10101012 - Consulta Medica (R$ 114,34)"/>
    <s v="Ortopedia"/>
    <n v="173031"/>
    <s v="Finalizado (1/1)"/>
    <n v="34.302"/>
    <n v="80.037999999999997"/>
    <n v="114.34"/>
    <s v="Sessão Faturada"/>
    <s v="0100752444000300"/>
    <n v="59801"/>
    <s v="Unidade Vieiralves"/>
    <n v="173031"/>
    <m/>
  </r>
  <r>
    <x v="8"/>
    <x v="8"/>
    <s v="Vivian Fonseca de Oliveira"/>
    <s v="Feminino"/>
    <x v="4"/>
    <x v="27"/>
    <s v="10101012 - Consulta Médica (R$ 134,79)"/>
    <s v="Ortopedia"/>
    <n v="1717788241"/>
    <s v="Finalizado (1/1)"/>
    <n v="40.436999999999998"/>
    <n v="94.352999999999994"/>
    <n v="134.79"/>
    <s v="Sessão Faturada"/>
    <n v="774642011100020"/>
    <n v="45139"/>
    <s v="Unidade Vieiralves"/>
    <n v="1717788241"/>
    <m/>
  </r>
  <r>
    <x v="8"/>
    <x v="8"/>
    <s v="Francisco Lima da Silva"/>
    <s v="Masculino"/>
    <x v="4"/>
    <x v="27"/>
    <s v="10101012 - Consulta Médica (R$ 134,79)"/>
    <s v="Ortopedia"/>
    <n v="1717809429"/>
    <s v="Finalizado (1/1)"/>
    <n v="40.436999999999998"/>
    <n v="94.352999999999994"/>
    <n v="134.79"/>
    <s v="Sessão Faturada"/>
    <n v="774981007706010"/>
    <n v="52427"/>
    <s v="Unidade Vieiralves"/>
    <n v="1717809429"/>
    <m/>
  </r>
  <r>
    <x v="8"/>
    <x v="8"/>
    <s v="Estela Maria Galvao Vidal de Abreu"/>
    <s v="Feminino"/>
    <x v="4"/>
    <x v="27"/>
    <s v="10101012 - Consulta Médica (R$ 134,79)"/>
    <s v="Ortopedia"/>
    <n v="1717819384"/>
    <s v="Finalizado (1/1)"/>
    <n v="40.436999999999998"/>
    <n v="94.352999999999994"/>
    <n v="134.79"/>
    <s v="Sessão Faturada"/>
    <n v="836922200019000"/>
    <n v="45049"/>
    <s v="Unidade Vieiralves"/>
    <n v="1717819384"/>
    <m/>
  </r>
  <r>
    <x v="8"/>
    <x v="10"/>
    <s v="Aline de Paula Lima"/>
    <s v="Feminino"/>
    <x v="9"/>
    <x v="27"/>
    <s v="10101012 - Consulta Médica Retorno (R$ 0,00)"/>
    <s v="Ortopedia"/>
    <m/>
    <s v="Finalizado (1/1)"/>
    <n v="0"/>
    <n v="0"/>
    <n v="0"/>
    <s v="Sessão a Faturar"/>
    <n v="954600033081030"/>
    <n v="47919"/>
    <s v="Unidade Vieiralves"/>
    <m/>
    <m/>
  </r>
  <r>
    <x v="8"/>
    <x v="10"/>
    <s v="Debora Câmara Rosolino"/>
    <s v="Feminino"/>
    <x v="5"/>
    <x v="27"/>
    <s v="10101012 - Consulta Medica (R$ 114,34)"/>
    <s v="Ortopedia"/>
    <n v="172575"/>
    <s v="Finalizado (1/1)"/>
    <n v="34.302"/>
    <n v="80.037999999999997"/>
    <n v="114.34"/>
    <s v="Sessão Faturada"/>
    <s v="0100845223001299"/>
    <n v="47068"/>
    <s v="Unidade Vieiralves"/>
    <n v="172575"/>
    <m/>
  </r>
  <r>
    <x v="8"/>
    <x v="10"/>
    <s v="Valmir Cesar Pozzetti"/>
    <s v="Masculino"/>
    <x v="1"/>
    <x v="27"/>
    <s v="10101012 - Consulta Ortopédica (R$ 100,00)"/>
    <s v="Ortopedia"/>
    <n v="9535965"/>
    <s v="Finalizado (1/1)"/>
    <n v="30"/>
    <n v="70"/>
    <n v="100"/>
    <s v="Sessão a Faturar"/>
    <s v="0901013948180030"/>
    <n v="43203"/>
    <s v="Unidade Vieiralves"/>
    <n v="9535965"/>
    <m/>
  </r>
  <r>
    <x v="8"/>
    <x v="10"/>
    <s v="Raimunda Monteiro Rocha"/>
    <s v="Feminino"/>
    <x v="4"/>
    <x v="27"/>
    <s v="10101012 - Consulta Médica (R$ 134,79)"/>
    <s v="Ortopedia"/>
    <n v="1717801027"/>
    <s v="Finalizado (1/1)"/>
    <n v="40.436999999999998"/>
    <n v="94.352999999999994"/>
    <n v="134.79"/>
    <s v="Sessão Faturada"/>
    <n v="952480013550000"/>
    <n v="14121"/>
    <s v="Unidade Vieiralves"/>
    <n v="1717801027"/>
    <m/>
  </r>
  <r>
    <x v="9"/>
    <x v="38"/>
    <s v="Denise de Souza Lima Herzog"/>
    <s v="Feminino"/>
    <x v="4"/>
    <x v="27"/>
    <s v="10101012 - Consulta Médica (R$ 134,79)"/>
    <s v="Ortopedia"/>
    <n v="1718060985"/>
    <s v="Finalizado (1/1)"/>
    <n v="40.436999999999998"/>
    <n v="94.352999999999994"/>
    <n v="134.79"/>
    <s v="Sessão Faturada"/>
    <n v="810177500019010"/>
    <n v="52971"/>
    <s v="Unidade Vieiralves"/>
    <n v="1718060985"/>
    <m/>
  </r>
  <r>
    <x v="9"/>
    <x v="38"/>
    <s v="Karoline Lopes Rodrigues"/>
    <s v="Feminino"/>
    <x v="12"/>
    <x v="27"/>
    <s v="10101012 - Consulta Medica (R$ 134,79)"/>
    <s v="Ortopedia"/>
    <n v="33863246"/>
    <s v="Finalizado (1/1)"/>
    <n v="40.436999999999998"/>
    <n v="94.352999999999994"/>
    <n v="134.79"/>
    <s v="Sessão a Faturar"/>
    <n v="9.5056645691726003E+17"/>
    <n v="11244"/>
    <s v="Unidade Vieiralves"/>
    <n v="33863246"/>
    <m/>
  </r>
  <r>
    <x v="9"/>
    <x v="37"/>
    <s v="Paulo César de Oliveira Gomes"/>
    <s v="Masculino"/>
    <x v="12"/>
    <x v="27"/>
    <s v="10101012 - Consulta Medica (R$ 134,79)"/>
    <s v="Ortopedia"/>
    <n v="33863148"/>
    <s v="Finalizado (1/1)"/>
    <n v="40.436999999999998"/>
    <n v="94.352999999999994"/>
    <n v="134.79"/>
    <s v="Sessão a Faturar"/>
    <n v="9.5056642505667994E+17"/>
    <n v="57115"/>
    <s v="Unidade Vieiralves"/>
    <n v="33863148"/>
    <m/>
  </r>
  <r>
    <x v="9"/>
    <x v="37"/>
    <s v="Rita de Cassia Balbi Alves"/>
    <s v="Feminino"/>
    <x v="19"/>
    <x v="27"/>
    <s v="10101012 - Consulta Ortopédica (R$ 121,34)"/>
    <s v="Ortopedia"/>
    <n v="6030820"/>
    <s v="Finalizado (1/1)"/>
    <n v="36.402000000000001"/>
    <n v="84.938000000000002"/>
    <n v="121.34"/>
    <s v="Sessão Faturada"/>
    <s v="0001000034150505"/>
    <n v="37165"/>
    <s v="Unidade Vieiralves"/>
    <n v="6030820"/>
    <m/>
  </r>
  <r>
    <x v="9"/>
    <x v="37"/>
    <s v="Daniel Alves Costa"/>
    <s v="Masculino"/>
    <x v="4"/>
    <x v="27"/>
    <s v="10101012 - Consulta Médica (R$ 134,79)"/>
    <s v="Ortopedia"/>
    <n v="1718058183"/>
    <s v="Finalizado (1/1)"/>
    <n v="40.436999999999998"/>
    <n v="94.352999999999994"/>
    <n v="134.79"/>
    <s v="Sessão Faturada"/>
    <n v="773709045225010"/>
    <n v="43704"/>
    <s v="Unidade Vieiralves"/>
    <n v="1718058183"/>
    <m/>
  </r>
  <r>
    <x v="9"/>
    <x v="37"/>
    <s v="Irleda de Carvalho Leal Nobre Leao"/>
    <s v="Feminino"/>
    <x v="1"/>
    <x v="27"/>
    <s v="10101012 - Consulta Ortopédica (R$ 100,00)"/>
    <s v="Ortopedia"/>
    <n v="9581851"/>
    <s v="Finalizado (1/1)"/>
    <n v="30"/>
    <n v="70"/>
    <n v="100"/>
    <s v="Sessão a Faturar"/>
    <s v="0903006735450160"/>
    <n v="58787"/>
    <s v="Unidade Vieiralves"/>
    <n v="9581851"/>
    <m/>
  </r>
  <r>
    <x v="25"/>
    <x v="40"/>
    <s v="Arlleson Correa Bruno"/>
    <s v="Masculino"/>
    <x v="4"/>
    <x v="27"/>
    <s v="10101012 - Consulta Médica (R$ 134,79)"/>
    <s v="Ortopedia"/>
    <n v="1718457020"/>
    <s v="Finalizado (1/1)"/>
    <n v="40.436999999999998"/>
    <n v="94.352999999999994"/>
    <n v="134.79"/>
    <s v="Sessão Faturada"/>
    <n v="774239000990000"/>
    <n v="59740"/>
    <s v="Unidade Vieiralves"/>
    <n v="1718457020"/>
    <m/>
  </r>
  <r>
    <x v="25"/>
    <x v="40"/>
    <s v="Keitiane Oliveira de Moraes Barbosa"/>
    <s v="Feminino"/>
    <x v="9"/>
    <x v="27"/>
    <s v="10101012 - Consulta Médica (R$ 134,79)"/>
    <s v="Ortopedia"/>
    <n v="1718443838"/>
    <s v="Finalizado (1/1)"/>
    <n v="40.436999999999998"/>
    <n v="94.352999999999994"/>
    <n v="134.79"/>
    <s v="Sessão Faturada"/>
    <n v="954600007650020"/>
    <n v="59246"/>
    <s v="Unidade Vieiralves"/>
    <n v="1718443838"/>
    <m/>
  </r>
  <r>
    <x v="25"/>
    <x v="40"/>
    <s v="Fernando da Silva Passos"/>
    <s v="Masculino"/>
    <x v="4"/>
    <x v="27"/>
    <s v="10101012 - Consulta Médica (R$ 134,79)"/>
    <s v="Ortopedia"/>
    <n v="1718449639"/>
    <s v="Finalizado (1/1)"/>
    <n v="40.436999999999998"/>
    <n v="94.352999999999994"/>
    <n v="134.79"/>
    <s v="Sessão Faturada"/>
    <n v="894245300060000"/>
    <n v="55116"/>
    <s v="Unidade Vieiralves"/>
    <n v="1718449639"/>
    <m/>
  </r>
  <r>
    <x v="25"/>
    <x v="40"/>
    <s v="Aida Bezerra Maciel"/>
    <s v="Feminino"/>
    <x v="1"/>
    <x v="27"/>
    <s v="10101012 - Consulta Ortopédica (R$ 100,00)"/>
    <s v="Ortopedia"/>
    <n v="9596474"/>
    <s v="Finalizado (1/1)"/>
    <n v="30"/>
    <n v="70"/>
    <n v="100"/>
    <s v="Sessão a Faturar"/>
    <n v="901013161960160"/>
    <n v="58868"/>
    <s v="Unidade Vieiralves"/>
    <n v="9596474"/>
    <m/>
  </r>
  <r>
    <x v="25"/>
    <x v="40"/>
    <s v="Ricardo Henrique Barbosa Lopes"/>
    <s v="Masculino"/>
    <x v="4"/>
    <x v="27"/>
    <s v="10101012 - Consulta Médica (R$ 134,79)"/>
    <s v="Ortopedia"/>
    <n v="1718447887"/>
    <s v="Finalizado (1/1)"/>
    <n v="40.436999999999998"/>
    <n v="94.352999999999994"/>
    <n v="134.79"/>
    <s v="Sessão Faturada"/>
    <n v="772172035939000"/>
    <n v="55872"/>
    <s v="Unidade Vieiralves"/>
    <n v="1718447887"/>
    <m/>
  </r>
  <r>
    <x v="25"/>
    <x v="40"/>
    <s v="Claudio Albano Guimarães"/>
    <s v="Masculino"/>
    <x v="4"/>
    <x v="27"/>
    <s v="10101012 - Consulta Médica (R$ 134,79)"/>
    <s v="Ortopedia"/>
    <m/>
    <s v="Finalizado (1/1)"/>
    <n v="40.436999999999998"/>
    <n v="94.352999999999994"/>
    <n v="134.79"/>
    <s v="Sessão a Faturar"/>
    <n v="774642007307010"/>
    <n v="59723"/>
    <s v="Unidade Vieiralves"/>
    <m/>
    <m/>
  </r>
  <r>
    <x v="25"/>
    <x v="40"/>
    <s v="Milcidiane Rodrigues Matos"/>
    <s v="Feminino"/>
    <x v="4"/>
    <x v="27"/>
    <s v="10101012 - Consulta Médica (R$ 134,79)"/>
    <s v="Ortopedia"/>
    <n v="1718443259"/>
    <s v="Finalizado (1/1)"/>
    <n v="40.436999999999998"/>
    <n v="94.352999999999994"/>
    <n v="134.79"/>
    <s v="Sessão Faturada"/>
    <n v="960018979049010"/>
    <n v="58717"/>
    <s v="Unidade Vieiralves"/>
    <n v="1718443259"/>
    <m/>
  </r>
  <r>
    <x v="25"/>
    <x v="35"/>
    <s v="Gilberto Rufino de Oliveira Neto"/>
    <s v="Masculino"/>
    <x v="4"/>
    <x v="27"/>
    <s v="10101012 - Consulta Médica (R$ 134,79)"/>
    <s v="Ortopedia"/>
    <n v="1718454524"/>
    <s v="Finalizado (1/1)"/>
    <n v="40.436999999999998"/>
    <n v="94.352999999999994"/>
    <n v="134.79"/>
    <s v="Sessão Faturada"/>
    <n v="774642020141000"/>
    <n v="53486"/>
    <s v="Unidade Vieiralves"/>
    <n v="1718454524"/>
    <m/>
  </r>
  <r>
    <x v="25"/>
    <x v="35"/>
    <s v="Valterlei Ribeiro Mendonça"/>
    <m/>
    <x v="4"/>
    <x v="27"/>
    <s v="10101012 - Consulta Médica (R$ 134,79)"/>
    <s v="Ortopedia"/>
    <n v="1718405136"/>
    <s v="Finalizado (1/1)"/>
    <n v="40.436999999999998"/>
    <n v="94.352999999999994"/>
    <n v="134.79"/>
    <s v="Sessão Faturada"/>
    <n v="775494003360000"/>
    <n v="57982"/>
    <s v="Unidade Vieiralves"/>
    <n v="1718405136"/>
    <m/>
  </r>
  <r>
    <x v="25"/>
    <x v="35"/>
    <s v="Marco Aurélio Bezerra Lopes"/>
    <s v="Masculino"/>
    <x v="4"/>
    <x v="27"/>
    <s v="10101012 - Consulta Médica (R$ 134,79)"/>
    <s v="Ortopedia"/>
    <n v="1718478279"/>
    <s v="Finalizado (1/1)"/>
    <n v="40.436999999999998"/>
    <n v="94.352999999999994"/>
    <n v="134.79"/>
    <s v="Sessão Faturada"/>
    <n v="771015040827010"/>
    <n v="51421"/>
    <s v="Unidade Vieiralves"/>
    <n v="1718478279"/>
    <m/>
  </r>
  <r>
    <x v="25"/>
    <x v="35"/>
    <s v="Renato Corrêa dos Santos"/>
    <s v="Masculino"/>
    <x v="4"/>
    <x v="27"/>
    <s v="10101012 - Consulta Médica (R$ 134,79)"/>
    <s v="Ortopedia"/>
    <n v="1718437112"/>
    <s v="Finalizado (1/1)"/>
    <n v="40.436999999999998"/>
    <n v="94.352999999999994"/>
    <n v="134.79"/>
    <s v="Sessão Faturada"/>
    <n v="774634049832000"/>
    <n v="59688"/>
    <s v="Unidade Vieiralves"/>
    <n v="1718437112"/>
    <m/>
  </r>
  <r>
    <x v="25"/>
    <x v="35"/>
    <s v="Maria de Fatima Fernandes Lima"/>
    <s v="Feminino"/>
    <x v="4"/>
    <x v="27"/>
    <s v="10101012 - Consulta Médica (R$ 134,79)"/>
    <s v="Ortopedia"/>
    <n v="1718499389"/>
    <s v="Finalizado (1/1)"/>
    <n v="40.436999999999998"/>
    <n v="94.352999999999994"/>
    <n v="134.79"/>
    <s v="Sessão Faturada"/>
    <n v="771015039616020"/>
    <n v="57076"/>
    <s v="Unidade Vieiralves"/>
    <n v="1718499389"/>
    <m/>
  </r>
  <r>
    <x v="25"/>
    <x v="35"/>
    <s v="Daniel Silva dos Santos"/>
    <s v="Masculino"/>
    <x v="4"/>
    <x v="27"/>
    <s v="10101012 - Consulta Médica (R$ 134,79)"/>
    <s v="Ortopedia"/>
    <n v="1718453754"/>
    <s v="Finalizado (1/1)"/>
    <n v="40.436999999999998"/>
    <n v="94.352999999999994"/>
    <n v="134.79"/>
    <s v="Sessão Faturada"/>
    <n v="774170003026010"/>
    <n v="42819"/>
    <s v="Unidade Vieiralves"/>
    <n v="1718453754"/>
    <m/>
  </r>
  <r>
    <x v="11"/>
    <x v="4"/>
    <s v="Elane Sales de Lima"/>
    <m/>
    <x v="4"/>
    <x v="27"/>
    <s v="10101012 - Consulta Médica (R$ 134,79)"/>
    <s v="Ortopedia"/>
    <n v="1719647032"/>
    <s v="Finalizado (1/1)"/>
    <n v="40.436999999999998"/>
    <n v="94.352999999999994"/>
    <n v="134.79"/>
    <s v="Sessão Faturada"/>
    <n v="773539032034010"/>
    <n v="58812"/>
    <s v="Unidade Vieiralves"/>
    <n v="1719647032"/>
    <m/>
  </r>
  <r>
    <x v="11"/>
    <x v="4"/>
    <s v="Francisco Augusto Barroso da Costa Lima"/>
    <s v="Masculino"/>
    <x v="4"/>
    <x v="27"/>
    <s v="10101012 - Consulta Médica (R$ 134,79)"/>
    <s v="Ortopedia"/>
    <n v="1718862769"/>
    <s v="Finalizado (1/1)"/>
    <n v="40.436999999999998"/>
    <n v="94.352999999999994"/>
    <n v="134.79"/>
    <s v="Sessão Faturada"/>
    <n v="952650065111000"/>
    <n v="44404"/>
    <s v="Unidade Vieiralves"/>
    <n v="1718862769"/>
    <m/>
  </r>
  <r>
    <x v="11"/>
    <x v="4"/>
    <s v="Elisangela de Carvalho Lopes"/>
    <s v="Feminino"/>
    <x v="4"/>
    <x v="27"/>
    <s v="10101012 - Consulta Médica (R$ 134,79)"/>
    <s v="Ortopedia"/>
    <n v="1719638096"/>
    <s v="Finalizado (1/1)"/>
    <n v="40.436999999999998"/>
    <n v="94.352999999999994"/>
    <n v="134.79"/>
    <s v="Sessão Faturada"/>
    <n v="774170001775000"/>
    <n v="7584"/>
    <s v="Unidade Vieiralves"/>
    <n v="1719638096"/>
    <m/>
  </r>
  <r>
    <x v="11"/>
    <x v="4"/>
    <s v="Dilma Freitas Lopes"/>
    <s v="Feminino"/>
    <x v="4"/>
    <x v="27"/>
    <s v="10101012 - Consulta Médica (R$ 134,79)"/>
    <s v="Ortopedia"/>
    <n v="1719644497"/>
    <s v="Finalizado (1/1)"/>
    <n v="40.436999999999998"/>
    <n v="94.352999999999994"/>
    <n v="134.79"/>
    <s v="Sessão Faturada"/>
    <n v="771015040827050"/>
    <n v="51451"/>
    <s v="Unidade Vieiralves"/>
    <n v="1719644497"/>
    <m/>
  </r>
  <r>
    <x v="11"/>
    <x v="4"/>
    <s v="Helisson da Silva Louzeiro"/>
    <s v="Masculino"/>
    <x v="7"/>
    <x v="27"/>
    <s v="Vieiralves - 23 - Retorno - Consulta (R$ 0,00)"/>
    <s v="Ortopedia"/>
    <m/>
    <s v="Finalizado (1/1)"/>
    <n v="0"/>
    <n v="0"/>
    <n v="0"/>
    <s v="Sem Lançamento"/>
    <n v="59727"/>
    <n v="59727"/>
    <s v="Unidade Vieiralves"/>
    <m/>
    <m/>
  </r>
  <r>
    <x v="11"/>
    <x v="4"/>
    <s v="João Victor Maciel Grangeiro"/>
    <s v="Masculino"/>
    <x v="4"/>
    <x v="27"/>
    <s v="10101012 - Consulta Médica (R$ 134,79)"/>
    <s v="Ortopedia"/>
    <n v="1719643361"/>
    <s v="Finalizado (1/1)"/>
    <n v="40.436999999999998"/>
    <n v="94.352999999999994"/>
    <n v="134.79"/>
    <s v="Sessão Faturada"/>
    <n v="833280200051020"/>
    <n v="48054"/>
    <s v="Unidade Vieiralves"/>
    <n v="1719643361"/>
    <m/>
  </r>
  <r>
    <x v="11"/>
    <x v="4"/>
    <s v="Leonardo Emmanuel Neves Rodrigues"/>
    <s v="Masculino"/>
    <x v="4"/>
    <x v="27"/>
    <s v="10101012 - Consulta Médica (R$ 134,79)"/>
    <s v="Ortopedia"/>
    <n v="1719197426"/>
    <s v="Finalizado (1/1)"/>
    <n v="40.436999999999998"/>
    <n v="94.352999999999994"/>
    <n v="134.79"/>
    <s v="Sessão Faturada"/>
    <n v="867546100043000"/>
    <n v="59479"/>
    <s v="Unidade Vieiralves"/>
    <n v="1719197426"/>
    <m/>
  </r>
  <r>
    <x v="11"/>
    <x v="4"/>
    <s v="Alessandro Paz Rocha"/>
    <s v="Masculino"/>
    <x v="4"/>
    <x v="27"/>
    <s v="10101012 - Consulta Médica (R$ 134,79)"/>
    <s v="Ortopedia"/>
    <n v="1719568579"/>
    <s v="Finalizado (1/1)"/>
    <n v="40.436999999999998"/>
    <n v="94.352999999999994"/>
    <n v="134.79"/>
    <s v="Sessão Faturada"/>
    <n v="775225006467000"/>
    <n v="58682"/>
    <s v="Unidade Vieiralves"/>
    <n v="1719568579"/>
    <m/>
  </r>
  <r>
    <x v="11"/>
    <x v="13"/>
    <s v="Geanne Evangleicy Santos Grangeiro"/>
    <s v="Feminino"/>
    <x v="4"/>
    <x v="27"/>
    <s v="10101012 - Consulta Médica (R$ 134,79)"/>
    <s v="Ortopedia"/>
    <n v="1719645086"/>
    <s v="Finalizado (1/1)"/>
    <n v="40.436999999999998"/>
    <n v="94.352999999999994"/>
    <n v="134.79"/>
    <s v="Sessão Faturada"/>
    <n v="833280200051010"/>
    <n v="48225"/>
    <s v="Unidade Vieiralves"/>
    <n v="1719645086"/>
    <m/>
  </r>
  <r>
    <x v="11"/>
    <x v="13"/>
    <s v="Ana Georgina Viga Lacorte"/>
    <s v="Feminino"/>
    <x v="4"/>
    <x v="27"/>
    <s v="10101012 - Consulta Médica (R$ 134,79)"/>
    <s v="Ortopedia"/>
    <n v="1719203923"/>
    <s v="Finalizado (1/1)"/>
    <n v="40.436999999999998"/>
    <n v="94.352999999999994"/>
    <n v="134.79"/>
    <s v="Sessão Faturada"/>
    <n v="882749100043010"/>
    <n v="50823"/>
    <s v="Unidade Vieiralves"/>
    <n v="1719203923"/>
    <m/>
  </r>
  <r>
    <x v="11"/>
    <x v="13"/>
    <s v="Ayla Zoeh Nogueira Prudente"/>
    <s v="Feminino"/>
    <x v="5"/>
    <x v="27"/>
    <s v="10101012 - Consulta Medica (R$ 114,34)"/>
    <s v="Ortopedia"/>
    <n v="173443"/>
    <s v="Finalizado (1/1)"/>
    <n v="34.302"/>
    <n v="80.037999999999997"/>
    <n v="114.34"/>
    <s v="Sessão a Faturar"/>
    <s v="0100568887030197"/>
    <n v="58133"/>
    <s v="Unidade Vieiralves"/>
    <n v="173443"/>
    <m/>
  </r>
  <r>
    <x v="11"/>
    <x v="13"/>
    <s v="Gloria Lucia Lopes Fernandes"/>
    <s v="Feminino"/>
    <x v="4"/>
    <x v="27"/>
    <s v="10101012 - Consulta Médica (R$ 134,79)"/>
    <s v="Ortopedia"/>
    <m/>
    <s v="Finalizado (1/1)"/>
    <n v="40.436999999999998"/>
    <n v="94.352999999999994"/>
    <n v="134.79"/>
    <s v="Sessão a Faturar"/>
    <n v="774063007390030"/>
    <n v="32428"/>
    <s v="Unidade Vieiralves"/>
    <m/>
    <m/>
  </r>
  <r>
    <x v="11"/>
    <x v="13"/>
    <s v="Frank Erikson Santos de Almeida"/>
    <s v="Masculino"/>
    <x v="4"/>
    <x v="27"/>
    <s v="10101012 - Consulta Médica (R$ 134,79)"/>
    <s v="Ortopedia"/>
    <n v="1719638986"/>
    <s v="Finalizado (1/1)"/>
    <n v="40.436999999999998"/>
    <n v="94.352999999999994"/>
    <n v="134.79"/>
    <s v="Sessão Faturada"/>
    <n v="774063003417020"/>
    <n v="20222"/>
    <s v="Unidade Vieiralves"/>
    <n v="1719638986"/>
    <m/>
  </r>
  <r>
    <x v="11"/>
    <x v="13"/>
    <s v="Iralcy Souza de Oliveira"/>
    <s v="Masculino"/>
    <x v="9"/>
    <x v="27"/>
    <s v="10101012 - Consulta Médica (R$ 134,79)"/>
    <s v="Ortopedia"/>
    <n v="1719682308"/>
    <s v="Finalizado (1/1)"/>
    <n v="40.436999999999998"/>
    <n v="94.352999999999994"/>
    <n v="134.79"/>
    <s v="Sessão a Faturar"/>
    <n v="954600015326000"/>
    <n v="59844"/>
    <s v="Unidade Vieiralves"/>
    <n v="1719682308"/>
    <m/>
  </r>
  <r>
    <x v="11"/>
    <x v="13"/>
    <s v="Eduarda Silva Castilho"/>
    <s v="Feminino"/>
    <x v="4"/>
    <x v="27"/>
    <s v="10101012 - Consulta Médica (R$ 134,79)"/>
    <s v="Ortopedia"/>
    <n v="1719503531"/>
    <s v="Finalizado (1/1)"/>
    <n v="40.436999999999998"/>
    <n v="94.352999999999994"/>
    <n v="134.79"/>
    <s v="Sessão Faturada"/>
    <n v="771015041130020"/>
    <n v="45879"/>
    <s v="Unidade Vieiralves"/>
    <n v="1719503531"/>
    <m/>
  </r>
  <r>
    <x v="11"/>
    <x v="13"/>
    <s v="Giovanna Rezende Ranalli"/>
    <m/>
    <x v="4"/>
    <x v="27"/>
    <s v="10101012 - Consulta Médica (R$ 134,79)"/>
    <s v="Ortopedia"/>
    <n v="1719634066"/>
    <s v="Finalizado (1/1)"/>
    <n v="40.436999999999998"/>
    <n v="94.352999999999994"/>
    <n v="134.79"/>
    <s v="Sessão Faturada"/>
    <n v="610693090003040"/>
    <n v="59800"/>
    <s v="Unidade Vieiralves"/>
    <n v="1719634066"/>
    <m/>
  </r>
  <r>
    <x v="11"/>
    <x v="13"/>
    <s v="Paula da Costa Barbosa"/>
    <s v="Feminino"/>
    <x v="4"/>
    <x v="27"/>
    <s v="10101012 - Consulta Médica (R$ 134,79)"/>
    <s v="Ortopedia"/>
    <n v="1719610435"/>
    <s v="Finalizado (1/1)"/>
    <n v="40.436999999999998"/>
    <n v="94.352999999999994"/>
    <n v="134.79"/>
    <s v="Sessão Faturada"/>
    <n v="773458001449010"/>
    <n v="50111"/>
    <s v="Unidade Vieiralves"/>
    <n v="1719610435"/>
    <m/>
  </r>
  <r>
    <x v="21"/>
    <x v="38"/>
    <s v="Sara Vasconcelos"/>
    <m/>
    <x v="7"/>
    <x v="28"/>
    <s v="Vieiralves - 10 - Avaliação de Quiropraxia (R$ 150,00)"/>
    <s v="Quiropraxia"/>
    <m/>
    <s v="Finalizado (1/1)"/>
    <n v="75"/>
    <n v="75"/>
    <n v="150"/>
    <s v="Pago"/>
    <n v="0"/>
    <n v="40795"/>
    <s v="Unidade Vieralves (ANEXO)"/>
    <m/>
    <m/>
  </r>
  <r>
    <x v="24"/>
    <x v="40"/>
    <s v="Ariadine Campos Ribeiro"/>
    <s v="Feminino"/>
    <x v="7"/>
    <x v="28"/>
    <s v="Vieiralves - 9 - Quiropraxia (R$ 120,00)"/>
    <s v="Quiropraxia"/>
    <m/>
    <s v="Finalizado (1/1)"/>
    <n v="60"/>
    <n v="60"/>
    <n v="120"/>
    <s v="Pago"/>
    <s v="00"/>
    <n v="56800"/>
    <s v="Unidade Vieralves (ANEXO)"/>
    <m/>
    <m/>
  </r>
  <r>
    <x v="24"/>
    <x v="38"/>
    <s v="Heloane Passos Bentes"/>
    <s v="Feminino"/>
    <x v="7"/>
    <x v="28"/>
    <s v="Vieiralves - 10 - Avaliação de Quiropraxia (R$ 150,00)"/>
    <s v="Quiropraxia"/>
    <m/>
    <s v="Finalizado (1/1)"/>
    <n v="75"/>
    <n v="75"/>
    <n v="150"/>
    <s v="Pago"/>
    <s v="00"/>
    <n v="59692"/>
    <s v="Unidade Vieralves (ANEXO)"/>
    <m/>
    <m/>
  </r>
  <r>
    <x v="25"/>
    <x v="41"/>
    <s v="Rui Eric Melo"/>
    <s v="Masculino"/>
    <x v="7"/>
    <x v="28"/>
    <s v="Vieiralves - 10 - Avaliação de Quiropraxia (R$ 150,00)"/>
    <s v="Quiropraxia"/>
    <m/>
    <s v="Finalizado (1/1)"/>
    <n v="75"/>
    <n v="75"/>
    <n v="150"/>
    <s v="Pago"/>
    <n v="0"/>
    <n v="59803"/>
    <s v="Unidade Vieralves (ANEXO)"/>
    <m/>
    <m/>
  </r>
  <r>
    <x v="14"/>
    <x v="0"/>
    <s v="Francimary da Costa Duarte Otsuka"/>
    <s v="Feminino"/>
    <x v="1"/>
    <x v="29"/>
    <s v="10101012 - Consulta Ortopédica (R$ 100,00)"/>
    <s v="Ortopedia"/>
    <n v="9162478"/>
    <s v="Finalizado (1/1)"/>
    <n v="30"/>
    <n v="70"/>
    <n v="100"/>
    <s v="Sessão Faturada"/>
    <n v="2001013467330100"/>
    <n v="42241"/>
    <s v="Unidade Vieiralves"/>
    <n v="9162478"/>
    <m/>
  </r>
  <r>
    <x v="14"/>
    <x v="2"/>
    <s v="Zoma Araújo"/>
    <s v="Masculino"/>
    <x v="12"/>
    <x v="29"/>
    <s v="10101012 - Consulta Medica (R$ 134,79)"/>
    <s v="Ortopedia"/>
    <n v="33421403"/>
    <s v="Finalizado (1/1)"/>
    <n v="40.436999999999998"/>
    <n v="94.352999999999994"/>
    <n v="134.79"/>
    <s v="Sessão Faturada"/>
    <n v="9.5056587232713997E+17"/>
    <n v="52491"/>
    <s v="Unidade Vieiralves"/>
    <n v="33421403"/>
    <m/>
  </r>
  <r>
    <x v="14"/>
    <x v="2"/>
    <s v="Waldercley Bandeira da Silva"/>
    <s v="Masculino"/>
    <x v="12"/>
    <x v="29"/>
    <s v="10101012 - Consulta Medica (R$ 134,79)"/>
    <s v="Ortopedia"/>
    <n v="33420495"/>
    <s v="Finalizado (1/1)"/>
    <n v="40.436999999999998"/>
    <n v="94.352999999999994"/>
    <n v="134.79"/>
    <s v="Sessão Faturada"/>
    <n v="9.5125483232119002E+17"/>
    <n v="49799"/>
    <s v="Unidade Vieiralves"/>
    <n v="33420495"/>
    <m/>
  </r>
  <r>
    <x v="14"/>
    <x v="2"/>
    <s v="Vanessa da Silva Fonseca"/>
    <s v="Feminino"/>
    <x v="9"/>
    <x v="29"/>
    <s v="10101012 - Consulta Médica (R$ 134,79)"/>
    <s v="Ortopedia"/>
    <n v="1706901002"/>
    <s v="Finalizado (1/1)"/>
    <n v="40.436999999999998"/>
    <n v="94.352999999999994"/>
    <n v="134.79"/>
    <s v="Sessão Faturada"/>
    <n v="954690013838000"/>
    <n v="53326"/>
    <s v="Unidade Vieiralves"/>
    <n v="1706901002"/>
    <m/>
  </r>
  <r>
    <x v="22"/>
    <x v="22"/>
    <s v="Andressa Batista Holanda"/>
    <s v="Feminino"/>
    <x v="5"/>
    <x v="29"/>
    <s v="10101012 - Consulta Medica (R$ 114,34)"/>
    <s v="Ortopedia"/>
    <n v="171169"/>
    <s v="Finalizado (1/1)"/>
    <n v="34.302"/>
    <n v="80.037999999999997"/>
    <n v="114.34"/>
    <s v="Sessão Faturada"/>
    <n v="5400086533010200"/>
    <n v="44423"/>
    <s v="Unidade Vieiralves"/>
    <n v="171169"/>
    <m/>
  </r>
  <r>
    <x v="22"/>
    <x v="22"/>
    <s v="Adenildo Neles de Vasconcelos"/>
    <s v="Masculino"/>
    <x v="4"/>
    <x v="29"/>
    <s v="10101012 - Consulta Médica (R$ 134,79)"/>
    <s v="Ortopedia"/>
    <n v="1710319776"/>
    <s v="Finalizado (1/1)"/>
    <n v="40.436999999999998"/>
    <n v="94.352999999999994"/>
    <n v="134.79"/>
    <s v="Sessão Faturada"/>
    <n v="890729700019020"/>
    <n v="47173"/>
    <s v="Unidade Vieiralves"/>
    <n v="1710319776"/>
    <m/>
  </r>
  <r>
    <x v="22"/>
    <x v="2"/>
    <s v="Dejacy Costa da Silva"/>
    <s v="Masculino"/>
    <x v="7"/>
    <x v="29"/>
    <s v="Vieiralves - 11 - Consulta (R$ 400,00)"/>
    <s v="Ortopedia"/>
    <m/>
    <s v="Finalizado (1/1)"/>
    <n v="80"/>
    <n v="320"/>
    <n v="400"/>
    <s v="Pago"/>
    <s v="00"/>
    <n v="59600"/>
    <s v="Unidade Vieiralves"/>
    <m/>
    <m/>
  </r>
  <r>
    <x v="2"/>
    <x v="22"/>
    <s v="Erica Souza de Lima"/>
    <s v="Feminino"/>
    <x v="7"/>
    <x v="29"/>
    <s v="Vieiralves - 12 - Consulta Com Desconto (R$ 250,00)"/>
    <s v="Ortopedia"/>
    <m/>
    <s v="Finalizado (1/1)"/>
    <n v="100"/>
    <n v="150"/>
    <n v="250"/>
    <s v="Pago"/>
    <s v="00"/>
    <n v="59603"/>
    <s v="Unidade Vieiralves"/>
    <m/>
    <m/>
  </r>
  <r>
    <x v="2"/>
    <x v="22"/>
    <s v="Anne Karynne Almeida Castelo Branco"/>
    <s v="Feminino"/>
    <x v="13"/>
    <x v="29"/>
    <s v="10101012 - Consulta Médica (R$ 72,48)"/>
    <s v="Ortopedia"/>
    <n v="13756394"/>
    <s v="Finalizado (1/1)"/>
    <n v="21.744"/>
    <n v="50.735999999999997"/>
    <n v="72.48"/>
    <s v="Sessão Faturada"/>
    <s v="00010300039824008"/>
    <n v="55604"/>
    <s v="Unidade Vieiralves"/>
    <n v="13756394"/>
    <m/>
  </r>
  <r>
    <x v="2"/>
    <x v="22"/>
    <s v="Amelia Soares Gama"/>
    <s v="Feminino"/>
    <x v="9"/>
    <x v="29"/>
    <s v="10101012 - Consulta Médica (R$ 134,79)"/>
    <s v="Ortopedia"/>
    <n v="1714071620"/>
    <s v="Finalizado (1/1)"/>
    <n v="40.436999999999998"/>
    <n v="94.352999999999994"/>
    <n v="134.79"/>
    <s v="Sessão Faturada"/>
    <n v="954600016195000"/>
    <n v="39532"/>
    <s v="Unidade Vieiralves"/>
    <n v="1714071620"/>
    <m/>
  </r>
  <r>
    <x v="2"/>
    <x v="22"/>
    <s v="David de Souza Brandão"/>
    <s v="Masculino"/>
    <x v="1"/>
    <x v="29"/>
    <s v="10101012 - Consulta Ortopédica (R$ 100,00)"/>
    <s v="Ortopedia"/>
    <n v="9417964"/>
    <s v="Finalizado (1/1)"/>
    <n v="30"/>
    <n v="70"/>
    <n v="100"/>
    <s v="Sessão Faturada"/>
    <s v="0901013409150193"/>
    <n v="48043"/>
    <s v="Unidade Vieiralves"/>
    <n v="9417964"/>
    <m/>
  </r>
  <r>
    <x v="2"/>
    <x v="0"/>
    <s v="Maria Fernanda Cabral Ribeiro"/>
    <s v="Feminino"/>
    <x v="4"/>
    <x v="29"/>
    <s v="10101012 - Consulta Médica (R$ 134,79)"/>
    <s v="Ortopedia"/>
    <n v="1714108328"/>
    <s v="Finalizado (1/1)"/>
    <n v="40.436999999999998"/>
    <n v="94.352999999999994"/>
    <n v="134.79"/>
    <s v="Sessão Faturada"/>
    <n v="774981007498000"/>
    <n v="55356"/>
    <s v="Unidade Vieiralves"/>
    <n v="1714108328"/>
    <m/>
  </r>
  <r>
    <x v="2"/>
    <x v="0"/>
    <s v="Joao Guilherme Brandao Castelo Branco"/>
    <s v="Masculino"/>
    <x v="4"/>
    <x v="29"/>
    <s v="10101012 - Consulta Médica (R$ 134,79)"/>
    <s v="Ortopedia"/>
    <n v="1714145987"/>
    <s v="Finalizado (1/1)"/>
    <n v="40.436999999999998"/>
    <n v="94.352999999999994"/>
    <n v="134.79"/>
    <s v="Sessão Faturada"/>
    <n v="772299077860020"/>
    <n v="59616"/>
    <s v="Unidade Vieiralves"/>
    <n v="1714145987"/>
    <m/>
  </r>
  <r>
    <x v="2"/>
    <x v="0"/>
    <s v="Aldenir Fialho  Viana"/>
    <s v="Masculino"/>
    <x v="7"/>
    <x v="29"/>
    <s v="Vieiralves - 12 - Consulta Com Desconto (R$ 250,00)"/>
    <s v="Ortopedia"/>
    <m/>
    <s v="Finalizado (1/1)"/>
    <n v="100"/>
    <n v="150"/>
    <n v="250"/>
    <s v="Pago"/>
    <s v="0180537987000263"/>
    <n v="45703"/>
    <s v="Unidade Vieiralves"/>
    <m/>
    <m/>
  </r>
  <r>
    <x v="2"/>
    <x v="2"/>
    <s v="Ricardo Soares Lozana"/>
    <s v="Masculino"/>
    <x v="4"/>
    <x v="29"/>
    <s v="10101012 - Consulta Médica (R$ 134,79)"/>
    <s v="Ortopedia"/>
    <n v="1714080138"/>
    <s v="Finalizado (1/1)"/>
    <n v="40.436999999999998"/>
    <n v="94.352999999999994"/>
    <n v="134.79"/>
    <s v="Sessão Faturada"/>
    <n v="774981012963020"/>
    <n v="43591"/>
    <s v="Unidade Vieiralves"/>
    <n v="1714080138"/>
    <m/>
  </r>
  <r>
    <x v="2"/>
    <x v="2"/>
    <s v="Gretha Ribeiro Fraiji"/>
    <s v="Feminino"/>
    <x v="1"/>
    <x v="29"/>
    <s v="10101012 - Consulta Ortopédica (R$ 100,00)"/>
    <s v="Ortopedia"/>
    <n v="9419321"/>
    <s v="Finalizado (1/1)"/>
    <n v="30"/>
    <n v="70"/>
    <n v="100"/>
    <s v="Sessão Faturada"/>
    <n v="1101013613880100"/>
    <n v="59683"/>
    <s v="Unidade Vieiralves"/>
    <n v="9419321"/>
    <m/>
  </r>
  <r>
    <x v="2"/>
    <x v="2"/>
    <s v="Sueli Pinheiro dos Santos"/>
    <s v="Feminino"/>
    <x v="4"/>
    <x v="29"/>
    <s v="10101012 - Consulta Médica (R$ 134,79)"/>
    <s v="Ortopedia"/>
    <n v="1714077733"/>
    <s v="Finalizado (1/1)"/>
    <n v="40.436999999999998"/>
    <n v="94.352999999999994"/>
    <n v="134.79"/>
    <s v="Sessão Faturada"/>
    <n v="611216130001000"/>
    <n v="59662"/>
    <s v="Unidade Vieiralves"/>
    <n v="1714077733"/>
    <m/>
  </r>
  <r>
    <x v="2"/>
    <x v="2"/>
    <s v="Omer Yurtsever Guerra"/>
    <s v="Masculino"/>
    <x v="4"/>
    <x v="29"/>
    <s v="10101012 - Consulta Médica (R$ 134,79)"/>
    <s v="Ortopedia"/>
    <n v="1714099315"/>
    <s v="Finalizado (1/1)"/>
    <n v="40.436999999999998"/>
    <n v="94.352999999999994"/>
    <n v="134.79"/>
    <s v="Sessão Faturada"/>
    <n v="897569300019020"/>
    <n v="59658"/>
    <s v="Unidade Vieiralves"/>
    <n v="1714099315"/>
    <m/>
  </r>
  <r>
    <x v="7"/>
    <x v="22"/>
    <s v="Dejacy Costa da Silva"/>
    <s v="Masculino"/>
    <x v="7"/>
    <x v="29"/>
    <s v="Vieiralves - 23 - Retorno - Consulta (R$ 0,00)"/>
    <s v="Ortopedia"/>
    <m/>
    <s v="Finalizado (1/1)"/>
    <n v="0"/>
    <n v="0"/>
    <n v="0"/>
    <s v="Sem Lançamento"/>
    <s v="00"/>
    <n v="59600"/>
    <s v="Unidade Vieiralves"/>
    <m/>
    <m/>
  </r>
  <r>
    <x v="7"/>
    <x v="22"/>
    <s v="Ivison Melo Nunes"/>
    <s v="Masculino"/>
    <x v="4"/>
    <x v="29"/>
    <s v="10101012 - Consulta Médica (R$ 134,79)"/>
    <s v="Ortopedia"/>
    <n v="1717168420"/>
    <s v="Finalizado (1/1)"/>
    <n v="40.436999999999998"/>
    <n v="94.352999999999994"/>
    <n v="134.79"/>
    <s v="Sessão Faturada"/>
    <n v="774063009652000"/>
    <n v="59417"/>
    <s v="Unidade Vieiralves"/>
    <n v="1717168420"/>
    <m/>
  </r>
  <r>
    <x v="7"/>
    <x v="0"/>
    <s v="Vanessa da Silva Fonseca"/>
    <s v="Feminino"/>
    <x v="9"/>
    <x v="29"/>
    <s v="10101012 - Consulta Médica (R$ 134,79)"/>
    <s v="Ortopedia"/>
    <n v="1717159567"/>
    <s v="Finalizado (1/1)"/>
    <n v="40.436999999999998"/>
    <n v="94.352999999999994"/>
    <n v="134.79"/>
    <s v="Sessão Faturada"/>
    <n v="954690013838000"/>
    <n v="53326"/>
    <s v="Unidade Vieiralves"/>
    <n v="1717159567"/>
    <m/>
  </r>
  <r>
    <x v="7"/>
    <x v="0"/>
    <s v="Rilla Tatiane Oliveira da Silva"/>
    <s v="Feminino"/>
    <x v="4"/>
    <x v="29"/>
    <s v="10101012 - Consulta Médica (R$ 134,79)"/>
    <s v="Ortopedia"/>
    <n v="1717153418"/>
    <s v="Finalizado (1/1)"/>
    <n v="40.436999999999998"/>
    <n v="94.352999999999994"/>
    <n v="134.79"/>
    <s v="Sessão Faturada"/>
    <n v="774078003212010"/>
    <n v="58100"/>
    <s v="Unidade Vieiralves"/>
    <n v="1717153418"/>
    <m/>
  </r>
  <r>
    <x v="7"/>
    <x v="2"/>
    <s v="Ivy Manoelly de Moraes Melo"/>
    <s v="Feminino"/>
    <x v="4"/>
    <x v="29"/>
    <s v="10101012 - Consulta Médica (R$ 134,79)"/>
    <s v="Ortopedia"/>
    <n v="1717169748"/>
    <s v="Finalizado (1/1)"/>
    <n v="40.436999999999998"/>
    <n v="94.352999999999994"/>
    <n v="134.79"/>
    <s v="Sessão Faturada"/>
    <n v="774063009652010"/>
    <n v="58085"/>
    <s v="Unidade Vieiralves"/>
    <n v="1717169748"/>
    <m/>
  </r>
  <r>
    <x v="7"/>
    <x v="2"/>
    <s v="Aidila Maria de Carvalho Bastos"/>
    <s v="Feminino"/>
    <x v="4"/>
    <x v="29"/>
    <s v="10101012 - Consulta Médica (R$ 134,79)"/>
    <s v="Ortopedia"/>
    <n v="1717191107"/>
    <s v="Finalizado (1/1)"/>
    <n v="40.436999999999998"/>
    <n v="94.352999999999994"/>
    <n v="134.79"/>
    <s v="Sessão Faturada"/>
    <n v="837717000213010"/>
    <n v="58061"/>
    <s v="Unidade Vieiralves"/>
    <n v="1717191107"/>
    <m/>
  </r>
  <r>
    <x v="7"/>
    <x v="2"/>
    <s v="Shirley de Jesus Maranhao de Oliveira"/>
    <s v="Feminino"/>
    <x v="1"/>
    <x v="29"/>
    <s v="10101012 - Consulta Ortopédica (R$ 100,00)"/>
    <s v="Ortopedia"/>
    <n v="9540441"/>
    <s v="Finalizado (1/1)"/>
    <n v="30"/>
    <n v="70"/>
    <n v="100"/>
    <s v="Sessão Faturada"/>
    <n v="2001012922200100"/>
    <n v="59047"/>
    <s v="Unidade Vieiralves"/>
    <n v="9540441"/>
    <m/>
  </r>
  <r>
    <x v="14"/>
    <x v="44"/>
    <s v="Samela da Silva Rocha"/>
    <s v="Feminino"/>
    <x v="4"/>
    <x v="30"/>
    <s v="10101012 - Consulta Médica (R$ 134,79)"/>
    <s v="Ortopedia"/>
    <n v="1706709346"/>
    <s v="Finalizado (1/1)"/>
    <n v="40.436999999999998"/>
    <n v="94.352999999999994"/>
    <n v="134.79"/>
    <s v="Sessão Faturada"/>
    <n v="774063012955000"/>
    <n v="59228"/>
    <s v="Unidade Vieiralves"/>
    <n v="1706709346"/>
    <m/>
  </r>
  <r>
    <x v="14"/>
    <x v="44"/>
    <s v="Juliana Garcia Viana"/>
    <s v="Feminino"/>
    <x v="9"/>
    <x v="30"/>
    <s v="10101012 - Consulta Médica (R$ 134,79)"/>
    <s v="Ortopedia"/>
    <n v="1706731783"/>
    <s v="Finalizado (1/1)"/>
    <n v="40.436999999999998"/>
    <n v="94.352999999999994"/>
    <n v="134.79"/>
    <s v="Sessão Faturada"/>
    <n v="954600033006000"/>
    <n v="56608"/>
    <s v="Unidade Vieiralves"/>
    <n v="1706731783"/>
    <m/>
  </r>
  <r>
    <x v="14"/>
    <x v="44"/>
    <s v="Graziella Akemi Nishihira"/>
    <s v="Feminino"/>
    <x v="4"/>
    <x v="30"/>
    <s v="10101012 - Consulta Médica (R$ 134,79)"/>
    <s v="Ortopedia"/>
    <n v="1706689736"/>
    <s v="Finalizado (1/1)"/>
    <n v="40.436999999999998"/>
    <n v="94.352999999999994"/>
    <n v="134.79"/>
    <s v="Sessão Faturada"/>
    <n v="610572320002040"/>
    <n v="41913"/>
    <s v="Unidade Vieiralves"/>
    <n v="1706689736"/>
    <m/>
  </r>
  <r>
    <x v="14"/>
    <x v="41"/>
    <s v="Rute Oliveira da Silva"/>
    <s v="Feminino"/>
    <x v="7"/>
    <x v="30"/>
    <s v="Vieiralves - 12 - Consulta Com Desconto (R$ 250,00)"/>
    <s v="Ortopedia"/>
    <m/>
    <s v="Finalizado (1/1)"/>
    <n v="100"/>
    <n v="150"/>
    <n v="250"/>
    <s v="Pago"/>
    <s v="0180533817010284"/>
    <n v="32807"/>
    <s v="Unidade Vieiralves"/>
    <m/>
    <m/>
  </r>
  <r>
    <x v="14"/>
    <x v="36"/>
    <s v="Reginaldo Lasmar Costa"/>
    <s v="Masculino"/>
    <x v="7"/>
    <x v="30"/>
    <s v="Vieiralves - 12 - Consulta Com Desconto (R$ 250,00)"/>
    <s v="Ortopedia"/>
    <m/>
    <s v="Finalizado (1/1)"/>
    <n v="100"/>
    <n v="150"/>
    <n v="250"/>
    <s v="Pago"/>
    <n v="58155"/>
    <n v="58155"/>
    <s v="Unidade Vieiralves"/>
    <m/>
    <m/>
  </r>
  <r>
    <x v="14"/>
    <x v="36"/>
    <s v="Adriane Cavalcante Xavier"/>
    <s v="Feminino"/>
    <x v="4"/>
    <x v="30"/>
    <s v="10101012 - Consulta Médica (R$ 134,79)"/>
    <s v="Ortopedia"/>
    <n v="1706627878"/>
    <s v="Finalizado (1/1)"/>
    <n v="40.436999999999998"/>
    <n v="94.352999999999994"/>
    <n v="134.79"/>
    <s v="Sessão Faturada"/>
    <n v="811285500019020"/>
    <n v="43789"/>
    <s v="Unidade Vieiralves"/>
    <n v="1706627878"/>
    <m/>
  </r>
  <r>
    <x v="14"/>
    <x v="40"/>
    <s v="Wanise de Oliveira Bastos"/>
    <s v="Feminino"/>
    <x v="3"/>
    <x v="30"/>
    <s v="0009 - Consulta Ortopedia (R$ 150,00)"/>
    <s v="Ortopedia"/>
    <m/>
    <s v="Finalizado (1/1)"/>
    <n v="45"/>
    <n v="105"/>
    <n v="150"/>
    <s v="Sessão a Faturar"/>
    <n v="1166"/>
    <n v="44798"/>
    <s v="Unidade Vieiralves"/>
    <m/>
    <m/>
  </r>
  <r>
    <x v="14"/>
    <x v="40"/>
    <s v="Carlos Jose Cavalcante Martins"/>
    <s v="Masculino"/>
    <x v="4"/>
    <x v="30"/>
    <s v="10101012 - Consulta Médica (R$ 134,79)"/>
    <s v="Ortopedia"/>
    <n v="1706663607"/>
    <s v="Finalizado (1/1)"/>
    <n v="40.436999999999998"/>
    <n v="94.352999999999994"/>
    <n v="134.79"/>
    <s v="Sessão Faturada"/>
    <n v="830425500051000"/>
    <n v="59320"/>
    <s v="Unidade Vieiralves"/>
    <n v="1706663607"/>
    <m/>
  </r>
  <r>
    <x v="22"/>
    <x v="44"/>
    <s v="Pamela Pavanetto"/>
    <s v="Feminino"/>
    <x v="1"/>
    <x v="30"/>
    <s v="10101012 - Consulta Ortopédica (R$ 100,00)"/>
    <s v="Ortopedia"/>
    <n v="9277666"/>
    <s v="Finalizado (1/1)"/>
    <n v="30"/>
    <n v="70"/>
    <n v="100"/>
    <s v="Sessão Faturada"/>
    <s v="0901013948460075"/>
    <n v="59596"/>
    <s v="Unidade Vieiralves"/>
    <n v="9277666"/>
    <m/>
  </r>
  <r>
    <x v="22"/>
    <x v="44"/>
    <s v="Raimundo do Rosario Coelho Mar"/>
    <s v="Masculino"/>
    <x v="7"/>
    <x v="30"/>
    <s v="Part convenio - 11 - Consulta Postal Saude Dra Sandra (R$ 150,00)"/>
    <s v="Ortopedia"/>
    <m/>
    <s v="Finalizado (1/1)"/>
    <n v="150"/>
    <n v="0"/>
    <n v="150"/>
    <s v="Pago"/>
    <s v="0180525733000207"/>
    <n v="15086"/>
    <s v="Unidade Vieiralves"/>
    <m/>
    <m/>
  </r>
  <r>
    <x v="22"/>
    <x v="44"/>
    <s v="Rafaela Silva de Sousa"/>
    <s v="Feminino"/>
    <x v="1"/>
    <x v="30"/>
    <s v="10101012 - Consulta Ortopédica (R$ 100,00)"/>
    <s v="Ortopedia"/>
    <n v="9278739"/>
    <s v="Finalizado (1/1)"/>
    <n v="30"/>
    <n v="70"/>
    <n v="100"/>
    <s v="Sessão Faturada"/>
    <n v="1101013081460100"/>
    <n v="54168"/>
    <s v="Unidade Vieiralves"/>
    <n v="9278739"/>
    <m/>
  </r>
  <r>
    <x v="22"/>
    <x v="41"/>
    <s v="Laindks Lopes"/>
    <s v="Feminino"/>
    <x v="4"/>
    <x v="30"/>
    <s v="10101012 - Consulta Médica (R$ 134,79)"/>
    <s v="Ortopedia"/>
    <n v="1710130905"/>
    <s v="Finalizado (1/1)"/>
    <n v="40.436999999999998"/>
    <n v="94.352999999999994"/>
    <n v="134.79"/>
    <s v="Sessão Faturada"/>
    <n v="611453030001010"/>
    <n v="29"/>
    <s v="Unidade Vieiralves"/>
    <n v="1710130905"/>
    <m/>
  </r>
  <r>
    <x v="22"/>
    <x v="41"/>
    <s v="Hudson Antonio Cristo Braga"/>
    <s v="Masculino"/>
    <x v="9"/>
    <x v="30"/>
    <s v="10101012 - Consulta Médica (R$ 134,79)"/>
    <s v="Ortopedia"/>
    <n v="1710111491"/>
    <s v="Finalizado (1/1)"/>
    <n v="40.436999999999998"/>
    <n v="94.352999999999994"/>
    <n v="134.79"/>
    <s v="Sessão Faturada"/>
    <n v="954600020168030"/>
    <n v="47654"/>
    <s v="Unidade Vieiralves"/>
    <n v="1710111491"/>
    <m/>
  </r>
  <r>
    <x v="22"/>
    <x v="41"/>
    <s v="Katia Cilene Jardim da Costa"/>
    <s v="Feminino"/>
    <x v="4"/>
    <x v="30"/>
    <s v="10101012 - Consulta Médica (R$ 134,79)"/>
    <s v="Ortopedia"/>
    <n v="1710037515"/>
    <s v="Finalizado (1/1)"/>
    <n v="40.436999999999998"/>
    <n v="94.352999999999994"/>
    <n v="134.79"/>
    <s v="Sessão Faturada"/>
    <n v="771015041750020"/>
    <n v="37973"/>
    <s v="Unidade Vieiralves"/>
    <n v="1710037515"/>
    <m/>
  </r>
  <r>
    <x v="22"/>
    <x v="41"/>
    <s v="Kesia Rachel Martins Jathay"/>
    <s v="Feminino"/>
    <x v="4"/>
    <x v="30"/>
    <s v="10101012 - Consulta Médica (R$ 134,79)"/>
    <s v="Ortopedia"/>
    <n v="1710117044"/>
    <s v="Finalizado (1/1)"/>
    <n v="40.436999999999998"/>
    <n v="94.352999999999994"/>
    <n v="134.79"/>
    <s v="Sessão Faturada"/>
    <n v="894937200736000"/>
    <n v="53553"/>
    <s v="Unidade Vieiralves"/>
    <n v="1710117044"/>
    <m/>
  </r>
  <r>
    <x v="22"/>
    <x v="36"/>
    <s v="Tatianna Silva Portes"/>
    <s v="Feminino"/>
    <x v="5"/>
    <x v="30"/>
    <s v="10101012 - Consulta Medica (R$ 114,34)"/>
    <s v="Ortopedia"/>
    <n v="170759"/>
    <s v="Finalizado (1/1)"/>
    <n v="34.302"/>
    <n v="80.037999999999997"/>
    <n v="114.34"/>
    <s v="Sessão Faturada"/>
    <s v="0100621050010300"/>
    <n v="55555"/>
    <s v="Unidade Vieiralves"/>
    <n v="170759"/>
    <m/>
  </r>
  <r>
    <x v="22"/>
    <x v="36"/>
    <s v="Adriana Santos Gonçalves da Silva"/>
    <s v="Feminino"/>
    <x v="4"/>
    <x v="30"/>
    <s v="10101012 - Consulta Médica (R$ 134,79)"/>
    <s v="Ortopedia"/>
    <n v="1710167322"/>
    <s v="Finalizado (1/1)"/>
    <n v="40.436999999999998"/>
    <n v="94.352999999999994"/>
    <n v="134.79"/>
    <s v="Sessão Faturada"/>
    <n v="611019330003020"/>
    <n v="45664"/>
    <s v="Unidade Vieiralves"/>
    <n v="1710167322"/>
    <m/>
  </r>
  <r>
    <x v="22"/>
    <x v="40"/>
    <s v="Sandra Souza Cavalcante"/>
    <m/>
    <x v="4"/>
    <x v="30"/>
    <s v="10101012 - Consulta Médica (R$ 134,79)"/>
    <s v="Ortopedia"/>
    <n v="1710026573"/>
    <s v="Finalizado (1/1)"/>
    <n v="40.436999999999998"/>
    <n v="94.352999999999994"/>
    <n v="134.79"/>
    <s v="Sessão Faturada"/>
    <n v="773299001503000"/>
    <n v="59519"/>
    <s v="Unidade Vieiralves"/>
    <n v="1710026573"/>
    <m/>
  </r>
  <r>
    <x v="22"/>
    <x v="40"/>
    <s v="Igor de Assis Costa"/>
    <s v="Masculino"/>
    <x v="4"/>
    <x v="30"/>
    <s v="10101012 - Consulta Médica (R$ 134,79)"/>
    <s v="Ortopedia"/>
    <n v="1710077300"/>
    <s v="Finalizado (1/1)"/>
    <n v="40.436999999999998"/>
    <n v="94.352999999999994"/>
    <n v="134.79"/>
    <s v="Sessão Faturada"/>
    <n v="775244005711020"/>
    <n v="59575"/>
    <s v="Unidade Vieiralves"/>
    <n v="1710077300"/>
    <m/>
  </r>
  <r>
    <x v="7"/>
    <x v="44"/>
    <s v="Giovanna Pimentel Archanjo de Oliveira"/>
    <s v="Feminino"/>
    <x v="4"/>
    <x v="30"/>
    <s v="10101012 - Consulta Médica (R$ 134,79)"/>
    <s v="Ortopedia"/>
    <n v="1716906091"/>
    <s v="Finalizado (1/1)"/>
    <n v="40.436999999999998"/>
    <n v="94.352999999999994"/>
    <n v="134.79"/>
    <s v="Sessão Faturada"/>
    <n v="611008290002020"/>
    <n v="56721"/>
    <s v="Unidade Vieiralves"/>
    <n v="1716906091"/>
    <m/>
  </r>
  <r>
    <x v="7"/>
    <x v="44"/>
    <s v="Daianny Cristina Zau de Oliveira Nascimento"/>
    <s v="Feminino"/>
    <x v="12"/>
    <x v="30"/>
    <s v="10101012 - Consulta Medica (R$ 134,79)"/>
    <s v="Ortopedia"/>
    <n v="33807907"/>
    <s v="Finalizado (1/1)"/>
    <n v="40.436999999999998"/>
    <n v="94.352999999999994"/>
    <n v="134.79"/>
    <s v="Sessão Faturada"/>
    <n v="9.5125682282224998E+17"/>
    <n v="50073"/>
    <s v="Unidade Vieiralves"/>
    <n v="33807907"/>
    <m/>
  </r>
  <r>
    <x v="7"/>
    <x v="44"/>
    <s v="Reginaldo Lasmar Costa"/>
    <s v="Masculino"/>
    <x v="7"/>
    <x v="30"/>
    <s v="Vieiralves - 23 - Retorno - Consulta (R$ 0,00)"/>
    <s v="Ortopedia"/>
    <m/>
    <s v="Finalizado (1/1)"/>
    <n v="0"/>
    <n v="0"/>
    <n v="0"/>
    <s v="Sem Lançamento"/>
    <n v="58155"/>
    <n v="58155"/>
    <s v="Unidade Vieiralves"/>
    <m/>
    <m/>
  </r>
  <r>
    <x v="7"/>
    <x v="41"/>
    <s v="Jorge Angelo Fernandes Siqueira"/>
    <s v="Masculino"/>
    <x v="10"/>
    <x v="30"/>
    <s v="10101012 - Consulta Ortopédica (R$ 75,00)"/>
    <s v="Ortopedia"/>
    <n v="22997270"/>
    <s v="Finalizado (1/1)"/>
    <n v="22.5"/>
    <n v="52.5"/>
    <n v="75"/>
    <s v="Sessão Faturada"/>
    <s v="00010064268113001"/>
    <n v="59699"/>
    <s v="Unidade Vieiralves"/>
    <n v="22997270"/>
    <m/>
  </r>
  <r>
    <x v="7"/>
    <x v="41"/>
    <s v="Adan Williams Campos dos Santos"/>
    <s v="Masculino"/>
    <x v="4"/>
    <x v="30"/>
    <s v="10101012 - Consulta Médica (R$ 134,79)"/>
    <s v="Ortopedia"/>
    <n v="1716976372"/>
    <s v="Finalizado (1/1)"/>
    <n v="40.436999999999998"/>
    <n v="94.352999999999994"/>
    <n v="134.79"/>
    <s v="Sessão Faturada"/>
    <n v="775252004774010"/>
    <n v="59766"/>
    <s v="Unidade Vieiralves"/>
    <n v="1716976372"/>
    <m/>
  </r>
  <r>
    <x v="7"/>
    <x v="41"/>
    <s v="Eliana Araujo Pereira Miki"/>
    <s v="Feminino"/>
    <x v="4"/>
    <x v="30"/>
    <s v="10101012 - Consulta Médica (R$ 134,79)"/>
    <s v="Ortopedia"/>
    <n v="1717028699"/>
    <s v="Finalizado (1/1)"/>
    <n v="40.436999999999998"/>
    <n v="94.352999999999994"/>
    <n v="134.79"/>
    <s v="Sessão Faturada"/>
    <n v="771015025992020"/>
    <n v="7512"/>
    <s v="Unidade Vieiralves"/>
    <n v="1717028699"/>
    <m/>
  </r>
  <r>
    <x v="7"/>
    <x v="41"/>
    <s v="Marcia Maria de Souza Miranda"/>
    <s v="Feminino"/>
    <x v="4"/>
    <x v="30"/>
    <s v="10101012 - Consulta Médica (R$ 134,79)"/>
    <s v="Ortopedia"/>
    <n v="1717076799"/>
    <s v="Finalizado (1/1)"/>
    <n v="40.436999999999998"/>
    <n v="94.352999999999994"/>
    <n v="134.79"/>
    <s v="Sessão Faturada"/>
    <n v="884774402038000"/>
    <n v="59779"/>
    <s v="Unidade Vieiralves"/>
    <n v="1717076799"/>
    <m/>
  </r>
  <r>
    <x v="7"/>
    <x v="36"/>
    <s v="Rose Mayre Vieira Barreto"/>
    <s v="Feminino"/>
    <x v="4"/>
    <x v="30"/>
    <s v="10101012 - Consulta Médica (R$ 134,79)"/>
    <s v="Ortopedia"/>
    <n v="1716997679"/>
    <s v="Finalizado (1/1)"/>
    <n v="40.436999999999998"/>
    <n v="94.352999999999994"/>
    <n v="134.79"/>
    <s v="Sessão Faturada"/>
    <n v="813312700027000"/>
    <n v="17029"/>
    <s v="Unidade Vieiralves"/>
    <n v="1716997679"/>
    <m/>
  </r>
  <r>
    <x v="7"/>
    <x v="36"/>
    <s v="Cláudia Maria Ramos da Silva"/>
    <s v="Feminino"/>
    <x v="1"/>
    <x v="30"/>
    <s v="10101012 - Consulta Ortopédica (R$ 100,00)"/>
    <s v="Ortopedia"/>
    <n v="9529685"/>
    <s v="Finalizado (1/1)"/>
    <n v="30"/>
    <n v="70"/>
    <n v="100"/>
    <s v="Sessão Faturada"/>
    <n v="1901013411030200"/>
    <n v="57093"/>
    <s v="Unidade Vieiralves"/>
    <n v="9529685"/>
    <m/>
  </r>
  <r>
    <x v="7"/>
    <x v="36"/>
    <s v="Jean da Silva Feitosa"/>
    <s v="Masculino"/>
    <x v="9"/>
    <x v="30"/>
    <s v="10101012 - Consulta Médica (R$ 134,79)"/>
    <s v="Ortopedia"/>
    <n v="1716993870"/>
    <s v="Finalizado (1/1)"/>
    <n v="40.436999999999998"/>
    <n v="94.352999999999994"/>
    <n v="134.79"/>
    <s v="Sessão Faturada"/>
    <n v="954600006106000"/>
    <n v="51591"/>
    <s v="Unidade Vieiralves"/>
    <n v="1716993870"/>
    <m/>
  </r>
  <r>
    <x v="7"/>
    <x v="40"/>
    <s v="Juliana Alencar Bezerra Saboia"/>
    <s v="Feminino"/>
    <x v="9"/>
    <x v="30"/>
    <s v="10101012 - Consulta Médica (R$ 134,79)"/>
    <s v="Ortopedia"/>
    <n v="1716988111"/>
    <s v="Finalizado (1/1)"/>
    <n v="40.436999999999998"/>
    <n v="94.352999999999994"/>
    <n v="134.79"/>
    <s v="Sessão Faturada"/>
    <n v="954600006106030"/>
    <n v="51592"/>
    <s v="Unidade Vieiralves"/>
    <n v="1716988111"/>
    <m/>
  </r>
  <r>
    <x v="7"/>
    <x v="40"/>
    <s v="Lana Marques Feitosa"/>
    <s v="Feminino"/>
    <x v="9"/>
    <x v="30"/>
    <s v="10101012 - Consulta Médica (R$ 134,79)"/>
    <s v="Ortopedia"/>
    <n v="1716990623"/>
    <s v="Finalizado (1/1)"/>
    <n v="40.436999999999998"/>
    <n v="94.352999999999994"/>
    <n v="134.79"/>
    <s v="Sessão Faturada"/>
    <n v="954600006106020"/>
    <n v="59709"/>
    <s v="Unidade Vieiralves"/>
    <n v="1716990623"/>
    <m/>
  </r>
  <r>
    <x v="7"/>
    <x v="40"/>
    <s v="Noemi Rebecca Ramos Macedo"/>
    <s v="Feminino"/>
    <x v="1"/>
    <x v="30"/>
    <s v="10101012 - Consulta Ortopédica (R$ 100,00)"/>
    <s v="Ortopedia"/>
    <n v="9529744"/>
    <s v="Finalizado (1/1)"/>
    <n v="30"/>
    <n v="70"/>
    <n v="100"/>
    <s v="Sessão Faturada"/>
    <n v="1901013411030100"/>
    <n v="57780"/>
    <s v="Unidade Vieiralves"/>
    <n v="9529744"/>
    <m/>
  </r>
  <r>
    <x v="7"/>
    <x v="40"/>
    <s v="Katia Cilene Jardim da Costa"/>
    <s v="Feminino"/>
    <x v="4"/>
    <x v="30"/>
    <s v="10101012 - Consulta Médica Retorno (R$ 0,00)"/>
    <s v="Ortopedia"/>
    <m/>
    <s v="Finalizado (1/1)"/>
    <n v="0"/>
    <n v="0"/>
    <n v="0"/>
    <s v="Sessão a Faturar"/>
    <n v="771015041750020"/>
    <n v="37973"/>
    <s v="Unidade Vieiralves"/>
    <m/>
    <m/>
  </r>
  <r>
    <x v="12"/>
    <x v="2"/>
    <s v="Magda Rejane Nogueira Miranda"/>
    <m/>
    <x v="29"/>
    <x v="31"/>
    <s v="31601014 - Acupuntura (R$ 73,38)"/>
    <s v="Acupuntura"/>
    <n v="1085571"/>
    <s v="Finalizado (1/10)"/>
    <n v="60.9054"/>
    <n v="12.474600000000001"/>
    <n v="73.38"/>
    <s v="Sessão Faturada"/>
    <n v="130260032740010"/>
    <n v="54854"/>
    <s v="Unidade Vieiralves"/>
    <n v="1085571"/>
    <m/>
  </r>
  <r>
    <x v="12"/>
    <x v="4"/>
    <s v="Rosa da Silva Freitas"/>
    <s v="Feminino"/>
    <x v="12"/>
    <x v="31"/>
    <s v="31601014 - Acupuntura (R$ 54,56)"/>
    <s v="Acupuntura"/>
    <n v="10227147"/>
    <s v="Finalizado (4/10)"/>
    <n v="45.284799999999997"/>
    <n v="9.2751999999999999"/>
    <n v="54.56"/>
    <s v="Sessão Faturada"/>
    <n v="9.5125181212225997E+17"/>
    <n v="55746"/>
    <s v="Unidade Vieiralves"/>
    <n v="10227147"/>
    <m/>
  </r>
  <r>
    <x v="12"/>
    <x v="4"/>
    <s v="Ivanildes Barbosa da Silva"/>
    <s v="Feminino"/>
    <x v="6"/>
    <x v="31"/>
    <s v="31601014 - Acupuntura (R$ 51,33)"/>
    <s v="Acupuntura"/>
    <n v="169850"/>
    <s v="Finalizado (2/4)"/>
    <n v="42.603900000000003"/>
    <n v="8.7261000000000006"/>
    <n v="51.33"/>
    <s v="Sessão a Faturar"/>
    <s v="54588888019240100022"/>
    <n v="58583"/>
    <s v="Unidade Vieiralves"/>
    <n v="169850"/>
    <m/>
  </r>
  <r>
    <x v="12"/>
    <x v="4"/>
    <s v="Jose Mario Chaves Gomes de Oliveira"/>
    <s v="Masculino"/>
    <x v="11"/>
    <x v="31"/>
    <s v="90001000 - Acupuntura (R$ 65,10)"/>
    <s v="Acupuntura"/>
    <n v="2633"/>
    <s v="Finalizado (5/10)"/>
    <n v="54.033000000000001"/>
    <n v="11.067"/>
    <n v="65.099999999999994"/>
    <s v="Sessão Faturada"/>
    <n v="2301648"/>
    <n v="7982"/>
    <s v="Unidade Vieiralves"/>
    <n v="2633"/>
    <m/>
  </r>
  <r>
    <x v="12"/>
    <x v="4"/>
    <s v="Elane Sales de Lima"/>
    <m/>
    <x v="4"/>
    <x v="31"/>
    <s v="31601014 - Acupuntura (R$ 54,56)"/>
    <s v="Acupuntura"/>
    <n v="1701356829"/>
    <s v="Finalizado (5/5)"/>
    <n v="45.284799999999997"/>
    <n v="9.2751999999999999"/>
    <n v="54.56"/>
    <s v="Sessão Faturada"/>
    <n v="773539032034010"/>
    <n v="58812"/>
    <s v="Unidade Vieiralves"/>
    <n v="1701356829"/>
    <m/>
  </r>
  <r>
    <x v="12"/>
    <x v="13"/>
    <s v="Fabíola Graziele Martins de Lima"/>
    <s v="Feminino"/>
    <x v="9"/>
    <x v="31"/>
    <s v="31601014 - Acupuntura (R$ 54,56)"/>
    <s v="Acupuntura"/>
    <n v="1702820947"/>
    <s v="Finalizado (5/5)"/>
    <n v="45.284799999999997"/>
    <n v="9.2751999999999999"/>
    <n v="54.56"/>
    <s v="Sessão Faturada"/>
    <n v="954590029556010"/>
    <n v="59043"/>
    <s v="Unidade Vieiralves"/>
    <n v="1702820947"/>
    <m/>
  </r>
  <r>
    <x v="12"/>
    <x v="13"/>
    <s v="Sophia Rodrigues Dias Leão"/>
    <s v="Feminino"/>
    <x v="6"/>
    <x v="31"/>
    <s v="31601014 - Acupuntura (R$ 51,33)"/>
    <s v="Acupuntura"/>
    <n v="169754"/>
    <s v="Finalizado (2/2)"/>
    <n v="42.603900000000003"/>
    <n v="8.7261000000000006"/>
    <n v="51.33"/>
    <s v="Sessão a Faturar"/>
    <s v="59200277003273040105"/>
    <n v="10002"/>
    <s v="Unidade Vieiralves"/>
    <n v="169754"/>
    <m/>
  </r>
  <r>
    <x v="12"/>
    <x v="13"/>
    <s v="Rosalinda Pereira Brito"/>
    <s v="Feminino"/>
    <x v="4"/>
    <x v="31"/>
    <s v="31601014 - Acupuntura (R$ 54,56)"/>
    <s v="Acupuntura"/>
    <n v="1700925264"/>
    <s v="Finalizado (5/5)"/>
    <n v="45.284799999999997"/>
    <n v="9.2751999999999999"/>
    <n v="54.56"/>
    <s v="Sessão Faturada"/>
    <s v="010544100907015"/>
    <n v="13886"/>
    <s v="Unidade Vieiralves"/>
    <n v="1700925264"/>
    <m/>
  </r>
  <r>
    <x v="12"/>
    <x v="6"/>
    <s v="Daniel de Moura Alves"/>
    <s v="Masculino"/>
    <x v="4"/>
    <x v="31"/>
    <s v="31601014 - Acupuntura (R$ 54,56)"/>
    <s v="Acupuntura"/>
    <n v="1707016890"/>
    <s v="Finalizado (1/5)"/>
    <n v="45.284799999999997"/>
    <n v="9.2751999999999999"/>
    <n v="54.56"/>
    <s v="Sessão Faturada"/>
    <n v="774063007471000"/>
    <n v="58683"/>
    <s v="Unidade Vieiralves"/>
    <n v="1707016890"/>
    <m/>
  </r>
  <r>
    <x v="12"/>
    <x v="15"/>
    <s v="Thaisa Cadais Semen"/>
    <s v="Feminino"/>
    <x v="11"/>
    <x v="31"/>
    <s v="90001000 - Acupuntura (R$ 65,10)"/>
    <s v="Acupuntura"/>
    <n v="1321"/>
    <s v="Finalizado (9/10)"/>
    <n v="54.033000000000001"/>
    <n v="11.067"/>
    <n v="65.099999999999994"/>
    <s v="Sessão Faturada"/>
    <s v="01689"/>
    <n v="22428"/>
    <s v="Unidade Vieiralves"/>
    <n v="1321"/>
    <m/>
  </r>
  <r>
    <x v="12"/>
    <x v="15"/>
    <s v="Samuel Cunha de Oliveira"/>
    <m/>
    <x v="4"/>
    <x v="31"/>
    <s v="31601014 - Acupuntura (R$ 54,56)"/>
    <s v="Acupuntura"/>
    <n v="1705900809"/>
    <s v="Finalizado (1/5)"/>
    <n v="45.284799999999997"/>
    <n v="9.2751999999999999"/>
    <n v="54.56"/>
    <s v="Sessão Faturada"/>
    <n v="837047000191010"/>
    <n v="59496"/>
    <s v="Unidade Vieiralves"/>
    <n v="1705900809"/>
    <m/>
  </r>
  <r>
    <x v="12"/>
    <x v="8"/>
    <s v="Ladyane Moreno Rosa de Almeida"/>
    <s v="Feminino"/>
    <x v="6"/>
    <x v="31"/>
    <s v="31601014 - Acupuntura (R$ 51,33)"/>
    <s v="Acupuntura"/>
    <n v="170125"/>
    <s v="Finalizado (1/4)"/>
    <n v="42.603900000000003"/>
    <n v="8.7261000000000006"/>
    <n v="51.33"/>
    <s v="Sessão a Faturar"/>
    <s v="56788888487957080014"/>
    <n v="56246"/>
    <s v="Unidade Vieiralves"/>
    <n v="170125"/>
    <m/>
  </r>
  <r>
    <x v="12"/>
    <x v="8"/>
    <s v="Felipe da Silva Abreu"/>
    <s v="Masculino"/>
    <x v="7"/>
    <x v="31"/>
    <s v="Vieiralves - 32 - Acupuntura Unitário - Pacote (R$ 80,00)"/>
    <s v="Acupuntura"/>
    <n v="168039"/>
    <s v="Finalizado (5/10)"/>
    <n v="66.400000000000006"/>
    <n v="13.6"/>
    <n v="80"/>
    <s v="Pago"/>
    <n v="0"/>
    <n v="9285"/>
    <s v="Unidade Vieiralves"/>
    <n v="168039"/>
    <m/>
  </r>
  <r>
    <x v="12"/>
    <x v="8"/>
    <s v="Lauren Lauschner Gaikoski"/>
    <s v="Feminino"/>
    <x v="4"/>
    <x v="31"/>
    <s v="31601014 - Acupuntura (R$ 54,56)"/>
    <s v="Acupuntura"/>
    <n v="1703486715"/>
    <s v="Finalizado (3/5)"/>
    <n v="45.284799999999997"/>
    <n v="9.2751999999999999"/>
    <n v="54.56"/>
    <s v="Sessão Faturada"/>
    <n v="775388000299020"/>
    <n v="56279"/>
    <s v="Unidade Vieiralves"/>
    <n v="1703486715"/>
    <m/>
  </r>
  <r>
    <x v="12"/>
    <x v="8"/>
    <s v="Riulna Ventura Muller"/>
    <s v="Feminino"/>
    <x v="7"/>
    <x v="31"/>
    <s v="Part Convenio - 4 - Acupuntura - Pacote (R$ 65,00)"/>
    <s v="Acupuntura"/>
    <n v="158404"/>
    <s v="Finalizado (10/10)"/>
    <n v="53.95"/>
    <n v="11.05"/>
    <n v="65"/>
    <s v="Pago"/>
    <s v="51588888490780040011"/>
    <n v="41071"/>
    <s v="Unidade Vieiralves"/>
    <n v="158404"/>
    <m/>
  </r>
  <r>
    <x v="12"/>
    <x v="10"/>
    <s v="Adalgisa Leitão da Silva Neta"/>
    <s v="Feminino"/>
    <x v="4"/>
    <x v="31"/>
    <s v="31601014 - Acupuntura (R$ 54,56)"/>
    <s v="Acupuntura"/>
    <n v="1701458428"/>
    <s v="Finalizado (5/5)"/>
    <n v="45.284799999999997"/>
    <n v="9.2751999999999999"/>
    <n v="54.56"/>
    <s v="Sessão Faturada"/>
    <n v="770179019950010"/>
    <n v="54553"/>
    <s v="Unidade Vieiralves"/>
    <n v="1701458428"/>
    <m/>
  </r>
  <r>
    <x v="12"/>
    <x v="10"/>
    <s v="Francisco Lima da Silva"/>
    <s v="Masculino"/>
    <x v="4"/>
    <x v="31"/>
    <s v="31601014 - Acupuntura (R$ 54,56)"/>
    <s v="Acupuntura"/>
    <n v="1704928000"/>
    <s v="Finalizado (2/5)"/>
    <n v="45.284799999999997"/>
    <n v="9.2751999999999999"/>
    <n v="54.56"/>
    <s v="Sessão Faturada"/>
    <n v="774981007706010"/>
    <n v="52427"/>
    <s v="Unidade Vieiralves"/>
    <n v="1704928000"/>
    <m/>
  </r>
  <r>
    <x v="12"/>
    <x v="10"/>
    <s v="Alessandra Silveira Rocha"/>
    <s v="Feminino"/>
    <x v="4"/>
    <x v="31"/>
    <s v="31601014 - Acupuntura (R$ 54,56)"/>
    <s v="Acupuntura"/>
    <n v="1701993213"/>
    <s v="Finalizado (5/5)"/>
    <n v="45.284799999999997"/>
    <n v="9.2751999999999999"/>
    <n v="54.56"/>
    <s v="Sessão Faturada"/>
    <n v="774063023809020"/>
    <n v="58966"/>
    <s v="Unidade Vieiralves"/>
    <n v="1701993213"/>
    <m/>
  </r>
  <r>
    <x v="12"/>
    <x v="12"/>
    <s v="Renata de Aguiar Torres"/>
    <s v="Feminino"/>
    <x v="4"/>
    <x v="31"/>
    <s v="31601014 - Acupuntura (R$ 54,56)"/>
    <s v="Acupuntura"/>
    <n v="1702977075"/>
    <s v="Finalizado (2/4)"/>
    <n v="45.284799999999997"/>
    <n v="9.2751999999999999"/>
    <n v="54.56"/>
    <s v="Sessão Faturada"/>
    <n v="960019412893000"/>
    <n v="49038"/>
    <s v="Unidade Vieiralves"/>
    <n v="1702977075"/>
    <m/>
  </r>
  <r>
    <x v="12"/>
    <x v="12"/>
    <s v="Kamila Nayara dos Anjos Cruz"/>
    <s v="Feminino"/>
    <x v="4"/>
    <x v="31"/>
    <s v="31601014 - Acupuntura (R$ 54,56)"/>
    <s v="Acupuntura"/>
    <n v="1702019795"/>
    <s v="Finalizado (2/5)"/>
    <n v="45.284799999999997"/>
    <n v="9.2751999999999999"/>
    <n v="54.56"/>
    <s v="Sessão Faturada"/>
    <n v="960016968538010"/>
    <n v="58063"/>
    <s v="Unidade Vieiralves"/>
    <n v="1702019795"/>
    <m/>
  </r>
  <r>
    <x v="12"/>
    <x v="12"/>
    <s v="Elke Silveira Ferreira de Souza"/>
    <s v="Feminino"/>
    <x v="4"/>
    <x v="31"/>
    <s v="31601014 - Acupuntura (R$ 54,56)"/>
    <s v="Acupuntura"/>
    <n v="1704941668"/>
    <s v="Finalizado (3/5)"/>
    <n v="45.284799999999997"/>
    <n v="9.2751999999999999"/>
    <n v="54.56"/>
    <s v="Sessão Faturada"/>
    <n v="774078000450020"/>
    <n v="40221"/>
    <s v="Unidade Vieiralves"/>
    <n v="1704941668"/>
    <m/>
  </r>
  <r>
    <x v="12"/>
    <x v="20"/>
    <s v="Josicleide Nunes Santos"/>
    <s v="Feminino"/>
    <x v="4"/>
    <x v="31"/>
    <s v="31601014 - Acupuntura (R$ 54,56)"/>
    <s v="Acupuntura"/>
    <n v="1702143791"/>
    <s v="Finalizado (3/5)"/>
    <n v="45.284799999999997"/>
    <n v="9.2751999999999999"/>
    <n v="54.56"/>
    <s v="Sessão Faturada"/>
    <n v="774981001279000"/>
    <n v="20120"/>
    <s v="Unidade Vieiralves"/>
    <n v="1702143791"/>
    <m/>
  </r>
  <r>
    <x v="12"/>
    <x v="20"/>
    <s v="Maykon Nogueira Passos"/>
    <s v="Masculino"/>
    <x v="6"/>
    <x v="31"/>
    <s v="31601014 - Acupuntura (R$ 51,33)"/>
    <s v="Acupuntura"/>
    <n v="169603"/>
    <s v="Finalizado (3/3)"/>
    <n v="42.603900000000003"/>
    <n v="8.7261000000000006"/>
    <n v="51.33"/>
    <s v="Sessão a Faturar"/>
    <s v="54588888021708780014"/>
    <n v="48445"/>
    <s v="Unidade Vieiralves"/>
    <n v="169603"/>
    <m/>
  </r>
  <r>
    <x v="12"/>
    <x v="20"/>
    <s v="Ingrid de Vasconcelos Castelo Branco"/>
    <s v="Feminino"/>
    <x v="12"/>
    <x v="31"/>
    <s v="31601014 - Acupuntura (R$ 54,56)"/>
    <s v="Acupuntura"/>
    <n v="10304048"/>
    <s v="Finalizado (1/5)"/>
    <n v="45.284799999999997"/>
    <n v="9.2751999999999999"/>
    <n v="54.56"/>
    <s v="Sessão Faturada"/>
    <s v="000430852874162602"/>
    <n v="38899"/>
    <s v="Unidade Vieiralves"/>
    <n v="10304048"/>
    <m/>
  </r>
  <r>
    <x v="12"/>
    <x v="20"/>
    <s v="Ana Georgina Viga Lacorte"/>
    <s v="Feminino"/>
    <x v="4"/>
    <x v="31"/>
    <s v="31601014 - Acupuntura (R$ 54,56)"/>
    <s v="Acupuntura"/>
    <n v="1703513148"/>
    <s v="Finalizado (3/5)"/>
    <n v="45.284799999999997"/>
    <n v="9.2751999999999999"/>
    <n v="54.56"/>
    <s v="Sessão Faturada"/>
    <n v="882749100043010"/>
    <n v="50823"/>
    <s v="Unidade Vieiralves"/>
    <n v="1703513148"/>
    <m/>
  </r>
  <r>
    <x v="12"/>
    <x v="28"/>
    <s v="Cristiane Portilho Nascimento Pardo"/>
    <s v="Feminino"/>
    <x v="5"/>
    <x v="31"/>
    <s v="31601014 - Acupuntura - 04/03/2026 (R$ 86,81)"/>
    <s v="Acupuntura"/>
    <n v="78598080"/>
    <s v="Finalizado (1/10)"/>
    <n v="72.052300000000002"/>
    <n v="14.7577"/>
    <n v="86.81"/>
    <s v="Sessão a Faturar"/>
    <s v="010093389000"/>
    <n v="11201"/>
    <s v="Unidade Vieiralves"/>
    <n v="78598080"/>
    <m/>
  </r>
  <r>
    <x v="13"/>
    <x v="2"/>
    <s v="Tiago Godoy Lopes"/>
    <s v="Masculino"/>
    <x v="4"/>
    <x v="31"/>
    <s v="31601014 - Acupuntura (R$ 54,56)"/>
    <s v="Acupuntura"/>
    <n v="170623087"/>
    <s v="Finalizado (1/5)"/>
    <n v="45.284799999999997"/>
    <n v="9.2751999999999999"/>
    <n v="54.56"/>
    <s v="Sessão a Faturar"/>
    <n v="611265590001020"/>
    <n v="58056"/>
    <s v="Unidade Vieiralves"/>
    <n v="170623087"/>
    <m/>
  </r>
  <r>
    <x v="13"/>
    <x v="4"/>
    <s v="Alessandra Souza Braga Bedoschi"/>
    <s v="Feminino"/>
    <x v="6"/>
    <x v="31"/>
    <s v="31601014 - Acupuntura (R$ 51,33)"/>
    <s v="Acupuntura"/>
    <n v="169527"/>
    <s v="Finalizado (2/2)"/>
    <n v="42.603900000000003"/>
    <n v="8.7261000000000006"/>
    <n v="51.33"/>
    <s v="Sessão a Faturar"/>
    <s v="55782971001828710021"/>
    <n v="59376"/>
    <s v="Unidade Vieiralves"/>
    <n v="169527"/>
    <m/>
  </r>
  <r>
    <x v="13"/>
    <x v="4"/>
    <s v="Katia Rodrigues Freitas"/>
    <s v="Feminino"/>
    <x v="6"/>
    <x v="31"/>
    <s v="31601014 - Acupuntura (R$ 51,33)"/>
    <s v="Acupuntura"/>
    <n v="169115"/>
    <s v="Finalizado (2/4)"/>
    <n v="42.603900000000003"/>
    <n v="8.7261000000000006"/>
    <n v="51.33"/>
    <s v="Sessão Faturada"/>
    <s v="54588888004873140018"/>
    <n v="58935"/>
    <s v="Unidade Vieiralves"/>
    <n v="169115"/>
    <m/>
  </r>
  <r>
    <x v="13"/>
    <x v="4"/>
    <s v="Fabíola Graziele Martins de Lima"/>
    <s v="Feminino"/>
    <x v="9"/>
    <x v="31"/>
    <s v="31601014 - Acupuntura (R$ 54,56)"/>
    <s v="Acupuntura"/>
    <n v="1706400728"/>
    <s v="Finalizado (1/5)"/>
    <n v="45.284799999999997"/>
    <n v="9.2751999999999999"/>
    <n v="54.56"/>
    <s v="Sessão Faturada"/>
    <n v="954590029556010"/>
    <n v="59043"/>
    <s v="Unidade Vieiralves"/>
    <n v="1706400728"/>
    <m/>
  </r>
  <r>
    <x v="13"/>
    <x v="15"/>
    <s v="Paulo André Assis de Moura"/>
    <s v="Masculino"/>
    <x v="6"/>
    <x v="31"/>
    <s v="31601014 - Acupuntura (R$ 51,33)"/>
    <s v="Acupuntura"/>
    <n v="169986"/>
    <s v="Finalizado (2/3)"/>
    <n v="42.603900000000003"/>
    <n v="8.7261000000000006"/>
    <n v="51.33"/>
    <s v="Sessão a Faturar"/>
    <s v="54588888488043100010"/>
    <n v="59356"/>
    <s v="Unidade Vieiralves"/>
    <n v="169986"/>
    <m/>
  </r>
  <r>
    <x v="13"/>
    <x v="17"/>
    <s v="Elen Cristina Ferreira Botelho"/>
    <s v="Feminino"/>
    <x v="9"/>
    <x v="31"/>
    <s v="31601014 - Acupuntura (R$ 54,56)"/>
    <s v="Acupuntura"/>
    <n v="1703992511"/>
    <s v="Finalizado (4/5)"/>
    <n v="45.284799999999997"/>
    <n v="9.2751999999999999"/>
    <n v="54.56"/>
    <s v="Sessão Faturada"/>
    <n v="954440000647010"/>
    <n v="15871"/>
    <s v="Unidade Vieiralves"/>
    <n v="1703992511"/>
    <m/>
  </r>
  <r>
    <x v="13"/>
    <x v="17"/>
    <s v="Kaíny Medeiros Maciel"/>
    <s v="Feminino"/>
    <x v="4"/>
    <x v="31"/>
    <s v="31601014 - Acupuntura (R$ 54,56)"/>
    <s v="Acupuntura"/>
    <n v="1706488339"/>
    <s v="Finalizado (1/5)"/>
    <n v="45.284799999999997"/>
    <n v="9.2751999999999999"/>
    <n v="54.56"/>
    <s v="Sessão Faturada"/>
    <n v="774642015580010"/>
    <n v="59326"/>
    <s v="Unidade Vieiralves"/>
    <n v="1706488339"/>
    <m/>
  </r>
  <r>
    <x v="13"/>
    <x v="8"/>
    <s v="Nathana César Bastos"/>
    <s v="Feminino"/>
    <x v="6"/>
    <x v="31"/>
    <s v="31601014 - Acupuntura (R$ 51,33)"/>
    <s v="Acupuntura"/>
    <n v="169873"/>
    <s v="Finalizado (2/4)"/>
    <n v="42.603900000000003"/>
    <n v="8.7261000000000006"/>
    <n v="51.33"/>
    <s v="Sessão a Faturar"/>
    <s v="54588888492204600017"/>
    <n v="59015"/>
    <s v="Unidade Vieiralves"/>
    <n v="169873"/>
    <m/>
  </r>
  <r>
    <x v="13"/>
    <x v="10"/>
    <s v="Karina Souza de Melo"/>
    <s v="Feminino"/>
    <x v="7"/>
    <x v="31"/>
    <s v="Part Convenio - 4 - Acupuntura - Pacote (R$ 65,00)"/>
    <s v="Acupuntura"/>
    <m/>
    <s v="Finalizado (7/10)"/>
    <n v="53.95"/>
    <n v="11.05"/>
    <n v="65"/>
    <s v="No Prazo"/>
    <s v="010244003701"/>
    <n v="58854"/>
    <s v="Unidade Vieiralves"/>
    <m/>
    <m/>
  </r>
  <r>
    <x v="13"/>
    <x v="10"/>
    <s v="Christiane Soares Mourão Vasconcelos"/>
    <s v="Feminino"/>
    <x v="5"/>
    <x v="31"/>
    <s v="31601014 - Acupuntura (R$ 90,51)"/>
    <s v="Acupuntura"/>
    <n v="77756570"/>
    <s v="Finalizado (1/4)"/>
    <n v="75.1233"/>
    <n v="15.386699999999999"/>
    <n v="90.51"/>
    <s v="Sessão Faturada"/>
    <s v="0101027366060139"/>
    <n v="58707"/>
    <s v="Unidade Vieiralves"/>
    <n v="77756570"/>
    <m/>
  </r>
  <r>
    <x v="13"/>
    <x v="28"/>
    <s v="Zoma Araújo"/>
    <s v="Masculino"/>
    <x v="12"/>
    <x v="31"/>
    <s v="31601014 - Acupuntura (R$ 54,56)"/>
    <s v="Acupuntura"/>
    <n v="10314426"/>
    <s v="Finalizado (1/10)"/>
    <n v="45.284799999999997"/>
    <n v="9.2751999999999999"/>
    <n v="54.56"/>
    <s v="Sessão a Faturar"/>
    <n v="9.5056587232713997E+17"/>
    <n v="52491"/>
    <s v="Unidade Vieiralves"/>
    <n v="10314426"/>
    <m/>
  </r>
  <r>
    <x v="14"/>
    <x v="0"/>
    <s v="Dayanne Torres da Silva"/>
    <s v="Feminino"/>
    <x v="6"/>
    <x v="31"/>
    <s v="31601014 - Acupuntura (R$ 51,33)"/>
    <s v="Acupuntura"/>
    <n v="170297"/>
    <s v="Finalizado (1/4)"/>
    <n v="42.603900000000003"/>
    <n v="8.7261000000000006"/>
    <n v="51.33"/>
    <s v="Sessão a Faturar"/>
    <s v="54588888021709000020"/>
    <n v="59506"/>
    <s v="Unidade Vieiralves"/>
    <n v="170297"/>
    <m/>
  </r>
  <r>
    <x v="14"/>
    <x v="4"/>
    <s v="Jose Mario Chaves Gomes de Oliveira"/>
    <s v="Masculino"/>
    <x v="11"/>
    <x v="31"/>
    <s v="90001000 - Acupuntura (R$ 65,10)"/>
    <s v="Acupuntura"/>
    <n v="2633"/>
    <s v="Finalizado (6/10)"/>
    <n v="54.033000000000001"/>
    <n v="11.067"/>
    <n v="65.099999999999994"/>
    <s v="Sessão Faturada"/>
    <n v="2301648"/>
    <n v="7982"/>
    <s v="Unidade Vieiralves"/>
    <n v="2633"/>
    <m/>
  </r>
  <r>
    <x v="14"/>
    <x v="4"/>
    <s v="Ricardo Takashi Yamashita"/>
    <s v="Masculino"/>
    <x v="4"/>
    <x v="31"/>
    <s v="31601014 - Acupuntura (R$ 54,56)"/>
    <s v="Acupuntura"/>
    <n v="1706906743"/>
    <s v="Finalizado (1/4)"/>
    <n v="45.284799999999997"/>
    <n v="9.2751999999999999"/>
    <n v="54.56"/>
    <s v="Sessão Faturada"/>
    <n v="891007000019000"/>
    <n v="52119"/>
    <s v="Unidade Vieiralves"/>
    <n v="1706906743"/>
    <m/>
  </r>
  <r>
    <x v="14"/>
    <x v="4"/>
    <s v="Rosa da Silva Freitas"/>
    <s v="Feminino"/>
    <x v="12"/>
    <x v="31"/>
    <s v="31601014 - Acupuntura (R$ 54,56)"/>
    <s v="Acupuntura"/>
    <n v="10227147"/>
    <s v="Finalizado (5/10)"/>
    <n v="45.284799999999997"/>
    <n v="9.2751999999999999"/>
    <n v="54.56"/>
    <s v="Sessão Faturada"/>
    <n v="9.5125181212225997E+17"/>
    <n v="55746"/>
    <s v="Unidade Vieiralves"/>
    <n v="10227147"/>
    <m/>
  </r>
  <r>
    <x v="14"/>
    <x v="13"/>
    <s v="Rosalinda Pereira Brito"/>
    <s v="Feminino"/>
    <x v="4"/>
    <x v="31"/>
    <s v="31601014 - Acupuntura (R$ 54,56)"/>
    <s v="Acupuntura"/>
    <n v="1706901277"/>
    <s v="Finalizado (1/5)"/>
    <n v="45.284799999999997"/>
    <n v="9.2751999999999999"/>
    <n v="54.56"/>
    <s v="Sessão Faturada"/>
    <s v="010544100907015"/>
    <n v="13886"/>
    <s v="Unidade Vieiralves"/>
    <n v="1706901277"/>
    <m/>
  </r>
  <r>
    <x v="14"/>
    <x v="13"/>
    <s v="Elane Sales de Lima"/>
    <m/>
    <x v="4"/>
    <x v="31"/>
    <s v="31601014 - Acupuntura (R$ 54,56)"/>
    <s v="Acupuntura"/>
    <n v="1706924475"/>
    <s v="Finalizado (1/5)"/>
    <n v="45.284799999999997"/>
    <n v="9.2751999999999999"/>
    <n v="54.56"/>
    <s v="Sessão Faturada"/>
    <n v="773539032034010"/>
    <n v="58812"/>
    <s v="Unidade Vieiralves"/>
    <n v="1706924475"/>
    <m/>
  </r>
  <r>
    <x v="14"/>
    <x v="6"/>
    <s v="Daniel de Moura Alves"/>
    <s v="Masculino"/>
    <x v="4"/>
    <x v="31"/>
    <s v="31601014 - Acupuntura (R$ 54,56)"/>
    <s v="Acupuntura"/>
    <n v="1707016890"/>
    <s v="Finalizado (2/5)"/>
    <n v="45.284799999999997"/>
    <n v="9.2751999999999999"/>
    <n v="54.56"/>
    <s v="Sessão Faturada"/>
    <n v="774063007471000"/>
    <n v="58683"/>
    <s v="Unidade Vieiralves"/>
    <n v="1707016890"/>
    <m/>
  </r>
  <r>
    <x v="14"/>
    <x v="6"/>
    <s v="Bruno Marques da Silva"/>
    <s v="Masculino"/>
    <x v="6"/>
    <x v="31"/>
    <s v="31601014 - Acupuntura (R$ 51,33)"/>
    <s v="Acupuntura"/>
    <n v="170163"/>
    <s v="Finalizado (1/4)"/>
    <n v="42.603900000000003"/>
    <n v="8.7261000000000006"/>
    <n v="51.33"/>
    <s v="Sessão a Faturar"/>
    <s v="51588888485478760019"/>
    <n v="59478"/>
    <s v="Unidade Vieiralves"/>
    <n v="170163"/>
    <m/>
  </r>
  <r>
    <x v="14"/>
    <x v="15"/>
    <s v="Ladyane Moreno Rosa de Almeida"/>
    <s v="Feminino"/>
    <x v="6"/>
    <x v="31"/>
    <s v="31601014 - Acupuntura (R$ 51,33)"/>
    <s v="Acupuntura"/>
    <n v="170125"/>
    <s v="Finalizado (2/4)"/>
    <n v="42.603900000000003"/>
    <n v="8.7261000000000006"/>
    <n v="51.33"/>
    <s v="Sessão a Faturar"/>
    <s v="56788888487957080014"/>
    <n v="56246"/>
    <s v="Unidade Vieiralves"/>
    <n v="170125"/>
    <m/>
  </r>
  <r>
    <x v="14"/>
    <x v="15"/>
    <s v="Floripes Vieira da Silva"/>
    <s v="Feminino"/>
    <x v="12"/>
    <x v="31"/>
    <s v="31601014 - Acupuntura (R$ 54,56)"/>
    <s v="Acupuntura"/>
    <n v="10317100"/>
    <s v="Finalizado (1/1)"/>
    <n v="45.284799999999997"/>
    <n v="9.2751999999999999"/>
    <n v="54.56"/>
    <s v="Sessão Faturada"/>
    <n v="9.5056090336074995E+17"/>
    <n v="59486"/>
    <s v="Unidade Vieiralves"/>
    <n v="10317100"/>
    <m/>
  </r>
  <r>
    <x v="14"/>
    <x v="17"/>
    <s v="Camila Bacelar Oliveira"/>
    <s v="Feminino"/>
    <x v="9"/>
    <x v="31"/>
    <s v="31601014 - Acupuntura (R$ 54,56)"/>
    <s v="Acupuntura"/>
    <n v="1704869773"/>
    <s v="Finalizado (2/3)"/>
    <n v="45.284799999999997"/>
    <n v="9.2751999999999999"/>
    <n v="54.56"/>
    <s v="Sessão Faturada"/>
    <n v="954600031712010"/>
    <n v="59325"/>
    <s v="Unidade Vieiralves"/>
    <n v="1704869773"/>
    <m/>
  </r>
  <r>
    <x v="14"/>
    <x v="10"/>
    <s v="Magda Rejane Nogueira Miranda"/>
    <m/>
    <x v="29"/>
    <x v="31"/>
    <s v="31601014 - Acupuntura (R$ 73,38)"/>
    <s v="Acupuntura"/>
    <n v="1085571"/>
    <s v="Finalizado (2/10)"/>
    <n v="60.9054"/>
    <n v="12.474600000000001"/>
    <n v="73.38"/>
    <s v="Sessão Faturada"/>
    <n v="130260032740010"/>
    <n v="54854"/>
    <s v="Unidade Vieiralves"/>
    <n v="1085571"/>
    <m/>
  </r>
  <r>
    <x v="14"/>
    <x v="10"/>
    <s v="Alessandra Silveira Rocha"/>
    <s v="Feminino"/>
    <x v="4"/>
    <x v="31"/>
    <s v="31601014 - Acupuntura (R$ 54,56)"/>
    <s v="Acupuntura"/>
    <n v="1707007677"/>
    <s v="Finalizado (1/5)"/>
    <n v="45.284799999999997"/>
    <n v="9.2751999999999999"/>
    <n v="54.56"/>
    <s v="Sessão Faturada"/>
    <n v="774063023809020"/>
    <n v="58966"/>
    <s v="Unidade Vieiralves"/>
    <n v="1707007677"/>
    <m/>
  </r>
  <r>
    <x v="14"/>
    <x v="10"/>
    <s v="Adriana Brenda Ferreira Araujo dos Santos"/>
    <s v="Feminino"/>
    <x v="6"/>
    <x v="31"/>
    <s v="31601014 - Acupuntura (R$ 51,33)"/>
    <s v="Acupuntura"/>
    <n v="170155"/>
    <s v="Finalizado (1/2)"/>
    <n v="42.603900000000003"/>
    <n v="8.7261000000000006"/>
    <n v="51.33"/>
    <s v="Sessão a Faturar"/>
    <s v="54588888460185190027"/>
    <n v="17798"/>
    <s v="Unidade Vieiralves"/>
    <n v="170155"/>
    <m/>
  </r>
  <r>
    <x v="14"/>
    <x v="10"/>
    <s v="Adriana Brenda Ferreira Araujo dos Santos"/>
    <s v="Feminino"/>
    <x v="6"/>
    <x v="31"/>
    <s v="10101012 - Consulta Médica (R$ 121,28)"/>
    <s v="Acupuntura"/>
    <n v="7700047099"/>
    <s v="Finalizado (1/1)"/>
    <n v="121.28"/>
    <n v="0"/>
    <n v="121.28"/>
    <s v="Sessão Faturada"/>
    <s v="54588888460185190027"/>
    <n v="17798"/>
    <s v="Unidade Vieiralves"/>
    <n v="7700047099"/>
    <m/>
  </r>
  <r>
    <x v="14"/>
    <x v="10"/>
    <s v="Lauren Lauschner Gaikoski"/>
    <s v="Feminino"/>
    <x v="4"/>
    <x v="31"/>
    <s v="31601014 - Acupuntura (R$ 54,56)"/>
    <s v="Acupuntura"/>
    <n v="1703486715"/>
    <s v="Finalizado (4/5)"/>
    <n v="45.284799999999997"/>
    <n v="9.2751999999999999"/>
    <n v="54.56"/>
    <s v="Sessão Faturada"/>
    <n v="775388000299020"/>
    <n v="56279"/>
    <s v="Unidade Vieiralves"/>
    <n v="1703486715"/>
    <m/>
  </r>
  <r>
    <x v="14"/>
    <x v="12"/>
    <s v="Franciane de Souza Gomes"/>
    <s v="Feminino"/>
    <x v="4"/>
    <x v="31"/>
    <s v="31601014 - Acupuntura (R$ 54,56)"/>
    <s v="Acupuntura"/>
    <n v="1704935429"/>
    <s v="Finalizado (3/4)"/>
    <n v="45.284799999999997"/>
    <n v="9.2751999999999999"/>
    <n v="54.56"/>
    <s v="Sessão Faturada"/>
    <n v="973700009598000"/>
    <n v="16642"/>
    <s v="Unidade Vieiralves"/>
    <n v="1704935429"/>
    <m/>
  </r>
  <r>
    <x v="14"/>
    <x v="20"/>
    <s v="Ormandina Martins Leão"/>
    <s v="Feminino"/>
    <x v="5"/>
    <x v="31"/>
    <s v="31601014 - Acupuntura - 04/03/2026 (R$ 86,81)"/>
    <s v="Acupuntura"/>
    <n v="76457810"/>
    <s v="Não compareceu (7/10)"/>
    <n v="86.81"/>
    <n v="0"/>
    <n v="86.81"/>
    <s v="Sessão Faturada"/>
    <s v="0100865562010408"/>
    <n v="275"/>
    <s v="Unidade Vieiralves"/>
    <n v="76457810"/>
    <m/>
  </r>
  <r>
    <x v="14"/>
    <x v="20"/>
    <s v="Ana Georgina Viga Lacorte"/>
    <s v="Feminino"/>
    <x v="4"/>
    <x v="31"/>
    <s v="31601014 - Acupuntura (R$ 54,56)"/>
    <s v="Acupuntura"/>
    <n v="1703513148"/>
    <s v="Finalizado (4/5)"/>
    <n v="45.284799999999997"/>
    <n v="9.2751999999999999"/>
    <n v="54.56"/>
    <s v="Sessão Faturada"/>
    <n v="882749100043010"/>
    <n v="50823"/>
    <s v="Unidade Vieiralves"/>
    <n v="1703513148"/>
    <m/>
  </r>
  <r>
    <x v="14"/>
    <x v="20"/>
    <s v="Ingrid de Vasconcelos Castelo Branco"/>
    <s v="Feminino"/>
    <x v="12"/>
    <x v="31"/>
    <s v="31601014 - Acupuntura (R$ 54,56)"/>
    <s v="Acupuntura"/>
    <n v="10304048"/>
    <s v="Finalizado (2/5)"/>
    <n v="45.284799999999997"/>
    <n v="9.2751999999999999"/>
    <n v="54.56"/>
    <s v="Sessão Faturada"/>
    <s v="000430852874162602"/>
    <n v="38899"/>
    <s v="Unidade Vieiralves"/>
    <n v="10304048"/>
    <m/>
  </r>
  <r>
    <x v="14"/>
    <x v="28"/>
    <s v="Samuel Cunha de Oliveira"/>
    <m/>
    <x v="4"/>
    <x v="31"/>
    <s v="31601014 - Acupuntura (R$ 54,56)"/>
    <s v="Acupuntura"/>
    <n v="1705900809"/>
    <s v="Finalizado (2/5)"/>
    <n v="45.284799999999997"/>
    <n v="9.2751999999999999"/>
    <n v="54.56"/>
    <s v="Sessão Faturada"/>
    <n v="837047000191010"/>
    <n v="59496"/>
    <s v="Unidade Vieiralves"/>
    <n v="1705900809"/>
    <m/>
  </r>
  <r>
    <x v="15"/>
    <x v="0"/>
    <s v="José Renato Simao Neto"/>
    <m/>
    <x v="29"/>
    <x v="31"/>
    <s v="31601014 - Acupuntura (R$ 73,38)"/>
    <s v="Acupuntura"/>
    <n v="1109409"/>
    <s v="Finalizado (1/1)"/>
    <n v="60.9054"/>
    <n v="12.474600000000001"/>
    <n v="73.38"/>
    <s v="Sessão Faturada"/>
    <n v="130260019409010"/>
    <n v="52275"/>
    <s v="Unidade Vieiralves"/>
    <n v="1109409"/>
    <m/>
  </r>
  <r>
    <x v="15"/>
    <x v="4"/>
    <s v="Laercio Pereira Sarmento Júnior"/>
    <s v="Masculino"/>
    <x v="4"/>
    <x v="31"/>
    <s v="31601014 - Acupuntura (R$ 54,56)"/>
    <s v="Acupuntura"/>
    <n v="1707411588"/>
    <s v="Não compareceu (1/1)"/>
    <n v="54.56"/>
    <n v="0"/>
    <n v="54.56"/>
    <s v="Sessão Faturada"/>
    <n v="774981007145010"/>
    <n v="54312"/>
    <s v="Unidade Vieiralves"/>
    <n v="1707411588"/>
    <m/>
  </r>
  <r>
    <x v="15"/>
    <x v="4"/>
    <s v="Jose Mario Chaves Gomes de Oliveira"/>
    <s v="Masculino"/>
    <x v="11"/>
    <x v="31"/>
    <s v="90001000 - Acupuntura (R$ 65,10)"/>
    <s v="Acupuntura"/>
    <n v="2633"/>
    <s v="Não compareceu (7/10)"/>
    <n v="65.099999999999994"/>
    <n v="0"/>
    <n v="65.099999999999994"/>
    <s v="Sessão Faturada"/>
    <n v="2301648"/>
    <n v="7982"/>
    <s v="Unidade Vieiralves"/>
    <n v="2633"/>
    <m/>
  </r>
  <r>
    <x v="15"/>
    <x v="6"/>
    <s v="Ana Maria Rodrigues Sarmento Pinheiro"/>
    <s v="Feminino"/>
    <x v="29"/>
    <x v="31"/>
    <s v="31601014 - Acupuntura (R$ 73,38)"/>
    <s v="Acupuntura"/>
    <n v="1043755"/>
    <s v="Não compareceu (6/6)"/>
    <n v="73.38"/>
    <n v="0"/>
    <n v="73.38"/>
    <s v="Sessão Faturada"/>
    <n v="130260048495010"/>
    <n v="59352"/>
    <s v="Unidade Vieiralves"/>
    <n v="1043755"/>
    <m/>
  </r>
  <r>
    <x v="15"/>
    <x v="15"/>
    <s v="Kaíny Medeiros Maciel"/>
    <s v="Feminino"/>
    <x v="4"/>
    <x v="31"/>
    <s v="31601014 - Acupuntura (R$ 54,56)"/>
    <s v="Acupuntura"/>
    <n v="1706488339"/>
    <s v="Finalizado (2/5)"/>
    <n v="45.284799999999997"/>
    <n v="9.2751999999999999"/>
    <n v="54.56"/>
    <s v="Sessão Faturada"/>
    <n v="774642015580010"/>
    <n v="59326"/>
    <s v="Unidade Vieiralves"/>
    <n v="1706488339"/>
    <m/>
  </r>
  <r>
    <x v="15"/>
    <x v="8"/>
    <s v="Isaías Monteiro Pinto"/>
    <s v="Masculino"/>
    <x v="6"/>
    <x v="31"/>
    <s v="31601014 - Acupuntura (R$ 51,33)"/>
    <s v="Acupuntura"/>
    <n v="168534"/>
    <s v="Finalizado (3/4)"/>
    <n v="42.603900000000003"/>
    <n v="8.7261000000000006"/>
    <n v="51.33"/>
    <s v="Sessão Faturada"/>
    <s v="54588888004873190015"/>
    <n v="47936"/>
    <s v="Unidade Vieiralves"/>
    <n v="168534"/>
    <m/>
  </r>
  <r>
    <x v="15"/>
    <x v="8"/>
    <s v="Francisco Lima da Silva"/>
    <s v="Masculino"/>
    <x v="4"/>
    <x v="31"/>
    <s v="31601014 - Acupuntura (R$ 54,56)"/>
    <s v="Acupuntura"/>
    <n v="1704928000"/>
    <s v="Finalizado (3/5)"/>
    <n v="45.284799999999997"/>
    <n v="9.2751999999999999"/>
    <n v="54.56"/>
    <s v="Sessão Faturada"/>
    <n v="774981007706010"/>
    <n v="52427"/>
    <s v="Unidade Vieiralves"/>
    <n v="1704928000"/>
    <m/>
  </r>
  <r>
    <x v="15"/>
    <x v="8"/>
    <s v="Lauren Lauschner Gaikoski"/>
    <s v="Feminino"/>
    <x v="4"/>
    <x v="31"/>
    <s v="31601014 - Acupuntura (R$ 54,56)"/>
    <s v="Acupuntura"/>
    <n v="1703486715"/>
    <s v="Finalizado (5/5)"/>
    <n v="45.284799999999997"/>
    <n v="9.2751999999999999"/>
    <n v="54.56"/>
    <s v="Sessão Faturada"/>
    <n v="775388000299020"/>
    <n v="56279"/>
    <s v="Unidade Vieiralves"/>
    <n v="1703486715"/>
    <m/>
  </r>
  <r>
    <x v="15"/>
    <x v="10"/>
    <s v="Magda Rejane Nogueira Miranda"/>
    <m/>
    <x v="29"/>
    <x v="31"/>
    <s v="31601014 - Acupuntura (R$ 73,38)"/>
    <s v="Acupuntura"/>
    <n v="1085571"/>
    <s v="Finalizado (3/10)"/>
    <n v="60.9054"/>
    <n v="12.474600000000001"/>
    <n v="73.38"/>
    <s v="Sessão Faturada"/>
    <n v="130260032740010"/>
    <n v="54854"/>
    <s v="Unidade Vieiralves"/>
    <n v="1085571"/>
    <m/>
  </r>
  <r>
    <x v="15"/>
    <x v="10"/>
    <s v="Karina Souza de Melo"/>
    <s v="Feminino"/>
    <x v="7"/>
    <x v="31"/>
    <s v="Part Convenio - 4 - Acupuntura - Pacote (R$ 65,00)"/>
    <s v="Acupuntura"/>
    <m/>
    <s v="Finalizado (8/10)"/>
    <n v="53.95"/>
    <n v="11.05"/>
    <n v="65"/>
    <s v="No Prazo"/>
    <s v="010244003701"/>
    <n v="58854"/>
    <s v="Unidade Vieiralves"/>
    <m/>
    <m/>
  </r>
  <r>
    <x v="15"/>
    <x v="12"/>
    <s v="Ayumi de Senna Silva"/>
    <s v="Feminino"/>
    <x v="6"/>
    <x v="31"/>
    <s v="31601014 - Acupuntura (R$ 51,33)"/>
    <s v="Acupuntura"/>
    <n v="169384"/>
    <s v="Não compareceu (2/4)"/>
    <n v="51.33"/>
    <n v="0"/>
    <n v="51.33"/>
    <s v="Sessão Faturada"/>
    <s v="51588888463858150017"/>
    <n v="22238"/>
    <s v="Unidade Vieiralves"/>
    <n v="169384"/>
    <m/>
  </r>
  <r>
    <x v="15"/>
    <x v="12"/>
    <s v="Waldir dos Santos Fontes Junior"/>
    <s v="Masculino"/>
    <x v="4"/>
    <x v="31"/>
    <s v="31601014 - Acupuntura (R$ 54,56)"/>
    <s v="Acupuntura"/>
    <n v="1707541404"/>
    <s v="Finalizado (1/5)"/>
    <n v="45.284799999999997"/>
    <n v="9.2751999999999999"/>
    <n v="54.56"/>
    <s v="Sessão Faturada"/>
    <n v="772133000728000"/>
    <n v="51522"/>
    <s v="Unidade Vieiralves"/>
    <n v="1707541404"/>
    <m/>
  </r>
  <r>
    <x v="15"/>
    <x v="20"/>
    <s v="Ana Georgina Viga Lacorte"/>
    <s v="Feminino"/>
    <x v="4"/>
    <x v="31"/>
    <s v="31601014 - Acupuntura (R$ 54,56)"/>
    <s v="Acupuntura"/>
    <n v="1703513148"/>
    <s v="Finalizado (5/5)"/>
    <n v="45.284799999999997"/>
    <n v="9.2751999999999999"/>
    <n v="54.56"/>
    <s v="Sessão Faturada"/>
    <n v="882749100043010"/>
    <n v="50823"/>
    <s v="Unidade Vieiralves"/>
    <n v="1703513148"/>
    <m/>
  </r>
  <r>
    <x v="15"/>
    <x v="20"/>
    <s v="Zoma Araújo"/>
    <s v="Masculino"/>
    <x v="12"/>
    <x v="31"/>
    <s v="31601014 - Acupuntura (R$ 54,56)"/>
    <s v="Acupuntura"/>
    <n v="10314426"/>
    <s v="Finalizado (2/10)"/>
    <n v="45.284799999999997"/>
    <n v="9.2751999999999999"/>
    <n v="54.56"/>
    <s v="Sessão a Faturar"/>
    <n v="9.5056587232713997E+17"/>
    <n v="52491"/>
    <s v="Unidade Vieiralves"/>
    <n v="10314426"/>
    <m/>
  </r>
  <r>
    <x v="15"/>
    <x v="28"/>
    <s v="Alexsandro de Pierri Camara Frangos"/>
    <s v="Masculino"/>
    <x v="6"/>
    <x v="31"/>
    <s v="31601014 - Acupuntura (R$ 51,33)"/>
    <s v="Acupuntura"/>
    <n v="169540"/>
    <s v="Finalizado (2/4)"/>
    <n v="42.603900000000003"/>
    <n v="8.7261000000000006"/>
    <n v="51.33"/>
    <s v="Sessão a Faturar"/>
    <s v="44520813095886520010"/>
    <n v="59453"/>
    <s v="Unidade Vieiralves"/>
    <n v="169540"/>
    <m/>
  </r>
  <r>
    <x v="15"/>
    <x v="28"/>
    <s v="Nathana César Bastos"/>
    <s v="Feminino"/>
    <x v="6"/>
    <x v="31"/>
    <s v="31601014 - Acupuntura (R$ 51,33)"/>
    <s v="Acupuntura"/>
    <n v="169873"/>
    <s v="Finalizado (3/4)"/>
    <n v="42.603900000000003"/>
    <n v="8.7261000000000006"/>
    <n v="51.33"/>
    <s v="Sessão a Faturar"/>
    <s v="54588888492204600017"/>
    <n v="59015"/>
    <s v="Unidade Vieiralves"/>
    <n v="169873"/>
    <m/>
  </r>
  <r>
    <x v="16"/>
    <x v="0"/>
    <s v="Gilmara Aguiar Sales"/>
    <s v="Feminino"/>
    <x v="4"/>
    <x v="31"/>
    <s v="31601014 - Acupuntura (R$ 54,56)"/>
    <s v="Acupuntura"/>
    <n v="1707949300"/>
    <s v="Finalizado (1/5)"/>
    <n v="45.284799999999997"/>
    <n v="9.2751999999999999"/>
    <n v="54.56"/>
    <s v="Sessão Faturada"/>
    <n v="960019313492010"/>
    <n v="59518"/>
    <s v="Unidade Vieiralves"/>
    <n v="1707949300"/>
    <m/>
  </r>
  <r>
    <x v="16"/>
    <x v="4"/>
    <s v="Ivanildes Barbosa da Silva"/>
    <s v="Feminino"/>
    <x v="6"/>
    <x v="31"/>
    <s v="31601014 - Acupuntura (R$ 51,33)"/>
    <s v="Acupuntura"/>
    <n v="169850"/>
    <s v="Finalizado (3/4)"/>
    <n v="42.603900000000003"/>
    <n v="8.7261000000000006"/>
    <n v="51.33"/>
    <s v="Sessão a Faturar"/>
    <s v="54588888019240100022"/>
    <n v="58583"/>
    <s v="Unidade Vieiralves"/>
    <n v="169850"/>
    <m/>
  </r>
  <r>
    <x v="16"/>
    <x v="4"/>
    <s v="Katia Rodrigues Freitas"/>
    <s v="Feminino"/>
    <x v="6"/>
    <x v="31"/>
    <s v="31601014 - Acupuntura (R$ 51,33)"/>
    <s v="Acupuntura"/>
    <n v="169115"/>
    <s v="Finalizado (3/4)"/>
    <n v="42.603900000000003"/>
    <n v="8.7261000000000006"/>
    <n v="51.33"/>
    <s v="Sessão Faturada"/>
    <s v="54588888004873140018"/>
    <n v="58935"/>
    <s v="Unidade Vieiralves"/>
    <n v="169115"/>
    <m/>
  </r>
  <r>
    <x v="16"/>
    <x v="4"/>
    <s v="Tiago Godoy Lopes"/>
    <s v="Masculino"/>
    <x v="4"/>
    <x v="31"/>
    <s v="31601014 - Acupuntura (R$ 54,56)"/>
    <s v="Acupuntura"/>
    <n v="170623087"/>
    <s v="Finalizado (2/5)"/>
    <n v="45.284799999999997"/>
    <n v="9.2751999999999999"/>
    <n v="54.56"/>
    <s v="Sessão a Faturar"/>
    <n v="611265590001020"/>
    <n v="58056"/>
    <s v="Unidade Vieiralves"/>
    <n v="170623087"/>
    <m/>
  </r>
  <r>
    <x v="16"/>
    <x v="4"/>
    <s v="Elane Sales de Lima"/>
    <m/>
    <x v="4"/>
    <x v="31"/>
    <s v="31601014 - Acupuntura (R$ 54,56)"/>
    <s v="Acupuntura"/>
    <n v="1706924475"/>
    <s v="Finalizado (2/5)"/>
    <n v="45.284799999999997"/>
    <n v="9.2751999999999999"/>
    <n v="54.56"/>
    <s v="Sessão Faturada"/>
    <n v="773539032034010"/>
    <n v="58812"/>
    <s v="Unidade Vieiralves"/>
    <n v="1706924475"/>
    <m/>
  </r>
  <r>
    <x v="16"/>
    <x v="13"/>
    <s v="Ricardo Takashi Yamashita"/>
    <s v="Masculino"/>
    <x v="4"/>
    <x v="31"/>
    <s v="31601014 - Acupuntura (R$ 54,56)"/>
    <s v="Acupuntura"/>
    <n v="1706906743"/>
    <s v="Finalizado (2/4)"/>
    <n v="45.284799999999997"/>
    <n v="9.2751999999999999"/>
    <n v="54.56"/>
    <s v="Sessão Faturada"/>
    <n v="891007000019000"/>
    <n v="52119"/>
    <s v="Unidade Vieiralves"/>
    <n v="1706906743"/>
    <m/>
  </r>
  <r>
    <x v="16"/>
    <x v="13"/>
    <s v="Jose Mario Chaves Gomes de Oliveira"/>
    <s v="Masculino"/>
    <x v="11"/>
    <x v="31"/>
    <s v="90001000 - Acupuntura (R$ 65,10)"/>
    <s v="Acupuntura"/>
    <n v="2633"/>
    <s v="Finalizado (8/10)"/>
    <n v="54.033000000000001"/>
    <n v="11.067"/>
    <n v="65.099999999999994"/>
    <s v="Sessão Faturada"/>
    <n v="2301648"/>
    <n v="7982"/>
    <s v="Unidade Vieiralves"/>
    <n v="2633"/>
    <m/>
  </r>
  <r>
    <x v="16"/>
    <x v="13"/>
    <s v="Jefferson Castro Simplicio"/>
    <s v="Masculino"/>
    <x v="4"/>
    <x v="31"/>
    <s v="31601014 - Acupuntura (R$ 54,56)"/>
    <s v="Acupuntura"/>
    <n v="1707993442"/>
    <s v="Finalizado (1/5)"/>
    <n v="45.284799999999997"/>
    <n v="9.2751999999999999"/>
    <n v="54.56"/>
    <s v="Sessão Faturada"/>
    <n v="960130225177000"/>
    <n v="43518"/>
    <s v="Unidade Vieiralves"/>
    <n v="1707993442"/>
    <m/>
  </r>
  <r>
    <x v="16"/>
    <x v="6"/>
    <s v="Jose Ribamar Fontes Beleza"/>
    <s v="Masculino"/>
    <x v="6"/>
    <x v="31"/>
    <s v="31601014 - Acupuntura (R$ 51,33)"/>
    <s v="Acupuntura"/>
    <n v="170675"/>
    <s v="Finalizado (1/1)"/>
    <n v="42.603900000000003"/>
    <n v="8.7261000000000006"/>
    <n v="51.33"/>
    <s v="Sessão a Faturar"/>
    <s v="55788888473329830020"/>
    <n v="59550"/>
    <s v="Unidade Vieiralves"/>
    <n v="170675"/>
    <m/>
  </r>
  <r>
    <x v="16"/>
    <x v="6"/>
    <s v="Paulo André Assis de Moura"/>
    <s v="Masculino"/>
    <x v="6"/>
    <x v="31"/>
    <s v="31601014 - Acupuntura (R$ 51,33)"/>
    <s v="Acupuntura"/>
    <n v="169986"/>
    <s v="Finalizado (3/3)"/>
    <n v="42.603900000000003"/>
    <n v="8.7261000000000006"/>
    <n v="51.33"/>
    <s v="Sessão a Faturar"/>
    <s v="54588888488043100010"/>
    <n v="59356"/>
    <s v="Unidade Vieiralves"/>
    <n v="169986"/>
    <m/>
  </r>
  <r>
    <x v="16"/>
    <x v="6"/>
    <s v="Daniel de Moura Alves"/>
    <s v="Masculino"/>
    <x v="4"/>
    <x v="31"/>
    <s v="31601014 - Acupuntura (R$ 54,56)"/>
    <s v="Acupuntura"/>
    <n v="1707016890"/>
    <s v="Finalizado (3/5)"/>
    <n v="45.284799999999997"/>
    <n v="9.2751999999999999"/>
    <n v="54.56"/>
    <s v="Sessão Faturada"/>
    <n v="774063007471000"/>
    <n v="58683"/>
    <s v="Unidade Vieiralves"/>
    <n v="1707016890"/>
    <m/>
  </r>
  <r>
    <x v="16"/>
    <x v="8"/>
    <s v="Elke Silveira Ferreira de Souza"/>
    <s v="Feminino"/>
    <x v="4"/>
    <x v="31"/>
    <s v="31601014 - Acupuntura (R$ 54,56)"/>
    <s v="Acupuntura"/>
    <n v="1704941668"/>
    <s v="Finalizado (4/5)"/>
    <n v="45.284799999999997"/>
    <n v="9.2751999999999999"/>
    <n v="54.56"/>
    <s v="Sessão Faturada"/>
    <n v="774078000450020"/>
    <n v="40221"/>
    <s v="Unidade Vieiralves"/>
    <n v="1704941668"/>
    <m/>
  </r>
  <r>
    <x v="16"/>
    <x v="8"/>
    <s v="Ayumi de Senna Silva"/>
    <s v="Feminino"/>
    <x v="6"/>
    <x v="31"/>
    <s v="31601014 - Acupuntura (R$ 51,33)"/>
    <s v="Acupuntura"/>
    <n v="169384"/>
    <s v="Finalizado (3/4)"/>
    <n v="42.603900000000003"/>
    <n v="8.7261000000000006"/>
    <n v="51.33"/>
    <s v="Sessão Faturada"/>
    <s v="51588888463858150017"/>
    <n v="22238"/>
    <s v="Unidade Vieiralves"/>
    <n v="169384"/>
    <m/>
  </r>
  <r>
    <x v="16"/>
    <x v="10"/>
    <s v="Alessandra Silveira Rocha"/>
    <s v="Feminino"/>
    <x v="4"/>
    <x v="31"/>
    <s v="31601014 - Acupuntura (R$ 54,56)"/>
    <s v="Acupuntura"/>
    <n v="1707007677"/>
    <s v="Finalizado (2/5)"/>
    <n v="45.284799999999997"/>
    <n v="9.2751999999999999"/>
    <n v="54.56"/>
    <s v="Sessão Faturada"/>
    <n v="774063023809020"/>
    <n v="58966"/>
    <s v="Unidade Vieiralves"/>
    <n v="1707007677"/>
    <m/>
  </r>
  <r>
    <x v="16"/>
    <x v="10"/>
    <s v="Elen Cristina Ferreira Botelho"/>
    <s v="Feminino"/>
    <x v="9"/>
    <x v="31"/>
    <s v="31601014 - Acupuntura (R$ 54,56)"/>
    <s v="Acupuntura"/>
    <n v="1703992511"/>
    <s v="Finalizado (5/5)"/>
    <n v="45.284799999999997"/>
    <n v="9.2751999999999999"/>
    <n v="54.56"/>
    <s v="Sessão Faturada"/>
    <n v="954440000647010"/>
    <n v="15871"/>
    <s v="Unidade Vieiralves"/>
    <n v="1703992511"/>
    <m/>
  </r>
  <r>
    <x v="16"/>
    <x v="10"/>
    <s v="Adriana Brenda Ferreira Araujo dos Santos"/>
    <s v="Feminino"/>
    <x v="6"/>
    <x v="31"/>
    <s v="31601014 - Acupuntura (R$ 51,33)"/>
    <s v="Acupuntura"/>
    <n v="170155"/>
    <s v="Finalizado (2/2)"/>
    <n v="42.603900000000003"/>
    <n v="8.7261000000000006"/>
    <n v="51.33"/>
    <s v="Sessão a Faturar"/>
    <s v="54588888460185190027"/>
    <n v="17798"/>
    <s v="Unidade Vieiralves"/>
    <n v="170155"/>
    <m/>
  </r>
  <r>
    <x v="16"/>
    <x v="12"/>
    <s v="Franciane de Souza Gomes"/>
    <s v="Feminino"/>
    <x v="4"/>
    <x v="31"/>
    <s v="31601014 - Acupuntura (R$ 54,56)"/>
    <s v="Acupuntura"/>
    <n v="1704935429"/>
    <s v="Finalizado (4/4)"/>
    <n v="45.284799999999997"/>
    <n v="9.2751999999999999"/>
    <n v="54.56"/>
    <s v="Sessão Faturada"/>
    <n v="973700009598000"/>
    <n v="16642"/>
    <s v="Unidade Vieiralves"/>
    <n v="1704935429"/>
    <m/>
  </r>
  <r>
    <x v="16"/>
    <x v="12"/>
    <s v="Kamila Nayara dos Anjos Cruz"/>
    <s v="Feminino"/>
    <x v="4"/>
    <x v="31"/>
    <s v="31601014 - Acupuntura (R$ 54,56)"/>
    <s v="Acupuntura"/>
    <n v="1702019795"/>
    <s v="Finalizado (3/5)"/>
    <n v="45.284799999999997"/>
    <n v="9.2751999999999999"/>
    <n v="54.56"/>
    <s v="Sessão Faturada"/>
    <n v="960016968538010"/>
    <n v="58063"/>
    <s v="Unidade Vieiralves"/>
    <n v="1702019795"/>
    <m/>
  </r>
  <r>
    <x v="16"/>
    <x v="20"/>
    <s v="Zoma Araújo"/>
    <s v="Masculino"/>
    <x v="12"/>
    <x v="31"/>
    <s v="31601014 - Acupuntura (R$ 54,56)"/>
    <s v="Acupuntura"/>
    <n v="10314426"/>
    <s v="Não compareceu (3/10)"/>
    <n v="54.56"/>
    <n v="0"/>
    <n v="54.56"/>
    <s v="Sessão a Faturar"/>
    <n v="9.5056587232713997E+17"/>
    <n v="52491"/>
    <s v="Unidade Vieiralves"/>
    <n v="10314426"/>
    <m/>
  </r>
  <r>
    <x v="16"/>
    <x v="20"/>
    <s v="Ingrid de Vasconcelos Castelo Branco"/>
    <s v="Feminino"/>
    <x v="12"/>
    <x v="31"/>
    <s v="31601014 - Acupuntura (R$ 54,56)"/>
    <s v="Acupuntura"/>
    <n v="10304048"/>
    <s v="Finalizado (3/5)"/>
    <n v="45.284799999999997"/>
    <n v="9.2751999999999999"/>
    <n v="54.56"/>
    <s v="Sessão Faturada"/>
    <s v="000430852874162602"/>
    <n v="38899"/>
    <s v="Unidade Vieiralves"/>
    <n v="10304048"/>
    <m/>
  </r>
  <r>
    <x v="16"/>
    <x v="28"/>
    <s v="Samuel Cunha de Oliveira"/>
    <m/>
    <x v="4"/>
    <x v="31"/>
    <s v="31601014 - Acupuntura (R$ 54,56)"/>
    <s v="Acupuntura"/>
    <n v="1705900809"/>
    <s v="Finalizado (3/5)"/>
    <n v="45.284799999999997"/>
    <n v="9.2751999999999999"/>
    <n v="54.56"/>
    <s v="Sessão Faturada"/>
    <n v="837047000191010"/>
    <n v="59496"/>
    <s v="Unidade Vieiralves"/>
    <n v="1705900809"/>
    <m/>
  </r>
  <r>
    <x v="17"/>
    <x v="0"/>
    <s v="Dayanne Torres da Silva"/>
    <s v="Feminino"/>
    <x v="6"/>
    <x v="31"/>
    <s v="31601014 - Acupuntura (R$ 51,33)"/>
    <s v="Acupuntura"/>
    <n v="170297"/>
    <s v="Não compareceu (2/4)"/>
    <n v="51.33"/>
    <n v="0"/>
    <n v="51.33"/>
    <s v="Sessão a Faturar"/>
    <s v="54588888021709000020"/>
    <n v="59506"/>
    <s v="Unidade Vieiralves"/>
    <n v="170297"/>
    <m/>
  </r>
  <r>
    <x v="17"/>
    <x v="0"/>
    <s v="Ladyane Moreno Rosa de Almeida"/>
    <s v="Feminino"/>
    <x v="6"/>
    <x v="31"/>
    <s v="31601014 - Acupuntura (R$ 51,33)"/>
    <s v="Acupuntura"/>
    <n v="170125"/>
    <s v="Finalizado (3/4)"/>
    <n v="42.603900000000003"/>
    <n v="8.7261000000000006"/>
    <n v="51.33"/>
    <s v="Sessão a Faturar"/>
    <s v="56788888487957080014"/>
    <n v="56246"/>
    <s v="Unidade Vieiralves"/>
    <n v="170125"/>
    <m/>
  </r>
  <r>
    <x v="17"/>
    <x v="0"/>
    <s v="Gilmara Aguiar Sales"/>
    <s v="Feminino"/>
    <x v="4"/>
    <x v="31"/>
    <s v="31601014 - Acupuntura (R$ 54,56)"/>
    <s v="Acupuntura"/>
    <n v="1707949300"/>
    <s v="Finalizado (2/5)"/>
    <n v="45.284799999999997"/>
    <n v="9.2751999999999999"/>
    <n v="54.56"/>
    <s v="Sessão Faturada"/>
    <n v="960019313492010"/>
    <n v="59518"/>
    <s v="Unidade Vieiralves"/>
    <n v="1707949300"/>
    <m/>
  </r>
  <r>
    <x v="17"/>
    <x v="2"/>
    <s v="Talita Ávila Lucena"/>
    <m/>
    <x v="20"/>
    <x v="31"/>
    <s v="00010987 - Acupuntura Por Sessão - 02/04/2026 (R$ 42,00)"/>
    <s v="Acupuntura"/>
    <n v="55599410"/>
    <s v="Finalizado (1/10)"/>
    <n v="34.86"/>
    <n v="7.14"/>
    <n v="42"/>
    <s v="Sessão a Faturar"/>
    <n v="1051100331140100"/>
    <n v="58568"/>
    <s v="Unidade Vieiralves"/>
    <n v="55599410"/>
    <m/>
  </r>
  <r>
    <x v="17"/>
    <x v="2"/>
    <s v="Sonia dos Santos Pereira"/>
    <s v="Feminino"/>
    <x v="4"/>
    <x v="31"/>
    <s v="31601014 - Acupuntura (R$ 54,56)"/>
    <s v="Acupuntura"/>
    <n v="1720668541"/>
    <s v="Finalizado (1/2)"/>
    <n v="45.284799999999997"/>
    <n v="9.2751999999999999"/>
    <n v="54.56"/>
    <s v="Sessão a Faturar"/>
    <n v="775216009806030"/>
    <n v="56433"/>
    <s v="Unidade Vieiralves"/>
    <n v="1720668541"/>
    <m/>
  </r>
  <r>
    <x v="17"/>
    <x v="4"/>
    <s v="Rosa da Silva Freitas"/>
    <s v="Feminino"/>
    <x v="12"/>
    <x v="31"/>
    <s v="31601014 - Acupuntura (R$ 54,56)"/>
    <s v="Acupuntura"/>
    <n v="10227147"/>
    <s v="Finalizado (6/10)"/>
    <n v="45.284799999999997"/>
    <n v="9.2751999999999999"/>
    <n v="54.56"/>
    <s v="Sessão Faturada"/>
    <n v="9.5125181212225997E+17"/>
    <n v="55746"/>
    <s v="Unidade Vieiralves"/>
    <n v="10227147"/>
    <m/>
  </r>
  <r>
    <x v="17"/>
    <x v="4"/>
    <s v="Maria de Fatima Chaves Coimbra"/>
    <s v="Feminino"/>
    <x v="6"/>
    <x v="31"/>
    <s v="31601014 - Acupuntura (R$ 51,33)"/>
    <s v="Acupuntura"/>
    <n v="170509"/>
    <s v="Finalizado (1/4)"/>
    <n v="42.603900000000003"/>
    <n v="8.7261000000000006"/>
    <n v="51.33"/>
    <s v="Sessão a Faturar"/>
    <s v="55788888000967700014"/>
    <n v="19051"/>
    <s v="Unidade Vieiralves"/>
    <n v="170509"/>
    <m/>
  </r>
  <r>
    <x v="17"/>
    <x v="4"/>
    <s v="Jose Mario Chaves Gomes de Oliveira"/>
    <s v="Masculino"/>
    <x v="11"/>
    <x v="31"/>
    <s v="90001000 - Acupuntura (R$ 65,10)"/>
    <s v="Acupuntura"/>
    <n v="2633"/>
    <s v="Finalizado (9/10)"/>
    <n v="54.033000000000001"/>
    <n v="11.067"/>
    <n v="65.099999999999994"/>
    <s v="Sessão Faturada"/>
    <n v="2301648"/>
    <n v="7982"/>
    <s v="Unidade Vieiralves"/>
    <n v="2633"/>
    <m/>
  </r>
  <r>
    <x v="17"/>
    <x v="13"/>
    <s v="Alice da Silva dos Santos"/>
    <m/>
    <x v="4"/>
    <x v="31"/>
    <s v="31601014 - Acupuntura (R$ 54,56)"/>
    <s v="Acupuntura"/>
    <n v="1709105588"/>
    <s v="Finalizado (1/5)"/>
    <n v="45.284799999999997"/>
    <n v="9.2751999999999999"/>
    <n v="54.56"/>
    <s v="Sessão Faturada"/>
    <n v="843486100604000"/>
    <n v="56112"/>
    <s v="Unidade Vieiralves"/>
    <n v="1709105588"/>
    <m/>
  </r>
  <r>
    <x v="17"/>
    <x v="13"/>
    <s v="Elane Sales de Lima"/>
    <m/>
    <x v="4"/>
    <x v="31"/>
    <s v="31601014 - Acupuntura (R$ 54,56)"/>
    <s v="Acupuntura"/>
    <n v="1706924475"/>
    <s v="Finalizado (3/5)"/>
    <n v="45.284799999999997"/>
    <n v="9.2751999999999999"/>
    <n v="54.56"/>
    <s v="Sessão Faturada"/>
    <n v="773539032034010"/>
    <n v="58812"/>
    <s v="Unidade Vieiralves"/>
    <n v="1706924475"/>
    <m/>
  </r>
  <r>
    <x v="17"/>
    <x v="13"/>
    <s v="Mara Regina Kossoski Felix"/>
    <s v="Feminino"/>
    <x v="18"/>
    <x v="31"/>
    <s v="31601014 - Acupuntura - Sessão (R$ 60,00)"/>
    <s v="Acupuntura"/>
    <n v="169478"/>
    <s v="Não compareceu (3/10)"/>
    <n v="60"/>
    <n v="0"/>
    <n v="60"/>
    <s v="Sessão a Faturar"/>
    <s v="000004622"/>
    <n v="59446"/>
    <s v="Unidade Vieiralves"/>
    <n v="169478"/>
    <m/>
  </r>
  <r>
    <x v="17"/>
    <x v="6"/>
    <s v="Thaisa Cadais Semen"/>
    <s v="Feminino"/>
    <x v="11"/>
    <x v="31"/>
    <s v="90001000 - Acupuntura (R$ 65,10)"/>
    <s v="Acupuntura"/>
    <n v="1321"/>
    <s v="Finalizado (10/10)"/>
    <n v="54.033000000000001"/>
    <n v="11.067"/>
    <n v="65.099999999999994"/>
    <s v="Sessão Faturada"/>
    <s v="01689"/>
    <n v="22428"/>
    <s v="Unidade Vieiralves"/>
    <n v="1321"/>
    <m/>
  </r>
  <r>
    <x v="17"/>
    <x v="6"/>
    <s v="Fabíola Graziele Martins de Lima"/>
    <s v="Feminino"/>
    <x v="9"/>
    <x v="31"/>
    <s v="31601014 - Acupuntura (R$ 54,56)"/>
    <s v="Acupuntura"/>
    <n v="1706400728"/>
    <s v="Finalizado (4/5)"/>
    <n v="45.284799999999997"/>
    <n v="9.2751999999999999"/>
    <n v="54.56"/>
    <s v="Sessão Faturada"/>
    <n v="954590029556010"/>
    <n v="59043"/>
    <s v="Unidade Vieiralves"/>
    <n v="1706400728"/>
    <m/>
  </r>
  <r>
    <x v="17"/>
    <x v="6"/>
    <s v="Rosalinda Pereira Brito"/>
    <s v="Feminino"/>
    <x v="4"/>
    <x v="31"/>
    <s v="31601014 - Acupuntura (R$ 54,56)"/>
    <s v="Acupuntura"/>
    <n v="1706901277"/>
    <s v="Finalizado (2/5)"/>
    <n v="45.284799999999997"/>
    <n v="9.2751999999999999"/>
    <n v="54.56"/>
    <s v="Sessão Faturada"/>
    <s v="010544100907015"/>
    <n v="13886"/>
    <s v="Unidade Vieiralves"/>
    <n v="1706901277"/>
    <m/>
  </r>
  <r>
    <x v="17"/>
    <x v="15"/>
    <s v="Silvana Freitas Spinola de Oliveira"/>
    <m/>
    <x v="6"/>
    <x v="31"/>
    <s v="31601014 - Acupuntura (R$ 51,33)"/>
    <s v="Acupuntura"/>
    <n v="169404"/>
    <s v="Finalizado (2/3)"/>
    <n v="42.603900000000003"/>
    <n v="8.7261000000000006"/>
    <n v="51.33"/>
    <s v="Sessão a Faturar"/>
    <s v="51588888464996980013"/>
    <n v="20358"/>
    <s v="Unidade Vieiralves"/>
    <n v="169404"/>
    <m/>
  </r>
  <r>
    <x v="17"/>
    <x v="17"/>
    <s v="Tiago Godoy Lopes"/>
    <s v="Masculino"/>
    <x v="4"/>
    <x v="31"/>
    <s v="31601014 - Acupuntura (R$ 54,56)"/>
    <s v="Acupuntura"/>
    <n v="170623087"/>
    <s v="Finalizado (3/5)"/>
    <n v="45.284799999999997"/>
    <n v="9.2751999999999999"/>
    <n v="54.56"/>
    <s v="Sessão a Faturar"/>
    <n v="611265590001020"/>
    <n v="58056"/>
    <s v="Unidade Vieiralves"/>
    <n v="170623087"/>
    <m/>
  </r>
  <r>
    <x v="17"/>
    <x v="17"/>
    <s v="Isabelle Aucar Gioia"/>
    <s v="Feminino"/>
    <x v="6"/>
    <x v="31"/>
    <s v="31601014 - Acupuntura (R$ 51,33)"/>
    <s v="Acupuntura"/>
    <n v="169669"/>
    <s v="Finalizado (2/4)"/>
    <n v="42.603900000000003"/>
    <n v="8.7261000000000006"/>
    <n v="51.33"/>
    <s v="Sessão a Faturar"/>
    <s v="58200789998000620016"/>
    <n v="53296"/>
    <s v="Unidade Vieiralves"/>
    <n v="169669"/>
    <s v="guia assinada. 14/03"/>
  </r>
  <r>
    <x v="17"/>
    <x v="17"/>
    <s v="Jose Ribamar Fontes Beleza"/>
    <s v="Masculino"/>
    <x v="7"/>
    <x v="31"/>
    <s v="Part Convenio - 3 - Acupuntura - Sessão (R$ 80,00)"/>
    <s v="Acupuntura"/>
    <m/>
    <s v="Finalizado (2/3)"/>
    <n v="66.400000000000006"/>
    <n v="13.6"/>
    <n v="80"/>
    <s v="Pago"/>
    <s v="55788888473329830020"/>
    <n v="59550"/>
    <s v="Unidade Vieiralves"/>
    <m/>
    <m/>
  </r>
  <r>
    <x v="17"/>
    <x v="8"/>
    <s v="Francisco Lima da Silva"/>
    <s v="Masculino"/>
    <x v="4"/>
    <x v="31"/>
    <s v="31601014 - Acupuntura (R$ 54,56)"/>
    <s v="Acupuntura"/>
    <n v="1704928000"/>
    <s v="Finalizado (5/5)"/>
    <n v="45.284799999999997"/>
    <n v="9.2751999999999999"/>
    <n v="54.56"/>
    <s v="Sessão Faturada"/>
    <n v="774981007706010"/>
    <n v="52427"/>
    <s v="Unidade Vieiralves"/>
    <n v="1704928000"/>
    <m/>
  </r>
  <r>
    <x v="17"/>
    <x v="8"/>
    <s v="Amilton da Costa Carvalho"/>
    <s v="Masculino"/>
    <x v="20"/>
    <x v="31"/>
    <s v="00010987 - Acupuntura Por Sessão - 02/04/2026 (R$ 42,00)"/>
    <s v="Acupuntura"/>
    <n v="55167490"/>
    <s v="Finalizado (4/10)"/>
    <n v="34.86"/>
    <n v="7.14"/>
    <n v="42"/>
    <s v="Sessão Faturada"/>
    <n v="10511003315900"/>
    <n v="51485"/>
    <s v="Unidade Vieiralves"/>
    <n v="55167490"/>
    <m/>
  </r>
  <r>
    <x v="17"/>
    <x v="8"/>
    <s v="Christiane Soares Mourão Vasconcelos"/>
    <s v="Feminino"/>
    <x v="5"/>
    <x v="31"/>
    <s v="31601014 - Acupuntura (R$ 90,51)"/>
    <s v="Acupuntura"/>
    <n v="77756570"/>
    <s v="Finalizado (2/4)"/>
    <n v="75.1233"/>
    <n v="15.386699999999999"/>
    <n v="90.51"/>
    <s v="Sessão Faturada"/>
    <s v="0101027366060139"/>
    <n v="58707"/>
    <s v="Unidade Vieiralves"/>
    <n v="77756570"/>
    <m/>
  </r>
  <r>
    <x v="17"/>
    <x v="10"/>
    <s v="Magda Rejane Nogueira Miranda"/>
    <m/>
    <x v="29"/>
    <x v="31"/>
    <s v="31601014 - Acupuntura (R$ 73,38)"/>
    <s v="Acupuntura"/>
    <n v="1085571"/>
    <s v="Finalizado (4/10)"/>
    <n v="60.9054"/>
    <n v="12.474600000000001"/>
    <n v="73.38"/>
    <s v="Sessão Faturada"/>
    <n v="130260032740010"/>
    <n v="54854"/>
    <s v="Unidade Vieiralves"/>
    <n v="1085571"/>
    <m/>
  </r>
  <r>
    <x v="17"/>
    <x v="12"/>
    <s v="Renata de Aguiar Torres"/>
    <s v="Feminino"/>
    <x v="4"/>
    <x v="31"/>
    <s v="31601014 - Acupuntura (R$ 54,56)"/>
    <s v="Acupuntura"/>
    <n v="1702977075"/>
    <s v="Finalizado (3/4)"/>
    <n v="45.284799999999997"/>
    <n v="9.2751999999999999"/>
    <n v="54.56"/>
    <s v="Sessão Faturada"/>
    <n v="960019412893000"/>
    <n v="49038"/>
    <s v="Unidade Vieiralves"/>
    <n v="1702977075"/>
    <m/>
  </r>
  <r>
    <x v="17"/>
    <x v="12"/>
    <s v="Lauren Lauschner Gaikoski"/>
    <s v="Feminino"/>
    <x v="4"/>
    <x v="31"/>
    <s v="31601014 - Acupuntura (R$ 54,56)"/>
    <s v="Acupuntura"/>
    <n v="1709237960"/>
    <s v="Finalizado (1/5)"/>
    <n v="45.284799999999997"/>
    <n v="9.2751999999999999"/>
    <n v="54.56"/>
    <s v="Sessão Faturada"/>
    <n v="775388000299020"/>
    <n v="56279"/>
    <s v="Unidade Vieiralves"/>
    <n v="1709237960"/>
    <m/>
  </r>
  <r>
    <x v="17"/>
    <x v="20"/>
    <s v="Samuel Cunha de Oliveira"/>
    <m/>
    <x v="4"/>
    <x v="31"/>
    <s v="31601014 - Acupuntura (R$ 54,56)"/>
    <s v="Acupuntura"/>
    <n v="1705900809"/>
    <s v="Finalizado (4/5)"/>
    <n v="45.284799999999997"/>
    <n v="9.2751999999999999"/>
    <n v="54.56"/>
    <s v="Sessão Faturada"/>
    <n v="837047000191010"/>
    <n v="59496"/>
    <s v="Unidade Vieiralves"/>
    <n v="1705900809"/>
    <m/>
  </r>
  <r>
    <x v="17"/>
    <x v="20"/>
    <s v="Ingrid de Vasconcelos Castelo Branco"/>
    <s v="Feminino"/>
    <x v="12"/>
    <x v="31"/>
    <s v="31601014 - Acupuntura (R$ 54,56)"/>
    <s v="Acupuntura"/>
    <n v="10304048"/>
    <s v="Finalizado (4/5)"/>
    <n v="45.284799999999997"/>
    <n v="9.2751999999999999"/>
    <n v="54.56"/>
    <s v="Sessão Faturada"/>
    <s v="000430852874162602"/>
    <n v="38899"/>
    <s v="Unidade Vieiralves"/>
    <n v="10304048"/>
    <m/>
  </r>
  <r>
    <x v="17"/>
    <x v="20"/>
    <s v="Ana Georgina Viga Lacorte"/>
    <s v="Feminino"/>
    <x v="4"/>
    <x v="31"/>
    <s v="31601014 - Acupuntura (R$ 54,56)"/>
    <s v="Acupuntura"/>
    <n v="1709245920"/>
    <s v="Finalizado (1/5)"/>
    <n v="45.284799999999997"/>
    <n v="9.2751999999999999"/>
    <n v="54.56"/>
    <s v="Sessão Faturada"/>
    <n v="882749100043010"/>
    <n v="50823"/>
    <s v="Unidade Vieiralves"/>
    <n v="1709245920"/>
    <m/>
  </r>
  <r>
    <x v="18"/>
    <x v="2"/>
    <s v="Jefferson Castro Simplicio"/>
    <s v="Masculino"/>
    <x v="4"/>
    <x v="31"/>
    <s v="31601014 - Acupuntura (R$ 54,56)"/>
    <s v="Acupuntura"/>
    <n v="1707993442"/>
    <s v="Finalizado (2/5)"/>
    <n v="45.284799999999997"/>
    <n v="9.2751999999999999"/>
    <n v="54.56"/>
    <s v="Sessão Faturada"/>
    <n v="960130225177000"/>
    <n v="43518"/>
    <s v="Unidade Vieiralves"/>
    <n v="1707993442"/>
    <m/>
  </r>
  <r>
    <x v="18"/>
    <x v="13"/>
    <s v="Rosalinda Pereira Brito"/>
    <s v="Feminino"/>
    <x v="4"/>
    <x v="31"/>
    <s v="31601014 - Acupuntura (R$ 54,56)"/>
    <s v="Acupuntura"/>
    <n v="1706901277"/>
    <s v="Finalizado (3/5)"/>
    <n v="45.284799999999997"/>
    <n v="9.2751999999999999"/>
    <n v="54.56"/>
    <s v="Sessão Faturada"/>
    <s v="010544100907015"/>
    <n v="13886"/>
    <s v="Unidade Vieiralves"/>
    <n v="1706901277"/>
    <m/>
  </r>
  <r>
    <x v="18"/>
    <x v="13"/>
    <s v="Daniel de Moura Alves"/>
    <s v="Masculino"/>
    <x v="4"/>
    <x v="31"/>
    <s v="31601014 - Acupuntura (R$ 54,56)"/>
    <s v="Acupuntura"/>
    <n v="1707016890"/>
    <s v="Finalizado (4/5)"/>
    <n v="45.284799999999997"/>
    <n v="9.2751999999999999"/>
    <n v="54.56"/>
    <s v="Sessão Faturada"/>
    <n v="774063007471000"/>
    <n v="58683"/>
    <s v="Unidade Vieiralves"/>
    <n v="1707016890"/>
    <m/>
  </r>
  <r>
    <x v="18"/>
    <x v="13"/>
    <s v="Katia Rodrigues Freitas"/>
    <s v="Feminino"/>
    <x v="6"/>
    <x v="31"/>
    <s v="31601014 - Acupuntura (R$ 51,33)"/>
    <s v="Acupuntura"/>
    <n v="169115"/>
    <s v="Finalizado (4/4)"/>
    <n v="42.603900000000003"/>
    <n v="8.7261000000000006"/>
    <n v="51.33"/>
    <s v="Sessão Faturada"/>
    <s v="54588888004873140018"/>
    <n v="58935"/>
    <s v="Unidade Vieiralves"/>
    <n v="169115"/>
    <m/>
  </r>
  <r>
    <x v="18"/>
    <x v="15"/>
    <s v="Alice da Silva dos Santos"/>
    <m/>
    <x v="4"/>
    <x v="31"/>
    <s v="31601014 - Acupuntura (R$ 54,56)"/>
    <s v="Acupuntura"/>
    <n v="1709105588"/>
    <s v="Finalizado (2/5)"/>
    <n v="45.284799999999997"/>
    <n v="9.2751999999999999"/>
    <n v="54.56"/>
    <s v="Sessão Faturada"/>
    <n v="843486100604000"/>
    <n v="56112"/>
    <s v="Unidade Vieiralves"/>
    <n v="1709105588"/>
    <m/>
  </r>
  <r>
    <x v="18"/>
    <x v="17"/>
    <s v="Kaíny Medeiros Maciel"/>
    <s v="Feminino"/>
    <x v="4"/>
    <x v="31"/>
    <s v="31601014 - Acupuntura (R$ 54,56)"/>
    <s v="Acupuntura"/>
    <n v="1706488339"/>
    <s v="Finalizado (3/5)"/>
    <n v="45.284799999999997"/>
    <n v="9.2751999999999999"/>
    <n v="54.56"/>
    <s v="Sessão Faturada"/>
    <n v="774642015580010"/>
    <n v="59326"/>
    <s v="Unidade Vieiralves"/>
    <n v="1706488339"/>
    <m/>
  </r>
  <r>
    <x v="18"/>
    <x v="17"/>
    <s v="Simone Gouveia Góes"/>
    <s v="Feminino"/>
    <x v="4"/>
    <x v="31"/>
    <s v="31601014 - Acupuntura (R$ 54,56)"/>
    <s v="Acupuntura"/>
    <n v="1711054117"/>
    <s v="Finalizado (1/5)"/>
    <n v="45.284799999999997"/>
    <n v="9.2751999999999999"/>
    <n v="54.56"/>
    <s v="Sessão Faturada"/>
    <n v="775216013765020"/>
    <n v="59283"/>
    <s v="Unidade Vieiralves"/>
    <n v="1711054117"/>
    <m/>
  </r>
  <r>
    <x v="18"/>
    <x v="8"/>
    <s v="Kellen Regina Pereira da Silva"/>
    <s v="Feminino"/>
    <x v="4"/>
    <x v="31"/>
    <s v="31601014 - Acupuntura (R$ 54,56)"/>
    <s v="Acupuntura"/>
    <n v="1709802339"/>
    <s v="Finalizado (1/5)"/>
    <n v="45.284799999999997"/>
    <n v="9.2751999999999999"/>
    <n v="54.56"/>
    <s v="Sessão Faturada"/>
    <n v="890729700027020"/>
    <n v="59263"/>
    <s v="Unidade Vieiralves"/>
    <n v="1709802339"/>
    <m/>
  </r>
  <r>
    <x v="18"/>
    <x v="8"/>
    <s v="Christiane Soares Mourão Vasconcelos"/>
    <s v="Feminino"/>
    <x v="5"/>
    <x v="31"/>
    <s v="31601014 - Acupuntura (R$ 90,51)"/>
    <s v="Acupuntura"/>
    <n v="77756570"/>
    <s v="Finalizado (3/4)"/>
    <n v="75.1233"/>
    <n v="15.386699999999999"/>
    <n v="90.51"/>
    <s v="Sessão Faturada"/>
    <s v="0101027366060139"/>
    <n v="58707"/>
    <s v="Unidade Vieiralves"/>
    <n v="77756570"/>
    <m/>
  </r>
  <r>
    <x v="18"/>
    <x v="10"/>
    <s v="Magda Rejane Nogueira Miranda"/>
    <m/>
    <x v="29"/>
    <x v="31"/>
    <s v="31601014 - Acupuntura (R$ 73,38)"/>
    <s v="Acupuntura"/>
    <n v="1085571"/>
    <s v="Finalizado (5/10)"/>
    <n v="60.9054"/>
    <n v="12.474600000000001"/>
    <n v="73.38"/>
    <s v="Sessão Faturada"/>
    <n v="130260032740010"/>
    <n v="54854"/>
    <s v="Unidade Vieiralves"/>
    <n v="1085571"/>
    <m/>
  </r>
  <r>
    <x v="18"/>
    <x v="12"/>
    <s v="Ayumi de Senna Silva"/>
    <s v="Feminino"/>
    <x v="6"/>
    <x v="31"/>
    <s v="31601014 - Acupuntura (R$ 51,33)"/>
    <s v="Acupuntura"/>
    <n v="169384"/>
    <s v="Finalizado (4/4)"/>
    <n v="42.603900000000003"/>
    <n v="8.7261000000000006"/>
    <n v="51.33"/>
    <s v="Sessão a Faturar"/>
    <s v="51588888463858150017"/>
    <n v="22238"/>
    <s v="Unidade Vieiralves"/>
    <n v="169384"/>
    <m/>
  </r>
  <r>
    <x v="18"/>
    <x v="20"/>
    <s v="Jessica Pereira Falcão"/>
    <s v="Feminino"/>
    <x v="25"/>
    <x v="31"/>
    <s v="31601014 - Acupuntura (R$ 53,22)"/>
    <s v="Acupuntura"/>
    <n v="143009"/>
    <s v="Finalizado (2/10)"/>
    <n v="44.172600000000003"/>
    <n v="9.0473999999999997"/>
    <n v="53.22"/>
    <s v="Sessão Faturada"/>
    <n v="13804"/>
    <n v="50776"/>
    <s v="Unidade Vieiralves"/>
    <n v="143009"/>
    <m/>
  </r>
  <r>
    <x v="18"/>
    <x v="20"/>
    <s v="Ana Georgina Viga Lacorte"/>
    <s v="Feminino"/>
    <x v="4"/>
    <x v="31"/>
    <s v="31601014 - Acupuntura (R$ 54,56)"/>
    <s v="Acupuntura"/>
    <n v="1709245920"/>
    <s v="Finalizado (2/5)"/>
    <n v="45.284799999999997"/>
    <n v="9.2751999999999999"/>
    <n v="54.56"/>
    <s v="Sessão Faturada"/>
    <n v="882749100043010"/>
    <n v="50823"/>
    <s v="Unidade Vieiralves"/>
    <n v="1709245920"/>
    <m/>
  </r>
  <r>
    <x v="18"/>
    <x v="28"/>
    <s v="Alexsandro de Pierri Camara Frangos"/>
    <s v="Masculino"/>
    <x v="6"/>
    <x v="31"/>
    <s v="31601014 - Acupuntura (R$ 51,33)"/>
    <s v="Acupuntura"/>
    <n v="169540"/>
    <s v="Finalizado (3/4)"/>
    <n v="42.603900000000003"/>
    <n v="8.7261000000000006"/>
    <n v="51.33"/>
    <s v="Sessão a Faturar"/>
    <s v="44520813095886520010"/>
    <n v="59453"/>
    <s v="Unidade Vieiralves"/>
    <n v="169540"/>
    <m/>
  </r>
  <r>
    <x v="22"/>
    <x v="0"/>
    <s v="Ladyane Moreno Rosa de Almeida"/>
    <s v="Feminino"/>
    <x v="6"/>
    <x v="31"/>
    <s v="31601014 - Acupuntura (R$ 51,33)"/>
    <s v="Acupuntura"/>
    <n v="170125"/>
    <s v="Finalizado (4/4)"/>
    <n v="42.603900000000003"/>
    <n v="8.7261000000000006"/>
    <n v="51.33"/>
    <s v="Sessão a Faturar"/>
    <s v="56788888487957080014"/>
    <n v="56246"/>
    <s v="Unidade Vieiralves"/>
    <n v="170125"/>
    <m/>
  </r>
  <r>
    <x v="22"/>
    <x v="0"/>
    <s v="Gilmara Aguiar Sales"/>
    <s v="Feminino"/>
    <x v="4"/>
    <x v="31"/>
    <s v="31601014 - Acupuntura (R$ 54,56)"/>
    <s v="Acupuntura"/>
    <n v="1707949300"/>
    <s v="Finalizado (3/5)"/>
    <n v="45.284799999999997"/>
    <n v="9.2751999999999999"/>
    <n v="54.56"/>
    <s v="Sessão Faturada"/>
    <n v="960019313492010"/>
    <n v="59518"/>
    <s v="Unidade Vieiralves"/>
    <n v="1707949300"/>
    <m/>
  </r>
  <r>
    <x v="22"/>
    <x v="4"/>
    <s v="Tiago Godoy Lopes"/>
    <s v="Masculino"/>
    <x v="4"/>
    <x v="31"/>
    <s v="31601014 - Acupuntura (R$ 54,56)"/>
    <s v="Acupuntura"/>
    <n v="170623087"/>
    <s v="Finalizado (4/5)"/>
    <n v="45.284799999999997"/>
    <n v="9.2751999999999999"/>
    <n v="54.56"/>
    <s v="Sessão a Faturar"/>
    <n v="611265590001020"/>
    <n v="58056"/>
    <s v="Unidade Vieiralves"/>
    <n v="170623087"/>
    <m/>
  </r>
  <r>
    <x v="22"/>
    <x v="4"/>
    <s v="Rosa da Silva Freitas"/>
    <s v="Feminino"/>
    <x v="12"/>
    <x v="31"/>
    <s v="31601014 - Acupuntura (R$ 54,56)"/>
    <s v="Acupuntura"/>
    <n v="10227147"/>
    <s v="Finalizado (7/10)"/>
    <n v="45.284799999999997"/>
    <n v="9.2751999999999999"/>
    <n v="54.56"/>
    <s v="Sessão Faturada"/>
    <n v="9.5125181212225997E+17"/>
    <n v="55746"/>
    <s v="Unidade Vieiralves"/>
    <n v="10227147"/>
    <m/>
  </r>
  <r>
    <x v="22"/>
    <x v="4"/>
    <s v="Ricardo Takashi Yamashita"/>
    <s v="Masculino"/>
    <x v="4"/>
    <x v="31"/>
    <s v="31601014 - Acupuntura (R$ 54,56)"/>
    <s v="Acupuntura"/>
    <n v="1706906743"/>
    <s v="Finalizado (3/4)"/>
    <n v="45.284799999999997"/>
    <n v="9.2751999999999999"/>
    <n v="54.56"/>
    <s v="Sessão Faturada"/>
    <n v="891007000019000"/>
    <n v="52119"/>
    <s v="Unidade Vieiralves"/>
    <n v="1706906743"/>
    <m/>
  </r>
  <r>
    <x v="22"/>
    <x v="4"/>
    <s v="Sonia dos Santos Pereira"/>
    <s v="Feminino"/>
    <x v="4"/>
    <x v="31"/>
    <s v="31601014 - Acupuntura (R$ 54,56)"/>
    <s v="Acupuntura"/>
    <n v="1720668541"/>
    <s v="Finalizado (2/2)"/>
    <n v="45.284799999999997"/>
    <n v="9.2751999999999999"/>
    <n v="54.56"/>
    <s v="Sessão a Faturar"/>
    <n v="775216009806030"/>
    <n v="56433"/>
    <s v="Unidade Vieiralves"/>
    <n v="1720668541"/>
    <m/>
  </r>
  <r>
    <x v="22"/>
    <x v="13"/>
    <s v="Dayanne Torres da Silva"/>
    <s v="Feminino"/>
    <x v="6"/>
    <x v="31"/>
    <s v="31601014 - Acupuntura (R$ 51,33)"/>
    <s v="Acupuntura"/>
    <n v="170297"/>
    <s v="Finalizado (3/4)"/>
    <n v="42.603900000000003"/>
    <n v="8.7261000000000006"/>
    <n v="51.33"/>
    <s v="Sessão a Faturar"/>
    <s v="54588888021709000020"/>
    <n v="59506"/>
    <s v="Unidade Vieiralves"/>
    <n v="170297"/>
    <m/>
  </r>
  <r>
    <x v="22"/>
    <x v="13"/>
    <s v="Thereza Janara Sarmanho Lima"/>
    <s v="Feminino"/>
    <x v="7"/>
    <x v="31"/>
    <s v="Part Convenio - 4 - Acupuntura - Pacote (R$ 65,00)"/>
    <s v="Acupuntura"/>
    <n v="171001"/>
    <s v="Finalizado (1/10)"/>
    <n v="53.95"/>
    <n v="11.05"/>
    <n v="65"/>
    <s v="Pago"/>
    <n v="1301013043650000"/>
    <n v="57993"/>
    <s v="Unidade Vieiralves"/>
    <n v="171001"/>
    <m/>
  </r>
  <r>
    <x v="22"/>
    <x v="13"/>
    <s v="Jose Mario Chaves Gomes de Oliveira"/>
    <s v="Masculino"/>
    <x v="11"/>
    <x v="31"/>
    <s v="90001000 - Acupuntura (R$ 65,10)"/>
    <s v="Acupuntura"/>
    <n v="2633"/>
    <s v="Finalizado (10/10)"/>
    <n v="54.033000000000001"/>
    <n v="11.067"/>
    <n v="65.099999999999994"/>
    <s v="Sessão Faturada"/>
    <n v="2301648"/>
    <n v="7982"/>
    <s v="Unidade Vieiralves"/>
    <n v="2633"/>
    <m/>
  </r>
  <r>
    <x v="22"/>
    <x v="13"/>
    <s v="Elane Sales de Lima"/>
    <m/>
    <x v="4"/>
    <x v="31"/>
    <s v="31601014 - Acupuntura (R$ 54,56)"/>
    <s v="Acupuntura"/>
    <n v="1706924475"/>
    <s v="Finalizado (4/5)"/>
    <n v="45.284799999999997"/>
    <n v="9.2751999999999999"/>
    <n v="54.56"/>
    <s v="Sessão Faturada"/>
    <n v="773539032034010"/>
    <n v="58812"/>
    <s v="Unidade Vieiralves"/>
    <n v="1706924475"/>
    <m/>
  </r>
  <r>
    <x v="22"/>
    <x v="6"/>
    <s v="Carlos Alberto de Assis"/>
    <s v="Masculino"/>
    <x v="17"/>
    <x v="31"/>
    <s v="31601014 - Acupuntura (R$ 45,00)"/>
    <s v="Acupuntura"/>
    <n v="3959721"/>
    <s v="Finalizado (3/10)"/>
    <n v="37.35"/>
    <n v="7.65"/>
    <n v="45"/>
    <s v="Sessão a Faturar"/>
    <s v="000915778421200"/>
    <n v="59370"/>
    <s v="Unidade Vieiralves"/>
    <n v="3959721"/>
    <m/>
  </r>
  <r>
    <x v="22"/>
    <x v="6"/>
    <s v="Ray Jackson Aguiar Bezerra"/>
    <s v="Masculino"/>
    <x v="5"/>
    <x v="31"/>
    <s v="31601014 - Acupuntura - 04/03/2026 (R$ 86,81)"/>
    <s v="Acupuntura"/>
    <n v="76267690"/>
    <s v="Finalizado (3/10)"/>
    <n v="72.052300000000002"/>
    <n v="14.7577"/>
    <n v="86.81"/>
    <s v="Sessão Faturada"/>
    <s v="010138208000"/>
    <n v="20846"/>
    <s v="Unidade Vieiralves"/>
    <n v="76267690"/>
    <s v="GUIA ASSINADA!!!!"/>
  </r>
  <r>
    <x v="22"/>
    <x v="15"/>
    <s v="Silvana Freitas Spinola de Oliveira"/>
    <m/>
    <x v="6"/>
    <x v="31"/>
    <s v="31601014 - Acupuntura (R$ 51,33)"/>
    <s v="Acupuntura"/>
    <n v="169404"/>
    <s v="Finalizado (3/3)"/>
    <n v="42.603900000000003"/>
    <n v="8.7261000000000006"/>
    <n v="51.33"/>
    <s v="Sessão a Faturar"/>
    <s v="51588888464996980013"/>
    <n v="20358"/>
    <s v="Unidade Vieiralves"/>
    <n v="169404"/>
    <m/>
  </r>
  <r>
    <x v="22"/>
    <x v="15"/>
    <s v="Henrique Douglas Macedo Mendes Júnior"/>
    <s v="Masculino"/>
    <x v="4"/>
    <x v="31"/>
    <s v="31601014 - Acupuntura (R$ 54,56)"/>
    <s v="Acupuntura"/>
    <n v="1706815109"/>
    <s v="Finalizado (3/5)"/>
    <n v="45.284799999999997"/>
    <n v="9.2751999999999999"/>
    <n v="54.56"/>
    <s v="Sessão Faturada"/>
    <n v="897702200019010"/>
    <n v="56664"/>
    <s v="Unidade Vieiralves"/>
    <n v="1706815109"/>
    <m/>
  </r>
  <r>
    <x v="22"/>
    <x v="17"/>
    <s v="Samuel Cunha de Oliveira"/>
    <m/>
    <x v="4"/>
    <x v="31"/>
    <s v="31601014 - Acupuntura (R$ 54,56)"/>
    <s v="Acupuntura"/>
    <n v="1705900809"/>
    <s v="Finalizado (5/5)"/>
    <n v="45.284799999999997"/>
    <n v="9.2751999999999999"/>
    <n v="54.56"/>
    <s v="Sessão Faturada"/>
    <n v="837047000191010"/>
    <n v="59496"/>
    <s v="Unidade Vieiralves"/>
    <n v="1705900809"/>
    <m/>
  </r>
  <r>
    <x v="22"/>
    <x v="17"/>
    <s v="Kellen Regina Pereira da Silva"/>
    <s v="Feminino"/>
    <x v="4"/>
    <x v="31"/>
    <s v="31601014 - Acupuntura (R$ 54,56)"/>
    <s v="Acupuntura"/>
    <n v="1709802339"/>
    <s v="Finalizado (2/5)"/>
    <n v="45.284799999999997"/>
    <n v="9.2751999999999999"/>
    <n v="54.56"/>
    <s v="Sessão Faturada"/>
    <n v="890729700027020"/>
    <n v="59263"/>
    <s v="Unidade Vieiralves"/>
    <n v="1709802339"/>
    <m/>
  </r>
  <r>
    <x v="22"/>
    <x v="8"/>
    <s v="Dhijana Nobre de Almeida"/>
    <s v="Feminino"/>
    <x v="6"/>
    <x v="31"/>
    <s v="31601014 - Acupuntura (R$ 51,33)"/>
    <s v="Acupuntura"/>
    <n v="170870"/>
    <s v="Finalizado (1/3)"/>
    <n v="42.603900000000003"/>
    <n v="8.7261000000000006"/>
    <n v="51.33"/>
    <s v="Sessão a Faturar"/>
    <s v="54588888004873450017"/>
    <n v="6422"/>
    <s v="Unidade Vieiralves"/>
    <n v="170870"/>
    <m/>
  </r>
  <r>
    <x v="22"/>
    <x v="10"/>
    <s v="Magda Rejane Nogueira Miranda"/>
    <m/>
    <x v="29"/>
    <x v="31"/>
    <s v="31601014 - Acupuntura (R$ 73,38)"/>
    <s v="Acupuntura"/>
    <n v="1085571"/>
    <s v="Finalizado (6/10)"/>
    <n v="60.9054"/>
    <n v="12.474600000000001"/>
    <n v="73.38"/>
    <s v="Sessão Faturada"/>
    <n v="130260032740010"/>
    <n v="54854"/>
    <s v="Unidade Vieiralves"/>
    <n v="1085571"/>
    <m/>
  </r>
  <r>
    <x v="22"/>
    <x v="10"/>
    <s v="Vania Maria Lima da Silva Aracaty"/>
    <s v="Feminino"/>
    <x v="5"/>
    <x v="31"/>
    <s v="31601014 - Acupuntura - 04/03/2026 (R$ 86,81)"/>
    <s v="Acupuntura"/>
    <n v="76095810"/>
    <s v="Finalizado (1/10)"/>
    <n v="72.052300000000002"/>
    <n v="14.7577"/>
    <n v="86.81"/>
    <s v="Sessão a Faturar"/>
    <s v="0100275211060174"/>
    <n v="56455"/>
    <s v="Unidade Vieiralves"/>
    <n v="76095810"/>
    <m/>
  </r>
  <r>
    <x v="22"/>
    <x v="12"/>
    <s v="Josicleide Nunes Santos"/>
    <s v="Feminino"/>
    <x v="4"/>
    <x v="31"/>
    <s v="31601014 - Acupuntura (R$ 54,56)"/>
    <s v="Acupuntura"/>
    <n v="1702143791"/>
    <s v="Finalizado (5/5)"/>
    <n v="45.284799999999997"/>
    <n v="9.2751999999999999"/>
    <n v="54.56"/>
    <s v="Sessão Faturada"/>
    <n v="774981001279000"/>
    <n v="20120"/>
    <s v="Unidade Vieiralves"/>
    <n v="1702143791"/>
    <m/>
  </r>
  <r>
    <x v="22"/>
    <x v="12"/>
    <s v="Waldir dos Santos Fontes Junior"/>
    <s v="Masculino"/>
    <x v="4"/>
    <x v="31"/>
    <s v="31601014 - Acupuntura (R$ 54,56)"/>
    <s v="Acupuntura"/>
    <n v="1707541404"/>
    <s v="Finalizado (3/5)"/>
    <n v="45.284799999999997"/>
    <n v="9.2751999999999999"/>
    <n v="54.56"/>
    <s v="Sessão Faturada"/>
    <n v="772133000728000"/>
    <n v="51522"/>
    <s v="Unidade Vieiralves"/>
    <n v="1707541404"/>
    <m/>
  </r>
  <r>
    <x v="22"/>
    <x v="12"/>
    <s v="Napoleão Cesar Pinheiro Ladim"/>
    <s v="Masculino"/>
    <x v="4"/>
    <x v="31"/>
    <s v="31601014 - Acupuntura (R$ 54,56)"/>
    <s v="Acupuntura"/>
    <n v="1710486476"/>
    <s v="Finalizado (1/4)"/>
    <n v="45.284799999999997"/>
    <n v="9.2751999999999999"/>
    <n v="54.56"/>
    <s v="Sessão a Faturar"/>
    <n v="837500800019000"/>
    <n v="58942"/>
    <s v="Unidade Vieiralves"/>
    <n v="1710486476"/>
    <m/>
  </r>
  <r>
    <x v="22"/>
    <x v="12"/>
    <s v="Lauren Lauschner Gaikoski"/>
    <s v="Feminino"/>
    <x v="4"/>
    <x v="31"/>
    <s v="31601014 - Acupuntura (R$ 54,56)"/>
    <s v="Acupuntura"/>
    <n v="1709237960"/>
    <s v="Finalizado (2/5)"/>
    <n v="45.284799999999997"/>
    <n v="9.2751999999999999"/>
    <n v="54.56"/>
    <s v="Sessão Faturada"/>
    <n v="775388000299020"/>
    <n v="56279"/>
    <s v="Unidade Vieiralves"/>
    <n v="1709237960"/>
    <m/>
  </r>
  <r>
    <x v="22"/>
    <x v="20"/>
    <s v="Erlom André de Matos"/>
    <s v="Masculino"/>
    <x v="4"/>
    <x v="31"/>
    <s v="31601014 - Acupuntura (R$ 54,56)"/>
    <s v="Acupuntura"/>
    <n v="1710508088"/>
    <s v="Finalizado (1/5)"/>
    <n v="45.284799999999997"/>
    <n v="9.2751999999999999"/>
    <n v="54.56"/>
    <s v="Sessão Faturada"/>
    <n v="893331302089010"/>
    <n v="59095"/>
    <s v="Unidade Vieiralves"/>
    <n v="1710508088"/>
    <m/>
  </r>
  <r>
    <x v="22"/>
    <x v="20"/>
    <s v="Caio Felipe Soares da Cruz"/>
    <s v="Masculino"/>
    <x v="4"/>
    <x v="31"/>
    <s v="31601014 - Acupuntura (R$ 54,56)"/>
    <s v="Acupuntura"/>
    <n v="1710494452"/>
    <s v="Finalizado (1/5)"/>
    <n v="45.284799999999997"/>
    <n v="9.2751999999999999"/>
    <n v="54.56"/>
    <s v="Sessão a Faturar"/>
    <n v="889414100973000"/>
    <n v="57595"/>
    <s v="Unidade Vieiralves"/>
    <n v="1710494452"/>
    <m/>
  </r>
  <r>
    <x v="19"/>
    <x v="0"/>
    <s v="Vania Maria Lima da Silva Aracaty"/>
    <s v="Feminino"/>
    <x v="5"/>
    <x v="31"/>
    <s v="31601014 - Acupuntura - 04/03/2026 (R$ 86,81)"/>
    <s v="Acupuntura"/>
    <n v="76095810"/>
    <s v="Finalizado (2/10)"/>
    <n v="72.052300000000002"/>
    <n v="14.7577"/>
    <n v="86.81"/>
    <s v="Sessão a Faturar"/>
    <s v="0100275211060174"/>
    <n v="56455"/>
    <s v="Unidade Vieiralves"/>
    <n v="76095810"/>
    <m/>
  </r>
  <r>
    <x v="19"/>
    <x v="0"/>
    <s v="Nirai de Souza Silva"/>
    <s v="Masculino"/>
    <x v="7"/>
    <x v="31"/>
    <s v="Vieiralves - 32 - Acupuntura Unitário - Pacote (R$ 160,00)"/>
    <s v="Acupuntura"/>
    <n v="164045"/>
    <s v="Finalizado (8/10)"/>
    <n v="132.80000000000001"/>
    <n v="27.2"/>
    <n v="160"/>
    <s v="Pago"/>
    <n v="58884"/>
    <n v="58884"/>
    <s v="Unidade Vieiralves"/>
    <n v="164045"/>
    <m/>
  </r>
  <r>
    <x v="19"/>
    <x v="2"/>
    <s v="Maria de Fatima Chaves Coimbra"/>
    <s v="Feminino"/>
    <x v="6"/>
    <x v="31"/>
    <s v="31601014 - Acupuntura (R$ 51,33)"/>
    <s v="Acupuntura"/>
    <n v="170509"/>
    <s v="Finalizado (2/4)"/>
    <n v="42.603900000000003"/>
    <n v="8.7261000000000006"/>
    <n v="51.33"/>
    <s v="Sessão a Faturar"/>
    <s v="55788888000967700014"/>
    <n v="19051"/>
    <s v="Unidade Vieiralves"/>
    <n v="170509"/>
    <m/>
  </r>
  <r>
    <x v="19"/>
    <x v="4"/>
    <s v="Chirly Ribeiro de Souza Lira"/>
    <s v="Feminino"/>
    <x v="4"/>
    <x v="31"/>
    <s v="31601014 - Acupuntura (R$ 54,56)"/>
    <s v="Acupuntura"/>
    <n v="1711006753"/>
    <s v="Finalizado (1/3)"/>
    <n v="45.284799999999997"/>
    <n v="9.2751999999999999"/>
    <n v="54.56"/>
    <s v="Sessão Faturada"/>
    <n v="771015039004010"/>
    <n v="47661"/>
    <s v="Unidade Vieiralves"/>
    <n v="1711006753"/>
    <m/>
  </r>
  <r>
    <x v="19"/>
    <x v="13"/>
    <s v="Rosalinda Pereira Brito"/>
    <s v="Feminino"/>
    <x v="4"/>
    <x v="31"/>
    <s v="31601014 - Acupuntura (R$ 54,56)"/>
    <s v="Acupuntura"/>
    <n v="1706901277"/>
    <s v="Finalizado (4/5)"/>
    <n v="45.284799999999997"/>
    <n v="9.2751999999999999"/>
    <n v="54.56"/>
    <s v="Sessão Faturada"/>
    <s v="010544100907015"/>
    <n v="13886"/>
    <s v="Unidade Vieiralves"/>
    <n v="1706901277"/>
    <m/>
  </r>
  <r>
    <x v="19"/>
    <x v="13"/>
    <s v="Carlos Alberto de Assis"/>
    <s v="Masculino"/>
    <x v="17"/>
    <x v="31"/>
    <s v="31601014 - Acupuntura (R$ 45,00)"/>
    <s v="Acupuntura"/>
    <n v="3959721"/>
    <s v="Finalizado (4/10)"/>
    <n v="37.35"/>
    <n v="7.65"/>
    <n v="45"/>
    <s v="Sessão a Faturar"/>
    <s v="000915778421200"/>
    <n v="59370"/>
    <s v="Unidade Vieiralves"/>
    <n v="3959721"/>
    <m/>
  </r>
  <r>
    <x v="19"/>
    <x v="6"/>
    <s v="Ana Georgina Viga Lacorte"/>
    <s v="Feminino"/>
    <x v="4"/>
    <x v="31"/>
    <s v="31601014 - Acupuntura (R$ 54,56)"/>
    <s v="Acupuntura"/>
    <n v="1709245920"/>
    <s v="Finalizado (3/5)"/>
    <n v="45.284799999999997"/>
    <n v="9.2751999999999999"/>
    <n v="54.56"/>
    <s v="Sessão Faturada"/>
    <n v="882749100043010"/>
    <n v="50823"/>
    <s v="Unidade Vieiralves"/>
    <n v="1709245920"/>
    <m/>
  </r>
  <r>
    <x v="19"/>
    <x v="6"/>
    <s v="Daniel de Moura Alves"/>
    <s v="Masculino"/>
    <x v="4"/>
    <x v="31"/>
    <s v="31601014 - Acupuntura (R$ 54,56)"/>
    <s v="Acupuntura"/>
    <n v="1707016890"/>
    <s v="Finalizado (5/5)"/>
    <n v="45.284799999999997"/>
    <n v="9.2751999999999999"/>
    <n v="54.56"/>
    <s v="Sessão Faturada"/>
    <n v="774063007471000"/>
    <n v="58683"/>
    <s v="Unidade Vieiralves"/>
    <n v="1707016890"/>
    <m/>
  </r>
  <r>
    <x v="19"/>
    <x v="17"/>
    <s v="Francisco Lima da Silva"/>
    <s v="Masculino"/>
    <x v="4"/>
    <x v="31"/>
    <s v="31601014 - Acupuntura (R$ 54,56)"/>
    <s v="Acupuntura"/>
    <n v="1711062570"/>
    <s v="Finalizado (1/5)"/>
    <n v="45.284799999999997"/>
    <n v="9.2751999999999999"/>
    <n v="54.56"/>
    <s v="Sessão Faturada"/>
    <n v="774981007706010"/>
    <n v="52427"/>
    <s v="Unidade Vieiralves"/>
    <n v="1711062570"/>
    <m/>
  </r>
  <r>
    <x v="19"/>
    <x v="8"/>
    <s v="Kaíny Medeiros Maciel"/>
    <s v="Feminino"/>
    <x v="4"/>
    <x v="31"/>
    <s v="31601014 - Acupuntura (R$ 54,56)"/>
    <s v="Acupuntura"/>
    <n v="1706488339"/>
    <s v="Finalizado (4/5)"/>
    <n v="45.284799999999997"/>
    <n v="9.2751999999999999"/>
    <n v="54.56"/>
    <s v="Sessão Faturada"/>
    <n v="774642015580010"/>
    <n v="59326"/>
    <s v="Unidade Vieiralves"/>
    <n v="1706488339"/>
    <m/>
  </r>
  <r>
    <x v="19"/>
    <x v="8"/>
    <s v="Alice da Silva dos Santos"/>
    <m/>
    <x v="4"/>
    <x v="31"/>
    <s v="31601014 - Acupuntura (R$ 54,56)"/>
    <s v="Acupuntura"/>
    <n v="1709105588"/>
    <s v="Finalizado (3/5)"/>
    <n v="45.284799999999997"/>
    <n v="9.2751999999999999"/>
    <n v="54.56"/>
    <s v="Sessão Faturada"/>
    <n v="843486100604000"/>
    <n v="56112"/>
    <s v="Unidade Vieiralves"/>
    <n v="1709105588"/>
    <m/>
  </r>
  <r>
    <x v="19"/>
    <x v="8"/>
    <s v="Christiane Soares Mourão Vasconcelos"/>
    <s v="Feminino"/>
    <x v="5"/>
    <x v="31"/>
    <s v="31601014 - Acupuntura (R$ 90,51)"/>
    <s v="Acupuntura"/>
    <n v="77756570"/>
    <s v="Finalizado (4/4)"/>
    <n v="75.1233"/>
    <n v="15.386699999999999"/>
    <n v="90.51"/>
    <s v="Sessão Faturada"/>
    <s v="0101027366060139"/>
    <n v="58707"/>
    <s v="Unidade Vieiralves"/>
    <n v="77756570"/>
    <m/>
  </r>
  <r>
    <x v="19"/>
    <x v="10"/>
    <s v="Simone Gouveia Góes"/>
    <s v="Feminino"/>
    <x v="4"/>
    <x v="31"/>
    <s v="31601014 - Acupuntura (R$ 54,56)"/>
    <s v="Acupuntura"/>
    <n v="1711054117"/>
    <s v="Finalizado (2/5)"/>
    <n v="45.284799999999997"/>
    <n v="9.2751999999999999"/>
    <n v="54.56"/>
    <s v="Sessão Faturada"/>
    <n v="775216013765020"/>
    <n v="59283"/>
    <s v="Unidade Vieiralves"/>
    <n v="1711054117"/>
    <m/>
  </r>
  <r>
    <x v="19"/>
    <x v="10"/>
    <s v="Luciano Freitas de Oliveira"/>
    <s v="Masculino"/>
    <x v="4"/>
    <x v="31"/>
    <s v="31601014 - Acupuntura (R$ 54,56)"/>
    <s v="Acupuntura"/>
    <n v="1711086752"/>
    <s v="Finalizado (1/5)"/>
    <n v="45.284799999999997"/>
    <n v="9.2751999999999999"/>
    <n v="54.56"/>
    <s v="Sessão Faturada"/>
    <n v="771713007420010"/>
    <n v="59625"/>
    <s v="Unidade Vieiralves"/>
    <n v="1711086752"/>
    <m/>
  </r>
  <r>
    <x v="19"/>
    <x v="12"/>
    <s v="Lauren Lauschner Gaikoski"/>
    <s v="Feminino"/>
    <x v="4"/>
    <x v="31"/>
    <s v="31601014 - Acupuntura (R$ 54,56)"/>
    <s v="Acupuntura"/>
    <n v="1709237960"/>
    <s v="Finalizado (3/5)"/>
    <n v="45.284799999999997"/>
    <n v="9.2751999999999999"/>
    <n v="54.56"/>
    <s v="Sessão Faturada"/>
    <n v="775388000299020"/>
    <n v="56279"/>
    <s v="Unidade Vieiralves"/>
    <n v="1709237960"/>
    <m/>
  </r>
  <r>
    <x v="19"/>
    <x v="12"/>
    <s v="Elke Silveira Ferreira de Souza"/>
    <s v="Feminino"/>
    <x v="4"/>
    <x v="31"/>
    <s v="31601014 - Acupuntura (R$ 54,56)"/>
    <s v="Acupuntura"/>
    <n v="1711076238"/>
    <s v="Finalizado (1/5)"/>
    <n v="45.284799999999997"/>
    <n v="9.2751999999999999"/>
    <n v="54.56"/>
    <s v="Sessão Faturada"/>
    <n v="774078000450020"/>
    <n v="40221"/>
    <s v="Unidade Vieiralves"/>
    <n v="1711076238"/>
    <m/>
  </r>
  <r>
    <x v="19"/>
    <x v="12"/>
    <s v="Ayumi de Senna Silva"/>
    <s v="Feminino"/>
    <x v="6"/>
    <x v="31"/>
    <s v="31601014 - Acupuntura (R$ 51,33)"/>
    <s v="Acupuntura"/>
    <n v="171543"/>
    <s v="Finalizado (1/4)"/>
    <n v="42.603900000000003"/>
    <n v="8.7261000000000006"/>
    <n v="51.33"/>
    <s v="Sessão a Faturar"/>
    <s v="51588888463858150017"/>
    <n v="22238"/>
    <s v="Unidade Vieiralves"/>
    <n v="171543"/>
    <m/>
  </r>
  <r>
    <x v="19"/>
    <x v="12"/>
    <s v="Felipe da Silva Abreu"/>
    <s v="Masculino"/>
    <x v="7"/>
    <x v="31"/>
    <s v="Vieiralves - 32 - Acupuntura Unitário - Pacote (R$ 80,00)"/>
    <s v="Acupuntura"/>
    <n v="168039"/>
    <s v="Finalizado (6/10)"/>
    <n v="66.400000000000006"/>
    <n v="13.6"/>
    <n v="80"/>
    <s v="Pago"/>
    <n v="0"/>
    <n v="9285"/>
    <s v="Unidade Vieiralves"/>
    <n v="168039"/>
    <m/>
  </r>
  <r>
    <x v="19"/>
    <x v="20"/>
    <s v="Ingrid de Vasconcelos Castelo Branco"/>
    <s v="Feminino"/>
    <x v="12"/>
    <x v="31"/>
    <s v="31601014 - Acupuntura (R$ 54,56)"/>
    <s v="Acupuntura"/>
    <n v="10304048"/>
    <s v="Finalizado (5/5)"/>
    <n v="45.284799999999997"/>
    <n v="9.2751999999999999"/>
    <n v="54.56"/>
    <s v="Sessão Faturada"/>
    <s v="000430852874162602"/>
    <n v="38899"/>
    <s v="Unidade Vieiralves"/>
    <n v="10304048"/>
    <m/>
  </r>
  <r>
    <x v="19"/>
    <x v="20"/>
    <s v="Waldir dos Santos Fontes Junior"/>
    <s v="Masculino"/>
    <x v="4"/>
    <x v="31"/>
    <s v="31601014 - Acupuntura (R$ 54,56)"/>
    <s v="Acupuntura"/>
    <n v="1707541404"/>
    <s v="Finalizado (4/5)"/>
    <n v="45.284799999999997"/>
    <n v="9.2751999999999999"/>
    <n v="54.56"/>
    <s v="Sessão Faturada"/>
    <n v="772133000728000"/>
    <n v="51522"/>
    <s v="Unidade Vieiralves"/>
    <n v="1707541404"/>
    <m/>
  </r>
  <r>
    <x v="19"/>
    <x v="20"/>
    <s v="Jessica Pereira Falcão"/>
    <s v="Feminino"/>
    <x v="25"/>
    <x v="31"/>
    <s v="31601014 - Acupuntura (R$ 53,22)"/>
    <s v="Acupuntura"/>
    <n v="143009"/>
    <s v="Finalizado (3/10)"/>
    <n v="44.172600000000003"/>
    <n v="9.0473999999999997"/>
    <n v="53.22"/>
    <s v="Sessão Faturada"/>
    <n v="13804"/>
    <n v="50776"/>
    <s v="Unidade Vieiralves"/>
    <n v="143009"/>
    <m/>
  </r>
  <r>
    <x v="19"/>
    <x v="28"/>
    <s v="Alexsandro de Pierri Camara Frangos"/>
    <s v="Masculino"/>
    <x v="6"/>
    <x v="31"/>
    <s v="31601014 - Acupuntura (R$ 51,33)"/>
    <s v="Acupuntura"/>
    <n v="169540"/>
    <s v="Finalizado (4/4)"/>
    <n v="42.603900000000003"/>
    <n v="8.7261000000000006"/>
    <n v="51.33"/>
    <s v="Sessão a Faturar"/>
    <s v="44520813095886520010"/>
    <n v="59453"/>
    <s v="Unidade Vieiralves"/>
    <n v="169540"/>
    <m/>
  </r>
  <r>
    <x v="20"/>
    <x v="0"/>
    <s v="Gilmara Aguiar Sales"/>
    <s v="Feminino"/>
    <x v="4"/>
    <x v="31"/>
    <s v="31601014 - Acupuntura (R$ 54,56)"/>
    <s v="Acupuntura"/>
    <n v="1707949300"/>
    <s v="Finalizado (4/5)"/>
    <n v="45.284799999999997"/>
    <n v="9.2751999999999999"/>
    <n v="54.56"/>
    <s v="Sessão Faturada"/>
    <n v="960019313492010"/>
    <n v="59518"/>
    <s v="Unidade Vieiralves"/>
    <n v="1707949300"/>
    <m/>
  </r>
  <r>
    <x v="20"/>
    <x v="2"/>
    <s v="Fabíola Graziele Martins de Lima"/>
    <s v="Feminino"/>
    <x v="9"/>
    <x v="31"/>
    <s v="31601014 - Acupuntura (R$ 54,56)"/>
    <s v="Acupuntura"/>
    <n v="1706400728"/>
    <s v="Finalizado (5/5)"/>
    <n v="45.284799999999997"/>
    <n v="9.2751999999999999"/>
    <n v="54.56"/>
    <s v="Sessão Faturada"/>
    <n v="954590029556010"/>
    <n v="59043"/>
    <s v="Unidade Vieiralves"/>
    <n v="1706400728"/>
    <m/>
  </r>
  <r>
    <x v="20"/>
    <x v="4"/>
    <s v="Chirly Ribeiro de Souza Lira"/>
    <s v="Feminino"/>
    <x v="4"/>
    <x v="31"/>
    <s v="31601014 - Acupuntura (R$ 54,56)"/>
    <s v="Acupuntura"/>
    <n v="1711006753"/>
    <s v="Finalizado (2/3)"/>
    <n v="45.284799999999997"/>
    <n v="9.2751999999999999"/>
    <n v="54.56"/>
    <s v="Sessão Faturada"/>
    <n v="771015039004010"/>
    <n v="47661"/>
    <s v="Unidade Vieiralves"/>
    <n v="1711006753"/>
    <m/>
  </r>
  <r>
    <x v="20"/>
    <x v="4"/>
    <s v="Ivanildes Barbosa da Silva"/>
    <s v="Feminino"/>
    <x v="6"/>
    <x v="31"/>
    <s v="31601014 - Acupuntura (R$ 51,33)"/>
    <s v="Acupuntura"/>
    <n v="169850"/>
    <s v="Finalizado (4/4)"/>
    <n v="42.603900000000003"/>
    <n v="8.7261000000000006"/>
    <n v="51.33"/>
    <s v="Sessão a Faturar"/>
    <s v="54588888019240100022"/>
    <n v="58583"/>
    <s v="Unidade Vieiralves"/>
    <n v="169850"/>
    <m/>
  </r>
  <r>
    <x v="20"/>
    <x v="4"/>
    <s v="Tiago Godoy Lopes"/>
    <s v="Masculino"/>
    <x v="4"/>
    <x v="31"/>
    <s v="31601014 - Acupuntura (R$ 54,56)"/>
    <s v="Acupuntura"/>
    <n v="170623087"/>
    <s v="Finalizado (5/5)"/>
    <n v="45.284799999999997"/>
    <n v="9.2751999999999999"/>
    <n v="54.56"/>
    <s v="Sessão a Faturar"/>
    <n v="611265590001020"/>
    <n v="58056"/>
    <s v="Unidade Vieiralves"/>
    <n v="170623087"/>
    <m/>
  </r>
  <r>
    <x v="20"/>
    <x v="13"/>
    <s v="Mara Regina Kossoski Felix"/>
    <s v="Feminino"/>
    <x v="18"/>
    <x v="31"/>
    <s v="31601014 - Acupuntura - Sessão (R$ 60,00)"/>
    <s v="Acupuntura"/>
    <n v="169478"/>
    <s v="Finalizado (4/10)"/>
    <n v="49.8"/>
    <n v="10.199999999999999"/>
    <n v="60"/>
    <s v="Sessão a Faturar"/>
    <s v="000004622"/>
    <n v="59446"/>
    <s v="Unidade Vieiralves"/>
    <n v="169478"/>
    <m/>
  </r>
  <r>
    <x v="20"/>
    <x v="13"/>
    <s v="Camila Bacelar Oliveira"/>
    <s v="Feminino"/>
    <x v="9"/>
    <x v="31"/>
    <s v="31601014 - Acupuntura (R$ 54,56)"/>
    <s v="Acupuntura"/>
    <n v="1704869773"/>
    <s v="Finalizado (3/3)"/>
    <n v="45.284799999999997"/>
    <n v="9.2751999999999999"/>
    <n v="54.56"/>
    <s v="Sessão Faturada"/>
    <n v="954600031712010"/>
    <n v="59325"/>
    <s v="Unidade Vieiralves"/>
    <n v="1704869773"/>
    <m/>
  </r>
  <r>
    <x v="20"/>
    <x v="13"/>
    <s v="Ricardo Takashi Yamashita"/>
    <s v="Masculino"/>
    <x v="4"/>
    <x v="31"/>
    <s v="31601014 - Acupuntura (R$ 54,56)"/>
    <s v="Acupuntura"/>
    <n v="1706906743"/>
    <s v="Finalizado (4/4)"/>
    <n v="45.284799999999997"/>
    <n v="9.2751999999999999"/>
    <n v="54.56"/>
    <s v="Sessão Faturada"/>
    <n v="891007000019000"/>
    <n v="52119"/>
    <s v="Unidade Vieiralves"/>
    <n v="1706906743"/>
    <m/>
  </r>
  <r>
    <x v="20"/>
    <x v="13"/>
    <s v="Elane Sales de Lima"/>
    <m/>
    <x v="4"/>
    <x v="31"/>
    <s v="31601014 - Acupuntura (R$ 54,56)"/>
    <s v="Acupuntura"/>
    <n v="1706924475"/>
    <s v="Finalizado (5/5)"/>
    <n v="45.284799999999997"/>
    <n v="9.2751999999999999"/>
    <n v="54.56"/>
    <s v="Sessão Faturada"/>
    <n v="773539032034010"/>
    <n v="58812"/>
    <s v="Unidade Vieiralves"/>
    <n v="1706924475"/>
    <m/>
  </r>
  <r>
    <x v="20"/>
    <x v="6"/>
    <s v="Carlos Alberto de Assis"/>
    <s v="Masculino"/>
    <x v="17"/>
    <x v="31"/>
    <s v="31601014 - Acupuntura (R$ 45,00)"/>
    <s v="Acupuntura"/>
    <n v="3959721"/>
    <s v="Finalizado (5/10)"/>
    <n v="37.35"/>
    <n v="7.65"/>
    <n v="45"/>
    <s v="Sessão a Faturar"/>
    <s v="000915778421200"/>
    <n v="59370"/>
    <s v="Unidade Vieiralves"/>
    <n v="3959721"/>
    <m/>
  </r>
  <r>
    <x v="20"/>
    <x v="6"/>
    <s v="Dayanne Torres da Silva"/>
    <s v="Feminino"/>
    <x v="6"/>
    <x v="31"/>
    <s v="31601014 - Acupuntura (R$ 51,33)"/>
    <s v="Acupuntura"/>
    <n v="170297"/>
    <s v="Finalizado (4/4)"/>
    <n v="42.603900000000003"/>
    <n v="8.7261000000000006"/>
    <n v="51.33"/>
    <s v="Sessão a Faturar"/>
    <s v="54588888021709000020"/>
    <n v="59506"/>
    <s v="Unidade Vieiralves"/>
    <n v="170297"/>
    <m/>
  </r>
  <r>
    <x v="20"/>
    <x v="15"/>
    <s v="Evellyn da Silva Menezes"/>
    <s v="Feminino"/>
    <x v="4"/>
    <x v="31"/>
    <s v="31601014 - Acupuntura (R$ 54,56)"/>
    <s v="Acupuntura"/>
    <n v="1711639107"/>
    <s v="Finalizado (1/2)"/>
    <n v="45.284799999999997"/>
    <n v="9.2751999999999999"/>
    <n v="54.56"/>
    <s v="Sessão Faturada"/>
    <n v="773709048364020"/>
    <n v="59618"/>
    <s v="Unidade Vieiralves"/>
    <n v="1711639107"/>
    <m/>
  </r>
  <r>
    <x v="20"/>
    <x v="17"/>
    <s v="Jefferson Castro Simplicio"/>
    <s v="Masculino"/>
    <x v="4"/>
    <x v="31"/>
    <s v="31601014 - Acupuntura (R$ 54,56)"/>
    <s v="Acupuntura"/>
    <n v="1707993442"/>
    <s v="Finalizado (3/5)"/>
    <n v="45.284799999999997"/>
    <n v="9.2751999999999999"/>
    <n v="54.56"/>
    <s v="Sessão Faturada"/>
    <n v="960130225177000"/>
    <n v="43518"/>
    <s v="Unidade Vieiralves"/>
    <n v="1707993442"/>
    <m/>
  </r>
  <r>
    <x v="20"/>
    <x v="17"/>
    <s v="Paulo Cesar Silva Santiago"/>
    <s v="Masculino"/>
    <x v="4"/>
    <x v="31"/>
    <s v="31601014 - Acupuntura (R$ 54,56)"/>
    <s v="Acupuntura"/>
    <n v="1711662078"/>
    <s v="Finalizado (1/5)"/>
    <n v="45.284799999999997"/>
    <n v="9.2751999999999999"/>
    <n v="54.56"/>
    <s v="Sessão Faturada"/>
    <n v="611168920097000"/>
    <n v="19776"/>
    <s v="Unidade Vieiralves"/>
    <n v="1711662078"/>
    <m/>
  </r>
  <r>
    <x v="20"/>
    <x v="17"/>
    <s v="Samuel Cunha de Oliveira"/>
    <m/>
    <x v="4"/>
    <x v="31"/>
    <s v="31601014 - Acupuntura (R$ 54,56)"/>
    <s v="Acupuntura"/>
    <n v="1711645025"/>
    <s v="Finalizado (1/5)"/>
    <n v="45.284799999999997"/>
    <n v="9.2751999999999999"/>
    <n v="54.56"/>
    <s v="Sessão Faturada"/>
    <n v="837047000191010"/>
    <n v="59496"/>
    <s v="Unidade Vieiralves"/>
    <n v="1711645025"/>
    <m/>
  </r>
  <r>
    <x v="20"/>
    <x v="8"/>
    <s v="Alessandra Silveira Rocha"/>
    <s v="Feminino"/>
    <x v="4"/>
    <x v="31"/>
    <s v="31601014 - Acupuntura (R$ 54,56)"/>
    <s v="Acupuntura"/>
    <n v="1707007677"/>
    <s v="Finalizado (4/5)"/>
    <n v="45.284799999999997"/>
    <n v="9.2751999999999999"/>
    <n v="54.56"/>
    <s v="Sessão Faturada"/>
    <n v="774063023809020"/>
    <n v="58966"/>
    <s v="Unidade Vieiralves"/>
    <n v="1707007677"/>
    <m/>
  </r>
  <r>
    <x v="20"/>
    <x v="8"/>
    <s v="Andreza da Costa Paes"/>
    <s v="Feminino"/>
    <x v="4"/>
    <x v="31"/>
    <s v="31601014 - Acupuntura (R$ 54,56)"/>
    <s v="Acupuntura"/>
    <n v="1711645213"/>
    <s v="Finalizado (1/5)"/>
    <n v="45.284799999999997"/>
    <n v="9.2751999999999999"/>
    <n v="54.56"/>
    <s v="Sessão Faturada"/>
    <n v="837047000191020"/>
    <n v="59619"/>
    <s v="Unidade Vieiralves"/>
    <n v="1711645213"/>
    <m/>
  </r>
  <r>
    <x v="20"/>
    <x v="8"/>
    <s v="Dhijana Nobre de Almeida"/>
    <s v="Feminino"/>
    <x v="6"/>
    <x v="31"/>
    <s v="31601014 - Acupuntura (R$ 51,33)"/>
    <s v="Acupuntura"/>
    <n v="170870"/>
    <s v="Não compareceu (2/3)"/>
    <n v="51.33"/>
    <n v="0"/>
    <n v="51.33"/>
    <s v="Sessão a Faturar"/>
    <s v="54588888004873450017"/>
    <n v="6422"/>
    <s v="Unidade Vieiralves"/>
    <n v="170870"/>
    <m/>
  </r>
  <r>
    <x v="20"/>
    <x v="8"/>
    <s v="Erlom André de Matos"/>
    <s v="Masculino"/>
    <x v="4"/>
    <x v="31"/>
    <s v="31601014 - Acupuntura (R$ 54,56)"/>
    <s v="Acupuntura"/>
    <n v="1710508088"/>
    <s v="Finalizado (2/5)"/>
    <n v="45.284799999999997"/>
    <n v="9.2751999999999999"/>
    <n v="54.56"/>
    <s v="Sessão Faturada"/>
    <n v="893331302089010"/>
    <n v="59095"/>
    <s v="Unidade Vieiralves"/>
    <n v="1710508088"/>
    <m/>
  </r>
  <r>
    <x v="20"/>
    <x v="8"/>
    <s v="Elke Silveira Ferreira de Souza"/>
    <s v="Feminino"/>
    <x v="4"/>
    <x v="31"/>
    <s v="31601014 - Acupuntura (R$ 54,56)"/>
    <s v="Acupuntura"/>
    <n v="1711076238"/>
    <s v="Finalizado (2/5)"/>
    <n v="45.284799999999997"/>
    <n v="9.2751999999999999"/>
    <n v="54.56"/>
    <s v="Sessão Faturada"/>
    <n v="774078000450020"/>
    <n v="40221"/>
    <s v="Unidade Vieiralves"/>
    <n v="1711076238"/>
    <m/>
  </r>
  <r>
    <x v="20"/>
    <x v="10"/>
    <s v="Kellen Regina Pereira da Silva"/>
    <s v="Feminino"/>
    <x v="4"/>
    <x v="31"/>
    <s v="31601014 - Acupuntura (R$ 54,56)"/>
    <s v="Acupuntura"/>
    <n v="1709802339"/>
    <s v="Finalizado (3/5)"/>
    <n v="45.284799999999997"/>
    <n v="9.2751999999999999"/>
    <n v="54.56"/>
    <s v="Sessão Faturada"/>
    <n v="890729700027020"/>
    <n v="59263"/>
    <s v="Unidade Vieiralves"/>
    <n v="1709802339"/>
    <m/>
  </r>
  <r>
    <x v="20"/>
    <x v="12"/>
    <s v="Caio Felipe Soares da Cruz"/>
    <s v="Masculino"/>
    <x v="4"/>
    <x v="31"/>
    <s v="31601014 - Acupuntura (R$ 54,56)"/>
    <s v="Acupuntura"/>
    <n v="1710494452"/>
    <s v="Finalizado (2/5)"/>
    <n v="45.284799999999997"/>
    <n v="9.2751999999999999"/>
    <n v="54.56"/>
    <s v="Sessão a Faturar"/>
    <n v="889414100973000"/>
    <n v="57595"/>
    <s v="Unidade Vieiralves"/>
    <n v="1710494452"/>
    <m/>
  </r>
  <r>
    <x v="20"/>
    <x v="20"/>
    <s v="Ingrid de Vasconcelos Castelo Branco"/>
    <s v="Feminino"/>
    <x v="12"/>
    <x v="31"/>
    <s v="31601014 - Acupuntura (R$ 54,56)"/>
    <s v="Acupuntura"/>
    <n v="10338769"/>
    <s v="Finalizado (1/3)"/>
    <n v="45.284799999999997"/>
    <n v="9.2751999999999999"/>
    <n v="54.56"/>
    <s v="Sessão a Faturar"/>
    <s v="000430852874162602"/>
    <n v="38899"/>
    <s v="Unidade Vieiralves"/>
    <n v="10338769"/>
    <m/>
  </r>
  <r>
    <x v="20"/>
    <x v="28"/>
    <s v="Lucas Reniele Amorim de Andrade"/>
    <s v="Masculino"/>
    <x v="4"/>
    <x v="31"/>
    <s v="31601014 - Acupuntura (R$ 54,56)"/>
    <s v="Acupuntura"/>
    <n v="1711677518"/>
    <s v="Finalizado (1/4)"/>
    <n v="45.284799999999997"/>
    <n v="9.2751999999999999"/>
    <n v="54.56"/>
    <s v="Sessão Faturada"/>
    <n v="774642029297000"/>
    <n v="58737"/>
    <s v="Unidade Vieiralves"/>
    <n v="1711677518"/>
    <m/>
  </r>
  <r>
    <x v="20"/>
    <x v="28"/>
    <s v="Willian da Silva Marques"/>
    <s v="Masculino"/>
    <x v="6"/>
    <x v="31"/>
    <s v="31601014 - Acupuntura (R$ 51,33)"/>
    <s v="Acupuntura"/>
    <n v="171337"/>
    <s v="Finalizado (1/3)"/>
    <n v="42.603900000000003"/>
    <n v="8.7261000000000006"/>
    <n v="51.33"/>
    <s v="Sessão a Faturar"/>
    <s v="58201065997798090011"/>
    <n v="58695"/>
    <s v="Unidade Vieiralves"/>
    <n v="171337"/>
    <m/>
  </r>
  <r>
    <x v="0"/>
    <x v="2"/>
    <s v="Ray Jackson Aguiar Bezerra"/>
    <s v="Masculino"/>
    <x v="5"/>
    <x v="31"/>
    <s v="31601014 - Acupuntura - 04/03/2026 (R$ 86,81)"/>
    <s v="Acupuntura"/>
    <n v="76267690"/>
    <s v="Finalizado (4/10)"/>
    <n v="72.052300000000002"/>
    <n v="14.7577"/>
    <n v="86.81"/>
    <s v="Sessão Faturada"/>
    <s v="010138208000"/>
    <n v="20846"/>
    <s v="Unidade Vieiralves"/>
    <n v="76267690"/>
    <s v="GUIA ASSINADA!!!!"/>
  </r>
  <r>
    <x v="0"/>
    <x v="4"/>
    <s v="Rosalinda Pereira Brito"/>
    <s v="Feminino"/>
    <x v="4"/>
    <x v="31"/>
    <s v="31601014 - Acupuntura (R$ 54,56)"/>
    <s v="Acupuntura"/>
    <n v="1706901277"/>
    <s v="Finalizado (5/5)"/>
    <n v="45.284799999999997"/>
    <n v="9.2751999999999999"/>
    <n v="54.56"/>
    <s v="Sessão Faturada"/>
    <s v="010544100907015"/>
    <n v="13886"/>
    <s v="Unidade Vieiralves"/>
    <n v="1706901277"/>
    <m/>
  </r>
  <r>
    <x v="0"/>
    <x v="4"/>
    <s v="Vania Maria Lima da Silva Aracaty"/>
    <s v="Feminino"/>
    <x v="5"/>
    <x v="31"/>
    <s v="31601014 - Acupuntura - 04/03/2026 (R$ 86,81)"/>
    <s v="Acupuntura"/>
    <n v="76095810"/>
    <s v="Não compareceu (3/10)"/>
    <n v="86.81"/>
    <n v="0"/>
    <n v="86.81"/>
    <s v="Sessão a Faturar"/>
    <s v="0100275211060174"/>
    <n v="56455"/>
    <s v="Unidade Vieiralves"/>
    <n v="76095810"/>
    <m/>
  </r>
  <r>
    <x v="0"/>
    <x v="4"/>
    <s v="Rosa da Silva Freitas"/>
    <s v="Feminino"/>
    <x v="12"/>
    <x v="31"/>
    <s v="31601014 - Acupuntura (R$ 54,56)"/>
    <s v="Acupuntura"/>
    <n v="10227147"/>
    <s v="Finalizado (8/10)"/>
    <n v="45.284799999999997"/>
    <n v="9.2751999999999999"/>
    <n v="54.56"/>
    <s v="Sessão Faturada"/>
    <n v="9.5125181212225997E+17"/>
    <n v="55746"/>
    <s v="Unidade Vieiralves"/>
    <n v="10227147"/>
    <m/>
  </r>
  <r>
    <x v="0"/>
    <x v="4"/>
    <s v="Sonia dos Santos Pereira"/>
    <s v="Feminino"/>
    <x v="4"/>
    <x v="31"/>
    <s v="31601014 - Acupuntura (R$ 54,56)"/>
    <s v="Acupuntura"/>
    <n v="1712892680"/>
    <s v="Finalizado (1/1)"/>
    <n v="45.284799999999997"/>
    <n v="9.2751999999999999"/>
    <n v="54.56"/>
    <s v="Sessão Faturada"/>
    <n v="775216009806030"/>
    <n v="56433"/>
    <s v="Unidade Vieiralves"/>
    <n v="1712892680"/>
    <m/>
  </r>
  <r>
    <x v="0"/>
    <x v="13"/>
    <s v="Tiago Godoy Lopes"/>
    <s v="Masculino"/>
    <x v="4"/>
    <x v="31"/>
    <s v="31601014 - Acupuntura (R$ 54,56)"/>
    <s v="Acupuntura"/>
    <n v="1712901549"/>
    <s v="Finalizado (1/2)"/>
    <n v="45.284799999999997"/>
    <n v="9.2751999999999999"/>
    <n v="54.56"/>
    <s v="Sessão a Faturar"/>
    <n v="611265590001020"/>
    <n v="58056"/>
    <s v="Unidade Vieiralves"/>
    <n v="1712901549"/>
    <m/>
  </r>
  <r>
    <x v="0"/>
    <x v="13"/>
    <s v="Daniel de Moura Alves"/>
    <s v="Masculino"/>
    <x v="4"/>
    <x v="31"/>
    <s v="31601014 - Acupuntura (R$ 54,56)"/>
    <s v="Acupuntura"/>
    <n v="1714158805"/>
    <s v="Finalizado (1/5)"/>
    <n v="45.284799999999997"/>
    <n v="9.2751999999999999"/>
    <n v="54.56"/>
    <s v="Sessão a Faturar"/>
    <n v="774063007471000"/>
    <n v="58683"/>
    <s v="Unidade Vieiralves"/>
    <n v="1714158805"/>
    <m/>
  </r>
  <r>
    <x v="0"/>
    <x v="13"/>
    <s v="Mara Regina Kossoski Felix"/>
    <s v="Feminino"/>
    <x v="18"/>
    <x v="31"/>
    <s v="31601014 - Acupuntura - Sessão (R$ 60,00)"/>
    <s v="Acupuntura"/>
    <n v="169478"/>
    <s v="Não compareceu (5/10)"/>
    <n v="60"/>
    <n v="0"/>
    <n v="60"/>
    <s v="Sessão a Faturar"/>
    <s v="000004622"/>
    <n v="59446"/>
    <s v="Unidade Vieiralves"/>
    <n v="169478"/>
    <m/>
  </r>
  <r>
    <x v="0"/>
    <x v="17"/>
    <s v="Eliana Araujo Pereira Miki"/>
    <s v="Feminino"/>
    <x v="4"/>
    <x v="31"/>
    <s v="31601014 - Acupuntura (R$ 54,56)"/>
    <s v="Acupuntura"/>
    <n v="1712985385"/>
    <s v="Finalizado (1/1)"/>
    <n v="45.284799999999997"/>
    <n v="9.2751999999999999"/>
    <n v="54.56"/>
    <s v="Sessão a Faturar"/>
    <n v="771015025992020"/>
    <n v="7512"/>
    <s v="Unidade Vieiralves"/>
    <n v="1712985385"/>
    <m/>
  </r>
  <r>
    <x v="0"/>
    <x v="8"/>
    <s v="Francisco Lima da Silva"/>
    <s v="Masculino"/>
    <x v="4"/>
    <x v="31"/>
    <s v="31601014 - Acupuntura (R$ 54,56)"/>
    <s v="Acupuntura"/>
    <n v="1711062570"/>
    <s v="Finalizado (2/5)"/>
    <n v="45.284799999999997"/>
    <n v="9.2751999999999999"/>
    <n v="54.56"/>
    <s v="Sessão Faturada"/>
    <n v="774981007706010"/>
    <n v="52427"/>
    <s v="Unidade Vieiralves"/>
    <n v="1711062570"/>
    <m/>
  </r>
  <r>
    <x v="0"/>
    <x v="8"/>
    <s v="Alessandra Silveira Rocha"/>
    <s v="Feminino"/>
    <x v="4"/>
    <x v="31"/>
    <s v="31601014 - Acupuntura (R$ 54,56)"/>
    <s v="Acupuntura"/>
    <n v="1707007677"/>
    <s v="Finalizado (5/5)"/>
    <n v="45.284799999999997"/>
    <n v="9.2751999999999999"/>
    <n v="54.56"/>
    <s v="Sessão Faturada"/>
    <n v="774063023809020"/>
    <n v="58966"/>
    <s v="Unidade Vieiralves"/>
    <n v="1707007677"/>
    <m/>
  </r>
  <r>
    <x v="0"/>
    <x v="10"/>
    <s v="Kellen Regina Pereira da Silva"/>
    <s v="Feminino"/>
    <x v="4"/>
    <x v="31"/>
    <s v="31601014 - Acupuntura (R$ 54,56)"/>
    <s v="Acupuntura"/>
    <n v="1709802339"/>
    <s v="Finalizado (4/5)"/>
    <n v="45.284799999999997"/>
    <n v="9.2751999999999999"/>
    <n v="54.56"/>
    <s v="Sessão Faturada"/>
    <n v="890729700027020"/>
    <n v="59263"/>
    <s v="Unidade Vieiralves"/>
    <n v="1709802339"/>
    <m/>
  </r>
  <r>
    <x v="0"/>
    <x v="10"/>
    <s v="Alice da Silva dos Santos"/>
    <m/>
    <x v="4"/>
    <x v="31"/>
    <s v="31601014 - Acupuntura (R$ 54,56)"/>
    <s v="Acupuntura"/>
    <n v="1709105588"/>
    <s v="Finalizado (5/5)"/>
    <n v="45.284799999999997"/>
    <n v="9.2751999999999999"/>
    <n v="54.56"/>
    <s v="Sessão Faturada"/>
    <n v="843486100604000"/>
    <n v="56112"/>
    <s v="Unidade Vieiralves"/>
    <n v="1709105588"/>
    <m/>
  </r>
  <r>
    <x v="0"/>
    <x v="10"/>
    <s v="Andreza da Costa Paes"/>
    <s v="Feminino"/>
    <x v="4"/>
    <x v="31"/>
    <s v="31601014 - Acupuntura (R$ 54,56)"/>
    <s v="Acupuntura"/>
    <n v="1711645213"/>
    <s v="Finalizado (2/5)"/>
    <n v="45.284799999999997"/>
    <n v="9.2751999999999999"/>
    <n v="54.56"/>
    <s v="Sessão Faturada"/>
    <n v="837047000191020"/>
    <n v="59619"/>
    <s v="Unidade Vieiralves"/>
    <n v="1711645213"/>
    <m/>
  </r>
  <r>
    <x v="0"/>
    <x v="10"/>
    <s v="Magda Rejane Nogueira Miranda"/>
    <m/>
    <x v="29"/>
    <x v="31"/>
    <s v="31601014 - Acupuntura (R$ 73,38)"/>
    <s v="Acupuntura"/>
    <n v="1085571"/>
    <s v="Não compareceu (7/10)"/>
    <n v="73.38"/>
    <n v="0"/>
    <n v="73.38"/>
    <s v="Sessão Faturada"/>
    <n v="130260032740010"/>
    <n v="54854"/>
    <s v="Unidade Vieiralves"/>
    <n v="1085571"/>
    <m/>
  </r>
  <r>
    <x v="0"/>
    <x v="12"/>
    <s v="Caio Felipe Soares da Cruz"/>
    <s v="Masculino"/>
    <x v="4"/>
    <x v="31"/>
    <s v="31601014 - Acupuntura (R$ 54,56)"/>
    <s v="Acupuntura"/>
    <n v="1710494452"/>
    <s v="Finalizado (3/5)"/>
    <n v="45.284799999999997"/>
    <n v="9.2751999999999999"/>
    <n v="54.56"/>
    <s v="Sessão a Faturar"/>
    <n v="889414100973000"/>
    <n v="57595"/>
    <s v="Unidade Vieiralves"/>
    <n v="1710494452"/>
    <m/>
  </r>
  <r>
    <x v="0"/>
    <x v="12"/>
    <s v="Lauren Lauschner Gaikoski"/>
    <s v="Feminino"/>
    <x v="4"/>
    <x v="31"/>
    <s v="31601014 - Acupuntura (R$ 54,56)"/>
    <s v="Acupuntura"/>
    <n v="1709237960"/>
    <s v="Finalizado (4/5)"/>
    <n v="45.284799999999997"/>
    <n v="9.2751999999999999"/>
    <n v="54.56"/>
    <s v="Sessão Faturada"/>
    <n v="775388000299020"/>
    <n v="56279"/>
    <s v="Unidade Vieiralves"/>
    <n v="1709237960"/>
    <m/>
  </r>
  <r>
    <x v="0"/>
    <x v="12"/>
    <s v="Luciano Freitas de Oliveira"/>
    <s v="Masculino"/>
    <x v="4"/>
    <x v="31"/>
    <s v="31601014 - Acupuntura (R$ 54,56)"/>
    <s v="Acupuntura"/>
    <n v="1711086752"/>
    <s v="Finalizado (2/5)"/>
    <n v="45.284799999999997"/>
    <n v="9.2751999999999999"/>
    <n v="54.56"/>
    <s v="Sessão Faturada"/>
    <n v="771713007420010"/>
    <n v="59625"/>
    <s v="Unidade Vieiralves"/>
    <n v="1711086752"/>
    <m/>
  </r>
  <r>
    <x v="0"/>
    <x v="12"/>
    <s v="Jefferson Castro Simplicio"/>
    <s v="Masculino"/>
    <x v="4"/>
    <x v="31"/>
    <s v="31601014 - Acupuntura (R$ 54,56)"/>
    <s v="Acupuntura"/>
    <n v="1707993442"/>
    <s v="Finalizado (4/5)"/>
    <n v="45.284799999999997"/>
    <n v="9.2751999999999999"/>
    <n v="54.56"/>
    <s v="Sessão Faturada"/>
    <n v="960130225177000"/>
    <n v="43518"/>
    <s v="Unidade Vieiralves"/>
    <n v="1707993442"/>
    <m/>
  </r>
  <r>
    <x v="0"/>
    <x v="12"/>
    <s v="Samuel Cunha de Oliveira"/>
    <m/>
    <x v="4"/>
    <x v="31"/>
    <s v="31601014 - Acupuntura (R$ 54,56)"/>
    <s v="Acupuntura"/>
    <n v="1711645025"/>
    <s v="Finalizado (2/5)"/>
    <n v="45.284799999999997"/>
    <n v="9.2751999999999999"/>
    <n v="54.56"/>
    <s v="Sessão Faturada"/>
    <n v="837047000191010"/>
    <n v="59496"/>
    <s v="Unidade Vieiralves"/>
    <n v="1711645025"/>
    <m/>
  </r>
  <r>
    <x v="0"/>
    <x v="20"/>
    <s v="Ana Georgina Viga Lacorte"/>
    <s v="Feminino"/>
    <x v="4"/>
    <x v="31"/>
    <s v="31601014 - Acupuntura (R$ 54,56)"/>
    <s v="Acupuntura"/>
    <n v="1709245920"/>
    <s v="Finalizado (4/5)"/>
    <n v="45.284799999999997"/>
    <n v="9.2751999999999999"/>
    <n v="54.56"/>
    <s v="Sessão Faturada"/>
    <n v="882749100043010"/>
    <n v="50823"/>
    <s v="Unidade Vieiralves"/>
    <n v="1709245920"/>
    <m/>
  </r>
  <r>
    <x v="0"/>
    <x v="20"/>
    <s v="Ingrid de Vasconcelos Castelo Branco"/>
    <s v="Feminino"/>
    <x v="12"/>
    <x v="31"/>
    <s v="31601014 - Acupuntura (R$ 54,56)"/>
    <s v="Acupuntura"/>
    <n v="10338769"/>
    <s v="Finalizado (2/3)"/>
    <n v="45.284799999999997"/>
    <n v="9.2751999999999999"/>
    <n v="54.56"/>
    <s v="Sessão a Faturar"/>
    <s v="000430852874162602"/>
    <n v="38899"/>
    <s v="Unidade Vieiralves"/>
    <n v="10338769"/>
    <m/>
  </r>
  <r>
    <x v="0"/>
    <x v="20"/>
    <s v="Kamila Nayara dos Anjos Cruz"/>
    <s v="Feminino"/>
    <x v="4"/>
    <x v="31"/>
    <s v="31601014 - Acupuntura (R$ 54,56)"/>
    <s v="Acupuntura"/>
    <n v="1702019795"/>
    <s v="Finalizado (4/5)"/>
    <n v="45.284799999999997"/>
    <n v="9.2751999999999999"/>
    <n v="54.56"/>
    <s v="Sessão Faturada"/>
    <n v="960016968538010"/>
    <n v="58063"/>
    <s v="Unidade Vieiralves"/>
    <n v="1702019795"/>
    <m/>
  </r>
  <r>
    <x v="0"/>
    <x v="28"/>
    <s v="Willian da Silva Marques"/>
    <s v="Masculino"/>
    <x v="6"/>
    <x v="31"/>
    <s v="31601014 - Acupuntura (R$ 51,33)"/>
    <s v="Acupuntura"/>
    <n v="171337"/>
    <s v="Finalizado (2/3)"/>
    <n v="42.603900000000003"/>
    <n v="8.7261000000000006"/>
    <n v="51.33"/>
    <s v="Sessão a Faturar"/>
    <s v="58201065997798090011"/>
    <n v="58695"/>
    <s v="Unidade Vieiralves"/>
    <n v="171337"/>
    <m/>
  </r>
  <r>
    <x v="0"/>
    <x v="28"/>
    <s v="Graciana de Souza Honorato"/>
    <s v="Feminino"/>
    <x v="4"/>
    <x v="31"/>
    <s v="31601014 - Acupuntura (R$ 54,56)"/>
    <s v="Acupuntura"/>
    <n v="1712997967"/>
    <s v="Finalizado (1/1)"/>
    <n v="45.284799999999997"/>
    <n v="9.2751999999999999"/>
    <n v="54.56"/>
    <s v="Sessão Faturada"/>
    <n v="611481880010010"/>
    <n v="59464"/>
    <s v="Unidade Vieiralves"/>
    <n v="1712997967"/>
    <m/>
  </r>
  <r>
    <x v="1"/>
    <x v="0"/>
    <s v="Samanta Balsini Peixoto"/>
    <s v="Feminino"/>
    <x v="4"/>
    <x v="31"/>
    <s v="31601014 - Acupuntura (R$ 54,56)"/>
    <s v="Acupuntura"/>
    <n v="1713515614"/>
    <s v="Finalizado (1/3)"/>
    <n v="45.284799999999997"/>
    <n v="9.2751999999999999"/>
    <n v="54.56"/>
    <s v="Sessão a Faturar"/>
    <n v="893331300736010"/>
    <n v="58251"/>
    <s v="Unidade Vieiralves"/>
    <n v="1713515614"/>
    <m/>
  </r>
  <r>
    <x v="1"/>
    <x v="0"/>
    <s v="Rita Emanuelle de Fonte Seixas"/>
    <s v="Feminino"/>
    <x v="5"/>
    <x v="31"/>
    <s v="31601014 - Acupuntura (R$ 90,51)"/>
    <s v="Acupuntura"/>
    <n v="78474840"/>
    <s v="Finalizado (2/2)"/>
    <n v="75.1233"/>
    <n v="15.386699999999999"/>
    <n v="90.51"/>
    <s v="Sessão a Faturar"/>
    <s v="0100758323010346"/>
    <n v="58917"/>
    <s v="Unidade Vieiralves"/>
    <n v="78474840"/>
    <m/>
  </r>
  <r>
    <x v="1"/>
    <x v="2"/>
    <s v="Marlucia Rabelo de Souza"/>
    <m/>
    <x v="9"/>
    <x v="31"/>
    <s v="31601014 - Acupuntura (R$ 54,56)"/>
    <s v="Acupuntura"/>
    <n v="1713476327"/>
    <s v="Finalizado (1/5)"/>
    <n v="45.284799999999997"/>
    <n v="9.2751999999999999"/>
    <n v="54.56"/>
    <s v="Sessão a Faturar"/>
    <n v="954600000671000"/>
    <n v="109"/>
    <s v="Unidade Vieiralves"/>
    <n v="1713476327"/>
    <m/>
  </r>
  <r>
    <x v="1"/>
    <x v="4"/>
    <s v="Vania Maria Lima da Silva Aracaty"/>
    <s v="Feminino"/>
    <x v="5"/>
    <x v="31"/>
    <s v="31601014 - Acupuntura - 04/03/2026 (R$ 86,81)"/>
    <s v="Acupuntura"/>
    <n v="76095810"/>
    <s v="Não compareceu (4/10)"/>
    <n v="86.81"/>
    <n v="0"/>
    <n v="86.81"/>
    <s v="Sessão a Faturar"/>
    <s v="0100275211060174"/>
    <n v="56455"/>
    <s v="Unidade Vieiralves"/>
    <n v="76095810"/>
    <m/>
  </r>
  <r>
    <x v="1"/>
    <x v="4"/>
    <s v="Maria de Fatima Chaves Coimbra"/>
    <s v="Feminino"/>
    <x v="6"/>
    <x v="31"/>
    <s v="31601014 - Acupuntura (R$ 51,33)"/>
    <s v="Acupuntura"/>
    <n v="170509"/>
    <s v="Finalizado (3/4)"/>
    <n v="42.603900000000003"/>
    <n v="8.7261000000000006"/>
    <n v="51.33"/>
    <s v="Sessão a Faturar"/>
    <s v="55788888000967700014"/>
    <n v="19051"/>
    <s v="Unidade Vieiralves"/>
    <n v="170509"/>
    <m/>
  </r>
  <r>
    <x v="1"/>
    <x v="6"/>
    <s v="Anna Danielle Oliveira dos Santos Cardozo"/>
    <s v="Feminino"/>
    <x v="4"/>
    <x v="31"/>
    <s v="31601014 - Acupuntura (R$ 54,56)"/>
    <s v="Acupuntura"/>
    <n v="1713523039"/>
    <s v="Finalizado (1/1)"/>
    <n v="45.284799999999997"/>
    <n v="9.2751999999999999"/>
    <n v="54.56"/>
    <s v="Sessão Faturada"/>
    <n v="830416700230010"/>
    <n v="57193"/>
    <s v="Unidade Vieiralves"/>
    <n v="1713523039"/>
    <m/>
  </r>
  <r>
    <x v="1"/>
    <x v="6"/>
    <s v="Wanessa Ferreira Saraiva Oliveira"/>
    <s v="Feminino"/>
    <x v="4"/>
    <x v="31"/>
    <s v="31601014 - Acupuntura (R$ 54,56)"/>
    <s v="Acupuntura"/>
    <n v="1713546334"/>
    <s v="Finalizado (1/5)"/>
    <n v="45.284799999999997"/>
    <n v="9.2751999999999999"/>
    <n v="54.56"/>
    <s v="Sessão Faturada"/>
    <n v="610900110003020"/>
    <n v="8227"/>
    <s v="Unidade Vieiralves"/>
    <n v="1713546334"/>
    <m/>
  </r>
  <r>
    <x v="1"/>
    <x v="15"/>
    <s v="Evellyn da Silva Menezes"/>
    <s v="Feminino"/>
    <x v="4"/>
    <x v="31"/>
    <s v="31601014 - Acupuntura (R$ 54,56)"/>
    <s v="Acupuntura"/>
    <n v="1711639107"/>
    <s v="Finalizado (2/2)"/>
    <n v="45.284799999999997"/>
    <n v="9.2751999999999999"/>
    <n v="54.56"/>
    <s v="Sessão Faturada"/>
    <n v="773709048364020"/>
    <n v="59618"/>
    <s v="Unidade Vieiralves"/>
    <n v="1711639107"/>
    <m/>
  </r>
  <r>
    <x v="1"/>
    <x v="17"/>
    <s v="Francisco Lima da Silva"/>
    <s v="Masculino"/>
    <x v="4"/>
    <x v="31"/>
    <s v="31601014 - Acupuntura (R$ 54,56)"/>
    <s v="Acupuntura"/>
    <n v="1711062570"/>
    <s v="Finalizado (3/5)"/>
    <n v="45.284799999999997"/>
    <n v="9.2751999999999999"/>
    <n v="54.56"/>
    <s v="Sessão Faturada"/>
    <n v="774981007706010"/>
    <n v="52427"/>
    <s v="Unidade Vieiralves"/>
    <n v="1711062570"/>
    <m/>
  </r>
  <r>
    <x v="1"/>
    <x v="8"/>
    <s v="Dioneia de Almeida"/>
    <s v="Feminino"/>
    <x v="6"/>
    <x v="31"/>
    <s v="31601014 - Acupuntura (R$ 51,33)"/>
    <s v="Acupuntura"/>
    <n v="172054"/>
    <s v="Finalizado (1/3)"/>
    <n v="42.603900000000003"/>
    <n v="8.7261000000000006"/>
    <n v="51.33"/>
    <s v="Sessão a Faturar"/>
    <s v="54588888475885650010"/>
    <n v="49598"/>
    <s v="Unidade Vieiralves"/>
    <n v="172054"/>
    <m/>
  </r>
  <r>
    <x v="1"/>
    <x v="8"/>
    <s v="Dioneia de Almeida"/>
    <s v="Feminino"/>
    <x v="6"/>
    <x v="31"/>
    <s v="10101012 - Consulta Médica (R$ 121,28)"/>
    <s v="Acupuntura"/>
    <n v="7700047268"/>
    <s v="Finalizado (1/1)"/>
    <n v="121.28"/>
    <n v="0"/>
    <n v="121.28"/>
    <s v="Sessão Faturada"/>
    <s v="54588888475885650010"/>
    <n v="49598"/>
    <s v="Unidade Vieiralves"/>
    <n v="7700047268"/>
    <m/>
  </r>
  <r>
    <x v="1"/>
    <x v="10"/>
    <s v="Simone Gouveia Góes"/>
    <s v="Feminino"/>
    <x v="4"/>
    <x v="31"/>
    <s v="31601014 - Acupuntura (R$ 54,56)"/>
    <s v="Acupuntura"/>
    <n v="1711054117"/>
    <s v="Finalizado (3/5)"/>
    <n v="45.284799999999997"/>
    <n v="9.2751999999999999"/>
    <n v="54.56"/>
    <s v="Sessão Faturada"/>
    <n v="775216013765020"/>
    <n v="59283"/>
    <s v="Unidade Vieiralves"/>
    <n v="1711054117"/>
    <m/>
  </r>
  <r>
    <x v="1"/>
    <x v="10"/>
    <s v="Magda Rejane Nogueira Miranda"/>
    <m/>
    <x v="29"/>
    <x v="31"/>
    <s v="31601014 - Acupuntura (R$ 73,38)"/>
    <s v="Acupuntura"/>
    <n v="1085571"/>
    <s v="Finalizado (8/10)"/>
    <n v="60.9054"/>
    <n v="12.474600000000001"/>
    <n v="73.38"/>
    <s v="Sessão Faturada"/>
    <n v="130260032740010"/>
    <n v="54854"/>
    <s v="Unidade Vieiralves"/>
    <n v="1085571"/>
    <m/>
  </r>
  <r>
    <x v="1"/>
    <x v="12"/>
    <s v="Luciano Freitas de Oliveira"/>
    <s v="Masculino"/>
    <x v="4"/>
    <x v="31"/>
    <s v="31601014 - Acupuntura (R$ 54,56)"/>
    <s v="Acupuntura"/>
    <n v="1711086752"/>
    <s v="Finalizado (3/5)"/>
    <n v="45.284799999999997"/>
    <n v="9.2751999999999999"/>
    <n v="54.56"/>
    <s v="Sessão Faturada"/>
    <n v="771713007420010"/>
    <n v="59625"/>
    <s v="Unidade Vieiralves"/>
    <n v="1711086752"/>
    <m/>
  </r>
  <r>
    <x v="1"/>
    <x v="12"/>
    <s v="Viviane Paes Barreto da Silva"/>
    <s v="Feminino"/>
    <x v="4"/>
    <x v="31"/>
    <s v="31601014 - Acupuntura (R$ 54,56)"/>
    <s v="Acupuntura"/>
    <n v="1713638120"/>
    <s v="Finalizado (1/5)"/>
    <n v="45.284799999999997"/>
    <n v="9.2751999999999999"/>
    <n v="54.56"/>
    <s v="Sessão Faturada"/>
    <n v="853503800205040"/>
    <n v="59636"/>
    <s v="Unidade Vieiralves"/>
    <n v="1713638120"/>
    <m/>
  </r>
  <r>
    <x v="1"/>
    <x v="20"/>
    <s v="Jessica Pereira Falcão"/>
    <s v="Feminino"/>
    <x v="25"/>
    <x v="31"/>
    <s v="31601014 - Acupuntura (R$ 53,22)"/>
    <s v="Acupuntura"/>
    <n v="143009"/>
    <s v="Finalizado (4/10)"/>
    <n v="44.172600000000003"/>
    <n v="9.0473999999999997"/>
    <n v="53.22"/>
    <s v="Sessão Faturada"/>
    <n v="13804"/>
    <n v="50776"/>
    <s v="Unidade Vieiralves"/>
    <n v="143009"/>
    <m/>
  </r>
  <r>
    <x v="1"/>
    <x v="20"/>
    <s v="Ana Georgina Viga Lacorte"/>
    <s v="Feminino"/>
    <x v="4"/>
    <x v="31"/>
    <s v="31601014 - Acupuntura (R$ 54,56)"/>
    <s v="Acupuntura"/>
    <n v="1709245920"/>
    <s v="Finalizado (5/5)"/>
    <n v="45.284799999999997"/>
    <n v="9.2751999999999999"/>
    <n v="54.56"/>
    <s v="Sessão Faturada"/>
    <n v="882749100043010"/>
    <n v="50823"/>
    <s v="Unidade Vieiralves"/>
    <n v="1709245920"/>
    <m/>
  </r>
  <r>
    <x v="2"/>
    <x v="0"/>
    <s v="Gilmara Aguiar Sales"/>
    <s v="Feminino"/>
    <x v="4"/>
    <x v="31"/>
    <s v="31601014 - Acupuntura (R$ 54,56)"/>
    <s v="Acupuntura"/>
    <n v="1707949300"/>
    <s v="Finalizado (5/5)"/>
    <n v="45.284799999999997"/>
    <n v="9.2751999999999999"/>
    <n v="54.56"/>
    <s v="Sessão Faturada"/>
    <n v="960019313492010"/>
    <n v="59518"/>
    <s v="Unidade Vieiralves"/>
    <n v="1707949300"/>
    <m/>
  </r>
  <r>
    <x v="2"/>
    <x v="2"/>
    <s v="Marlucia Rabelo de Souza"/>
    <m/>
    <x v="9"/>
    <x v="31"/>
    <s v="31601014 - Acupuntura (R$ 54,56)"/>
    <s v="Acupuntura"/>
    <n v="1713476327"/>
    <s v="Finalizado (2/5)"/>
    <n v="45.284799999999997"/>
    <n v="9.2751999999999999"/>
    <n v="54.56"/>
    <s v="Sessão a Faturar"/>
    <n v="954600000671000"/>
    <n v="109"/>
    <s v="Unidade Vieiralves"/>
    <n v="1713476327"/>
    <m/>
  </r>
  <r>
    <x v="2"/>
    <x v="4"/>
    <s v="Rosa da Silva Freitas"/>
    <s v="Feminino"/>
    <x v="12"/>
    <x v="31"/>
    <s v="31601014 - Acupuntura (R$ 54,56)"/>
    <s v="Acupuntura"/>
    <n v="10227147"/>
    <s v="Finalizado (9/10)"/>
    <n v="45.284799999999997"/>
    <n v="9.2751999999999999"/>
    <n v="54.56"/>
    <s v="Sessão Faturada"/>
    <n v="9.5125181212225997E+17"/>
    <n v="55746"/>
    <s v="Unidade Vieiralves"/>
    <n v="10227147"/>
    <m/>
  </r>
  <r>
    <x v="2"/>
    <x v="4"/>
    <s v="Ricardo Soares Lozana"/>
    <s v="Masculino"/>
    <x v="4"/>
    <x v="31"/>
    <s v="31601014 - Acupuntura (R$ 54,56)"/>
    <s v="Acupuntura"/>
    <n v="1714084428"/>
    <s v="Finalizado (1/4)"/>
    <n v="45.284799999999997"/>
    <n v="9.2751999999999999"/>
    <n v="54.56"/>
    <s v="Sessão a Faturar"/>
    <n v="774981012963020"/>
    <n v="43591"/>
    <s v="Unidade Vieiralves"/>
    <n v="1714084428"/>
    <m/>
  </r>
  <r>
    <x v="2"/>
    <x v="13"/>
    <s v="Rosalinda Pereira Brito"/>
    <s v="Feminino"/>
    <x v="4"/>
    <x v="31"/>
    <s v="31601014 - Acupuntura (R$ 54,56)"/>
    <s v="Acupuntura"/>
    <n v="1714099289"/>
    <s v="Finalizado (1/5)"/>
    <n v="45.284799999999997"/>
    <n v="9.2751999999999999"/>
    <n v="54.56"/>
    <s v="Sessão Faturada"/>
    <s v="010544100907015"/>
    <n v="13886"/>
    <s v="Unidade Vieiralves"/>
    <n v="1714099289"/>
    <m/>
  </r>
  <r>
    <x v="2"/>
    <x v="13"/>
    <s v="Tiago Godoy Lopes"/>
    <s v="Masculino"/>
    <x v="4"/>
    <x v="31"/>
    <s v="31601014 - Acupuntura (R$ 54,56)"/>
    <s v="Acupuntura"/>
    <n v="1712901549"/>
    <s v="Finalizado (2/2)"/>
    <n v="45.284799999999997"/>
    <n v="9.2751999999999999"/>
    <n v="54.56"/>
    <s v="Sessão a Faturar"/>
    <n v="611265590001020"/>
    <n v="58056"/>
    <s v="Unidade Vieiralves"/>
    <n v="1712901549"/>
    <m/>
  </r>
  <r>
    <x v="2"/>
    <x v="13"/>
    <s v="Nirai de Souza Silva"/>
    <s v="Masculino"/>
    <x v="7"/>
    <x v="31"/>
    <s v="Vieiralves - 32 - Acupuntura Unitário - Pacote (R$ 160,00)"/>
    <s v="Acupuntura"/>
    <n v="164045"/>
    <s v="Finalizado (9/10)"/>
    <n v="132.80000000000001"/>
    <n v="27.2"/>
    <n v="160"/>
    <s v="Pago"/>
    <n v="58884"/>
    <n v="58884"/>
    <s v="Unidade Vieiralves"/>
    <n v="164045"/>
    <m/>
  </r>
  <r>
    <x v="2"/>
    <x v="6"/>
    <s v="Thereza Janara Sarmanho Lima"/>
    <s v="Feminino"/>
    <x v="7"/>
    <x v="31"/>
    <s v="Part Convenio - 4 - Acupuntura - Pacote (R$ 65,00)"/>
    <s v="Acupuntura"/>
    <n v="171001"/>
    <s v="Finalizado (2/10)"/>
    <n v="53.95"/>
    <n v="11.05"/>
    <n v="65"/>
    <s v="Pago"/>
    <n v="1301013043650000"/>
    <n v="57993"/>
    <s v="Unidade Vieiralves"/>
    <n v="171001"/>
    <m/>
  </r>
  <r>
    <x v="2"/>
    <x v="6"/>
    <s v="Daniel de Moura Alves"/>
    <s v="Masculino"/>
    <x v="4"/>
    <x v="31"/>
    <s v="31601014 - Acupuntura (R$ 54,56)"/>
    <s v="Acupuntura"/>
    <n v="1714158805"/>
    <s v="Finalizado (2/5)"/>
    <n v="45.284799999999997"/>
    <n v="9.2751999999999999"/>
    <n v="54.56"/>
    <s v="Sessão a Faturar"/>
    <n v="774063007471000"/>
    <n v="58683"/>
    <s v="Unidade Vieiralves"/>
    <n v="1714158805"/>
    <m/>
  </r>
  <r>
    <x v="2"/>
    <x v="15"/>
    <s v="Adriana Santos Gonçalves da Silva"/>
    <s v="Feminino"/>
    <x v="4"/>
    <x v="31"/>
    <s v="31601014 - Acupuntura (R$ 54,56)"/>
    <s v="Acupuntura"/>
    <n v="1708903652"/>
    <s v="Finalizado (4/4)"/>
    <n v="45.284799999999997"/>
    <n v="9.2751999999999999"/>
    <n v="54.56"/>
    <s v="Sessão Faturada"/>
    <n v="611019330003020"/>
    <n v="45664"/>
    <s v="Unidade Vieiralves"/>
    <n v="1708903652"/>
    <m/>
  </r>
  <r>
    <x v="2"/>
    <x v="8"/>
    <s v="Francisco Lima da Silva"/>
    <s v="Masculino"/>
    <x v="4"/>
    <x v="31"/>
    <s v="31601014 - Acupuntura (R$ 54,56)"/>
    <s v="Acupuntura"/>
    <n v="1711062570"/>
    <s v="Finalizado (4/5)"/>
    <n v="45.284799999999997"/>
    <n v="9.2751999999999999"/>
    <n v="54.56"/>
    <s v="Sessão Faturada"/>
    <n v="774981007706010"/>
    <n v="52427"/>
    <s v="Unidade Vieiralves"/>
    <n v="1711062570"/>
    <m/>
  </r>
  <r>
    <x v="2"/>
    <x v="8"/>
    <s v="Alessandra Silveira Rocha"/>
    <s v="Feminino"/>
    <x v="4"/>
    <x v="31"/>
    <s v="31601014 - Acupuntura (R$ 54,56)"/>
    <s v="Acupuntura"/>
    <n v="1714204679"/>
    <s v="Finalizado (1/5)"/>
    <n v="45.284799999999997"/>
    <n v="9.2751999999999999"/>
    <n v="54.56"/>
    <s v="Sessão a Faturar"/>
    <n v="774063023809020"/>
    <n v="58966"/>
    <s v="Unidade Vieiralves"/>
    <n v="1714204679"/>
    <m/>
  </r>
  <r>
    <x v="2"/>
    <x v="8"/>
    <s v="Andreza da Costa Paes"/>
    <s v="Feminino"/>
    <x v="4"/>
    <x v="31"/>
    <s v="31601014 - Acupuntura (R$ 54,56)"/>
    <s v="Acupuntura"/>
    <n v="1711645213"/>
    <s v="Finalizado (3/5)"/>
    <n v="45.284799999999997"/>
    <n v="9.2751999999999999"/>
    <n v="54.56"/>
    <s v="Sessão Faturada"/>
    <n v="837047000191020"/>
    <n v="59619"/>
    <s v="Unidade Vieiralves"/>
    <n v="1711645213"/>
    <m/>
  </r>
  <r>
    <x v="2"/>
    <x v="8"/>
    <s v="Samuel Cunha de Oliveira"/>
    <m/>
    <x v="4"/>
    <x v="31"/>
    <s v="31601014 - Acupuntura (R$ 54,56)"/>
    <s v="Acupuntura"/>
    <n v="1711645025"/>
    <s v="Finalizado (3/5)"/>
    <n v="45.284799999999997"/>
    <n v="9.2751999999999999"/>
    <n v="54.56"/>
    <s v="Sessão Faturada"/>
    <n v="837047000191010"/>
    <n v="59496"/>
    <s v="Unidade Vieiralves"/>
    <n v="1711645025"/>
    <m/>
  </r>
  <r>
    <x v="2"/>
    <x v="10"/>
    <s v="Alice da Silva dos Santos"/>
    <m/>
    <x v="4"/>
    <x v="31"/>
    <s v="31601014 - Acupuntura (R$ 54,56)"/>
    <s v="Acupuntura"/>
    <n v="1714211809"/>
    <s v="Finalizado (1/2)"/>
    <n v="45.284799999999997"/>
    <n v="9.2751999999999999"/>
    <n v="54.56"/>
    <s v="Sessão Faturada"/>
    <n v="843486100604000"/>
    <n v="56112"/>
    <s v="Unidade Vieiralves"/>
    <n v="1714211809"/>
    <m/>
  </r>
  <r>
    <x v="2"/>
    <x v="12"/>
    <s v="Waldir dos Santos Fontes Junior"/>
    <s v="Masculino"/>
    <x v="4"/>
    <x v="31"/>
    <s v="31601014 - Acupuntura (R$ 54,56)"/>
    <s v="Acupuntura"/>
    <n v="1714245308"/>
    <s v="Finalizado (1/5)"/>
    <n v="45.284799999999997"/>
    <n v="9.2751999999999999"/>
    <n v="54.56"/>
    <s v="Sessão Faturada"/>
    <n v="772133000728000"/>
    <n v="51522"/>
    <s v="Unidade Vieiralves"/>
    <n v="1714245308"/>
    <m/>
  </r>
  <r>
    <x v="2"/>
    <x v="12"/>
    <s v="Caio Felipe Soares da Cruz"/>
    <s v="Masculino"/>
    <x v="4"/>
    <x v="31"/>
    <s v="31601014 - Acupuntura (R$ 54,56)"/>
    <s v="Acupuntura"/>
    <n v="1710494452"/>
    <s v="Finalizado (4/5)"/>
    <n v="45.284799999999997"/>
    <n v="9.2751999999999999"/>
    <n v="54.56"/>
    <s v="Sessão a Faturar"/>
    <n v="889414100973000"/>
    <n v="57595"/>
    <s v="Unidade Vieiralves"/>
    <n v="1710494452"/>
    <m/>
  </r>
  <r>
    <x v="2"/>
    <x v="12"/>
    <s v="Lauren Lauschner Gaikoski"/>
    <s v="Feminino"/>
    <x v="4"/>
    <x v="31"/>
    <s v="31601014 - Acupuntura (R$ 54,56)"/>
    <s v="Acupuntura"/>
    <n v="1709237960"/>
    <s v="Finalizado (5/5)"/>
    <n v="45.284799999999997"/>
    <n v="9.2751999999999999"/>
    <n v="54.56"/>
    <s v="Sessão Faturada"/>
    <n v="775388000299020"/>
    <n v="56279"/>
    <s v="Unidade Vieiralves"/>
    <n v="1709237960"/>
    <m/>
  </r>
  <r>
    <x v="2"/>
    <x v="20"/>
    <s v="Ingrid de Vasconcelos Castelo Branco"/>
    <s v="Feminino"/>
    <x v="12"/>
    <x v="31"/>
    <s v="31601014 - Acupuntura (R$ 54,56)"/>
    <s v="Acupuntura"/>
    <n v="10338769"/>
    <s v="Finalizado (3/3)"/>
    <n v="45.284799999999997"/>
    <n v="9.2751999999999999"/>
    <n v="54.56"/>
    <s v="Sessão a Faturar"/>
    <s v="000430852874162602"/>
    <n v="38899"/>
    <s v="Unidade Vieiralves"/>
    <n v="10338769"/>
    <m/>
  </r>
  <r>
    <x v="2"/>
    <x v="20"/>
    <s v="Dhijana Nobre de Almeida"/>
    <s v="Feminino"/>
    <x v="6"/>
    <x v="31"/>
    <s v="31601014 - Acupuntura (R$ 51,33)"/>
    <s v="Acupuntura"/>
    <n v="170870"/>
    <s v="Finalizado (3/3)"/>
    <n v="42.603900000000003"/>
    <n v="8.7261000000000006"/>
    <n v="51.33"/>
    <s v="Sessão a Faturar"/>
    <s v="54588888004873450017"/>
    <n v="6422"/>
    <s v="Unidade Vieiralves"/>
    <n v="170870"/>
    <m/>
  </r>
  <r>
    <x v="3"/>
    <x v="2"/>
    <s v="Samanta Balsini Peixoto"/>
    <s v="Feminino"/>
    <x v="4"/>
    <x v="31"/>
    <s v="31601014 - Acupuntura (R$ 54,56)"/>
    <s v="Acupuntura"/>
    <n v="1713515614"/>
    <s v="Finalizado (2/3)"/>
    <n v="45.284799999999997"/>
    <n v="9.2751999999999999"/>
    <n v="54.56"/>
    <s v="Sessão a Faturar"/>
    <n v="893331300736010"/>
    <n v="58251"/>
    <s v="Unidade Vieiralves"/>
    <n v="1713515614"/>
    <m/>
  </r>
  <r>
    <x v="3"/>
    <x v="4"/>
    <s v="Maria de Fatima Chaves Coimbra"/>
    <s v="Feminino"/>
    <x v="6"/>
    <x v="31"/>
    <s v="31601014 - Acupuntura (R$ 51,33)"/>
    <s v="Acupuntura"/>
    <n v="170509"/>
    <s v="Finalizado (4/4)"/>
    <n v="42.603900000000003"/>
    <n v="8.7261000000000006"/>
    <n v="51.33"/>
    <s v="Sessão a Faturar"/>
    <s v="55788888000967700014"/>
    <n v="19051"/>
    <s v="Unidade Vieiralves"/>
    <n v="170509"/>
    <m/>
  </r>
  <r>
    <x v="3"/>
    <x v="13"/>
    <s v="Rosalinda Pereira Brito"/>
    <s v="Feminino"/>
    <x v="4"/>
    <x v="31"/>
    <s v="31601014 - Acupuntura (R$ 54,56)"/>
    <s v="Acupuntura"/>
    <n v="1714099289"/>
    <s v="Finalizado (2/5)"/>
    <n v="45.284799999999997"/>
    <n v="9.2751999999999999"/>
    <n v="54.56"/>
    <s v="Sessão Faturada"/>
    <s v="010544100907015"/>
    <n v="13886"/>
    <s v="Unidade Vieiralves"/>
    <n v="1714099289"/>
    <m/>
  </r>
  <r>
    <x v="3"/>
    <x v="6"/>
    <s v="Dioneia de Almeida"/>
    <s v="Feminino"/>
    <x v="6"/>
    <x v="31"/>
    <s v="31601014 - Acupuntura (R$ 51,33)"/>
    <s v="Acupuntura"/>
    <n v="172054"/>
    <s v="Finalizado (2/3)"/>
    <n v="42.603900000000003"/>
    <n v="8.7261000000000006"/>
    <n v="51.33"/>
    <s v="Sessão a Faturar"/>
    <s v="54588888475885650010"/>
    <n v="49598"/>
    <s v="Unidade Vieiralves"/>
    <n v="172054"/>
    <m/>
  </r>
  <r>
    <x v="3"/>
    <x v="15"/>
    <s v="Rachel de Souza Oliveira"/>
    <s v="Feminino"/>
    <x v="18"/>
    <x v="31"/>
    <s v="31601014 - Acupuntura - Sessão (R$ 60,00)"/>
    <s v="Acupuntura"/>
    <m/>
    <s v="Finalizado (1/1)"/>
    <n v="49.8"/>
    <n v="10.199999999999999"/>
    <n v="60"/>
    <s v="Sessão a Faturar"/>
    <s v="000008252"/>
    <n v="59639"/>
    <s v="Unidade Vieiralves"/>
    <m/>
    <m/>
  </r>
  <r>
    <x v="3"/>
    <x v="17"/>
    <s v="Amilton da Costa Carvalho"/>
    <s v="Masculino"/>
    <x v="20"/>
    <x v="31"/>
    <s v="00010987 - Acupuntura Por Sessão - 02/04/2026 (R$ 42,00)"/>
    <s v="Acupuntura"/>
    <n v="55167490"/>
    <s v="Finalizado (5/10)"/>
    <n v="34.86"/>
    <n v="7.14"/>
    <n v="42"/>
    <s v="Sessão Faturada"/>
    <n v="10511003315900"/>
    <n v="51485"/>
    <s v="Unidade Vieiralves"/>
    <n v="55167490"/>
    <m/>
  </r>
  <r>
    <x v="3"/>
    <x v="10"/>
    <s v="Luiz Fernando Valente de Castro"/>
    <s v="Masculino"/>
    <x v="6"/>
    <x v="31"/>
    <s v="10101012 - Consulta Médica (R$ 121,28)"/>
    <s v="Acupuntura"/>
    <n v="7700047309"/>
    <s v="Finalizado (1/1)"/>
    <n v="121.28"/>
    <n v="0"/>
    <n v="121.28"/>
    <s v="Sessão Faturada"/>
    <s v="54588888492376010013"/>
    <n v="59719"/>
    <s v="Unidade Vieiralves"/>
    <n v="7700047309"/>
    <m/>
  </r>
  <r>
    <x v="3"/>
    <x v="10"/>
    <s v="Simone Gouveia Góes"/>
    <s v="Feminino"/>
    <x v="4"/>
    <x v="31"/>
    <s v="31601014 - Acupuntura (R$ 54,56)"/>
    <s v="Acupuntura"/>
    <n v="1711054117"/>
    <s v="Finalizado (4/5)"/>
    <n v="45.284799999999997"/>
    <n v="9.2751999999999999"/>
    <n v="54.56"/>
    <s v="Sessão Faturada"/>
    <n v="775216013765020"/>
    <n v="59283"/>
    <s v="Unidade Vieiralves"/>
    <n v="1711054117"/>
    <m/>
  </r>
  <r>
    <x v="3"/>
    <x v="11"/>
    <s v="Luiz Fernando Valente de Castro"/>
    <s v="Masculino"/>
    <x v="6"/>
    <x v="31"/>
    <s v="31601014 - Acupuntura (R$ 51,33)"/>
    <s v="Acupuntura"/>
    <n v="172334"/>
    <s v="Finalizado (1/2)"/>
    <n v="42.603900000000003"/>
    <n v="8.7261000000000006"/>
    <n v="51.33"/>
    <s v="Sessão a Faturar"/>
    <s v="54588888492376010013"/>
    <n v="59719"/>
    <s v="Unidade Vieiralves"/>
    <n v="172334"/>
    <m/>
  </r>
  <r>
    <x v="3"/>
    <x v="12"/>
    <s v="Luciano Freitas de Oliveira"/>
    <s v="Masculino"/>
    <x v="4"/>
    <x v="31"/>
    <s v="31601014 - Acupuntura (R$ 54,56)"/>
    <s v="Acupuntura"/>
    <n v="1711086752"/>
    <s v="Finalizado (4/5)"/>
    <n v="45.284799999999997"/>
    <n v="9.2751999999999999"/>
    <n v="54.56"/>
    <s v="Sessão Faturada"/>
    <n v="771713007420010"/>
    <n v="59625"/>
    <s v="Unidade Vieiralves"/>
    <n v="1711086752"/>
    <m/>
  </r>
  <r>
    <x v="3"/>
    <x v="12"/>
    <s v="Alaide de Souza Lima Lemos"/>
    <s v="Feminino"/>
    <x v="4"/>
    <x v="31"/>
    <s v="31601014 - Acupuntura (R$ 54,56)"/>
    <s v="Acupuntura"/>
    <n v="1714752982"/>
    <s v="Finalizado (1/5)"/>
    <n v="45.284799999999997"/>
    <n v="9.2751999999999999"/>
    <n v="54.56"/>
    <s v="Sessão a Faturar"/>
    <n v="772568004855020"/>
    <n v="59604"/>
    <s v="Unidade Vieiralves"/>
    <n v="1714752982"/>
    <m/>
  </r>
  <r>
    <x v="4"/>
    <x v="0"/>
    <s v="Gilmara Aguiar Sales"/>
    <s v="Feminino"/>
    <x v="4"/>
    <x v="31"/>
    <s v="31601014 - Acupuntura (R$ 54,56)"/>
    <s v="Acupuntura"/>
    <n v="1715166938"/>
    <s v="Finalizado (1/2)"/>
    <n v="45.284799999999997"/>
    <n v="9.2751999999999999"/>
    <n v="54.56"/>
    <s v="Sessão a Faturar"/>
    <n v="960019313492010"/>
    <n v="59518"/>
    <s v="Unidade Vieiralves"/>
    <n v="1715166938"/>
    <m/>
  </r>
  <r>
    <x v="4"/>
    <x v="13"/>
    <s v="Mara Regina Kossoski Felix"/>
    <s v="Feminino"/>
    <x v="18"/>
    <x v="31"/>
    <s v="31601014 - Acupuntura - Sessão (R$ 60,00)"/>
    <s v="Acupuntura"/>
    <n v="169478"/>
    <s v="Finalizado (6/10)"/>
    <n v="49.8"/>
    <n v="10.199999999999999"/>
    <n v="60"/>
    <s v="Sessão a Faturar"/>
    <s v="000004622"/>
    <n v="59446"/>
    <s v="Unidade Vieiralves"/>
    <n v="169478"/>
    <m/>
  </r>
  <r>
    <x v="4"/>
    <x v="6"/>
    <s v="Thaisa Cadais Semen"/>
    <s v="Feminino"/>
    <x v="11"/>
    <x v="31"/>
    <s v="90001000 - Acupuntura (R$ 65,10)"/>
    <s v="Acupuntura"/>
    <n v="3356"/>
    <s v="Finalizado (1/1)"/>
    <n v="54.033000000000001"/>
    <n v="11.067"/>
    <n v="65.099999999999994"/>
    <s v="Sessão a Faturar"/>
    <s v="01689"/>
    <n v="22428"/>
    <s v="Unidade Vieiralves"/>
    <n v="3356"/>
    <m/>
  </r>
  <r>
    <x v="4"/>
    <x v="6"/>
    <s v="Wanessa Ferreira Saraiva Oliveira"/>
    <s v="Feminino"/>
    <x v="4"/>
    <x v="31"/>
    <s v="31601014 - Acupuntura (R$ 54,56)"/>
    <s v="Acupuntura"/>
    <n v="1713546334"/>
    <s v="Finalizado (2/5)"/>
    <n v="45.284799999999997"/>
    <n v="9.2751999999999999"/>
    <n v="54.56"/>
    <s v="Sessão Faturada"/>
    <n v="610900110003020"/>
    <n v="8227"/>
    <s v="Unidade Vieiralves"/>
    <n v="1713546334"/>
    <m/>
  </r>
  <r>
    <x v="4"/>
    <x v="6"/>
    <s v="Daniel de Moura Alves"/>
    <s v="Masculino"/>
    <x v="4"/>
    <x v="31"/>
    <s v="31601014 - Acupuntura (R$ 54,56)"/>
    <s v="Acupuntura"/>
    <n v="1714158805"/>
    <s v="Finalizado (3/5)"/>
    <n v="45.284799999999997"/>
    <n v="9.2751999999999999"/>
    <n v="54.56"/>
    <s v="Sessão a Faturar"/>
    <n v="774063007471000"/>
    <n v="58683"/>
    <s v="Unidade Vieiralves"/>
    <n v="1714158805"/>
    <m/>
  </r>
  <r>
    <x v="4"/>
    <x v="15"/>
    <s v="Kellen Regina Pereira da Silva"/>
    <s v="Feminino"/>
    <x v="4"/>
    <x v="31"/>
    <s v="31601014 - Acupuntura (R$ 54,56)"/>
    <s v="Acupuntura"/>
    <n v="1709802339"/>
    <s v="Finalizado (5/5)"/>
    <n v="45.284799999999997"/>
    <n v="9.2751999999999999"/>
    <n v="54.56"/>
    <s v="Sessão Faturada"/>
    <n v="890729700027020"/>
    <n v="59263"/>
    <s v="Unidade Vieiralves"/>
    <n v="1709802339"/>
    <m/>
  </r>
  <r>
    <x v="4"/>
    <x v="15"/>
    <s v="Aristophanes Ferreira Teodosio"/>
    <s v="Masculino"/>
    <x v="20"/>
    <x v="31"/>
    <s v="00010987 - Acupuntura Por Sessão - 02/04/2026 (R$ 42,00)"/>
    <s v="Acupuntura"/>
    <n v="55754230"/>
    <s v="Finalizado (1/10)"/>
    <n v="34.86"/>
    <n v="7.14"/>
    <n v="42"/>
    <s v="Sessão a Faturar"/>
    <n v="10511002209304"/>
    <n v="59199"/>
    <s v="Unidade Vieiralves"/>
    <n v="55754230"/>
    <m/>
  </r>
  <r>
    <x v="4"/>
    <x v="17"/>
    <s v="Ricardo Soares Lozana"/>
    <s v="Masculino"/>
    <x v="4"/>
    <x v="31"/>
    <s v="31601014 - Acupuntura (R$ 54,56)"/>
    <s v="Acupuntura"/>
    <n v="1714084428"/>
    <s v="Finalizado (2/4)"/>
    <n v="45.284799999999997"/>
    <n v="9.2751999999999999"/>
    <n v="54.56"/>
    <s v="Sessão a Faturar"/>
    <n v="774981012963020"/>
    <n v="43591"/>
    <s v="Unidade Vieiralves"/>
    <n v="1714084428"/>
    <m/>
  </r>
  <r>
    <x v="4"/>
    <x v="8"/>
    <s v="Alessandra Silveira Rocha"/>
    <s v="Feminino"/>
    <x v="4"/>
    <x v="31"/>
    <s v="31601014 - Acupuntura (R$ 54,56)"/>
    <s v="Acupuntura"/>
    <n v="1714204679"/>
    <s v="Finalizado (2/5)"/>
    <n v="45.284799999999997"/>
    <n v="9.2751999999999999"/>
    <n v="54.56"/>
    <s v="Sessão a Faturar"/>
    <n v="774063023809020"/>
    <n v="58966"/>
    <s v="Unidade Vieiralves"/>
    <n v="1714204679"/>
    <m/>
  </r>
  <r>
    <x v="4"/>
    <x v="8"/>
    <s v="Erlom André de Matos"/>
    <s v="Masculino"/>
    <x v="4"/>
    <x v="31"/>
    <s v="31601014 - Acupuntura (R$ 54,56)"/>
    <s v="Acupuntura"/>
    <n v="1710508088"/>
    <s v="Finalizado (4/5)"/>
    <n v="45.284799999999997"/>
    <n v="9.2751999999999999"/>
    <n v="54.56"/>
    <s v="Sessão Faturada"/>
    <n v="893331302089010"/>
    <n v="59095"/>
    <s v="Unidade Vieiralves"/>
    <n v="1710508088"/>
    <m/>
  </r>
  <r>
    <x v="4"/>
    <x v="10"/>
    <s v="Luiz Fernando Valente de Castro"/>
    <s v="Masculino"/>
    <x v="6"/>
    <x v="31"/>
    <s v="31601014 - Acupuntura (R$ 51,33)"/>
    <s v="Acupuntura"/>
    <n v="172334"/>
    <s v="Finalizado (2/2)"/>
    <n v="42.603900000000003"/>
    <n v="8.7261000000000006"/>
    <n v="51.33"/>
    <s v="Sessão a Faturar"/>
    <s v="54588888492376010013"/>
    <n v="59719"/>
    <s v="Unidade Vieiralves"/>
    <n v="172334"/>
    <m/>
  </r>
  <r>
    <x v="4"/>
    <x v="10"/>
    <s v="Andreza da Costa Paes"/>
    <s v="Feminino"/>
    <x v="4"/>
    <x v="31"/>
    <s v="31601014 - Acupuntura (R$ 54,56)"/>
    <s v="Acupuntura"/>
    <n v="1711645213"/>
    <s v="Finalizado (4/5)"/>
    <n v="45.284799999999997"/>
    <n v="9.2751999999999999"/>
    <n v="54.56"/>
    <s v="Sessão Faturada"/>
    <n v="837047000191020"/>
    <n v="59619"/>
    <s v="Unidade Vieiralves"/>
    <n v="1711645213"/>
    <m/>
  </r>
  <r>
    <x v="4"/>
    <x v="10"/>
    <s v="Samuel Cunha de Oliveira"/>
    <m/>
    <x v="4"/>
    <x v="31"/>
    <s v="31601014 - Acupuntura (R$ 54,56)"/>
    <s v="Acupuntura"/>
    <n v="1711645025"/>
    <s v="Finalizado (4/5)"/>
    <n v="45.284799999999997"/>
    <n v="9.2751999999999999"/>
    <n v="54.56"/>
    <s v="Sessão Faturada"/>
    <n v="837047000191010"/>
    <n v="59496"/>
    <s v="Unidade Vieiralves"/>
    <n v="1711645025"/>
    <m/>
  </r>
  <r>
    <x v="4"/>
    <x v="12"/>
    <s v="Alice da Silva dos Santos"/>
    <m/>
    <x v="4"/>
    <x v="31"/>
    <s v="31601014 - Acupuntura (R$ 54,56)"/>
    <s v="Acupuntura"/>
    <n v="1714211809"/>
    <s v="Finalizado (2/2)"/>
    <n v="45.284799999999997"/>
    <n v="9.2751999999999999"/>
    <n v="54.56"/>
    <s v="Sessão Faturada"/>
    <n v="843486100604000"/>
    <n v="56112"/>
    <s v="Unidade Vieiralves"/>
    <n v="1714211809"/>
    <m/>
  </r>
  <r>
    <x v="4"/>
    <x v="12"/>
    <s v="Kamila Nayara dos Anjos Cruz"/>
    <s v="Feminino"/>
    <x v="4"/>
    <x v="31"/>
    <s v="31601014 - Acupuntura (R$ 54,56)"/>
    <s v="Acupuntura"/>
    <n v="1702019795"/>
    <s v="Finalizado (5/5)"/>
    <n v="45.284799999999997"/>
    <n v="9.2751999999999999"/>
    <n v="54.56"/>
    <s v="Sessão Faturada"/>
    <n v="960016968538010"/>
    <n v="58063"/>
    <s v="Unidade Vieiralves"/>
    <n v="1702019795"/>
    <m/>
  </r>
  <r>
    <x v="4"/>
    <x v="20"/>
    <s v="Ana Georgina Viga Lacorte"/>
    <s v="Feminino"/>
    <x v="4"/>
    <x v="31"/>
    <s v="31601014 - Acupuntura (R$ 54,56)"/>
    <s v="Acupuntura"/>
    <n v="1715272314"/>
    <s v="Finalizado (1/5)"/>
    <n v="45.284799999999997"/>
    <n v="9.2751999999999999"/>
    <n v="54.56"/>
    <s v="Sessão Faturada"/>
    <n v="882749100043010"/>
    <n v="50823"/>
    <s v="Unidade Vieiralves"/>
    <n v="1715272314"/>
    <m/>
  </r>
  <r>
    <x v="5"/>
    <x v="0"/>
    <s v="Gilmara Aguiar Sales"/>
    <s v="Feminino"/>
    <x v="4"/>
    <x v="31"/>
    <s v="31601014 - Acupuntura (R$ 54,56)"/>
    <s v="Acupuntura"/>
    <n v="1715166938"/>
    <s v="Finalizado (2/2)"/>
    <n v="45.284799999999997"/>
    <n v="9.2751999999999999"/>
    <n v="54.56"/>
    <s v="Sessão a Faturar"/>
    <n v="960019313492010"/>
    <n v="59518"/>
    <s v="Unidade Vieiralves"/>
    <n v="1715166938"/>
    <m/>
  </r>
  <r>
    <x v="5"/>
    <x v="4"/>
    <s v="Wanessa Ferreira Saraiva Oliveira"/>
    <s v="Feminino"/>
    <x v="4"/>
    <x v="31"/>
    <s v="31601014 - Acupuntura (R$ 54,56)"/>
    <s v="Acupuntura"/>
    <n v="1713546334"/>
    <s v="Finalizado (3/5)"/>
    <n v="45.284799999999997"/>
    <n v="9.2751999999999999"/>
    <n v="54.56"/>
    <s v="Sessão Faturada"/>
    <n v="610900110003020"/>
    <n v="8227"/>
    <s v="Unidade Vieiralves"/>
    <n v="1713546334"/>
    <m/>
  </r>
  <r>
    <x v="5"/>
    <x v="13"/>
    <s v="Rosalinda Pereira Brito"/>
    <s v="Feminino"/>
    <x v="4"/>
    <x v="31"/>
    <s v="31601014 - Acupuntura (R$ 54,56)"/>
    <s v="Acupuntura"/>
    <n v="1714099289"/>
    <s v="Finalizado (3/5)"/>
    <n v="45.284799999999997"/>
    <n v="9.2751999999999999"/>
    <n v="54.56"/>
    <s v="Sessão Faturada"/>
    <s v="010544100907015"/>
    <n v="13886"/>
    <s v="Unidade Vieiralves"/>
    <n v="1714099289"/>
    <m/>
  </r>
  <r>
    <x v="5"/>
    <x v="6"/>
    <s v="Dayane Melo Honorato"/>
    <s v="Feminino"/>
    <x v="9"/>
    <x v="31"/>
    <s v="31601014 - Acupuntura (R$ 54,56)"/>
    <s v="Acupuntura"/>
    <n v="1716222916"/>
    <s v="Finalizado (1/2)"/>
    <n v="45.284799999999997"/>
    <n v="9.2751999999999999"/>
    <n v="54.56"/>
    <s v="Sessão a Faturar"/>
    <n v="954170049921010"/>
    <n v="59564"/>
    <s v="Unidade Vieiralves"/>
    <n v="1716222916"/>
    <m/>
  </r>
  <r>
    <x v="5"/>
    <x v="6"/>
    <s v="Thereza Janara Sarmanho Lima"/>
    <s v="Feminino"/>
    <x v="7"/>
    <x v="31"/>
    <s v="Part Convenio - 4 - Acupuntura - Pacote (R$ 65,00)"/>
    <s v="Acupuntura"/>
    <n v="171001"/>
    <s v="Finalizado (3/10)"/>
    <n v="53.95"/>
    <n v="11.05"/>
    <n v="65"/>
    <s v="Pago"/>
    <n v="1301013043650000"/>
    <n v="57993"/>
    <s v="Unidade Vieiralves"/>
    <n v="171001"/>
    <m/>
  </r>
  <r>
    <x v="5"/>
    <x v="15"/>
    <s v="Aristophanes Ferreira Teodosio"/>
    <s v="Masculino"/>
    <x v="20"/>
    <x v="31"/>
    <s v="00010987 - Acupuntura Por Sessão - 02/04/2026 (R$ 42,00)"/>
    <s v="Acupuntura"/>
    <n v="55754230"/>
    <s v="Finalizado (2/10)"/>
    <n v="34.86"/>
    <n v="7.14"/>
    <n v="42"/>
    <s v="Sessão a Faturar"/>
    <n v="10511002209304"/>
    <n v="59199"/>
    <s v="Unidade Vieiralves"/>
    <n v="55754230"/>
    <m/>
  </r>
  <r>
    <x v="5"/>
    <x v="15"/>
    <s v="Ana Carolina Bento Andrade da Encarnação"/>
    <s v="Feminino"/>
    <x v="4"/>
    <x v="31"/>
    <s v="31601014 - Acupuntura (R$ 54,56)"/>
    <s v="Acupuntura"/>
    <n v="1713614073"/>
    <s v="Finalizado (3/4)"/>
    <n v="45.284799999999997"/>
    <n v="9.2751999999999999"/>
    <n v="54.56"/>
    <s v="Sessão a Faturar"/>
    <n v="771015045292010"/>
    <n v="21604"/>
    <s v="Unidade Vieiralves"/>
    <n v="1713614073"/>
    <m/>
  </r>
  <r>
    <x v="5"/>
    <x v="17"/>
    <s v="Simone Gouveia Góes"/>
    <s v="Feminino"/>
    <x v="4"/>
    <x v="31"/>
    <s v="31601014 - Acupuntura (R$ 54,56)"/>
    <s v="Acupuntura"/>
    <n v="1711054117"/>
    <s v="Finalizado (5/5)"/>
    <n v="45.284799999999997"/>
    <n v="9.2751999999999999"/>
    <n v="54.56"/>
    <s v="Sessão Faturada"/>
    <n v="775216013765020"/>
    <n v="59283"/>
    <s v="Unidade Vieiralves"/>
    <n v="1711054117"/>
    <m/>
  </r>
  <r>
    <x v="5"/>
    <x v="17"/>
    <s v="Miriene Lira de Souza"/>
    <s v="Feminino"/>
    <x v="4"/>
    <x v="31"/>
    <s v="31601014 - Acupuntura (R$ 54,56)"/>
    <s v="Acupuntura"/>
    <n v="1716268328"/>
    <s v="Finalizado (1/1)"/>
    <n v="45.284799999999997"/>
    <n v="9.2751999999999999"/>
    <n v="54.56"/>
    <s v="Sessão Faturada"/>
    <n v="770179018350010"/>
    <n v="37863"/>
    <s v="Unidade Vieiralves"/>
    <n v="1716268328"/>
    <m/>
  </r>
  <r>
    <x v="5"/>
    <x v="17"/>
    <s v="Samuel Cunha de Oliveira"/>
    <m/>
    <x v="4"/>
    <x v="31"/>
    <s v="31601014 - Acupuntura (R$ 54,56)"/>
    <s v="Acupuntura"/>
    <n v="1711645025"/>
    <s v="Finalizado (5/5)"/>
    <n v="45.284799999999997"/>
    <n v="9.2751999999999999"/>
    <n v="54.56"/>
    <s v="Sessão Faturada"/>
    <n v="837047000191010"/>
    <n v="59496"/>
    <s v="Unidade Vieiralves"/>
    <n v="1711645025"/>
    <m/>
  </r>
  <r>
    <x v="5"/>
    <x v="17"/>
    <s v="Daniel Caffer Silva Neves"/>
    <s v="Masculino"/>
    <x v="6"/>
    <x v="31"/>
    <s v="31601014 - Acupuntura (R$ 51,33)"/>
    <s v="Acupuntura"/>
    <n v="172583"/>
    <s v="Finalizado (1/1)"/>
    <n v="42.603900000000003"/>
    <n v="8.7261000000000006"/>
    <n v="51.33"/>
    <s v="Sessão a Faturar"/>
    <s v="54588888479864300102"/>
    <n v="17371"/>
    <s v="Unidade Vieiralves"/>
    <n v="172583"/>
    <m/>
  </r>
  <r>
    <x v="5"/>
    <x v="8"/>
    <s v="Dioneia de Almeida"/>
    <s v="Feminino"/>
    <x v="6"/>
    <x v="31"/>
    <s v="31601014 - Acupuntura (R$ 51,33)"/>
    <s v="Acupuntura"/>
    <n v="172054"/>
    <s v="Finalizado (3/3)"/>
    <n v="42.603900000000003"/>
    <n v="8.7261000000000006"/>
    <n v="51.33"/>
    <s v="Sessão a Faturar"/>
    <s v="54588888475885650010"/>
    <n v="49598"/>
    <s v="Unidade Vieiralves"/>
    <n v="172054"/>
    <m/>
  </r>
  <r>
    <x v="5"/>
    <x v="10"/>
    <s v="Andreza da Costa Paes"/>
    <s v="Feminino"/>
    <x v="4"/>
    <x v="31"/>
    <s v="31601014 - Acupuntura (R$ 54,56)"/>
    <s v="Acupuntura"/>
    <n v="1711645213"/>
    <s v="Finalizado (5/5)"/>
    <n v="45.284799999999997"/>
    <n v="9.2751999999999999"/>
    <n v="54.56"/>
    <s v="Sessão Faturada"/>
    <n v="837047000191020"/>
    <n v="59619"/>
    <s v="Unidade Vieiralves"/>
    <n v="1711645213"/>
    <m/>
  </r>
  <r>
    <x v="5"/>
    <x v="10"/>
    <s v="Magda Rejane Nogueira Miranda"/>
    <m/>
    <x v="29"/>
    <x v="31"/>
    <s v="31601014 - Acupuntura (R$ 73,38)"/>
    <s v="Acupuntura"/>
    <n v="1085571"/>
    <s v="Finalizado (9/10)"/>
    <n v="60.9054"/>
    <n v="12.474600000000001"/>
    <n v="73.38"/>
    <s v="Sessão Faturada"/>
    <n v="130260032740010"/>
    <n v="54854"/>
    <s v="Unidade Vieiralves"/>
    <n v="1085571"/>
    <m/>
  </r>
  <r>
    <x v="5"/>
    <x v="12"/>
    <s v="Luciano Freitas de Oliveira"/>
    <s v="Masculino"/>
    <x v="4"/>
    <x v="31"/>
    <s v="31601014 - Acupuntura (R$ 54,56)"/>
    <s v="Acupuntura"/>
    <n v="1711086752"/>
    <s v="Finalizado (5/5)"/>
    <n v="45.284799999999997"/>
    <n v="9.2751999999999999"/>
    <n v="54.56"/>
    <s v="Sessão Faturada"/>
    <n v="771713007420010"/>
    <n v="59625"/>
    <s v="Unidade Vieiralves"/>
    <n v="1711086752"/>
    <m/>
  </r>
  <r>
    <x v="5"/>
    <x v="20"/>
    <s v="Ana Georgina Viga Lacorte"/>
    <s v="Feminino"/>
    <x v="4"/>
    <x v="31"/>
    <s v="31601014 - Acupuntura (R$ 54,56)"/>
    <s v="Acupuntura"/>
    <n v="1715272314"/>
    <s v="Finalizado (2/5)"/>
    <n v="45.284799999999997"/>
    <n v="9.2751999999999999"/>
    <n v="54.56"/>
    <s v="Sessão Faturada"/>
    <n v="882749100043010"/>
    <n v="50823"/>
    <s v="Unidade Vieiralves"/>
    <n v="1715272314"/>
    <m/>
  </r>
  <r>
    <x v="5"/>
    <x v="20"/>
    <s v="Luiza Silvestre da Silva"/>
    <s v="Feminino"/>
    <x v="4"/>
    <x v="31"/>
    <s v="31601014 - Acupuntura (R$ 54,56)"/>
    <s v="Acupuntura"/>
    <n v="1716290115"/>
    <s v="Finalizado (1/5)"/>
    <n v="45.284799999999997"/>
    <n v="9.2751999999999999"/>
    <n v="54.56"/>
    <s v="Sessão a Faturar"/>
    <n v="770179021261010"/>
    <n v="11820"/>
    <s v="Unidade Vieiralves"/>
    <n v="1716290115"/>
    <m/>
  </r>
  <r>
    <x v="5"/>
    <x v="28"/>
    <s v="Renato Corrêa dos Santos"/>
    <s v="Masculino"/>
    <x v="4"/>
    <x v="31"/>
    <s v="31601014 - Acupuntura (R$ 54,56)"/>
    <s v="Acupuntura"/>
    <n v="1715451922"/>
    <s v="Finalizado (2/5)"/>
    <n v="45.284799999999997"/>
    <n v="9.2751999999999999"/>
    <n v="54.56"/>
    <s v="Sessão a Faturar"/>
    <n v="774634049832000"/>
    <n v="59688"/>
    <s v="Unidade Vieiralves"/>
    <n v="1715451922"/>
    <m/>
  </r>
  <r>
    <x v="6"/>
    <x v="2"/>
    <s v="Marlucia Rabelo de Souza"/>
    <m/>
    <x v="9"/>
    <x v="31"/>
    <s v="31601014 - Acupuntura (R$ 54,56)"/>
    <s v="Acupuntura"/>
    <n v="1713476327"/>
    <s v="Finalizado (3/5)"/>
    <n v="45.284799999999997"/>
    <n v="9.2751999999999999"/>
    <n v="54.56"/>
    <s v="Sessão a Faturar"/>
    <n v="954600000671000"/>
    <n v="109"/>
    <s v="Unidade Vieiralves"/>
    <n v="1713476327"/>
    <m/>
  </r>
  <r>
    <x v="6"/>
    <x v="4"/>
    <s v="Viviane Paes Barreto da Silva"/>
    <s v="Feminino"/>
    <x v="4"/>
    <x v="31"/>
    <s v="31601014 - Acupuntura (R$ 54,56)"/>
    <s v="Acupuntura"/>
    <n v="1713638120"/>
    <s v="Finalizado (3/5)"/>
    <n v="45.284799999999997"/>
    <n v="9.2751999999999999"/>
    <n v="54.56"/>
    <s v="Sessão Faturada"/>
    <n v="853503800205040"/>
    <n v="59636"/>
    <s v="Unidade Vieiralves"/>
    <n v="1713638120"/>
    <m/>
  </r>
  <r>
    <x v="6"/>
    <x v="13"/>
    <s v="Larissa Maciel de Souza"/>
    <m/>
    <x v="9"/>
    <x v="31"/>
    <s v="31601014 - Acupuntura (R$ 54,56)"/>
    <s v="Acupuntura"/>
    <n v="1716703563"/>
    <s v="Finalizado (1/1)"/>
    <n v="45.284799999999997"/>
    <n v="9.2751999999999999"/>
    <n v="54.56"/>
    <s v="Sessão a Faturar"/>
    <n v="954510161900010"/>
    <n v="59253"/>
    <s v="Unidade Vieiralves"/>
    <n v="1716703563"/>
    <m/>
  </r>
  <r>
    <x v="6"/>
    <x v="6"/>
    <s v="Daniel de Moura Alves"/>
    <s v="Masculino"/>
    <x v="4"/>
    <x v="31"/>
    <s v="31601014 - Acupuntura (R$ 54,56)"/>
    <s v="Acupuntura"/>
    <n v="1714158805"/>
    <s v="Finalizado (4/5)"/>
    <n v="45.284799999999997"/>
    <n v="9.2751999999999999"/>
    <n v="54.56"/>
    <s v="Sessão a Faturar"/>
    <n v="774063007471000"/>
    <n v="58683"/>
    <s v="Unidade Vieiralves"/>
    <n v="1714158805"/>
    <m/>
  </r>
  <r>
    <x v="6"/>
    <x v="6"/>
    <s v="Samanta Balsini Peixoto"/>
    <s v="Feminino"/>
    <x v="4"/>
    <x v="31"/>
    <s v="31601014 - Acupuntura (R$ 54,56)"/>
    <s v="Acupuntura"/>
    <n v="1713515614"/>
    <s v="Finalizado (3/3)"/>
    <n v="45.284799999999997"/>
    <n v="9.2751999999999999"/>
    <n v="54.56"/>
    <s v="Sessão a Faturar"/>
    <n v="893331300736010"/>
    <n v="58251"/>
    <s v="Unidade Vieiralves"/>
    <n v="1713515614"/>
    <m/>
  </r>
  <r>
    <x v="6"/>
    <x v="15"/>
    <s v="Elke Silveira Ferreira de Souza"/>
    <s v="Feminino"/>
    <x v="4"/>
    <x v="31"/>
    <s v="31601014 - Acupuntura (R$ 54,56)"/>
    <s v="Acupuntura"/>
    <n v="1711076238"/>
    <s v="Finalizado (5/5)"/>
    <n v="45.284799999999997"/>
    <n v="9.2751999999999999"/>
    <n v="54.56"/>
    <s v="Sessão Faturada"/>
    <n v="774078000450020"/>
    <n v="40221"/>
    <s v="Unidade Vieiralves"/>
    <n v="1711076238"/>
    <m/>
  </r>
  <r>
    <x v="6"/>
    <x v="15"/>
    <s v="Andre Luiz da Rocha Moura"/>
    <s v="Masculino"/>
    <x v="4"/>
    <x v="31"/>
    <s v="31601014 - Acupuntura (R$ 54,56)"/>
    <s v="Acupuntura"/>
    <n v="1716772831"/>
    <s v="Finalizado (1/5)"/>
    <n v="45.284799999999997"/>
    <n v="9.2751999999999999"/>
    <n v="54.56"/>
    <s v="Sessão Faturada"/>
    <n v="771015054119000"/>
    <n v="52042"/>
    <s v="Unidade Vieiralves"/>
    <n v="1716772831"/>
    <m/>
  </r>
  <r>
    <x v="6"/>
    <x v="8"/>
    <s v="Dayane Melo Honorato"/>
    <s v="Feminino"/>
    <x v="9"/>
    <x v="31"/>
    <s v="31601014 - Acupuntura (R$ 54,56)"/>
    <s v="Acupuntura"/>
    <n v="1716222916"/>
    <s v="Finalizado (2/2)"/>
    <n v="45.284799999999997"/>
    <n v="9.2751999999999999"/>
    <n v="54.56"/>
    <s v="Sessão a Faturar"/>
    <n v="954170049921010"/>
    <n v="59564"/>
    <s v="Unidade Vieiralves"/>
    <n v="1716222916"/>
    <m/>
  </r>
  <r>
    <x v="6"/>
    <x v="10"/>
    <s v="Magda Rejane Nogueira Miranda"/>
    <m/>
    <x v="29"/>
    <x v="31"/>
    <s v="31601014 - Acupuntura (R$ 73,38)"/>
    <s v="Acupuntura"/>
    <n v="1085571"/>
    <s v="Finalizado (10/10)"/>
    <n v="60.9054"/>
    <n v="12.474600000000001"/>
    <n v="73.38"/>
    <s v="Sessão Faturada"/>
    <n v="130260032740010"/>
    <n v="54854"/>
    <s v="Unidade Vieiralves"/>
    <n v="1085571"/>
    <m/>
  </r>
  <r>
    <x v="6"/>
    <x v="10"/>
    <s v="Amilton da Costa Carvalho"/>
    <s v="Masculino"/>
    <x v="20"/>
    <x v="31"/>
    <s v="00010987 - Acupuntura Por Sessão - 02/04/2026 (R$ 42,00)"/>
    <s v="Acupuntura"/>
    <n v="55167490"/>
    <s v="Finalizado (6/10)"/>
    <n v="34.86"/>
    <n v="7.14"/>
    <n v="42"/>
    <s v="Sessão Faturada"/>
    <n v="10511003315900"/>
    <n v="51485"/>
    <s v="Unidade Vieiralves"/>
    <n v="55167490"/>
    <m/>
  </r>
  <r>
    <x v="6"/>
    <x v="20"/>
    <s v="Luiza Silvestre da Silva"/>
    <s v="Feminino"/>
    <x v="4"/>
    <x v="31"/>
    <s v="31601014 - Acupuntura (R$ 54,56)"/>
    <s v="Acupuntura"/>
    <n v="1716290115"/>
    <s v="Finalizado (2/5)"/>
    <n v="45.284799999999997"/>
    <n v="9.2751999999999999"/>
    <n v="54.56"/>
    <s v="Sessão a Faturar"/>
    <n v="770179021261010"/>
    <n v="11820"/>
    <s v="Unidade Vieiralves"/>
    <n v="1716290115"/>
    <m/>
  </r>
  <r>
    <x v="6"/>
    <x v="20"/>
    <s v="Ana Georgina Viga Lacorte"/>
    <s v="Feminino"/>
    <x v="4"/>
    <x v="31"/>
    <s v="31601014 - Acupuntura (R$ 54,56)"/>
    <s v="Acupuntura"/>
    <n v="1715272314"/>
    <s v="Finalizado (3/5)"/>
    <n v="45.284799999999997"/>
    <n v="9.2751999999999999"/>
    <n v="54.56"/>
    <s v="Sessão Faturada"/>
    <n v="882749100043010"/>
    <n v="50823"/>
    <s v="Unidade Vieiralves"/>
    <n v="1715272314"/>
    <m/>
  </r>
  <r>
    <x v="7"/>
    <x v="2"/>
    <s v="Marlucia Rabelo de Souza"/>
    <m/>
    <x v="9"/>
    <x v="31"/>
    <s v="31601014 - Acupuntura (R$ 54,56)"/>
    <s v="Acupuntura"/>
    <n v="1713476327"/>
    <s v="Finalizado (4/5)"/>
    <n v="45.284799999999997"/>
    <n v="9.2751999999999999"/>
    <n v="54.56"/>
    <s v="Sessão a Faturar"/>
    <n v="954600000671000"/>
    <n v="109"/>
    <s v="Unidade Vieiralves"/>
    <n v="1713476327"/>
    <m/>
  </r>
  <r>
    <x v="7"/>
    <x v="4"/>
    <s v="Ana Carolina Bento Andrade da Encarnação"/>
    <s v="Feminino"/>
    <x v="4"/>
    <x v="31"/>
    <s v="31601014 - Acupuntura (R$ 54,56)"/>
    <s v="Acupuntura"/>
    <n v="1713614073"/>
    <s v="Finalizado (4/4)"/>
    <n v="45.284799999999997"/>
    <n v="9.2751999999999999"/>
    <n v="54.56"/>
    <s v="Sessão a Faturar"/>
    <n v="771015045292010"/>
    <n v="21604"/>
    <s v="Unidade Vieiralves"/>
    <n v="1713614073"/>
    <m/>
  </r>
  <r>
    <x v="7"/>
    <x v="4"/>
    <s v="Wanessa Ferreira Saraiva Oliveira"/>
    <s v="Feminino"/>
    <x v="4"/>
    <x v="31"/>
    <s v="31601014 - Acupuntura (R$ 54,56)"/>
    <s v="Acupuntura"/>
    <n v="1713546334"/>
    <s v="Finalizado (4/5)"/>
    <n v="45.284799999999997"/>
    <n v="9.2751999999999999"/>
    <n v="54.56"/>
    <s v="Sessão Faturada"/>
    <n v="610900110003020"/>
    <n v="8227"/>
    <s v="Unidade Vieiralves"/>
    <n v="1713546334"/>
    <m/>
  </r>
  <r>
    <x v="7"/>
    <x v="4"/>
    <s v="Rosa da Silva Freitas"/>
    <s v="Feminino"/>
    <x v="12"/>
    <x v="31"/>
    <s v="31601014 - Acupuntura (R$ 54,56)"/>
    <s v="Acupuntura"/>
    <n v="10227147"/>
    <s v="Finalizado (10/10)"/>
    <n v="45.284799999999997"/>
    <n v="9.2751999999999999"/>
    <n v="54.56"/>
    <s v="Sessão Faturada"/>
    <n v="9.5125181212225997E+17"/>
    <n v="55746"/>
    <s v="Unidade Vieiralves"/>
    <n v="10227147"/>
    <m/>
  </r>
  <r>
    <x v="7"/>
    <x v="4"/>
    <s v="Katia Rodrigues Freitas"/>
    <s v="Feminino"/>
    <x v="6"/>
    <x v="31"/>
    <s v="31601014 - Acupuntura (R$ 51,33)"/>
    <s v="Acupuntura"/>
    <n v="171457"/>
    <s v="Finalizado (4/4)"/>
    <n v="42.603900000000003"/>
    <n v="8.7261000000000006"/>
    <n v="51.33"/>
    <s v="Sessão a Faturar"/>
    <s v="54588888004873140018"/>
    <n v="58935"/>
    <s v="Unidade Vieiralves"/>
    <n v="171457"/>
    <s v="Guia assinada! 20.03"/>
  </r>
  <r>
    <x v="7"/>
    <x v="13"/>
    <s v="Rosalinda Pereira Brito"/>
    <s v="Feminino"/>
    <x v="4"/>
    <x v="31"/>
    <s v="31601014 - Acupuntura (R$ 54,56)"/>
    <s v="Acupuntura"/>
    <n v="1714099289"/>
    <s v="Finalizado (4/5)"/>
    <n v="45.284799999999997"/>
    <n v="9.2751999999999999"/>
    <n v="54.56"/>
    <s v="Sessão Faturada"/>
    <s v="010544100907015"/>
    <n v="13886"/>
    <s v="Unidade Vieiralves"/>
    <n v="1714099289"/>
    <m/>
  </r>
  <r>
    <x v="7"/>
    <x v="17"/>
    <s v="Paulo Nonato  Aviz Dias"/>
    <s v="Masculino"/>
    <x v="4"/>
    <x v="31"/>
    <s v="31601014 - Acupuntura (R$ 54,56)"/>
    <s v="Acupuntura"/>
    <n v="1710778008"/>
    <s v="Finalizado (2/3)"/>
    <n v="45.284799999999997"/>
    <n v="9.2751999999999999"/>
    <n v="54.56"/>
    <s v="Sessão a Faturar"/>
    <n v="960016515126020"/>
    <n v="59476"/>
    <s v="Unidade Vieiralves"/>
    <n v="1710778008"/>
    <m/>
  </r>
  <r>
    <x v="7"/>
    <x v="8"/>
    <s v="Alessandra Silveira Rocha"/>
    <s v="Feminino"/>
    <x v="4"/>
    <x v="31"/>
    <s v="31601014 - Acupuntura (R$ 54,56)"/>
    <s v="Acupuntura"/>
    <n v="1714204679"/>
    <s v="Finalizado (3/5)"/>
    <n v="45.284799999999997"/>
    <n v="9.2751999999999999"/>
    <n v="54.56"/>
    <s v="Sessão a Faturar"/>
    <n v="774063023809020"/>
    <n v="58966"/>
    <s v="Unidade Vieiralves"/>
    <n v="1714204679"/>
    <m/>
  </r>
  <r>
    <x v="7"/>
    <x v="10"/>
    <s v="Alaide de Souza Lima Lemos"/>
    <s v="Feminino"/>
    <x v="4"/>
    <x v="31"/>
    <s v="31601014 - Acupuntura (R$ 54,56)"/>
    <s v="Acupuntura"/>
    <n v="1714752982"/>
    <s v="Finalizado (2/5)"/>
    <n v="45.284799999999997"/>
    <n v="9.2751999999999999"/>
    <n v="54.56"/>
    <s v="Sessão a Faturar"/>
    <n v="772568004855020"/>
    <n v="59604"/>
    <s v="Unidade Vieiralves"/>
    <n v="1714752982"/>
    <m/>
  </r>
  <r>
    <x v="7"/>
    <x v="10"/>
    <s v="Andreza da Costa Paes"/>
    <s v="Feminino"/>
    <x v="4"/>
    <x v="31"/>
    <s v="31601014 - Acupuntura (R$ 54,56)"/>
    <s v="Acupuntura"/>
    <n v="1717287843"/>
    <s v="Finalizado (1/5)"/>
    <n v="45.284799999999997"/>
    <n v="9.2751999999999999"/>
    <n v="54.56"/>
    <s v="Sessão a Faturar"/>
    <n v="837047000191020"/>
    <n v="59619"/>
    <s v="Unidade Vieiralves"/>
    <n v="1717287843"/>
    <m/>
  </r>
  <r>
    <x v="7"/>
    <x v="12"/>
    <s v="Magda Rejane Nogueira Miranda"/>
    <m/>
    <x v="29"/>
    <x v="31"/>
    <s v="31601014 - Acupuntura (R$ 73,38)"/>
    <s v="Acupuntura"/>
    <n v="1150036"/>
    <s v="Finalizado (1/10)"/>
    <n v="60.9054"/>
    <n v="12.474600000000001"/>
    <n v="73.38"/>
    <s v="Sessão a Faturar"/>
    <n v="130260032740010"/>
    <n v="54854"/>
    <s v="Unidade Vieiralves"/>
    <n v="1150036"/>
    <m/>
  </r>
  <r>
    <x v="7"/>
    <x v="20"/>
    <s v="Jefferson Castro Simplicio"/>
    <s v="Masculino"/>
    <x v="4"/>
    <x v="31"/>
    <s v="31601014 - Acupuntura (R$ 54,56)"/>
    <s v="Acupuntura"/>
    <n v="1717313853"/>
    <s v="Finalizado (1/1)"/>
    <n v="45.284799999999997"/>
    <n v="9.2751999999999999"/>
    <n v="54.56"/>
    <s v="Sessão a Faturar"/>
    <n v="960130225177000"/>
    <n v="43518"/>
    <s v="Unidade Vieiralves"/>
    <n v="1717313853"/>
    <m/>
  </r>
  <r>
    <x v="7"/>
    <x v="28"/>
    <s v="Renato Corrêa dos Santos"/>
    <s v="Masculino"/>
    <x v="4"/>
    <x v="31"/>
    <s v="31601014 - Acupuntura (R$ 54,56)"/>
    <s v="Acupuntura"/>
    <n v="1715451922"/>
    <s v="Finalizado (3/5)"/>
    <n v="45.284799999999997"/>
    <n v="9.2751999999999999"/>
    <n v="54.56"/>
    <s v="Sessão a Faturar"/>
    <n v="774634049832000"/>
    <n v="59688"/>
    <s v="Unidade Vieiralves"/>
    <n v="1715451922"/>
    <m/>
  </r>
  <r>
    <x v="8"/>
    <x v="2"/>
    <s v="Milena Gonçalves Lacerda"/>
    <s v="Feminino"/>
    <x v="4"/>
    <x v="31"/>
    <s v="31601014 - Acupuntura (R$ 54,56)"/>
    <s v="Acupuntura"/>
    <n v="1717730723"/>
    <s v="Finalizado (1/5)"/>
    <n v="45.284799999999997"/>
    <n v="9.2751999999999999"/>
    <n v="54.56"/>
    <s v="Sessão a Faturar"/>
    <n v="960019358622000"/>
    <n v="46622"/>
    <s v="Unidade Vieiralves"/>
    <n v="1717730723"/>
    <m/>
  </r>
  <r>
    <x v="8"/>
    <x v="4"/>
    <s v="Maria de Fatima Chaves Coimbra"/>
    <s v="Feminino"/>
    <x v="6"/>
    <x v="31"/>
    <s v="31601014 - Acupuntura (R$ 51,33)"/>
    <s v="Acupuntura"/>
    <n v="173063"/>
    <s v="Finalizado (1/2)"/>
    <n v="42.603900000000003"/>
    <n v="8.7261000000000006"/>
    <n v="51.33"/>
    <s v="Sessão a Faturar"/>
    <s v="55788888000967700014"/>
    <n v="19051"/>
    <s v="Unidade Vieiralves"/>
    <n v="173063"/>
    <m/>
  </r>
  <r>
    <x v="8"/>
    <x v="13"/>
    <s v="Rosalinda Pereira Brito"/>
    <s v="Feminino"/>
    <x v="4"/>
    <x v="31"/>
    <s v="31601014 - Acupuntura (R$ 54,56)"/>
    <s v="Acupuntura"/>
    <n v="1714099289"/>
    <s v="Finalizado (5/5)"/>
    <n v="45.284799999999997"/>
    <n v="9.2751999999999999"/>
    <n v="54.56"/>
    <s v="Sessão Faturada"/>
    <s v="010544100907015"/>
    <n v="13886"/>
    <s v="Unidade Vieiralves"/>
    <n v="1714099289"/>
    <m/>
  </r>
  <r>
    <x v="8"/>
    <x v="13"/>
    <s v="Jordânia Maria Napoliao Cabo de Vasconcelos"/>
    <m/>
    <x v="4"/>
    <x v="31"/>
    <s v="31601014 - Acupuntura (R$ 54,56)"/>
    <s v="Acupuntura"/>
    <n v="1717726262"/>
    <s v="Finalizado (1/5)"/>
    <n v="45.284799999999997"/>
    <n v="9.2751999999999999"/>
    <n v="54.56"/>
    <s v="Sessão a Faturar"/>
    <n v="890729700019010"/>
    <n v="59678"/>
    <s v="Unidade Vieiralves"/>
    <n v="1717726262"/>
    <m/>
  </r>
  <r>
    <x v="8"/>
    <x v="17"/>
    <s v="Elke Silveira Ferreira de Souza"/>
    <s v="Feminino"/>
    <x v="4"/>
    <x v="31"/>
    <s v="31601014 - Acupuntura (R$ 54,56)"/>
    <s v="Acupuntura"/>
    <n v="1717814720"/>
    <s v="Finalizado (1/5)"/>
    <n v="45.284799999999997"/>
    <n v="9.2751999999999999"/>
    <n v="54.56"/>
    <s v="Sessão a Faturar"/>
    <n v="774078000450020"/>
    <n v="40221"/>
    <s v="Unidade Vieiralves"/>
    <n v="1717814720"/>
    <m/>
  </r>
  <r>
    <x v="8"/>
    <x v="17"/>
    <s v="Magda Rejane Nogueira Miranda"/>
    <m/>
    <x v="29"/>
    <x v="31"/>
    <s v="31601014 - Acupuntura (R$ 73,38)"/>
    <s v="Acupuntura"/>
    <n v="1150036"/>
    <s v="Finalizado (2/10)"/>
    <n v="60.9054"/>
    <n v="12.474600000000001"/>
    <n v="73.38"/>
    <s v="Sessão a Faturar"/>
    <n v="130260032740010"/>
    <n v="54854"/>
    <s v="Unidade Vieiralves"/>
    <n v="1150036"/>
    <m/>
  </r>
  <r>
    <x v="8"/>
    <x v="10"/>
    <s v="Ana Georgina Viga Lacorte"/>
    <s v="Feminino"/>
    <x v="4"/>
    <x v="31"/>
    <s v="31601014 - Acupuntura (R$ 54,56)"/>
    <s v="Acupuntura"/>
    <n v="1715272314"/>
    <s v="Finalizado (4/5)"/>
    <n v="45.284799999999997"/>
    <n v="9.2751999999999999"/>
    <n v="54.56"/>
    <s v="Sessão Faturada"/>
    <n v="882749100043010"/>
    <n v="50823"/>
    <s v="Unidade Vieiralves"/>
    <n v="1715272314"/>
    <m/>
  </r>
  <r>
    <x v="8"/>
    <x v="12"/>
    <s v="Kamila Nayara dos Anjos Cruz"/>
    <s v="Feminino"/>
    <x v="4"/>
    <x v="31"/>
    <s v="31601014 - Acupuntura (R$ 54,56)"/>
    <s v="Acupuntura"/>
    <n v="1717828324"/>
    <s v="Finalizado (1/5)"/>
    <n v="45.284799999999997"/>
    <n v="9.2751999999999999"/>
    <n v="54.56"/>
    <s v="Sessão a Faturar"/>
    <n v="960016968538010"/>
    <n v="58063"/>
    <s v="Unidade Vieiralves"/>
    <n v="1717828324"/>
    <m/>
  </r>
  <r>
    <x v="8"/>
    <x v="20"/>
    <s v="Luiza Silvestre da Silva"/>
    <s v="Feminino"/>
    <x v="4"/>
    <x v="31"/>
    <s v="31601014 - Acupuntura (R$ 54,56)"/>
    <s v="Acupuntura"/>
    <n v="1716290115"/>
    <s v="Finalizado (3/5)"/>
    <n v="45.284799999999997"/>
    <n v="9.2751999999999999"/>
    <n v="54.56"/>
    <s v="Sessão a Faturar"/>
    <n v="770179021261010"/>
    <n v="11820"/>
    <s v="Unidade Vieiralves"/>
    <n v="1716290115"/>
    <m/>
  </r>
  <r>
    <x v="8"/>
    <x v="20"/>
    <s v="Alexandre Wagner Kiyoshi Uehara"/>
    <s v="Masculino"/>
    <x v="4"/>
    <x v="31"/>
    <s v="31601014 - Acupuntura (R$ 54,56)"/>
    <s v="Acupuntura"/>
    <n v="1717831754"/>
    <s v="Finalizado (1/5)"/>
    <n v="45.284799999999997"/>
    <n v="9.2751999999999999"/>
    <n v="54.56"/>
    <s v="Sessão a Faturar"/>
    <n v="842974900019010"/>
    <n v="13920"/>
    <s v="Unidade Vieiralves"/>
    <n v="1717831754"/>
    <m/>
  </r>
  <r>
    <x v="8"/>
    <x v="28"/>
    <s v="Leandro Nascimento da Silva Tachy"/>
    <s v="Masculino"/>
    <x v="4"/>
    <x v="31"/>
    <s v="31601014 - Acupuntura (R$ 54,56)"/>
    <s v="Acupuntura"/>
    <n v="1717068924"/>
    <s v="Finalizado (2/5)"/>
    <n v="45.284799999999997"/>
    <n v="9.2751999999999999"/>
    <n v="54.56"/>
    <s v="Sessão a Faturar"/>
    <n v="774063008605000"/>
    <n v="59722"/>
    <s v="Unidade Vieiralves"/>
    <n v="1717068924"/>
    <m/>
  </r>
  <r>
    <x v="8"/>
    <x v="28"/>
    <s v="Luciano Freitas de Oliveira"/>
    <s v="Masculino"/>
    <x v="4"/>
    <x v="31"/>
    <s v="31601014 - Acupuntura (R$ 54,56)"/>
    <s v="Acupuntura"/>
    <n v="1717842707"/>
    <s v="Finalizado (1/5)"/>
    <n v="45.284799999999997"/>
    <n v="9.2751999999999999"/>
    <n v="54.56"/>
    <s v="Sessão a Faturar"/>
    <n v="771713007420010"/>
    <n v="59625"/>
    <s v="Unidade Vieiralves"/>
    <n v="1717842707"/>
    <m/>
  </r>
  <r>
    <x v="9"/>
    <x v="0"/>
    <s v="Suellen Andrade Barroso"/>
    <s v="Feminino"/>
    <x v="6"/>
    <x v="31"/>
    <s v="31601014 - Acupuntura (R$ 51,33)"/>
    <s v="Acupuntura"/>
    <n v="171500"/>
    <s v="Finalizado (1/1)"/>
    <n v="42.603900000000003"/>
    <n v="8.7261000000000006"/>
    <n v="51.33"/>
    <s v="Sessão a Faturar"/>
    <s v="54588888479635870024"/>
    <n v="31354"/>
    <s v="Unidade Vieiralves"/>
    <n v="171500"/>
    <m/>
  </r>
  <r>
    <x v="9"/>
    <x v="0"/>
    <s v="Maria de Fatima Chaves Coimbra"/>
    <s v="Feminino"/>
    <x v="6"/>
    <x v="31"/>
    <s v="31601014 - Acupuntura (R$ 51,33)"/>
    <s v="Acupuntura"/>
    <n v="173063"/>
    <s v="Finalizado (2/2)"/>
    <n v="42.603900000000003"/>
    <n v="8.7261000000000006"/>
    <n v="51.33"/>
    <s v="Sessão a Faturar"/>
    <s v="55788888000967700014"/>
    <n v="19051"/>
    <s v="Unidade Vieiralves"/>
    <n v="173063"/>
    <m/>
  </r>
  <r>
    <x v="9"/>
    <x v="4"/>
    <s v="Wanessa Ferreira Saraiva Oliveira"/>
    <s v="Feminino"/>
    <x v="4"/>
    <x v="31"/>
    <s v="31601014 - Acupuntura (R$ 54,56)"/>
    <s v="Acupuntura"/>
    <n v="1713546334"/>
    <s v="Finalizado (5/5)"/>
    <n v="45.284799999999997"/>
    <n v="9.2751999999999999"/>
    <n v="54.56"/>
    <s v="Sessão Faturada"/>
    <n v="610900110003020"/>
    <n v="8227"/>
    <s v="Unidade Vieiralves"/>
    <n v="1713546334"/>
    <m/>
  </r>
  <r>
    <x v="9"/>
    <x v="15"/>
    <s v="Carlos Alberto de Assis"/>
    <s v="Masculino"/>
    <x v="17"/>
    <x v="31"/>
    <s v="31601014 - Acupuntura (R$ 45,00)"/>
    <s v="Acupuntura"/>
    <n v="3959721"/>
    <s v="Não compareceu (6/10)"/>
    <n v="45"/>
    <n v="0"/>
    <n v="45"/>
    <s v="Sessão a Faturar"/>
    <s v="000915778421200"/>
    <n v="59370"/>
    <s v="Unidade Vieiralves"/>
    <n v="3959721"/>
    <m/>
  </r>
  <r>
    <x v="9"/>
    <x v="15"/>
    <s v="Nádia Margareth Souza Soares"/>
    <s v="Feminino"/>
    <x v="9"/>
    <x v="31"/>
    <s v="31601014 - Acupuntura (R$ 54,56)"/>
    <s v="Acupuntura"/>
    <n v="1718263037"/>
    <s v="Finalizado (1/5)"/>
    <n v="45.284799999999997"/>
    <n v="9.2751999999999999"/>
    <n v="54.56"/>
    <s v="Sessão a Faturar"/>
    <n v="954600005924010"/>
    <n v="56316"/>
    <s v="Unidade Vieiralves"/>
    <n v="1718263037"/>
    <m/>
  </r>
  <r>
    <x v="9"/>
    <x v="8"/>
    <s v="Kellen Regina Pereira da Silva"/>
    <s v="Feminino"/>
    <x v="4"/>
    <x v="31"/>
    <s v="31601014 - Acupuntura (R$ 54,56)"/>
    <s v="Acupuntura"/>
    <n v="1718283437"/>
    <s v="Finalizado (1/5)"/>
    <n v="45.284799999999997"/>
    <n v="9.2751999999999999"/>
    <n v="54.56"/>
    <s v="Sessão a Faturar"/>
    <n v="890729700027020"/>
    <n v="59263"/>
    <s v="Unidade Vieiralves"/>
    <n v="1718283437"/>
    <m/>
  </r>
  <r>
    <x v="9"/>
    <x v="8"/>
    <s v="Alessandra Silveira Rocha"/>
    <s v="Feminino"/>
    <x v="4"/>
    <x v="31"/>
    <s v="31601014 - Acupuntura (R$ 54,56)"/>
    <s v="Acupuntura"/>
    <n v="1714204679"/>
    <s v="Finalizado (4/5)"/>
    <n v="45.284799999999997"/>
    <n v="9.2751999999999999"/>
    <n v="54.56"/>
    <s v="Sessão a Faturar"/>
    <n v="774063023809020"/>
    <n v="58966"/>
    <s v="Unidade Vieiralves"/>
    <n v="1714204679"/>
    <m/>
  </r>
  <r>
    <x v="9"/>
    <x v="10"/>
    <s v="Samuel Cunha de Oliveira"/>
    <m/>
    <x v="4"/>
    <x v="31"/>
    <s v="31601014 - Acupuntura (R$ 54,56)"/>
    <s v="Acupuntura"/>
    <n v="1718277159"/>
    <s v="Finalizado (1/5)"/>
    <n v="45.284799999999997"/>
    <n v="9.2751999999999999"/>
    <n v="54.56"/>
    <s v="Sessão a Faturar"/>
    <n v="837047000191010"/>
    <n v="59496"/>
    <s v="Unidade Vieiralves"/>
    <n v="1718277159"/>
    <m/>
  </r>
  <r>
    <x v="9"/>
    <x v="10"/>
    <s v="Andreza da Costa Paes"/>
    <s v="Feminino"/>
    <x v="4"/>
    <x v="31"/>
    <s v="31601014 - Acupuntura (R$ 54,56)"/>
    <s v="Acupuntura"/>
    <n v="1717287843"/>
    <s v="Finalizado (2/5)"/>
    <n v="45.284799999999997"/>
    <n v="9.2751999999999999"/>
    <n v="54.56"/>
    <s v="Sessão a Faturar"/>
    <n v="837047000191020"/>
    <n v="59619"/>
    <s v="Unidade Vieiralves"/>
    <n v="1717287843"/>
    <m/>
  </r>
  <r>
    <x v="9"/>
    <x v="10"/>
    <s v="Paulo Nonato  Aviz Dias"/>
    <s v="Masculino"/>
    <x v="4"/>
    <x v="31"/>
    <s v="31601014 - Acupuntura (R$ 54,56)"/>
    <s v="Acupuntura"/>
    <n v="1710778008"/>
    <s v="Finalizado (3/3)"/>
    <n v="45.284799999999997"/>
    <n v="9.2751999999999999"/>
    <n v="54.56"/>
    <s v="Sessão a Faturar"/>
    <n v="960016515126020"/>
    <n v="59476"/>
    <s v="Unidade Vieiralves"/>
    <n v="1710778008"/>
    <m/>
  </r>
  <r>
    <x v="9"/>
    <x v="12"/>
    <s v="Luciano Freitas de Oliveira"/>
    <s v="Masculino"/>
    <x v="4"/>
    <x v="31"/>
    <s v="31601014 - Acupuntura (R$ 54,56)"/>
    <s v="Acupuntura"/>
    <n v="1717842707"/>
    <s v="Finalizado (2/5)"/>
    <n v="45.284799999999997"/>
    <n v="9.2751999999999999"/>
    <n v="54.56"/>
    <s v="Sessão a Faturar"/>
    <n v="771713007420010"/>
    <n v="59625"/>
    <s v="Unidade Vieiralves"/>
    <n v="1717842707"/>
    <m/>
  </r>
  <r>
    <x v="9"/>
    <x v="12"/>
    <s v="Maria da Conceição Grandal Oliveira"/>
    <s v="Feminino"/>
    <x v="21"/>
    <x v="31"/>
    <s v="31601014 - Sessão de Acupuntura (R$ 70,00)"/>
    <s v="Acupuntura"/>
    <n v="172971"/>
    <s v="Finalizado (1/10)"/>
    <n v="58.1"/>
    <n v="11.9"/>
    <n v="70"/>
    <s v="Sessão a Faturar"/>
    <n v="10519601"/>
    <n v="59789"/>
    <s v="Unidade Vieiralves"/>
    <n v="172971"/>
    <m/>
  </r>
  <r>
    <x v="9"/>
    <x v="28"/>
    <s v="Karoline Lima de Oliveira"/>
    <s v="Feminino"/>
    <x v="9"/>
    <x v="31"/>
    <s v="31601014 - Acupuntura (R$ 54,56)"/>
    <s v="Acupuntura"/>
    <n v="1716474875"/>
    <s v="Finalizado (2/5)"/>
    <n v="45.284799999999997"/>
    <n v="9.2751999999999999"/>
    <n v="54.56"/>
    <s v="Sessão a Faturar"/>
    <n v="954600003484010"/>
    <n v="59690"/>
    <s v="Unidade Vieiralves"/>
    <n v="1716474875"/>
    <m/>
  </r>
  <r>
    <x v="10"/>
    <x v="8"/>
    <s v="Francisco Lima da Silva"/>
    <s v="Masculino"/>
    <x v="4"/>
    <x v="31"/>
    <s v="31601014 - Acupuntura (R$ 54,56)"/>
    <s v="Acupuntura"/>
    <n v="1711062570"/>
    <s v="Finalizado (5/5)"/>
    <n v="45.284799999999997"/>
    <n v="9.2751999999999999"/>
    <n v="54.56"/>
    <s v="Sessão Faturada"/>
    <n v="774981007706010"/>
    <n v="52427"/>
    <s v="Unidade Vieiralves"/>
    <n v="1711062570"/>
    <m/>
  </r>
  <r>
    <x v="10"/>
    <x v="8"/>
    <s v="Alessandra Silveira Rocha"/>
    <s v="Feminino"/>
    <x v="4"/>
    <x v="31"/>
    <s v="31601014 - Acupuntura (R$ 54,56)"/>
    <s v="Acupuntura"/>
    <n v="1714204679"/>
    <s v="Finalizado (5/5)"/>
    <n v="45.284799999999997"/>
    <n v="9.2751999999999999"/>
    <n v="54.56"/>
    <s v="Sessão a Faturar"/>
    <n v="774063023809020"/>
    <n v="58966"/>
    <s v="Unidade Vieiralves"/>
    <n v="1714204679"/>
    <m/>
  </r>
  <r>
    <x v="10"/>
    <x v="8"/>
    <s v="Ana Eliza Câmara Rosolino"/>
    <s v="Feminino"/>
    <x v="5"/>
    <x v="31"/>
    <s v="31601014 - Acupuntura (R$ 90,51)"/>
    <s v="Acupuntura"/>
    <n v="173414"/>
    <s v="Finalizado (1/10)"/>
    <n v="75.1233"/>
    <n v="15.386699999999999"/>
    <n v="90.51"/>
    <s v="Sessão a Faturar"/>
    <s v="010084522302"/>
    <n v="47054"/>
    <s v="Unidade Vieiralves"/>
    <n v="173414"/>
    <m/>
  </r>
  <r>
    <x v="10"/>
    <x v="10"/>
    <s v="Kamila Nayara dos Anjos Cruz"/>
    <s v="Feminino"/>
    <x v="4"/>
    <x v="31"/>
    <s v="31601014 - Acupuntura (R$ 54,56)"/>
    <s v="Acupuntura"/>
    <n v="1717828324"/>
    <s v="Finalizado (2/5)"/>
    <n v="45.284799999999997"/>
    <n v="9.2751999999999999"/>
    <n v="54.56"/>
    <s v="Sessão a Faturar"/>
    <n v="960016968538010"/>
    <n v="58063"/>
    <s v="Unidade Vieiralves"/>
    <n v="1717828324"/>
    <m/>
  </r>
  <r>
    <x v="10"/>
    <x v="10"/>
    <s v="Magda Rejane Nogueira Miranda"/>
    <m/>
    <x v="29"/>
    <x v="31"/>
    <s v="31601014 - Acupuntura (R$ 73,38)"/>
    <s v="Acupuntura"/>
    <n v="1150036"/>
    <s v="Finalizado (3/10)"/>
    <n v="60.9054"/>
    <n v="12.474600000000001"/>
    <n v="73.38"/>
    <s v="Sessão a Faturar"/>
    <n v="130260032740010"/>
    <n v="54854"/>
    <s v="Unidade Vieiralves"/>
    <n v="1150036"/>
    <m/>
  </r>
  <r>
    <x v="10"/>
    <x v="12"/>
    <s v="Waldir dos Santos Fontes Junior"/>
    <s v="Masculino"/>
    <x v="4"/>
    <x v="31"/>
    <s v="31601014 - Acupuntura (R$ 54,56)"/>
    <s v="Acupuntura"/>
    <n v="1714245308"/>
    <s v="Finalizado (4/5)"/>
    <n v="45.284799999999997"/>
    <n v="9.2751999999999999"/>
    <n v="54.56"/>
    <s v="Sessão Faturada"/>
    <n v="772133000728000"/>
    <n v="51522"/>
    <s v="Unidade Vieiralves"/>
    <n v="1714245308"/>
    <m/>
  </r>
  <r>
    <x v="10"/>
    <x v="12"/>
    <s v="Paulo Nonato  Aviz Dias"/>
    <s v="Masculino"/>
    <x v="4"/>
    <x v="31"/>
    <s v="31601014 - Acupuntura (R$ 54,56)"/>
    <s v="Acupuntura"/>
    <n v="1719174194"/>
    <s v="Finalizado (1/5)"/>
    <n v="45.284799999999997"/>
    <n v="9.2751999999999999"/>
    <n v="54.56"/>
    <s v="Sessão a Faturar"/>
    <n v="960016515126020"/>
    <n v="59476"/>
    <s v="Unidade Vieiralves"/>
    <n v="1719174194"/>
    <m/>
  </r>
  <r>
    <x v="10"/>
    <x v="20"/>
    <s v="Ana Georgina Viga Lacorte"/>
    <s v="Feminino"/>
    <x v="4"/>
    <x v="31"/>
    <s v="31601014 - Acupuntura (R$ 54,56)"/>
    <s v="Acupuntura"/>
    <n v="1715272314"/>
    <s v="Finalizado (5/5)"/>
    <n v="45.284799999999997"/>
    <n v="9.2751999999999999"/>
    <n v="54.56"/>
    <s v="Sessão Faturada"/>
    <n v="882749100043010"/>
    <n v="50823"/>
    <s v="Unidade Vieiralves"/>
    <n v="1715272314"/>
    <m/>
  </r>
  <r>
    <x v="10"/>
    <x v="20"/>
    <s v="Alexandre Wagner Kiyoshi Uehara"/>
    <s v="Masculino"/>
    <x v="4"/>
    <x v="31"/>
    <s v="31601014 - Acupuntura (R$ 54,56)"/>
    <s v="Acupuntura"/>
    <n v="1717831754"/>
    <s v="Finalizado (2/5)"/>
    <n v="45.284799999999997"/>
    <n v="9.2751999999999999"/>
    <n v="54.56"/>
    <s v="Sessão a Faturar"/>
    <n v="842974900019010"/>
    <n v="13920"/>
    <s v="Unidade Vieiralves"/>
    <n v="1717831754"/>
    <m/>
  </r>
  <r>
    <x v="10"/>
    <x v="28"/>
    <s v="Renato Corrêa dos Santos"/>
    <s v="Masculino"/>
    <x v="4"/>
    <x v="31"/>
    <s v="31601014 - Acupuntura (R$ 54,56)"/>
    <s v="Acupuntura"/>
    <n v="1715451922"/>
    <s v="Finalizado (4/5)"/>
    <n v="45.284799999999997"/>
    <n v="9.2751999999999999"/>
    <n v="54.56"/>
    <s v="Sessão a Faturar"/>
    <n v="774634049832000"/>
    <n v="59688"/>
    <s v="Unidade Vieiralves"/>
    <n v="1715451922"/>
    <m/>
  </r>
  <r>
    <x v="10"/>
    <x v="28"/>
    <s v="Marcia Maria de Souza Miranda"/>
    <s v="Feminino"/>
    <x v="4"/>
    <x v="31"/>
    <s v="31601014 - Acupuntura (R$ 54,56)"/>
    <s v="Acupuntura"/>
    <n v="1717615372"/>
    <s v="Finalizado (4/5)"/>
    <n v="45.284799999999997"/>
    <n v="9.2751999999999999"/>
    <n v="54.56"/>
    <s v="Sessão Faturada"/>
    <n v="884774402038000"/>
    <n v="59779"/>
    <s v="Unidade Vieiralves"/>
    <n v="1717615372"/>
    <m/>
  </r>
  <r>
    <x v="11"/>
    <x v="0"/>
    <s v="Franciane de Souza Gomes"/>
    <s v="Feminino"/>
    <x v="4"/>
    <x v="31"/>
    <s v="31601014 - Acupuntura (R$ 54,56)"/>
    <s v="Acupuntura"/>
    <n v="1718773186"/>
    <s v="Finalizado (2/5)"/>
    <n v="45.284799999999997"/>
    <n v="9.2751999999999999"/>
    <n v="54.56"/>
    <s v="Sessão a Faturar"/>
    <n v="973700009598000"/>
    <n v="16642"/>
    <s v="Unidade Vieiralves"/>
    <n v="1718773186"/>
    <m/>
  </r>
  <r>
    <x v="11"/>
    <x v="2"/>
    <s v="Taiana Raquel Miranda dos Santos"/>
    <s v="Feminino"/>
    <x v="7"/>
    <x v="31"/>
    <s v="Vieiralves - 6 - Avaliação de Acupuntura (R$ 200,00)"/>
    <s v="Acupuntura"/>
    <m/>
    <s v="Finalizado (1/1)"/>
    <n v="180"/>
    <n v="20"/>
    <n v="200"/>
    <s v="Pago"/>
    <n v="0"/>
    <n v="59835"/>
    <s v="Unidade Vieiralves"/>
    <m/>
    <m/>
  </r>
  <r>
    <x v="11"/>
    <x v="4"/>
    <s v="Viviane Paes Barreto da Silva"/>
    <s v="Feminino"/>
    <x v="4"/>
    <x v="31"/>
    <s v="31601014 - Acupuntura (R$ 54,56)"/>
    <s v="Acupuntura"/>
    <n v="1713638120"/>
    <s v="Finalizado (5/5)"/>
    <n v="45.284799999999997"/>
    <n v="9.2751999999999999"/>
    <n v="54.56"/>
    <s v="Sessão Faturada"/>
    <n v="853503800205040"/>
    <n v="59636"/>
    <s v="Unidade Vieiralves"/>
    <n v="1713638120"/>
    <m/>
  </r>
  <r>
    <x v="11"/>
    <x v="4"/>
    <s v="Katia Rodrigues Freitas"/>
    <s v="Feminino"/>
    <x v="6"/>
    <x v="31"/>
    <s v="31601014 - Acupuntura (R$ 51,33)"/>
    <s v="Acupuntura"/>
    <n v="173260"/>
    <s v="Finalizado (2/2)"/>
    <n v="42.603900000000003"/>
    <n v="8.7261000000000006"/>
    <n v="51.33"/>
    <s v="Sessão a Faturar"/>
    <s v="54588888004873140018"/>
    <n v="58935"/>
    <s v="Unidade Vieiralves"/>
    <n v="173260"/>
    <s v="Guia assinada!"/>
  </r>
  <r>
    <x v="11"/>
    <x v="6"/>
    <s v="Frank Erikson Santos de Almeida"/>
    <s v="Masculino"/>
    <x v="4"/>
    <x v="31"/>
    <s v="31601014 - Acupuntura (R$ 54,56)"/>
    <s v="Acupuntura"/>
    <n v="1719664964"/>
    <s v="Finalizado (1/5)"/>
    <n v="45.284799999999997"/>
    <n v="9.2751999999999999"/>
    <n v="54.56"/>
    <s v="Sessão a Faturar"/>
    <n v="774063003417020"/>
    <n v="20222"/>
    <s v="Unidade Vieiralves"/>
    <n v="1719664964"/>
    <m/>
  </r>
  <r>
    <x v="11"/>
    <x v="10"/>
    <s v="Amilton da Costa Carvalho"/>
    <s v="Masculino"/>
    <x v="20"/>
    <x v="31"/>
    <s v="00010987 - Acupuntura Por Sessão - 02/04/2026 (R$ 42,00)"/>
    <s v="Acupuntura"/>
    <n v="55167490"/>
    <s v="Finalizado (7/10)"/>
    <n v="34.86"/>
    <n v="7.14"/>
    <n v="42"/>
    <s v="Sessão Faturada"/>
    <n v="10511003315900"/>
    <n v="51485"/>
    <s v="Unidade Vieiralves"/>
    <n v="55167490"/>
    <m/>
  </r>
  <r>
    <x v="11"/>
    <x v="10"/>
    <s v="Paulo Nonato  Aviz Dias"/>
    <s v="Masculino"/>
    <x v="4"/>
    <x v="31"/>
    <s v="31601014 - Acupuntura (R$ 54,56)"/>
    <s v="Acupuntura"/>
    <n v="1719174194"/>
    <s v="Finalizado (2/5)"/>
    <n v="45.284799999999997"/>
    <n v="9.2751999999999999"/>
    <n v="54.56"/>
    <s v="Sessão a Faturar"/>
    <n v="960016515126020"/>
    <n v="59476"/>
    <s v="Unidade Vieiralves"/>
    <n v="1719174194"/>
    <m/>
  </r>
  <r>
    <x v="11"/>
    <x v="12"/>
    <s v="Ricardo Henrique Barbosa Lopes"/>
    <s v="Masculino"/>
    <x v="4"/>
    <x v="31"/>
    <s v="31601014 - Acupuntura (R$ 54,56)"/>
    <s v="Acupuntura"/>
    <n v="1719698990"/>
    <s v="Finalizado (1/5)"/>
    <n v="45.284799999999997"/>
    <n v="9.2751999999999999"/>
    <n v="54.56"/>
    <s v="Sessão a Faturar"/>
    <n v="772172035939000"/>
    <n v="55872"/>
    <s v="Unidade Vieiralves"/>
    <n v="1719698990"/>
    <m/>
  </r>
  <r>
    <x v="11"/>
    <x v="12"/>
    <s v="Nádia Margareth Souza Soares"/>
    <s v="Feminino"/>
    <x v="9"/>
    <x v="31"/>
    <s v="31601014 - Acupuntura (R$ 54,56)"/>
    <s v="Acupuntura"/>
    <n v="1718263037"/>
    <s v="Finalizado (2/5)"/>
    <n v="45.284799999999997"/>
    <n v="9.2751999999999999"/>
    <n v="54.56"/>
    <s v="Sessão a Faturar"/>
    <n v="954600005924010"/>
    <n v="56316"/>
    <s v="Unidade Vieiralves"/>
    <n v="1718263037"/>
    <m/>
  </r>
  <r>
    <x v="11"/>
    <x v="20"/>
    <s v="Kamila Nayara dos Anjos Cruz"/>
    <s v="Feminino"/>
    <x v="4"/>
    <x v="31"/>
    <s v="31601014 - Acupuntura (R$ 54,56)"/>
    <s v="Acupuntura"/>
    <n v="1717828324"/>
    <s v="Finalizado (3/5)"/>
    <n v="45.284799999999997"/>
    <n v="9.2751999999999999"/>
    <n v="54.56"/>
    <s v="Sessão a Faturar"/>
    <n v="960016968538010"/>
    <n v="58063"/>
    <s v="Unidade Vieiralves"/>
    <n v="1717828324"/>
    <m/>
  </r>
  <r>
    <x v="11"/>
    <x v="20"/>
    <s v="Kaíny Medeiros Maciel"/>
    <s v="Feminino"/>
    <x v="4"/>
    <x v="31"/>
    <s v="31601014 - Acupuntura (R$ 54,56)"/>
    <s v="Acupuntura"/>
    <n v="1718495444"/>
    <s v="Finalizado (2/5)"/>
    <n v="45.284799999999997"/>
    <n v="9.2751999999999999"/>
    <n v="54.56"/>
    <s v="Sessão a Faturar"/>
    <n v="774642015580010"/>
    <n v="59326"/>
    <s v="Unidade Vieiralves"/>
    <n v="1718495444"/>
    <m/>
  </r>
  <r>
    <x v="11"/>
    <x v="20"/>
    <s v="Ananda Priscila Gomes Fernandes"/>
    <s v="Feminino"/>
    <x v="4"/>
    <x v="31"/>
    <s v="31601014 - Acupuntura (R$ 54,56)"/>
    <s v="Acupuntura"/>
    <n v="1719694344"/>
    <s v="Finalizado (1/10)"/>
    <n v="45.284799999999997"/>
    <n v="9.2751999999999999"/>
    <n v="54.56"/>
    <s v="Sessão a Faturar"/>
    <n v="770179019054020"/>
    <n v="49838"/>
    <s v="Unidade Vieiralves"/>
    <n v="1719694344"/>
    <m/>
  </r>
  <r>
    <x v="11"/>
    <x v="20"/>
    <s v="Ana Georgina Viga Lacorte"/>
    <s v="Feminino"/>
    <x v="4"/>
    <x v="31"/>
    <s v="31601014 - Acupuntura (R$ 54,56)"/>
    <s v="Acupuntura"/>
    <n v="1719703413"/>
    <s v="Finalizado (1/5)"/>
    <n v="45.284799999999997"/>
    <n v="9.2751999999999999"/>
    <n v="54.56"/>
    <s v="Sessão a Faturar"/>
    <n v="882749100043010"/>
    <n v="50823"/>
    <s v="Unidade Vieiralves"/>
    <n v="1719703413"/>
    <m/>
  </r>
  <r>
    <x v="11"/>
    <x v="28"/>
    <s v="Marcia Maria de Souza Miranda"/>
    <s v="Feminino"/>
    <x v="4"/>
    <x v="31"/>
    <s v="31601014 - Acupuntura (R$ 54,56)"/>
    <s v="Acupuntura"/>
    <n v="1717615372"/>
    <s v="Finalizado (5/5)"/>
    <n v="45.284799999999997"/>
    <n v="9.2751999999999999"/>
    <n v="54.56"/>
    <s v="Sessão Faturada"/>
    <n v="884774402038000"/>
    <n v="59779"/>
    <s v="Unidade Vieiralves"/>
    <n v="1717615372"/>
    <m/>
  </r>
  <r>
    <x v="11"/>
    <x v="28"/>
    <s v="Marco Aurélio Bezerra Lopes"/>
    <s v="Masculino"/>
    <x v="4"/>
    <x v="31"/>
    <s v="31601014 - Acupuntura (R$ 54,56)"/>
    <s v="Acupuntura"/>
    <n v="1719713320"/>
    <s v="Finalizado (1/5)"/>
    <n v="45.284799999999997"/>
    <n v="9.2751999999999999"/>
    <n v="54.56"/>
    <s v="Sessão a Faturar"/>
    <n v="771015040827010"/>
    <n v="51421"/>
    <s v="Unidade Vieiralves"/>
    <n v="1719713320"/>
    <m/>
  </r>
  <r>
    <x v="11"/>
    <x v="28"/>
    <s v="Evelyn dos Santos Andrade"/>
    <s v="Feminino"/>
    <x v="22"/>
    <x v="31"/>
    <s v="00000000 - Acupuntura (R$ 0,00)"/>
    <s v="Acupuntura"/>
    <m/>
    <s v="Finalizado (1/1)"/>
    <n v="0"/>
    <n v="0"/>
    <n v="0"/>
    <s v="Sessão a Faturar"/>
    <n v="0"/>
    <n v="58416"/>
    <s v="Unidade Vieiralves"/>
    <m/>
    <m/>
  </r>
  <r>
    <x v="12"/>
    <x v="68"/>
    <s v="Lúcia Ignéz Abreu de Sá"/>
    <s v="Feminino"/>
    <x v="1"/>
    <x v="32"/>
    <s v="50000233 - Fisioterapia Pélvica (R$ 138,17)"/>
    <s v="Fisioterapia Pélvica e Neurológica"/>
    <n v="8651281"/>
    <s v="Finalizado (5/10)"/>
    <n v="82.902000000000001"/>
    <n v="55.268000000000001"/>
    <n v="138.16999999999999"/>
    <s v="Sessão Faturada"/>
    <s v="0701010861030123"/>
    <n v="58903"/>
    <s v="Unidade Vieralves (ANEXO)"/>
    <n v="8651281"/>
    <m/>
  </r>
  <r>
    <x v="12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2/10)"/>
    <n v="28.361999999999998"/>
    <n v="18.908000000000001"/>
    <n v="47.27"/>
    <s v="Sessão Faturada"/>
    <s v="0001000033560042"/>
    <n v="11032"/>
    <s v="Unidade Vieralves (ANEXO)"/>
    <n v="5837470"/>
    <m/>
  </r>
  <r>
    <x v="12"/>
    <x v="50"/>
    <s v="Ulema Negreiros Nery"/>
    <s v="Masculino"/>
    <x v="19"/>
    <x v="32"/>
    <s v="20103646 - Fisioterapia Pélvica - 17/03/2026 (R$ 352,10)"/>
    <s v="Fisioterapia Pélvica e Neurológica"/>
    <n v="5769870"/>
    <s v="Finalizado (4/10)"/>
    <n v="211.26"/>
    <n v="140.84"/>
    <n v="352.1"/>
    <s v="Sessão Faturada"/>
    <s v="0001000033560042"/>
    <n v="11032"/>
    <s v="Unidade Vieralves (ANEXO)"/>
    <n v="5769870"/>
    <m/>
  </r>
  <r>
    <x v="14"/>
    <x v="44"/>
    <s v="Toyoko Saito"/>
    <s v="Feminino"/>
    <x v="24"/>
    <x v="32"/>
    <s v="12 - Fisioterapia Pelvica - Pacote (R$ 150,00)"/>
    <s v="Fisioterapia Pélvica e Neurológica"/>
    <n v="168495"/>
    <s v="Finalizado (6/10)"/>
    <n v="90"/>
    <n v="60"/>
    <n v="150"/>
    <s v="Sessão a Faturar"/>
    <s v="00"/>
    <n v="55425"/>
    <s v="Unidade Vieralves (ANEXO)"/>
    <n v="168495"/>
    <m/>
  </r>
  <r>
    <x v="14"/>
    <x v="67"/>
    <s v="Márcio Antônio Couto Ferreira"/>
    <s v="Masculino"/>
    <x v="1"/>
    <x v="32"/>
    <s v="50000233 - Fisioterapia Pélvica (R$ 138,17)"/>
    <s v="Fisioterapia Pélvica e Neurológica"/>
    <n v="8984452"/>
    <s v="Finalizado (2/10)"/>
    <n v="82.902000000000001"/>
    <n v="55.268000000000001"/>
    <n v="138.16999999999999"/>
    <s v="Sessão Faturada"/>
    <n v="1301010346830100"/>
    <n v="58428"/>
    <s v="Unidade Vieralves (ANEXO)"/>
    <n v="8984452"/>
    <m/>
  </r>
  <r>
    <x v="14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3/10)"/>
    <n v="114.3"/>
    <n v="76.2"/>
    <n v="190.5"/>
    <s v="Sessão Faturada"/>
    <n v="29600"/>
    <n v="43656"/>
    <s v="Unidade Vieralves (ANEXO)"/>
    <n v="143025"/>
    <m/>
  </r>
  <r>
    <x v="14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3/10)"/>
    <n v="114.3"/>
    <n v="76.2"/>
    <n v="190.5"/>
    <s v="Sessão Faturada"/>
    <n v="9900"/>
    <n v="43617"/>
    <s v="Unidade Vieralves (ANEXO)"/>
    <n v="143030"/>
    <m/>
  </r>
  <r>
    <x v="14"/>
    <x v="50"/>
    <s v="Maria Regiane Alves de Sousa"/>
    <s v="Feminino"/>
    <x v="6"/>
    <x v="32"/>
    <s v="20103646 - Fisioterapia Perineal Com Biofeedback (R$ 229,39)"/>
    <s v="Fisioterapia Pélvica e Neurológica"/>
    <n v="167547"/>
    <s v="Finalizado (9/10)"/>
    <n v="137.63399999999999"/>
    <n v="91.756"/>
    <n v="229.39"/>
    <s v="Sessão a Faturar"/>
    <s v="86979122020578920021"/>
    <n v="58696"/>
    <s v="Unidade Vieralves (ANEXO)"/>
    <n v="167547"/>
    <m/>
  </r>
  <r>
    <x v="15"/>
    <x v="68"/>
    <s v="Maria Regiane Alves de Sousa"/>
    <s v="Feminino"/>
    <x v="6"/>
    <x v="32"/>
    <s v="20103646 - Fisioterapia Perineal Com Biofeedback (R$ 229,39)"/>
    <s v="Fisioterapia Pélvica e Neurológica"/>
    <n v="167547"/>
    <s v="Finalizado (10/10)"/>
    <n v="137.63399999999999"/>
    <n v="91.756"/>
    <n v="229.39"/>
    <s v="Sessão a Faturar"/>
    <s v="86979122020578920021"/>
    <n v="58696"/>
    <s v="Unidade Vieralves (ANEXO)"/>
    <n v="167547"/>
    <m/>
  </r>
  <r>
    <x v="15"/>
    <x v="50"/>
    <s v="Ulema Negreiros Nery"/>
    <s v="Masculino"/>
    <x v="19"/>
    <x v="32"/>
    <s v="20103646 - Fisioterapia Pélvica - 17/03/2026 (R$ 352,10)"/>
    <s v="Fisioterapia Pélvica e Neurológica"/>
    <n v="5769870"/>
    <s v="Finalizado (5/10)"/>
    <n v="211.26"/>
    <n v="140.84"/>
    <n v="352.1"/>
    <s v="Sessão Faturada"/>
    <s v="0001000033560042"/>
    <n v="11032"/>
    <s v="Unidade Vieralves (ANEXO)"/>
    <n v="5769870"/>
    <m/>
  </r>
  <r>
    <x v="15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3/10)"/>
    <n v="28.361999999999998"/>
    <n v="18.908000000000001"/>
    <n v="47.27"/>
    <s v="Sessão Faturada"/>
    <s v="0001000033560042"/>
    <n v="11032"/>
    <s v="Unidade Vieralves (ANEXO)"/>
    <n v="5837470"/>
    <m/>
  </r>
  <r>
    <x v="16"/>
    <x v="44"/>
    <s v="Toyoko Saito"/>
    <s v="Feminino"/>
    <x v="24"/>
    <x v="32"/>
    <s v="12 - Fisioterapia Pelvica - Pacote (R$ 150,00)"/>
    <s v="Fisioterapia Pélvica e Neurológica"/>
    <n v="168495"/>
    <s v="Finalizado (7/10)"/>
    <n v="90"/>
    <n v="60"/>
    <n v="150"/>
    <s v="Sessão a Faturar"/>
    <s v="00"/>
    <n v="55425"/>
    <s v="Unidade Vieralves (ANEXO)"/>
    <n v="168495"/>
    <m/>
  </r>
  <r>
    <x v="16"/>
    <x v="67"/>
    <s v="Márcio Antônio Couto Ferreira"/>
    <s v="Masculino"/>
    <x v="1"/>
    <x v="32"/>
    <s v="50000233 - Fisioterapia Pélvica (R$ 138,17)"/>
    <s v="Fisioterapia Pélvica e Neurológica"/>
    <n v="8984452"/>
    <s v="Finalizado (3/10)"/>
    <n v="82.902000000000001"/>
    <n v="55.268000000000001"/>
    <n v="138.16999999999999"/>
    <s v="Sessão Faturada"/>
    <n v="1301010346830100"/>
    <n v="58428"/>
    <s v="Unidade Vieralves (ANEXO)"/>
    <n v="8984452"/>
    <m/>
  </r>
  <r>
    <x v="16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4/10)"/>
    <n v="114.3"/>
    <n v="76.2"/>
    <n v="190.5"/>
    <s v="Sessão Faturada"/>
    <n v="29600"/>
    <n v="43656"/>
    <s v="Unidade Vieralves (ANEXO)"/>
    <n v="143025"/>
    <m/>
  </r>
  <r>
    <x v="16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4/10)"/>
    <n v="114.3"/>
    <n v="76.2"/>
    <n v="190.5"/>
    <s v="Sessão Faturada"/>
    <n v="9900"/>
    <n v="43617"/>
    <s v="Unidade Vieralves (ANEXO)"/>
    <n v="143030"/>
    <m/>
  </r>
  <r>
    <x v="17"/>
    <x v="44"/>
    <s v="Toyoko Saito"/>
    <s v="Feminino"/>
    <x v="24"/>
    <x v="32"/>
    <s v="12 - Fisioterapia Pelvica - Pacote (R$ 150,00)"/>
    <s v="Fisioterapia Pélvica e Neurológica"/>
    <n v="168495"/>
    <s v="Finalizado (8/10)"/>
    <n v="90"/>
    <n v="60"/>
    <n v="150"/>
    <s v="Sessão a Faturar"/>
    <s v="00"/>
    <n v="55425"/>
    <s v="Unidade Vieralves (ANEXO)"/>
    <n v="168495"/>
    <m/>
  </r>
  <r>
    <x v="17"/>
    <x v="76"/>
    <s v="Laura Gorete Pontes Nascimento"/>
    <s v="Feminino"/>
    <x v="2"/>
    <x v="32"/>
    <s v="50000144 - Avaliação de Fisioterapia (R$ 51,42)"/>
    <s v="Fisioterapia Pélvica e Neurológica"/>
    <n v="1710098089"/>
    <s v="Finalizado (1/1)"/>
    <n v="46.277999999999999"/>
    <n v="5.1420000000000003"/>
    <n v="51.42"/>
    <s v="Sessão Faturada"/>
    <n v="610800630010000"/>
    <n v="13991"/>
    <s v="Unidade Vieralves (ANEXO)"/>
    <n v="1710098089"/>
    <m/>
  </r>
  <r>
    <x v="17"/>
    <x v="76"/>
    <s v="Laura Gorete Pontes Nascimento"/>
    <s v="Feminino"/>
    <x v="2"/>
    <x v="32"/>
    <s v="20103646 - Reabilitação Perineal Com Biofeedback (R$ 138,17)"/>
    <s v="Fisioterapia Pélvica e Neurológica"/>
    <n v="1708865188"/>
    <s v="Finalizado (1/5)"/>
    <n v="82.902000000000001"/>
    <n v="55.268000000000001"/>
    <n v="138.16999999999999"/>
    <s v="Sessão Faturada"/>
    <n v="610800630010000"/>
    <n v="13991"/>
    <s v="Unidade Vieralves (ANEXO)"/>
    <n v="1708865188"/>
    <m/>
  </r>
  <r>
    <x v="17"/>
    <x v="67"/>
    <s v="Márcio Antônio Couto Ferreira"/>
    <s v="Masculino"/>
    <x v="1"/>
    <x v="32"/>
    <s v="50000233 - Fisioterapia Pélvica (R$ 138,17)"/>
    <s v="Fisioterapia Pélvica e Neurológica"/>
    <n v="8984452"/>
    <s v="Finalizado (4/10)"/>
    <n v="82.902000000000001"/>
    <n v="55.268000000000001"/>
    <n v="138.16999999999999"/>
    <s v="Sessão Faturada"/>
    <n v="1301010346830100"/>
    <n v="58428"/>
    <s v="Unidade Vieralves (ANEXO)"/>
    <n v="8984452"/>
    <m/>
  </r>
  <r>
    <x v="17"/>
    <x v="50"/>
    <s v="Ulema Negreiros Nery"/>
    <s v="Masculino"/>
    <x v="19"/>
    <x v="32"/>
    <s v="20103646 - Fisioterapia Pélvica - 17/03/2026 (R$ 352,10)"/>
    <s v="Fisioterapia Pélvica e Neurológica"/>
    <n v="5769870"/>
    <s v="Finalizado (6/10)"/>
    <n v="211.26"/>
    <n v="140.84"/>
    <n v="352.1"/>
    <s v="Sessão Faturada"/>
    <s v="0001000033560042"/>
    <n v="11032"/>
    <s v="Unidade Vieralves (ANEXO)"/>
    <n v="5769870"/>
    <m/>
  </r>
  <r>
    <x v="17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4/10)"/>
    <n v="28.361999999999998"/>
    <n v="18.908000000000001"/>
    <n v="47.27"/>
    <s v="Sessão Faturada"/>
    <s v="0001000033560042"/>
    <n v="11032"/>
    <s v="Unidade Vieralves (ANEXO)"/>
    <n v="5837470"/>
    <m/>
  </r>
  <r>
    <x v="22"/>
    <x v="44"/>
    <s v="Toyoko Saito"/>
    <s v="Feminino"/>
    <x v="24"/>
    <x v="32"/>
    <s v="12 - Fisioterapia Pelvica - Pacote (R$ 150,00)"/>
    <s v="Fisioterapia Pélvica e Neurológica"/>
    <n v="168495"/>
    <s v="Finalizado (9/10)"/>
    <n v="90"/>
    <n v="60"/>
    <n v="150"/>
    <s v="Sessão a Faturar"/>
    <s v="00"/>
    <n v="55425"/>
    <s v="Unidade Vieralves (ANEXO)"/>
    <n v="168495"/>
    <m/>
  </r>
  <r>
    <x v="22"/>
    <x v="76"/>
    <s v="Laura Gorete Pontes Nascimento"/>
    <s v="Feminino"/>
    <x v="2"/>
    <x v="32"/>
    <s v="20103646 - Reabilitação Perineal Com Biofeedback (R$ 138,17)"/>
    <s v="Fisioterapia Pélvica e Neurológica"/>
    <n v="1708865188"/>
    <s v="Finalizado (2/5)"/>
    <n v="82.902000000000001"/>
    <n v="55.268000000000001"/>
    <n v="138.16999999999999"/>
    <s v="Sessão Faturada"/>
    <n v="610800630010000"/>
    <n v="13991"/>
    <s v="Unidade Vieralves (ANEXO)"/>
    <n v="1708865188"/>
    <m/>
  </r>
  <r>
    <x v="22"/>
    <x v="67"/>
    <s v="Márcio Antônio Couto Ferreira"/>
    <s v="Masculino"/>
    <x v="1"/>
    <x v="32"/>
    <s v="50000233 - Fisioterapia Pélvica (R$ 138,17)"/>
    <s v="Fisioterapia Pélvica e Neurológica"/>
    <n v="8984452"/>
    <s v="Finalizado (5/10)"/>
    <n v="82.902000000000001"/>
    <n v="55.268000000000001"/>
    <n v="138.16999999999999"/>
    <s v="Sessão Faturada"/>
    <n v="1301010346830100"/>
    <n v="58428"/>
    <s v="Unidade Vieralves (ANEXO)"/>
    <n v="8984452"/>
    <m/>
  </r>
  <r>
    <x v="22"/>
    <x v="35"/>
    <s v="João Amazonas Vieira de Lima"/>
    <s v="Masculino"/>
    <x v="25"/>
    <x v="32"/>
    <s v="20103646 - Reabilitação Perineal Com Biofeedback (R$ 190,50)"/>
    <s v="Fisioterapia Pélvica e Neurológica"/>
    <n v="134887"/>
    <s v="Finalizado (10/10)"/>
    <n v="114.3"/>
    <n v="76.2"/>
    <n v="190.5"/>
    <s v="Sessão Faturada"/>
    <n v="9900"/>
    <n v="43617"/>
    <s v="Unidade Vieralves (ANEXO)"/>
    <n v="134887"/>
    <m/>
  </r>
  <r>
    <x v="22"/>
    <x v="35"/>
    <s v="Maria Das Graças Martires de Lima"/>
    <s v="Feminino"/>
    <x v="25"/>
    <x v="32"/>
    <s v="20103646 - Reabilitação Perineal Com Biofeedback (R$ 190,50)"/>
    <s v="Fisioterapia Pélvica e Neurológica"/>
    <m/>
    <s v="Finalizado (1/10)"/>
    <n v="114.3"/>
    <n v="76.2"/>
    <n v="190.5"/>
    <s v="Sessão a Faturar"/>
    <n v="29600"/>
    <n v="43656"/>
    <s v="Unidade Vieralves (ANEXO)"/>
    <m/>
    <m/>
  </r>
  <r>
    <x v="22"/>
    <x v="68"/>
    <s v="Lúcia Ignéz Abreu de Sá"/>
    <s v="Feminino"/>
    <x v="1"/>
    <x v="32"/>
    <s v="50000233 - Fisioterapia Pélvica (R$ 138,17)"/>
    <s v="Fisioterapia Pélvica e Neurológica"/>
    <n v="8651281"/>
    <s v="Finalizado (7/10)"/>
    <n v="82.902000000000001"/>
    <n v="55.268000000000001"/>
    <n v="138.16999999999999"/>
    <s v="Sessão Faturada"/>
    <s v="0701010861030123"/>
    <n v="58903"/>
    <s v="Unidade Vieralves (ANEXO)"/>
    <n v="8651281"/>
    <m/>
  </r>
  <r>
    <x v="22"/>
    <x v="50"/>
    <s v="Raimundo Nonato Der Arruda"/>
    <s v="Masculino"/>
    <x v="6"/>
    <x v="32"/>
    <s v="50000144 - Avaliação de Fisioterapia (R$ 56,52)"/>
    <s v="Fisioterapia Pélvica e Neurológica"/>
    <n v="7700047174"/>
    <s v="Finalizado (1/1)"/>
    <n v="50.868000000000002"/>
    <n v="5.6520000000000001"/>
    <n v="56.52"/>
    <s v="Sessão Faturada"/>
    <s v="54588888021578490020"/>
    <n v="59593"/>
    <s v="Unidade Vieralves (ANEXO)"/>
    <n v="7700047174"/>
    <m/>
  </r>
  <r>
    <x v="22"/>
    <x v="50"/>
    <s v="Raimundo Nonato Der Arruda"/>
    <s v="Masculino"/>
    <x v="6"/>
    <x v="32"/>
    <s v="20103646 - Fisioterapia Perineal Com Biofeedback (R$ 229,39)"/>
    <s v="Fisioterapia Pélvica e Neurológica"/>
    <n v="171317"/>
    <s v="Finalizado (1/10)"/>
    <n v="137.63399999999999"/>
    <n v="91.756"/>
    <n v="229.39"/>
    <s v="Sessão a Faturar"/>
    <s v="54588888021578490020"/>
    <n v="59593"/>
    <s v="Unidade Vieralves (ANEXO)"/>
    <n v="171317"/>
    <m/>
  </r>
  <r>
    <x v="19"/>
    <x v="50"/>
    <s v="Ulema Negreiros Nery"/>
    <s v="Masculino"/>
    <x v="19"/>
    <x v="32"/>
    <s v="20103646 - Fisioterapia Pélvica - 17/03/2026 (R$ 352,10)"/>
    <s v="Fisioterapia Pélvica e Neurológica"/>
    <n v="5769870"/>
    <s v="Finalizado (7/10)"/>
    <n v="211.26"/>
    <n v="140.84"/>
    <n v="352.1"/>
    <s v="Sessão Faturada"/>
    <s v="0001000033560042"/>
    <n v="11032"/>
    <s v="Unidade Vieralves (ANEXO)"/>
    <n v="5769870"/>
    <m/>
  </r>
  <r>
    <x v="19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5/10)"/>
    <n v="28.361999999999998"/>
    <n v="18.908000000000001"/>
    <n v="47.27"/>
    <s v="Sessão Faturada"/>
    <s v="0001000033560042"/>
    <n v="11032"/>
    <s v="Unidade Vieralves (ANEXO)"/>
    <n v="5837470"/>
    <m/>
  </r>
  <r>
    <x v="20"/>
    <x v="44"/>
    <s v="Toyoko Saito"/>
    <s v="Feminino"/>
    <x v="24"/>
    <x v="32"/>
    <s v="12 - Fisioterapia Pelvica - Pacote (R$ 150,00)"/>
    <s v="Fisioterapia Pélvica e Neurológica"/>
    <n v="168495"/>
    <s v="Finalizado (10/10)"/>
    <n v="90"/>
    <n v="60"/>
    <n v="150"/>
    <s v="Sessão a Faturar"/>
    <s v="00"/>
    <n v="55425"/>
    <s v="Unidade Vieralves (ANEXO)"/>
    <n v="168495"/>
    <m/>
  </r>
  <r>
    <x v="20"/>
    <x v="76"/>
    <s v="Raimundo Nonato Der Arruda"/>
    <s v="Masculino"/>
    <x v="6"/>
    <x v="32"/>
    <s v="20103646 - Fisioterapia Perineal Com Biofeedback (R$ 229,39)"/>
    <s v="Fisioterapia Pélvica e Neurológica"/>
    <n v="171317"/>
    <s v="Finalizado (2/10)"/>
    <n v="137.63399999999999"/>
    <n v="91.756"/>
    <n v="229.39"/>
    <s v="Sessão a Faturar"/>
    <s v="54588888021578490020"/>
    <n v="59593"/>
    <s v="Unidade Vieralves (ANEXO)"/>
    <n v="171317"/>
    <m/>
  </r>
  <r>
    <x v="20"/>
    <x v="67"/>
    <s v="Márcio Antônio Couto Ferreira"/>
    <s v="Masculino"/>
    <x v="1"/>
    <x v="32"/>
    <s v="50000233 - Fisioterapia Pélvica (R$ 138,17)"/>
    <s v="Fisioterapia Pélvica e Neurológica"/>
    <n v="8984452"/>
    <s v="Finalizado (6/10)"/>
    <n v="82.902000000000001"/>
    <n v="55.268000000000001"/>
    <n v="138.16999999999999"/>
    <s v="Sessão Faturada"/>
    <n v="1301010346830100"/>
    <n v="58428"/>
    <s v="Unidade Vieralves (ANEXO)"/>
    <n v="8984452"/>
    <m/>
  </r>
  <r>
    <x v="20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5/10)"/>
    <n v="114.3"/>
    <n v="76.2"/>
    <n v="190.5"/>
    <s v="Sessão Faturada"/>
    <n v="9900"/>
    <n v="43617"/>
    <s v="Unidade Vieralves (ANEXO)"/>
    <n v="143030"/>
    <m/>
  </r>
  <r>
    <x v="20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5/10)"/>
    <n v="114.3"/>
    <n v="76.2"/>
    <n v="190.5"/>
    <s v="Sessão Faturada"/>
    <n v="29600"/>
    <n v="43656"/>
    <s v="Unidade Vieralves (ANEXO)"/>
    <n v="143025"/>
    <m/>
  </r>
  <r>
    <x v="20"/>
    <x v="68"/>
    <s v="Lúcia Ignéz Abreu de Sá"/>
    <s v="Feminino"/>
    <x v="1"/>
    <x v="32"/>
    <s v="50000233 - Fisioterapia Pélvica (R$ 138,17)"/>
    <s v="Fisioterapia Pélvica e Neurológica"/>
    <n v="8651281"/>
    <s v="Finalizado (8/10)"/>
    <n v="82.902000000000001"/>
    <n v="55.268000000000001"/>
    <n v="138.16999999999999"/>
    <s v="Sessão Faturada"/>
    <s v="0701010861030123"/>
    <n v="58903"/>
    <s v="Unidade Vieralves (ANEXO)"/>
    <n v="8651281"/>
    <m/>
  </r>
  <r>
    <x v="0"/>
    <x v="44"/>
    <s v="Diana Barros Chaves"/>
    <s v="Feminino"/>
    <x v="2"/>
    <x v="32"/>
    <s v="20103646 - Reabilitação Perineal Com Biofeedback (R$ 138,17)"/>
    <s v="Fisioterapia Pélvica e Neurológica"/>
    <n v="1712548089"/>
    <s v="Finalizado (1/5)"/>
    <n v="82.902000000000001"/>
    <n v="55.268000000000001"/>
    <n v="138.16999999999999"/>
    <s v="Sessão a Faturar"/>
    <n v="774642009164020"/>
    <n v="43980"/>
    <s v="Unidade Vieralves (ANEXO)"/>
    <n v="1712548089"/>
    <m/>
  </r>
  <r>
    <x v="0"/>
    <x v="44"/>
    <s v="Diana Barros Chaves"/>
    <s v="Feminino"/>
    <x v="2"/>
    <x v="32"/>
    <s v="50000144 - Avaliação de Fisioterapia (R$ 51,42)"/>
    <s v="Fisioterapia Pélvica e Neurológica"/>
    <n v="1712546988"/>
    <s v="Finalizado (1/1)"/>
    <n v="46.277999999999999"/>
    <n v="5.1420000000000003"/>
    <n v="51.42"/>
    <s v="Sessão Faturada"/>
    <n v="774642009164020"/>
    <n v="43980"/>
    <s v="Unidade Vieralves (ANEXO)"/>
    <n v="1712546988"/>
    <m/>
  </r>
  <r>
    <x v="0"/>
    <x v="76"/>
    <s v="Raimundo Nonato Der Arruda"/>
    <s v="Masculino"/>
    <x v="6"/>
    <x v="32"/>
    <s v="20103646 - Fisioterapia Perineal Com Biofeedback (R$ 229,39)"/>
    <s v="Fisioterapia Pélvica e Neurológica"/>
    <n v="171317"/>
    <s v="Finalizado (3/10)"/>
    <n v="137.63399999999999"/>
    <n v="91.756"/>
    <n v="229.39"/>
    <s v="Sessão a Faturar"/>
    <s v="54588888021578490020"/>
    <n v="59593"/>
    <s v="Unidade Vieralves (ANEXO)"/>
    <n v="171317"/>
    <m/>
  </r>
  <r>
    <x v="0"/>
    <x v="67"/>
    <s v="Márcio Antônio Couto Ferreira"/>
    <s v="Masculino"/>
    <x v="1"/>
    <x v="32"/>
    <s v="50000233 - Fisioterapia Pélvica (R$ 138,17)"/>
    <s v="Fisioterapia Pélvica e Neurológica"/>
    <n v="8984452"/>
    <s v="Finalizado (7/10)"/>
    <n v="82.902000000000001"/>
    <n v="55.268000000000001"/>
    <n v="138.16999999999999"/>
    <s v="Sessão Faturada"/>
    <n v="1301010346830100"/>
    <n v="58428"/>
    <s v="Unidade Vieralves (ANEXO)"/>
    <n v="8984452"/>
    <m/>
  </r>
  <r>
    <x v="0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6/10)"/>
    <n v="114.3"/>
    <n v="76.2"/>
    <n v="190.5"/>
    <s v="Sessão Faturada"/>
    <n v="9900"/>
    <n v="43617"/>
    <s v="Unidade Vieralves (ANEXO)"/>
    <n v="143030"/>
    <m/>
  </r>
  <r>
    <x v="0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6/10)"/>
    <n v="114.3"/>
    <n v="76.2"/>
    <n v="190.5"/>
    <s v="Sessão Faturada"/>
    <n v="29600"/>
    <n v="43656"/>
    <s v="Unidade Vieralves (ANEXO)"/>
    <n v="143025"/>
    <m/>
  </r>
  <r>
    <x v="0"/>
    <x v="68"/>
    <s v="Laura Gorete Pontes Nascimento"/>
    <s v="Feminino"/>
    <x v="2"/>
    <x v="32"/>
    <s v="20103646 - Reabilitação Perineal Com Biofeedback (R$ 138,17)"/>
    <s v="Fisioterapia Pélvica e Neurológica"/>
    <n v="1708865188"/>
    <s v="Finalizado (3/5)"/>
    <n v="82.902000000000001"/>
    <n v="55.268000000000001"/>
    <n v="138.16999999999999"/>
    <s v="Sessão Faturada"/>
    <n v="610800630010000"/>
    <n v="13991"/>
    <s v="Unidade Vieralves (ANEXO)"/>
    <n v="1708865188"/>
    <m/>
  </r>
  <r>
    <x v="0"/>
    <x v="50"/>
    <s v="Ulema Negreiros Nery"/>
    <s v="Masculino"/>
    <x v="19"/>
    <x v="32"/>
    <s v="20103646 - Fisioterapia Pélvica - 17/03/2026 (R$ 352,10)"/>
    <s v="Fisioterapia Pélvica e Neurológica"/>
    <n v="5769870"/>
    <s v="Finalizado (8/10)"/>
    <n v="211.26"/>
    <n v="140.84"/>
    <n v="352.1"/>
    <s v="Sessão Faturada"/>
    <s v="0001000033560042"/>
    <n v="11032"/>
    <s v="Unidade Vieralves (ANEXO)"/>
    <n v="5769870"/>
    <m/>
  </r>
  <r>
    <x v="0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6/10)"/>
    <n v="28.361999999999998"/>
    <n v="18.908000000000001"/>
    <n v="47.27"/>
    <s v="Sessão Faturada"/>
    <s v="0001000033560042"/>
    <n v="11032"/>
    <s v="Unidade Vieralves (ANEXO)"/>
    <n v="5837470"/>
    <m/>
  </r>
  <r>
    <x v="2"/>
    <x v="44"/>
    <s v="Raimundo Nonato Der Arruda"/>
    <s v="Masculino"/>
    <x v="6"/>
    <x v="32"/>
    <s v="20103646 - Fisioterapia Perineal Com Biofeedback (R$ 229,39)"/>
    <s v="Fisioterapia Pélvica e Neurológica"/>
    <n v="171317"/>
    <s v="Finalizado (4/10)"/>
    <n v="137.63399999999999"/>
    <n v="91.756"/>
    <n v="229.39"/>
    <s v="Sessão a Faturar"/>
    <s v="54588888021578490020"/>
    <n v="59593"/>
    <s v="Unidade Vieralves (ANEXO)"/>
    <n v="171317"/>
    <m/>
  </r>
  <r>
    <x v="2"/>
    <x v="67"/>
    <s v="Márcio Antônio Couto Ferreira"/>
    <s v="Masculino"/>
    <x v="1"/>
    <x v="32"/>
    <s v="50000233 - Fisioterapia Pélvica (R$ 138,17)"/>
    <s v="Fisioterapia Pélvica e Neurológica"/>
    <n v="8984452"/>
    <s v="Finalizado (8/10)"/>
    <n v="82.902000000000001"/>
    <n v="55.268000000000001"/>
    <n v="138.16999999999999"/>
    <s v="Sessão Faturada"/>
    <n v="1301010346830100"/>
    <n v="58428"/>
    <s v="Unidade Vieralves (ANEXO)"/>
    <n v="8984452"/>
    <m/>
  </r>
  <r>
    <x v="2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7/10)"/>
    <n v="114.3"/>
    <n v="76.2"/>
    <n v="190.5"/>
    <s v="Sessão Faturada"/>
    <n v="9900"/>
    <n v="43617"/>
    <s v="Unidade Vieralves (ANEXO)"/>
    <n v="143030"/>
    <m/>
  </r>
  <r>
    <x v="2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7/10)"/>
    <n v="114.3"/>
    <n v="76.2"/>
    <n v="190.5"/>
    <s v="Sessão Faturada"/>
    <n v="29600"/>
    <n v="43656"/>
    <s v="Unidade Vieralves (ANEXO)"/>
    <n v="143025"/>
    <m/>
  </r>
  <r>
    <x v="3"/>
    <x v="67"/>
    <s v="Raimundo Nonato Der Arruda"/>
    <s v="Masculino"/>
    <x v="6"/>
    <x v="32"/>
    <s v="20103646 - Fisioterapia Perineal Com Biofeedback (R$ 229,39)"/>
    <s v="Fisioterapia Pélvica e Neurológica"/>
    <n v="171317"/>
    <s v="Finalizado (5/10)"/>
    <n v="137.63399999999999"/>
    <n v="91.756"/>
    <n v="229.39"/>
    <s v="Sessão a Faturar"/>
    <s v="54588888021578490020"/>
    <n v="59593"/>
    <s v="Unidade Vieralves (ANEXO)"/>
    <n v="171317"/>
    <m/>
  </r>
  <r>
    <x v="3"/>
    <x v="50"/>
    <s v="Ulema Negreiros Nery"/>
    <s v="Masculino"/>
    <x v="19"/>
    <x v="32"/>
    <s v="20103646 - Fisioterapia Pélvica - 17/03/2026 (R$ 352,10)"/>
    <s v="Fisioterapia Pélvica e Neurológica"/>
    <n v="5769870"/>
    <s v="Finalizado (9/10)"/>
    <n v="211.26"/>
    <n v="140.84"/>
    <n v="352.1"/>
    <s v="Sessão Faturada"/>
    <s v="0001000033560042"/>
    <n v="11032"/>
    <s v="Unidade Vieralves (ANEXO)"/>
    <n v="5769870"/>
    <m/>
  </r>
  <r>
    <x v="3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7/10)"/>
    <n v="28.361999999999998"/>
    <n v="18.908000000000001"/>
    <n v="47.27"/>
    <s v="Sessão Faturada"/>
    <s v="0001000033560042"/>
    <n v="11032"/>
    <s v="Unidade Vieralves (ANEXO)"/>
    <n v="5837470"/>
    <m/>
  </r>
  <r>
    <x v="5"/>
    <x v="76"/>
    <s v="Raimundo Nonato Der Arruda"/>
    <s v="Masculino"/>
    <x v="6"/>
    <x v="32"/>
    <s v="20103646 - Fisioterapia Perineal Com Biofeedback (R$ 229,39)"/>
    <s v="Fisioterapia Pélvica e Neurológica"/>
    <n v="171317"/>
    <s v="Finalizado (6/10)"/>
    <n v="137.63399999999999"/>
    <n v="91.756"/>
    <n v="229.39"/>
    <s v="Sessão a Faturar"/>
    <s v="54588888021578490020"/>
    <n v="59593"/>
    <s v="Unidade Vieralves (ANEXO)"/>
    <n v="171317"/>
    <m/>
  </r>
  <r>
    <x v="5"/>
    <x v="67"/>
    <s v="Laura Gorete Pontes Nascimento"/>
    <s v="Feminino"/>
    <x v="2"/>
    <x v="32"/>
    <s v="20103646 - Reabilitação Perineal Com Biofeedback (R$ 138,17)"/>
    <s v="Fisioterapia Pélvica e Neurológica"/>
    <n v="1708865188"/>
    <s v="Finalizado (4/5)"/>
    <n v="82.902000000000001"/>
    <n v="55.268000000000001"/>
    <n v="138.16999999999999"/>
    <s v="Sessão Faturada"/>
    <n v="610800630010000"/>
    <n v="13991"/>
    <s v="Unidade Vieralves (ANEXO)"/>
    <n v="1708865188"/>
    <m/>
  </r>
  <r>
    <x v="5"/>
    <x v="35"/>
    <s v="Lúcia Ignéz Abreu de Sá"/>
    <s v="Feminino"/>
    <x v="1"/>
    <x v="32"/>
    <s v="50000233 - Fisioterapia Pélvica (R$ 138,17)"/>
    <s v="Fisioterapia Pélvica e Neurológica"/>
    <n v="8651281"/>
    <s v="Finalizado (9/10)"/>
    <n v="82.902000000000001"/>
    <n v="55.268000000000001"/>
    <n v="138.16999999999999"/>
    <s v="Sessão Faturada"/>
    <s v="0701010861030123"/>
    <n v="58903"/>
    <s v="Unidade Vieralves (ANEXO)"/>
    <n v="8651281"/>
    <m/>
  </r>
  <r>
    <x v="5"/>
    <x v="50"/>
    <s v="Ulema Negreiros Nery"/>
    <s v="Masculino"/>
    <x v="19"/>
    <x v="32"/>
    <s v="20103646 - Fisioterapia Pélvica - 17/03/2026 (R$ 352,10)"/>
    <s v="Fisioterapia Pélvica e Neurológica"/>
    <n v="5769870"/>
    <s v="Finalizado (10/10)"/>
    <n v="211.26"/>
    <n v="140.84"/>
    <n v="352.1"/>
    <s v="Sessão Faturada"/>
    <s v="0001000033560042"/>
    <n v="11032"/>
    <s v="Unidade Vieralves (ANEXO)"/>
    <n v="5769870"/>
    <m/>
  </r>
  <r>
    <x v="5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8/10)"/>
    <n v="28.361999999999998"/>
    <n v="18.908000000000001"/>
    <n v="47.27"/>
    <s v="Sessão Faturada"/>
    <s v="0001000033560042"/>
    <n v="11032"/>
    <s v="Unidade Vieralves (ANEXO)"/>
    <n v="5837470"/>
    <m/>
  </r>
  <r>
    <x v="7"/>
    <x v="44"/>
    <s v="Diana Barros Chaves"/>
    <s v="Feminino"/>
    <x v="2"/>
    <x v="32"/>
    <s v="20103646 - Reabilitação Perineal Com Biofeedback (R$ 138,17)"/>
    <s v="Fisioterapia Pélvica e Neurológica"/>
    <n v="1712548089"/>
    <s v="Finalizado (2/5)"/>
    <n v="82.902000000000001"/>
    <n v="55.268000000000001"/>
    <n v="138.16999999999999"/>
    <s v="Sessão a Faturar"/>
    <n v="774642009164020"/>
    <n v="43980"/>
    <s v="Unidade Vieralves (ANEXO)"/>
    <n v="1712548089"/>
    <m/>
  </r>
  <r>
    <x v="7"/>
    <x v="76"/>
    <s v="Raimundo Nonato Der Arruda"/>
    <s v="Masculino"/>
    <x v="6"/>
    <x v="32"/>
    <s v="20103646 - Fisioterapia Perineal Com Biofeedback (R$ 229,39)"/>
    <s v="Fisioterapia Pélvica e Neurológica"/>
    <n v="171317"/>
    <s v="Não compareceu (7/10)"/>
    <n v="229.39"/>
    <n v="0"/>
    <n v="229.39"/>
    <s v="Sessão a Faturar"/>
    <s v="54588888021578490020"/>
    <n v="59593"/>
    <s v="Unidade Vieralves (ANEXO)"/>
    <n v="171317"/>
    <m/>
  </r>
  <r>
    <x v="7"/>
    <x v="67"/>
    <s v="Márcio Antônio Couto Ferreira"/>
    <s v="Masculino"/>
    <x v="1"/>
    <x v="32"/>
    <s v="50000233 - Fisioterapia Pélvica (R$ 138,17)"/>
    <s v="Fisioterapia Pélvica e Neurológica"/>
    <n v="8984452"/>
    <s v="Finalizado (9/10)"/>
    <n v="82.902000000000001"/>
    <n v="55.268000000000001"/>
    <n v="138.16999999999999"/>
    <s v="Sessão Faturada"/>
    <n v="1301010346830100"/>
    <n v="58428"/>
    <s v="Unidade Vieralves (ANEXO)"/>
    <n v="8984452"/>
    <m/>
  </r>
  <r>
    <x v="7"/>
    <x v="35"/>
    <s v="João Amazonas Vieira de Lima"/>
    <s v="Masculino"/>
    <x v="25"/>
    <x v="32"/>
    <s v="20103646 - Reabilitação Perineal Com Biofeedback (R$ 190,50)"/>
    <s v="Fisioterapia Pélvica e Neurológica"/>
    <n v="143030"/>
    <s v="Finalizado (8/10)"/>
    <n v="114.3"/>
    <n v="76.2"/>
    <n v="190.5"/>
    <s v="Sessão Faturada"/>
    <n v="9900"/>
    <n v="43617"/>
    <s v="Unidade Vieralves (ANEXO)"/>
    <n v="143030"/>
    <m/>
  </r>
  <r>
    <x v="7"/>
    <x v="35"/>
    <s v="Maria Das Graças Martires de Lima"/>
    <s v="Feminino"/>
    <x v="25"/>
    <x v="32"/>
    <s v="20103646 - Reabilitação Perineal Com Biofeedback (R$ 190,50)"/>
    <s v="Fisioterapia Pélvica e Neurológica"/>
    <n v="143025"/>
    <s v="Finalizado (8/10)"/>
    <n v="114.3"/>
    <n v="76.2"/>
    <n v="190.5"/>
    <s v="Sessão Faturada"/>
    <n v="29600"/>
    <n v="43656"/>
    <s v="Unidade Vieralves (ANEXO)"/>
    <n v="143025"/>
    <m/>
  </r>
  <r>
    <x v="7"/>
    <x v="68"/>
    <s v="Lúcia Ignéz Abreu de Sá"/>
    <s v="Feminino"/>
    <x v="1"/>
    <x v="32"/>
    <s v="50000233 - Fisioterapia Pélvica (R$ 138,17)"/>
    <s v="Fisioterapia Pélvica e Neurológica"/>
    <n v="8651281"/>
    <s v="Finalizado (10/10)"/>
    <n v="82.902000000000001"/>
    <n v="55.268000000000001"/>
    <n v="138.16999999999999"/>
    <s v="Sessão Faturada"/>
    <s v="0701010861030123"/>
    <n v="58903"/>
    <s v="Unidade Vieralves (ANEXO)"/>
    <n v="8651281"/>
    <m/>
  </r>
  <r>
    <x v="7"/>
    <x v="50"/>
    <s v="Laura Gorete Pontes Nascimento"/>
    <s v="Feminino"/>
    <x v="2"/>
    <x v="32"/>
    <s v="20103646 - Reabilitação Perineal Com Biofeedback (R$ 138,17)"/>
    <s v="Fisioterapia Pélvica e Neurológica"/>
    <n v="1708865188"/>
    <s v="Finalizado (5/5)"/>
    <n v="82.902000000000001"/>
    <n v="55.268000000000001"/>
    <n v="138.16999999999999"/>
    <s v="Sessão Faturada"/>
    <n v="610800630010000"/>
    <n v="13991"/>
    <s v="Unidade Vieralves (ANEXO)"/>
    <n v="1708865188"/>
    <m/>
  </r>
  <r>
    <x v="8"/>
    <x v="50"/>
    <s v="Ulema Negreiros Nery"/>
    <s v="Masculino"/>
    <x v="19"/>
    <x v="32"/>
    <s v="20103646 - Fisioterapia Pélvica - 17/03/2026 (R$ 352,10)"/>
    <s v="Fisioterapia Pélvica e Neurológica"/>
    <n v="60244000"/>
    <s v="Finalizado (1/10)"/>
    <n v="211.26"/>
    <n v="140.84"/>
    <n v="352.1"/>
    <s v="Sessão a Faturar"/>
    <s v="0001000033560042"/>
    <n v="11032"/>
    <s v="Unidade Vieralves (ANEXO)"/>
    <n v="60244000"/>
    <m/>
  </r>
  <r>
    <x v="8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9/10)"/>
    <n v="28.361999999999998"/>
    <n v="18.908000000000001"/>
    <n v="47.27"/>
    <s v="Sessão Faturada"/>
    <s v="0001000033560042"/>
    <n v="11032"/>
    <s v="Unidade Vieralves (ANEXO)"/>
    <n v="5837470"/>
    <m/>
  </r>
  <r>
    <x v="9"/>
    <x v="44"/>
    <s v="Diana Barros Chaves"/>
    <s v="Feminino"/>
    <x v="2"/>
    <x v="32"/>
    <s v="20103646 - Reabilitação Perineal Com Biofeedback (R$ 138,17)"/>
    <s v="Fisioterapia Pélvica e Neurológica"/>
    <n v="1712548089"/>
    <s v="Finalizado (3/5)"/>
    <n v="82.902000000000001"/>
    <n v="55.268000000000001"/>
    <n v="138.16999999999999"/>
    <s v="Sessão a Faturar"/>
    <n v="774642009164020"/>
    <n v="43980"/>
    <s v="Unidade Vieralves (ANEXO)"/>
    <n v="1712548089"/>
    <m/>
  </r>
  <r>
    <x v="9"/>
    <x v="76"/>
    <s v="Raimundo Nonato Der Arruda"/>
    <s v="Masculino"/>
    <x v="6"/>
    <x v="32"/>
    <s v="20103646 - Fisioterapia Perineal Com Biofeedback (R$ 229,39)"/>
    <s v="Fisioterapia Pélvica e Neurológica"/>
    <n v="171317"/>
    <s v="Finalizado (8/10)"/>
    <n v="137.63399999999999"/>
    <n v="91.756"/>
    <n v="229.39"/>
    <s v="Sessão a Faturar"/>
    <s v="54588888021578490020"/>
    <n v="59593"/>
    <s v="Unidade Vieralves (ANEXO)"/>
    <n v="171317"/>
    <m/>
  </r>
  <r>
    <x v="9"/>
    <x v="68"/>
    <s v="Maria de Nazaré de Miranda Sarmento"/>
    <m/>
    <x v="20"/>
    <x v="32"/>
    <s v="00010929 - Avaliação de Fisioterapia (R$ 36,00)"/>
    <s v="Fisioterapia Pélvica e Neurológica"/>
    <n v="88938040"/>
    <s v="Finalizado (1/1)"/>
    <n v="32.4"/>
    <n v="3.6"/>
    <n v="36"/>
    <s v="Sessão a Faturar"/>
    <n v="10514600141711"/>
    <n v="59794"/>
    <s v="Unidade Vieralves (ANEXO)"/>
    <n v="88938040"/>
    <m/>
  </r>
  <r>
    <x v="10"/>
    <x v="76"/>
    <s v="Raimundo Nonato Der Arruda"/>
    <s v="Masculino"/>
    <x v="6"/>
    <x v="32"/>
    <s v="20103646 - Fisioterapia Perineal Com Biofeedback (R$ 229,39)"/>
    <s v="Fisioterapia Pélvica e Neurológica"/>
    <n v="171317"/>
    <s v="Finalizado (9/10)"/>
    <n v="137.63399999999999"/>
    <n v="91.756"/>
    <n v="229.39"/>
    <s v="Sessão a Faturar"/>
    <s v="54588888021578490020"/>
    <n v="59593"/>
    <s v="Unidade Vieralves (ANEXO)"/>
    <n v="171317"/>
    <m/>
  </r>
  <r>
    <x v="10"/>
    <x v="67"/>
    <s v="Márcio Antônio Couto Ferreira"/>
    <s v="Masculino"/>
    <x v="1"/>
    <x v="32"/>
    <s v="50000233 - Fisioterapia Pélvica (R$ 138,17)"/>
    <s v="Fisioterapia Pélvica e Neurológica"/>
    <n v="8984452"/>
    <s v="Finalizado (10/10)"/>
    <n v="82.902000000000001"/>
    <n v="55.268000000000001"/>
    <n v="138.16999999999999"/>
    <s v="Sessão Faturada"/>
    <n v="1301010346830100"/>
    <n v="58428"/>
    <s v="Unidade Vieralves (ANEXO)"/>
    <n v="8984452"/>
    <m/>
  </r>
  <r>
    <x v="10"/>
    <x v="68"/>
    <s v="Lúcia Ignéz Abreu de Sá"/>
    <s v="Feminino"/>
    <x v="1"/>
    <x v="32"/>
    <s v="50000233 - Fisioterapia Pélvica (R$ 138,17)"/>
    <s v="Fisioterapia Pélvica e Neurológica"/>
    <n v="9562137"/>
    <s v="Finalizado (1/10)"/>
    <n v="82.902000000000001"/>
    <n v="55.268000000000001"/>
    <n v="138.16999999999999"/>
    <s v="Sessão a Faturar"/>
    <s v="0701010861030123"/>
    <n v="58903"/>
    <s v="Unidade Vieralves (ANEXO)"/>
    <n v="9562137"/>
    <m/>
  </r>
  <r>
    <x v="10"/>
    <x v="50"/>
    <s v="Ulema Negreiros Nery"/>
    <s v="Masculino"/>
    <x v="19"/>
    <x v="32"/>
    <s v="20103646 - Fisioterapia Pélvica - 17/03/2026 (R$ 352,10)"/>
    <s v="Fisioterapia Pélvica e Neurológica"/>
    <n v="60244000"/>
    <s v="Finalizado (2/10)"/>
    <n v="211.26"/>
    <n v="140.84"/>
    <n v="352.1"/>
    <s v="Sessão a Faturar"/>
    <s v="0001000033560042"/>
    <n v="11032"/>
    <s v="Unidade Vieralves (ANEXO)"/>
    <n v="60244000"/>
    <m/>
  </r>
  <r>
    <x v="10"/>
    <x v="50"/>
    <s v="Ulema Negreiros Nery"/>
    <s v="Masculino"/>
    <x v="19"/>
    <x v="32"/>
    <s v="20203020 - Eletroestimulação do Assoalho Pélvico E/Ou Outra Técnica de Exercíciosperineais - 17/03/2026 (R$ 47,27)"/>
    <s v="Fisioterapia Pélvica e Neurológica"/>
    <n v="5837470"/>
    <s v="Finalizado (10/10)"/>
    <n v="28.361999999999998"/>
    <n v="18.908000000000001"/>
    <n v="47.27"/>
    <s v="Sessão Faturada"/>
    <s v="0001000033560042"/>
    <n v="11032"/>
    <s v="Unidade Vieralves (ANEXO)"/>
    <n v="5837470"/>
    <m/>
  </r>
  <r>
    <x v="16"/>
    <x v="41"/>
    <s v="Dilson Pereira Dourado"/>
    <m/>
    <x v="4"/>
    <x v="33"/>
    <s v="10101012 - Consulta Médica (R$ 134,79)"/>
    <s v="Consulta Medica"/>
    <n v="1707268419"/>
    <s v="Finalizado (1/1)"/>
    <n v="134.79"/>
    <n v="0"/>
    <n v="134.79"/>
    <s v="Sessão Faturada"/>
    <n v="898081400019000"/>
    <n v="54845"/>
    <s v="Unidade Sao Jose"/>
    <n v="1707268419"/>
    <m/>
  </r>
  <r>
    <x v="19"/>
    <x v="0"/>
    <s v="Ana Cleude Pantoja da Silva"/>
    <s v="Feminino"/>
    <x v="9"/>
    <x v="33"/>
    <s v="10101012 - Consulta Médica (R$ 134,79)"/>
    <s v="Consulta Medica"/>
    <n v="1711067512"/>
    <s v="Finalizado (1/1)"/>
    <n v="134.79"/>
    <n v="0"/>
    <n v="134.79"/>
    <s v="Sessão Faturada"/>
    <n v="954600008567000"/>
    <n v="23678"/>
    <s v="Unidade Sao Jose"/>
    <n v="1711067512"/>
    <m/>
  </r>
  <r>
    <x v="14"/>
    <x v="36"/>
    <s v="Rita Cristina Martins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s v="55788888477720700026"/>
    <n v="22014"/>
    <s v="Unidade Vieiralves"/>
    <m/>
    <m/>
  </r>
  <r>
    <x v="14"/>
    <x v="38"/>
    <s v="Ivagna Maria Cantanhede Brandão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n v="1901012995210000"/>
    <n v="59129"/>
    <s v="Unidade Vieiralves"/>
    <m/>
    <m/>
  </r>
  <r>
    <x v="16"/>
    <x v="32"/>
    <s v="Etelma Regina da Silva Paiva"/>
    <s v="Feminino"/>
    <x v="7"/>
    <x v="34"/>
    <s v="Vieiralves - 15 - Toc - Terapias Por Ondas de Choque (R$ 300,00)"/>
    <s v="Toc - Terapias Por Ondas de Choque"/>
    <n v="164436"/>
    <s v="Finalizado (3/3)"/>
    <n v="300"/>
    <n v="0"/>
    <n v="300"/>
    <s v="Pago"/>
    <s v="010033645953"/>
    <n v="29462"/>
    <s v="Unidade Vieiralves"/>
    <n v="164436"/>
    <m/>
  </r>
  <r>
    <x v="18"/>
    <x v="36"/>
    <s v="Rodolfo Macedo Cardoso"/>
    <s v="Masculino"/>
    <x v="5"/>
    <x v="34"/>
    <s v="31602185 - Estimulação Elétrica Transcutânea (Tens) (R$ 125,40)"/>
    <s v="Toc - Terapias Por Ondas de Choque"/>
    <n v="78719810"/>
    <s v="Finalizado (1/10)"/>
    <n v="0"/>
    <n v="125.4"/>
    <n v="125.4"/>
    <s v="Sessão a Faturar"/>
    <n v="5200733035000200"/>
    <n v="57031"/>
    <s v="Unidade Vieiralves"/>
    <n v="78719810"/>
    <m/>
  </r>
  <r>
    <x v="18"/>
    <x v="36"/>
    <s v="Rodolfo Macedo Cardoso"/>
    <s v="Masculino"/>
    <x v="5"/>
    <x v="34"/>
    <s v="30730139 - Demais Aplicações - Terapias Por Onda de Choque Extracorpórea Em Partes Moles (R$ 270,14)"/>
    <s v="Fisioterapia"/>
    <n v="78097600"/>
    <s v="Finalizado (3/4)"/>
    <n v="0"/>
    <n v="270.14"/>
    <n v="270.14"/>
    <s v="Sessão a Faturar"/>
    <n v="5200733035000200"/>
    <n v="57031"/>
    <s v="Unidade Vieiralves"/>
    <n v="78097600"/>
    <m/>
  </r>
  <r>
    <x v="18"/>
    <x v="95"/>
    <s v="Antonia Luzia Batista Valente"/>
    <s v="Feminino"/>
    <x v="22"/>
    <x v="34"/>
    <s v="00000000 - Acupuntura (R$ 0,00)"/>
    <s v="Terapias Regenerativas No Controle da Dor"/>
    <m/>
    <s v="Finalizado (1/1)"/>
    <n v="0"/>
    <n v="0"/>
    <n v="0"/>
    <s v="Sessão a Faturar"/>
    <n v="17787"/>
    <n v="1513"/>
    <s v="Unidade Vieiralves"/>
    <m/>
    <m/>
  </r>
  <r>
    <x v="19"/>
    <x v="36"/>
    <s v="Edla de Araujo Silva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s v="00010300011877026"/>
    <n v="50914"/>
    <s v="Unidade Vieiralves"/>
    <m/>
    <m/>
  </r>
  <r>
    <x v="19"/>
    <x v="38"/>
    <s v="Ivagna Maria Cantanhede Brandão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n v="1901012995210000"/>
    <n v="59129"/>
    <s v="Unidade Vieiralves"/>
    <m/>
    <m/>
  </r>
  <r>
    <x v="0"/>
    <x v="2"/>
    <s v="Carolina do Socorro Maia dos Santos"/>
    <s v="Feminino"/>
    <x v="5"/>
    <x v="34"/>
    <s v="31601014 - Acupuntura - 04/03/2026 (R$ 86,81)"/>
    <s v="Acupuntura"/>
    <n v="76240770"/>
    <s v="Finalizado (2/4)"/>
    <n v="0"/>
    <n v="86.81"/>
    <n v="86.81"/>
    <s v="Sessão Faturada"/>
    <s v="0100478782001317"/>
    <n v="19814"/>
    <s v="Unidade Vieiralves"/>
    <n v="76240770"/>
    <m/>
  </r>
  <r>
    <x v="0"/>
    <x v="2"/>
    <s v="Carolina do Socorro Maia dos Santos"/>
    <s v="Feminino"/>
    <x v="5"/>
    <x v="34"/>
    <s v="31602185 - Estimulação Elétrica Transcutânea (Tens) (R$ 125,40)"/>
    <s v="Acupuntura"/>
    <n v="170625"/>
    <s v="Finalizado (1/5)"/>
    <n v="0"/>
    <n v="125.4"/>
    <n v="125.4"/>
    <s v="Sessão a Faturar"/>
    <s v="0100478782001317"/>
    <n v="19814"/>
    <s v="Unidade Vieiralves"/>
    <n v="170625"/>
    <m/>
  </r>
  <r>
    <x v="0"/>
    <x v="2"/>
    <s v="Edno Batista do Nascimento"/>
    <s v="Masculino"/>
    <x v="5"/>
    <x v="34"/>
    <s v="30730139 - Demais Aplicações - Terapias Por Onda de Choque Extracorpórea Em Partes Moles (R$ 270,14)"/>
    <s v="Acupuntura"/>
    <n v="79135690"/>
    <s v="Finalizado (1/5)"/>
    <n v="0"/>
    <n v="270.14"/>
    <n v="270.14"/>
    <s v="Sessão a Faturar"/>
    <s v="010047878204"/>
    <n v="171"/>
    <s v="Unidade Vieiralves"/>
    <n v="79135690"/>
    <m/>
  </r>
  <r>
    <x v="0"/>
    <x v="2"/>
    <s v="Edno Batista do Nascimento"/>
    <s v="Masculino"/>
    <x v="5"/>
    <x v="34"/>
    <s v="31601014 - Acupuntura (R$ 90,51)"/>
    <s v="Acupuntura"/>
    <n v="78719170"/>
    <s v="Finalizado (3/10)"/>
    <n v="0"/>
    <n v="90.51"/>
    <n v="90.51"/>
    <s v="Sessão a Faturar"/>
    <s v="010047878204"/>
    <n v="171"/>
    <s v="Unidade Vieiralves"/>
    <n v="78719170"/>
    <m/>
  </r>
  <r>
    <x v="0"/>
    <x v="5"/>
    <s v="Carolina do Socorro Maia dos Santos"/>
    <s v="Feminino"/>
    <x v="5"/>
    <x v="34"/>
    <s v="30730139 - Demais Aplicações - Terapias Por Onda de Choque Extracorpórea Em Partes Moles - 04/03/2026 (R$ 259,11)"/>
    <s v="Acupuntura"/>
    <n v="75820490"/>
    <s v="Finalizado (2/4)"/>
    <n v="0"/>
    <n v="259.11"/>
    <n v="259.11"/>
    <s v="Sessão Faturada"/>
    <s v="0100478782001317"/>
    <n v="19814"/>
    <s v="Unidade Vieiralves"/>
    <n v="75820490"/>
    <m/>
  </r>
  <r>
    <x v="0"/>
    <x v="5"/>
    <s v="Edno Batista do Nascimento"/>
    <s v="Masculino"/>
    <x v="5"/>
    <x v="34"/>
    <s v="31602185 - Estimulação Elétrica Transcutânea (Tens) (R$ 125,40)"/>
    <s v="Fisioterapia"/>
    <n v="79136490"/>
    <s v="Finalizado (1/5)"/>
    <n v="0"/>
    <n v="125.4"/>
    <n v="125.4"/>
    <s v="Sessão a Faturar"/>
    <s v="010047878204"/>
    <n v="171"/>
    <s v="Unidade Vieiralves"/>
    <n v="79136490"/>
    <m/>
  </r>
  <r>
    <x v="1"/>
    <x v="36"/>
    <s v="Rodolfo Macedo Cardoso"/>
    <s v="Masculino"/>
    <x v="5"/>
    <x v="34"/>
    <s v="30730139 - Demais Aplicações - Terapias Por Onda de Choque Extracorpórea Em Partes Moles (R$ 270,14)"/>
    <s v="Fisioterapia"/>
    <n v="78097600"/>
    <s v="Não compareceu (4/4)"/>
    <n v="270.14"/>
    <n v="0"/>
    <n v="270.14"/>
    <s v="Sessão a Faturar"/>
    <n v="5200733035000200"/>
    <n v="57031"/>
    <s v="Unidade Vieiralves"/>
    <n v="78097600"/>
    <m/>
  </r>
  <r>
    <x v="1"/>
    <x v="36"/>
    <s v="Rodolfo Macedo Cardoso"/>
    <s v="Masculino"/>
    <x v="5"/>
    <x v="34"/>
    <s v="31602185 - Estimulação Elétrica Transcutânea (Tens) (R$ 125,40)"/>
    <s v="Toc - Terapias Por Ondas de Choque"/>
    <n v="78719810"/>
    <s v="Não compareceu (2/10)"/>
    <n v="125.4"/>
    <n v="0"/>
    <n v="125.4"/>
    <s v="Sessão a Faturar"/>
    <n v="5200733035000200"/>
    <n v="57031"/>
    <s v="Unidade Vieiralves"/>
    <n v="78719810"/>
    <m/>
  </r>
  <r>
    <x v="1"/>
    <x v="38"/>
    <s v="Maria Cristina Pires Montes Giovanazzi"/>
    <s v="Feminino"/>
    <x v="6"/>
    <x v="34"/>
    <s v="31602185 - Estimulação Elétrica Transcutanea (Tens) (R$ 40,00)"/>
    <s v="Acupuntura"/>
    <n v="171886"/>
    <s v="Finalizado (1/2)"/>
    <n v="8"/>
    <n v="32"/>
    <n v="40"/>
    <s v="Sessão a Faturar"/>
    <s v="54588888003122320026"/>
    <n v="1606"/>
    <s v="Unidade Vieiralves"/>
    <n v="171886"/>
    <m/>
  </r>
  <r>
    <x v="1"/>
    <x v="38"/>
    <s v="Maria Cristina Pires Montes Giovanazzi"/>
    <s v="Feminino"/>
    <x v="6"/>
    <x v="34"/>
    <s v="31601014 - Acupuntura (R$ 51,33)"/>
    <s v="Acupuntura"/>
    <n v="141405"/>
    <s v="Finalizado (1/2)"/>
    <n v="0"/>
    <n v="51.33"/>
    <n v="51.33"/>
    <s v="Sessão a Faturar"/>
    <s v="54588888003122320026"/>
    <n v="1606"/>
    <s v="Unidade Vieiralves"/>
    <n v="141405"/>
    <m/>
  </r>
  <r>
    <x v="3"/>
    <x v="36"/>
    <s v="Edla de Araujo Silva"/>
    <s v="Feminino"/>
    <x v="7"/>
    <x v="34"/>
    <s v="Vieiralves - 14 - Terapias Regenerativas No Controle da Dor e Ozonioterapia (R$ 450,00)"/>
    <s v="Toc - Terapias Por Ondas de Choque"/>
    <m/>
    <s v="Finalizado (1/1)"/>
    <n v="450"/>
    <n v="0"/>
    <n v="450"/>
    <s v="Sem Lançamento"/>
    <s v="00010300011877026"/>
    <n v="50914"/>
    <s v="Unidade Vieiralves"/>
    <m/>
    <m/>
  </r>
  <r>
    <x v="3"/>
    <x v="38"/>
    <s v="Ivagna Maria Cantanhede Brandão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n v="1901012995210000"/>
    <n v="59129"/>
    <s v="Unidade Vieiralves"/>
    <m/>
    <m/>
  </r>
  <r>
    <x v="4"/>
    <x v="36"/>
    <s v="Graciula Furtado Araújo"/>
    <s v="Feminino"/>
    <x v="5"/>
    <x v="34"/>
    <s v="30730139 - Demais Aplicações - Terapias Por Onda de Choque Extracorpórea Em Partes Moles (R$ 270,14)"/>
    <s v="Toc - Terapias Por Ondas de Choque"/>
    <n v="79606510"/>
    <s v="Finalizado (1/4)"/>
    <n v="0"/>
    <n v="270.14"/>
    <n v="270.14"/>
    <s v="Sessão a Faturar"/>
    <s v="0100938670000353"/>
    <n v="58260"/>
    <s v="Unidade Vieiralves"/>
    <n v="79606510"/>
    <m/>
  </r>
  <r>
    <x v="4"/>
    <x v="36"/>
    <s v="Graciula Furtado Araújo"/>
    <s v="Feminino"/>
    <x v="5"/>
    <x v="34"/>
    <s v="31601014 - Acupuntura - 04/03/2026 (R$ 86,81)"/>
    <s v="Acupuntura"/>
    <n v="75468480"/>
    <s v="Finalizado (4/10)"/>
    <n v="0"/>
    <n v="86.81"/>
    <n v="86.81"/>
    <s v="Sessão Faturada"/>
    <s v="0100938670000353"/>
    <n v="58260"/>
    <s v="Unidade Vieiralves"/>
    <n v="75468480"/>
    <m/>
  </r>
  <r>
    <x v="5"/>
    <x v="40"/>
    <s v="Carolina do Socorro Maia dos Santos"/>
    <s v="Feminino"/>
    <x v="5"/>
    <x v="34"/>
    <s v="31601014 - Acupuntura - 04/03/2026 (R$ 86,81)"/>
    <s v="Acupuntura"/>
    <n v="76240770"/>
    <s v="Finalizado (3/4)"/>
    <n v="0"/>
    <n v="86.81"/>
    <n v="86.81"/>
    <s v="Sessão Faturada"/>
    <s v="0100478782001317"/>
    <n v="19814"/>
    <s v="Unidade Vieiralves"/>
    <n v="76240770"/>
    <m/>
  </r>
  <r>
    <x v="5"/>
    <x v="40"/>
    <s v="Carolina do Socorro Maia dos Santos"/>
    <s v="Feminino"/>
    <x v="5"/>
    <x v="34"/>
    <s v="30730139 - Demais Aplicações - Terapias Por Onda de Choque Extracorpórea Em Partes Moles - 04/03/2026 (R$ 259,11)"/>
    <s v="Acupuntura"/>
    <n v="75820490"/>
    <s v="Finalizado (3/4)"/>
    <n v="0"/>
    <n v="259.11"/>
    <n v="259.11"/>
    <s v="Sessão Faturada"/>
    <s v="0100478782001317"/>
    <n v="19814"/>
    <s v="Unidade Vieiralves"/>
    <n v="75820490"/>
    <m/>
  </r>
  <r>
    <x v="5"/>
    <x v="40"/>
    <s v="Carolina do Socorro Maia dos Santos"/>
    <s v="Feminino"/>
    <x v="5"/>
    <x v="34"/>
    <s v="31602185 - Estimulação Elétrica Transcutânea (Tens) (R$ 125,40)"/>
    <s v="Acupuntura"/>
    <n v="170625"/>
    <s v="Finalizado (2/5)"/>
    <n v="0"/>
    <n v="125.4"/>
    <n v="125.4"/>
    <s v="Sessão a Faturar"/>
    <s v="0100478782001317"/>
    <n v="19814"/>
    <s v="Unidade Vieiralves"/>
    <n v="170625"/>
    <m/>
  </r>
  <r>
    <x v="5"/>
    <x v="38"/>
    <s v="Edno Batista do Nascimento"/>
    <s v="Masculino"/>
    <x v="5"/>
    <x v="34"/>
    <s v="31602185 - Estimulação Elétrica Transcutânea (Tens) (R$ 125,40)"/>
    <s v="Fisioterapia"/>
    <n v="79136490"/>
    <s v="Finalizado (2/5)"/>
    <n v="0"/>
    <n v="125.4"/>
    <n v="125.4"/>
    <s v="Sessão a Faturar"/>
    <s v="010047878204"/>
    <n v="171"/>
    <s v="Unidade Vieiralves"/>
    <n v="79136490"/>
    <m/>
  </r>
  <r>
    <x v="5"/>
    <x v="96"/>
    <s v="Edno Batista do Nascimento"/>
    <s v="Masculino"/>
    <x v="5"/>
    <x v="34"/>
    <s v="30730139 - Demais Aplicações - Terapias Por Onda de Choque Extracorpórea Em Partes Moles (R$ 270,14)"/>
    <s v="Acupuntura"/>
    <n v="79135690"/>
    <s v="Finalizado (2/5)"/>
    <n v="0"/>
    <n v="270.14"/>
    <n v="270.14"/>
    <s v="Sessão a Faturar"/>
    <s v="010047878204"/>
    <n v="171"/>
    <s v="Unidade Vieiralves"/>
    <n v="79135690"/>
    <m/>
  </r>
  <r>
    <x v="5"/>
    <x v="96"/>
    <s v="Edno Batista do Nascimento"/>
    <s v="Masculino"/>
    <x v="5"/>
    <x v="34"/>
    <s v="31601014 - Acupuntura (R$ 90,51)"/>
    <s v="Acupuntura"/>
    <n v="78719170"/>
    <s v="Finalizado (4/10)"/>
    <n v="0"/>
    <n v="90.51"/>
    <n v="90.51"/>
    <s v="Sessão a Faturar"/>
    <s v="010047878204"/>
    <n v="171"/>
    <s v="Unidade Vieiralves"/>
    <n v="78719170"/>
    <m/>
  </r>
  <r>
    <x v="6"/>
    <x v="2"/>
    <s v="Ivagna Maria Cantanhede Brandão"/>
    <s v="Feminino"/>
    <x v="22"/>
    <x v="34"/>
    <s v="00000000 - Consulta Ortopedica (R$ 0,00), 00000000 - Acupuntura (R$ 0,00)"/>
    <s v="Toc - Terapias Por Ondas de Choque"/>
    <m/>
    <s v="Finalizado (1/1)"/>
    <n v="0"/>
    <n v="0"/>
    <n v="0"/>
    <s v="Sessão a Faturar"/>
    <n v="1901012995210000"/>
    <n v="59129"/>
    <s v="Unidade Vieiralves"/>
    <m/>
    <m/>
  </r>
  <r>
    <x v="6"/>
    <x v="6"/>
    <s v="Rodolfo Macedo Cardoso"/>
    <s v="Masculino"/>
    <x v="5"/>
    <x v="34"/>
    <s v="31602185 - Estimulação Elétrica Transcutânea (Tens) (R$ 125,40)"/>
    <s v="Toc - Terapias Por Ondas de Choque"/>
    <n v="78719810"/>
    <s v="Não compareceu (3/10)"/>
    <n v="125.4"/>
    <n v="0"/>
    <n v="125.4"/>
    <s v="Sessão a Faturar"/>
    <n v="5200733035000200"/>
    <n v="57031"/>
    <s v="Unidade Vieiralves"/>
    <n v="78719810"/>
    <m/>
  </r>
  <r>
    <x v="9"/>
    <x v="38"/>
    <s v="Marluce Graça da Silva Rodrigues"/>
    <s v="Feminino"/>
    <x v="7"/>
    <x v="34"/>
    <s v="Vieiralves - 14 - Terapias Regenerativas No Controle da Dor e Ozonioterapia (R$ 450,00)"/>
    <s v="Terapias Regenerativas No Controle da Dor"/>
    <m/>
    <s v="Finalizado (1/1)"/>
    <n v="450"/>
    <n v="0"/>
    <n v="450"/>
    <s v="No Prazo"/>
    <n v="773709031194020"/>
    <n v="21347"/>
    <s v="Unidade Vieiralves"/>
    <m/>
    <m/>
  </r>
  <r>
    <x v="10"/>
    <x v="2"/>
    <s v="Edno Batista do Nascimento"/>
    <s v="Masculino"/>
    <x v="5"/>
    <x v="34"/>
    <s v="31602185 - Estimulação Elétrica Transcutânea (Tens) (R$ 125,40)"/>
    <s v="Fisioterapia"/>
    <n v="79136490"/>
    <s v="Finalizado (3/5)"/>
    <n v="0"/>
    <n v="125.4"/>
    <n v="125.4"/>
    <s v="Sessão a Faturar"/>
    <s v="010047878204"/>
    <n v="171"/>
    <s v="Unidade Vieiralves"/>
    <n v="79136490"/>
    <m/>
  </r>
  <r>
    <x v="10"/>
    <x v="2"/>
    <s v="Carolina do Socorro Maia dos Santos"/>
    <s v="Feminino"/>
    <x v="5"/>
    <x v="34"/>
    <s v="31601014 - Acupuntura - 04/03/2026 (R$ 86,81)"/>
    <s v="Acupuntura"/>
    <n v="76240770"/>
    <s v="Finalizado (4/4)"/>
    <n v="0"/>
    <n v="86.81"/>
    <n v="86.81"/>
    <s v="Sessão Faturada"/>
    <s v="0100478782001317"/>
    <n v="19814"/>
    <s v="Unidade Vieiralves"/>
    <n v="76240770"/>
    <m/>
  </r>
  <r>
    <x v="10"/>
    <x v="97"/>
    <s v="Edno Batista do Nascimento"/>
    <s v="Masculino"/>
    <x v="5"/>
    <x v="34"/>
    <s v="31601014 - Acupuntura (R$ 90,51)"/>
    <s v="Acupuntura"/>
    <n v="78719170"/>
    <s v="Finalizado (6/10)"/>
    <n v="0"/>
    <n v="90.51"/>
    <n v="90.51"/>
    <s v="Sessão a Faturar"/>
    <s v="010047878204"/>
    <n v="171"/>
    <s v="Unidade Vieiralves"/>
    <n v="78719170"/>
    <m/>
  </r>
  <r>
    <x v="10"/>
    <x v="97"/>
    <s v="Carolina do Socorro Maia dos Santos"/>
    <s v="Feminino"/>
    <x v="5"/>
    <x v="34"/>
    <s v="30730139 - Demais Aplicações - Terapias Por Onda de Choque Extracorpórea Em Partes Moles - 04/03/2026 (R$ 259,11)"/>
    <s v="Acupuntura"/>
    <n v="75820490"/>
    <s v="Finalizado (4/4)"/>
    <n v="0"/>
    <n v="259.11"/>
    <n v="259.11"/>
    <s v="Sessão Faturada"/>
    <s v="0100478782001317"/>
    <n v="19814"/>
    <s v="Unidade Vieiralves"/>
    <n v="75820490"/>
    <m/>
  </r>
  <r>
    <x v="10"/>
    <x v="98"/>
    <s v="Edno Batista do Nascimento"/>
    <s v="Masculino"/>
    <x v="5"/>
    <x v="34"/>
    <s v="30730139 - Demais Aplicações - Terapias Por Onda de Choque Extracorpórea Em Partes Moles (R$ 270,14)"/>
    <s v="Acupuntura"/>
    <n v="79135690"/>
    <s v="Finalizado (3/5)"/>
    <n v="0"/>
    <n v="270.14"/>
    <n v="270.14"/>
    <s v="Sessão a Faturar"/>
    <s v="010047878204"/>
    <n v="171"/>
    <s v="Unidade Vieiralves"/>
    <n v="79135690"/>
    <m/>
  </r>
  <r>
    <x v="10"/>
    <x v="98"/>
    <s v="Carolina do Socorro Maia dos Santos"/>
    <s v="Feminino"/>
    <x v="5"/>
    <x v="34"/>
    <s v="31602185 - Estimulação Elétrica Transcutânea (Tens) (R$ 125,40)"/>
    <s v="Acupuntura"/>
    <n v="170625"/>
    <s v="Finalizado (3/5)"/>
    <n v="0"/>
    <n v="125.4"/>
    <n v="125.4"/>
    <s v="Sessão a Faturar"/>
    <s v="0100478782001317"/>
    <n v="19814"/>
    <s v="Unidade Vieiralves"/>
    <n v="170625"/>
    <m/>
  </r>
  <r>
    <x v="11"/>
    <x v="36"/>
    <s v="Graciula Furtado Araújo"/>
    <s v="Feminino"/>
    <x v="5"/>
    <x v="34"/>
    <s v="31601014 - Acupuntura - 04/03/2026 (R$ 86,81)"/>
    <s v="Acupuntura"/>
    <n v="75468480"/>
    <s v="Finalizado (5/10)"/>
    <n v="0"/>
    <n v="86.81"/>
    <n v="86.81"/>
    <s v="Sessão Faturada"/>
    <s v="0100938670000353"/>
    <n v="58260"/>
    <s v="Unidade Vieiralves"/>
    <n v="75468480"/>
    <m/>
  </r>
  <r>
    <x v="11"/>
    <x v="36"/>
    <s v="Graciula Furtado Araújo"/>
    <s v="Feminino"/>
    <x v="5"/>
    <x v="34"/>
    <s v="30730139 - Demais Aplicações - Terapias Por Onda de Choque Extracorpórea Em Partes Moles (R$ 270,14)"/>
    <s v="Toc - Terapias Por Ondas de Choque"/>
    <n v="79606510"/>
    <s v="Finalizado (2/4)"/>
    <n v="0"/>
    <n v="270.14"/>
    <n v="270.14"/>
    <s v="Sessão a Faturar"/>
    <s v="0100938670000353"/>
    <n v="58260"/>
    <s v="Unidade Vieiralves"/>
    <n v="79606510"/>
    <m/>
  </r>
  <r>
    <x v="11"/>
    <x v="38"/>
    <s v="Maria Cristina Pires Montes Giovanazzi"/>
    <s v="Feminino"/>
    <x v="6"/>
    <x v="34"/>
    <s v="31601014 - Acupuntura (R$ 51,33)"/>
    <s v="Acupuntura"/>
    <n v="141405"/>
    <s v="Finalizado (2/2)"/>
    <n v="0"/>
    <n v="51.33"/>
    <n v="51.33"/>
    <s v="Sessão a Faturar"/>
    <s v="54588888003122320026"/>
    <n v="1606"/>
    <s v="Unidade Vieiralves"/>
    <n v="141405"/>
    <m/>
  </r>
  <r>
    <x v="11"/>
    <x v="38"/>
    <s v="Maria Cristina Pires Montes Giovanazzi"/>
    <s v="Feminino"/>
    <x v="6"/>
    <x v="34"/>
    <s v="31602185 - Estimulação Elétrica Transcutanea (Tens) (R$ 40,00)"/>
    <s v="Acupuntura"/>
    <n v="171886"/>
    <s v="Finalizado (2/2)"/>
    <n v="8"/>
    <n v="32"/>
    <n v="40"/>
    <s v="Sessão a Faturar"/>
    <s v="54588888003122320026"/>
    <n v="1606"/>
    <s v="Unidade Vieiralves"/>
    <n v="171886"/>
    <m/>
  </r>
  <r>
    <x v="11"/>
    <x v="6"/>
    <s v="Toyoko Saito"/>
    <s v="Feminino"/>
    <x v="7"/>
    <x v="34"/>
    <s v="Vieiralves - 14 - Terapias Regenerativas No Controle da Dor e Ozonioterapia (R$ 450,00)"/>
    <s v="Toc - Terapias Por Ondas de Choque"/>
    <m/>
    <s v="Finalizado (1/1)"/>
    <n v="450"/>
    <n v="0"/>
    <n v="450"/>
    <s v="Pago"/>
    <s v="00"/>
    <n v="55425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7A8A0-14D7-B244-83C5-C01D378ADBA4}" name="Tabela dinâmica2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27" firstHeaderRow="0" firstDataRow="1" firstDataCol="1" rowPageCount="2" colPageCount="1"/>
  <pivotFields count="19">
    <pivotField showAll="0">
      <items count="27">
        <item x="12"/>
        <item x="13"/>
        <item x="14"/>
        <item x="15"/>
        <item x="16"/>
        <item x="21"/>
        <item x="17"/>
        <item x="18"/>
        <item x="22"/>
        <item x="19"/>
        <item x="20"/>
        <item x="23"/>
        <item x="0"/>
        <item x="1"/>
        <item x="2"/>
        <item x="3"/>
        <item x="4"/>
        <item x="24"/>
        <item x="5"/>
        <item x="6"/>
        <item x="7"/>
        <item x="8"/>
        <item x="9"/>
        <item x="25"/>
        <item x="10"/>
        <item x="11"/>
        <item t="default"/>
      </items>
    </pivotField>
    <pivotField axis="axisPage" multipleItemSelectionAllowed="1" showAll="0">
      <items count="100">
        <item h="1" x="89"/>
        <item h="1" x="92"/>
        <item h="1" x="90"/>
        <item h="1" x="93"/>
        <item h="1" x="44"/>
        <item h="1" x="73"/>
        <item h="1" x="60"/>
        <item h="1" x="74"/>
        <item h="1" x="41"/>
        <item h="1" x="76"/>
        <item h="1" x="65"/>
        <item h="1" x="48"/>
        <item h="1" x="36"/>
        <item h="1" x="57"/>
        <item h="1" x="61"/>
        <item h="1" x="67"/>
        <item h="1" x="40"/>
        <item h="1" x="49"/>
        <item h="1" x="45"/>
        <item h="1" x="55"/>
        <item h="1" x="35"/>
        <item h="1" x="70"/>
        <item h="1" x="42"/>
        <item h="1" x="71"/>
        <item h="1" x="79"/>
        <item h="1" x="38"/>
        <item h="1" x="96"/>
        <item h="1" x="68"/>
        <item h="1" x="62"/>
        <item h="1" x="69"/>
        <item h="1" x="37"/>
        <item h="1" x="58"/>
        <item h="1" x="63"/>
        <item h="1" x="50"/>
        <item h="1" x="39"/>
        <item h="1" x="78"/>
        <item h="1" x="72"/>
        <item h="1" x="64"/>
        <item h="1" x="59"/>
        <item h="1" x="43"/>
        <item h="1" x="51"/>
        <item h="1" x="66"/>
        <item h="1" x="77"/>
        <item x="94"/>
        <item x="75"/>
        <item x="22"/>
        <item x="47"/>
        <item x="23"/>
        <item x="88"/>
        <item x="0"/>
        <item x="53"/>
        <item x="1"/>
        <item x="91"/>
        <item x="80"/>
        <item x="2"/>
        <item x="95"/>
        <item x="56"/>
        <item x="3"/>
        <item x="81"/>
        <item x="4"/>
        <item x="97"/>
        <item x="29"/>
        <item x="5"/>
        <item x="30"/>
        <item x="13"/>
        <item x="98"/>
        <item x="31"/>
        <item x="14"/>
        <item x="32"/>
        <item x="6"/>
        <item x="26"/>
        <item x="7"/>
        <item x="27"/>
        <item x="86"/>
        <item x="15"/>
        <item x="52"/>
        <item x="16"/>
        <item x="82"/>
        <item x="17"/>
        <item x="87"/>
        <item x="24"/>
        <item x="18"/>
        <item x="25"/>
        <item x="8"/>
        <item x="33"/>
        <item x="9"/>
        <item x="34"/>
        <item x="10"/>
        <item x="83"/>
        <item x="11"/>
        <item x="54"/>
        <item x="12"/>
        <item x="46"/>
        <item x="19"/>
        <item x="84"/>
        <item x="20"/>
        <item x="85"/>
        <item x="21"/>
        <item x="28"/>
        <item t="default"/>
      </items>
    </pivotField>
    <pivotField showAll="0"/>
    <pivotField showAll="0"/>
    <pivotField axis="axisPage" showAll="0">
      <items count="34">
        <item x="25"/>
        <item x="28"/>
        <item x="13"/>
        <item x="30"/>
        <item x="31"/>
        <item x="4"/>
        <item x="2"/>
        <item x="27"/>
        <item x="9"/>
        <item x="8"/>
        <item x="32"/>
        <item x="14"/>
        <item x="15"/>
        <item x="21"/>
        <item x="22"/>
        <item x="18"/>
        <item x="10"/>
        <item x="16"/>
        <item x="29"/>
        <item x="1"/>
        <item x="24"/>
        <item x="23"/>
        <item x="17"/>
        <item x="12"/>
        <item x="26"/>
        <item x="3"/>
        <item x="7"/>
        <item x="0"/>
        <item x="20"/>
        <item x="19"/>
        <item x="5"/>
        <item x="6"/>
        <item x="11"/>
        <item t="default"/>
      </items>
    </pivotField>
    <pivotField axis="axisRow" showAll="0">
      <items count="36">
        <item x="21"/>
        <item h="1" x="34"/>
        <item x="20"/>
        <item x="33"/>
        <item x="26"/>
        <item x="22"/>
        <item x="29"/>
        <item x="19"/>
        <item x="9"/>
        <item x="28"/>
        <item x="14"/>
        <item x="10"/>
        <item x="13"/>
        <item x="7"/>
        <item x="18"/>
        <item x="6"/>
        <item x="16"/>
        <item x="31"/>
        <item x="12"/>
        <item x="25"/>
        <item x="4"/>
        <item x="0"/>
        <item x="32"/>
        <item x="3"/>
        <item x="17"/>
        <item x="2"/>
        <item x="5"/>
        <item x="8"/>
        <item x="15"/>
        <item x="27"/>
        <item x="30"/>
        <item x="11"/>
        <item x="24"/>
        <item x="23"/>
        <item x="1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3">
    <i>
      <x v="2"/>
    </i>
    <i>
      <x v="3"/>
    </i>
    <i>
      <x v="4"/>
    </i>
    <i>
      <x v="6"/>
    </i>
    <i>
      <x v="8"/>
    </i>
    <i>
      <x v="10"/>
    </i>
    <i>
      <x v="11"/>
    </i>
    <i>
      <x v="12"/>
    </i>
    <i>
      <x v="13"/>
    </i>
    <i>
      <x v="14"/>
    </i>
    <i>
      <x v="15"/>
    </i>
    <i>
      <x v="17"/>
    </i>
    <i>
      <x v="19"/>
    </i>
    <i>
      <x v="20"/>
    </i>
    <i>
      <x v="21"/>
    </i>
    <i>
      <x v="25"/>
    </i>
    <i>
      <x v="26"/>
    </i>
    <i>
      <x v="29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20" dataDxfId="219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18"/>
    <tableColumn id="2" xr3:uid="{AA971899-95E1-488A-8FE7-316002DF1EF0}" name="Dia" dataDxfId="217"/>
    <tableColumn id="3" xr3:uid="{DD90442E-28E7-42AF-A999-09FB3FED8CA5}" name="Qtd. Faltas" dataDxfId="216"/>
    <tableColumn id="4" xr3:uid="{63E101EB-4E1A-4B68-81E7-A6525C836267}" name="Motivo" dataDxfId="215"/>
    <tableColumn id="5" xr3:uid="{F77F47E9-E338-4037-9CAF-D85FEA5D54E4}" name="Atestado" dataDxfId="214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13" dataDxfId="212" tableBorderDxfId="211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10" dataCellStyle="Normal 2"/>
    <tableColumn id="3" xr3:uid="{4E6996AC-D46D-47EE-A4A3-06B45C2E36EE}" name="Qtd. Faltas" dataDxfId="209" dataCellStyle="Normal 2"/>
    <tableColumn id="4" xr3:uid="{98936471-14F0-4D94-BED4-C156CE67907B}" name="Motivo" dataDxfId="208" dataCellStyle="Normal 2"/>
    <tableColumn id="5" xr3:uid="{A9D293D7-B9E6-4179-8EA0-CD6746A1D78C}" name="Atestado" dataDxfId="207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206" dataDxfId="204" totalsRowDxfId="202" headerRowBorderDxfId="205" tableBorderDxfId="203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25" totalsRowDxfId="24"/>
    <tableColumn id="10" xr3:uid="{1FDD6B2E-9EEE-4FFC-B045-9B1D060618F6}" name="Especialidade" dataDxfId="23" totalsRowDxfId="22"/>
    <tableColumn id="11" xr3:uid="{AE408517-8DDD-4F58-86CD-41B636E5FBCB}" name="UNIDADE" dataDxfId="21" totalsRowDxfId="20"/>
    <tableColumn id="2" xr3:uid="{6A3DA9A2-AA8A-4FFD-B619-AA9E22926A2E}" name="Valor Total Clínica" totalsRowFunction="custom" dataDxfId="19" totalsRowDxfId="18" dataCellStyle="Moeda">
      <calculatedColumnFormula array="1">IFERROR(SUMPRODUCT((A2=A$92:A$118)*(B$92:B$118)) + SUMPRODUCT((A2=A$123:A$150)*(B$123:B$150)), "")</calculatedColumnFormula>
      <totalsRowFormula>SUM(D2:D44)</totalsRowFormula>
    </tableColumn>
    <tableColumn id="3" xr3:uid="{13B0E5FE-8200-4DCE-BBCF-F8FA0A420652}" name="Valor Profissional" totalsRowFunction="custom" dataDxfId="17" totalsRowDxfId="16" dataCellStyle="Moeda">
      <calculatedColumnFormula array="1">IFERROR(SUMPRODUCT((A2=A$92:A$118)*(C$92:C$118)) + SUMPRODUCT((A2=A$123:A$150)*(C$123:C$150)), "")</calculatedColumnFormula>
      <totalsRowFormula>SUM(E2:E44)</totalsRowFormula>
    </tableColumn>
    <tableColumn id="4" xr3:uid="{A501DD94-56EA-48DB-8A46-6638B02B9042}" name="FIXO" totalsRowFunction="custom" dataDxfId="15" totalsRowDxfId="14">
      <calculatedColumnFormula>IF(K2&gt;0,600-(K2*20),600)</calculatedColumnFormula>
      <totalsRowFormula>SUM(F2:F44)</totalsRowFormula>
    </tableColumn>
    <tableColumn id="5" xr3:uid="{A4E88783-A7DC-45A2-9A24-85336C2F7AE0}" name="META" totalsRowLabel="N/P" dataDxfId="13" totalsRowDxfId="12" dataCellStyle="Porcentagem"/>
    <tableColumn id="6" xr3:uid="{F9EA79CA-1886-4FB9-B121-BA2756F4BA03}" name="VALOR BRUTO" totalsRowFunction="custom" dataDxfId="11" totalsRowDxfId="10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9" totalsRowDxfId="8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" totalsRowDxfId="6"/>
    <tableColumn id="9" xr3:uid="{650E3BEC-8F69-42B0-A962-14263CD91C89}" name="FALTAS" dataDxfId="5" totalsRowDxfId="4">
      <calculatedColumnFormula>'Extras-Descontos'!C46</calculatedColumnFormula>
    </tableColumn>
    <tableColumn id="14" xr3:uid="{E3948273-1F6C-4CC3-B4C7-6139285BB6B3}" name="EMAIL" dataDxfId="3" totalsRowDxfId="2"/>
    <tableColumn id="12" xr3:uid="{76AD790C-B9FD-4828-A7A6-C10D74196132}" name="TURNO" dataDxfId="1" totalsRowDxfId="0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201" dataDxfId="199" headerRowBorderDxfId="200" tableBorderDxfId="198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197">
      <calculatedColumnFormula>IF(Tabela324[[#This Row],[VALOR BRUTO]]&gt;2826.65,564.8,Tabela324[[#This Row],[VALOR BRUTO]]*11%)</calculatedColumnFormula>
    </tableColumn>
    <tableColumn id="2" xr3:uid="{103E09CF-CBB1-4818-B88D-E96038AB8234}" name="IRPF" dataDxfId="19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195">
      <calculatedColumnFormula>#REF!*5%</calculatedColumnFormula>
    </tableColumn>
    <tableColumn id="4" xr3:uid="{9E0DC362-B5E3-4802-83E1-3BB9B6D35526}" name="BASE IR" dataDxfId="194">
      <calculatedColumnFormula>Tabela324[[#This Row],[VALOR BRUTO]]-Tabela135[[#This Row],[DED. FIXA OU INSS (11%)]]</calculatedColumnFormula>
    </tableColumn>
    <tableColumn id="6" xr3:uid="{2AE76605-0D87-4CFB-A4DF-B8A5BF057642}" name="ALIQ IR" dataDxfId="193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192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191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190"/>
    <tableColumn id="9" xr3:uid="{BCEACFDD-0945-4AD7-BB92-8596EE58B08F}" name="VALOR Status Envio" dataDxfId="18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188" dataDxfId="186" totalsRowDxfId="184" headerRowBorderDxfId="187" tableBorderDxfId="185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183" totalsRowDxfId="182">
      <calculatedColumnFormula>Tabela324[[#This Row],[FUNCIONÁRIOS]]</calculatedColumnFormula>
    </tableColumn>
    <tableColumn id="5" xr3:uid="{1B90199D-3AA4-4497-8818-41C0B6B26B80}" name="VALOR PROFISSIONAL" dataDxfId="181" totalsRowDxfId="180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179" dataDxfId="177" headerRowBorderDxfId="178" tableBorderDxfId="176">
  <autoFilter ref="Z1:AE44" xr:uid="{B91DB722-FB2A-49E7-8E8B-2AA05C0B38B5}"/>
  <tableColumns count="6">
    <tableColumn id="1" xr3:uid="{96E54D88-1BB5-4557-BF9C-E986E88E1DA7}" name="VALOR FUNC" dataDxfId="175">
      <calculatedColumnFormula>IF(Y2="FORA",0,Y2-AA2)</calculatedColumnFormula>
    </tableColumn>
    <tableColumn id="2" xr3:uid="{87F6AC2E-F102-47F1-BAD7-A61C75A94EB0}" name="PART/OAB" dataDxfId="174"/>
    <tableColumn id="3" xr3:uid="{796DF2F9-FE7A-4AF0-9B24-EBC801868E27}" name="100% do valor" dataDxfId="17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17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17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170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169" dataDxfId="167" headerRowBorderDxfId="168" tableBorderDxfId="166">
  <autoFilter ref="D51:F58" xr:uid="{41C11112-82A4-434F-A3AB-663B895BA7C5}"/>
  <tableColumns count="3">
    <tableColumn id="1" xr3:uid="{6DE596C9-A5EF-4183-B970-8C069B862CDF}" name="ESPECIALIDADE" dataDxfId="165"/>
    <tableColumn id="2" xr3:uid="{732909BA-D4AB-4B17-BC54-91864091A088}" name="PORCENTAGEM SEM META" dataDxfId="164"/>
    <tableColumn id="3" xr3:uid="{F756EA6A-8F37-445B-941C-175B76173BCF}" name="PORCENTAGEM COM META" dataDxfId="163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62" headerRowBorderDxfId="161" tableBorderDxfId="160" totalsRowBorderDxfId="159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58"/>
    <tableColumn id="2" xr3:uid="{F0174A92-06D6-4673-B7E9-2D9F967FC176}" name="Dias" dataDxfId="157"/>
    <tableColumn id="4" xr3:uid="{B6B4B02E-39B6-4475-8E29-0AE3CAFA9108}" name="DATA" dataDxfId="156"/>
    <tableColumn id="7" xr3:uid="{90A61D90-E98F-44D0-A950-34221ED99F3F}" name="SERVIÇO" dataDxfId="155"/>
    <tableColumn id="9" xr3:uid="{88DE8916-27A2-4F5D-A7A1-74826A810CDB}" name="TURNO" dataDxfId="154"/>
    <tableColumn id="11" xr3:uid="{3A8ED970-F4D4-4A5E-A2ED-9195A512E0F2}" name="VALOR" dataDxfId="153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152" headerRowBorderDxfId="151" tableBorderDxfId="150" totalsRowBorderDxfId="149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48"/>
    <tableColumn id="2" xr3:uid="{E12F9C7E-5BB0-41C6-900D-A5E3D2877013}" name="Dias" dataDxfId="147"/>
    <tableColumn id="4" xr3:uid="{47866C20-057C-416E-BEE2-AF0E4A69B49C}" name="DATA" dataDxfId="146"/>
    <tableColumn id="7" xr3:uid="{2A07187C-DD01-4DE3-9FD7-0A4B8E92E02A}" name="DESCRIÇÃO" dataDxfId="145"/>
    <tableColumn id="9" xr3:uid="{97B1C4D0-E5AD-4EBA-B099-4E82EBC3D57E}" name="TURNO" dataDxfId="144"/>
    <tableColumn id="11" xr3:uid="{24810E3D-1765-4A1B-AD5E-656644D08FB0}" name="VALOR" dataDxfId="143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kalebecaldas@iaamazonas.com.br" TargetMode="External"/><Relationship Id="rId7" Type="http://schemas.openxmlformats.org/officeDocument/2006/relationships/table" Target="../tables/table4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19" t="s">
        <v>0</v>
      </c>
      <c r="B1" s="220"/>
      <c r="C1" s="220"/>
      <c r="D1" s="220"/>
      <c r="E1" s="221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22" t="str">
        <f>A1 &amp; " ESTAGIÁRIOS"</f>
        <v>Relatório de Faltas Mês de Maio de 2023 ESTAGIÁRIOS</v>
      </c>
      <c r="B41" s="223"/>
      <c r="C41" s="223"/>
      <c r="D41" s="223"/>
      <c r="E41" s="224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D437C-E4BE-7F42-B940-647A1FAFD779}">
  <dimension ref="A1:K53"/>
  <sheetViews>
    <sheetView topLeftCell="C1" workbookViewId="0">
      <selection activeCell="G32" sqref="G32"/>
    </sheetView>
  </sheetViews>
  <sheetFormatPr baseColWidth="10" defaultRowHeight="15" x14ac:dyDescent="0.2"/>
  <cols>
    <col min="1" max="1" width="32.6640625" style="244" bestFit="1" customWidth="1"/>
    <col min="2" max="2" width="16" style="244" bestFit="1" customWidth="1"/>
    <col min="3" max="3" width="21.1640625" style="244" bestFit="1" customWidth="1"/>
    <col min="4" max="4" width="10.83203125" style="244"/>
    <col min="5" max="5" width="33.1640625" style="244" customWidth="1"/>
    <col min="6" max="6" width="16" style="244" customWidth="1"/>
    <col min="7" max="7" width="17.6640625" style="244" customWidth="1"/>
    <col min="8" max="8" width="10.83203125" style="244"/>
    <col min="9" max="9" width="37.1640625" style="244" customWidth="1"/>
    <col min="10" max="10" width="19.1640625" style="244" customWidth="1"/>
    <col min="11" max="11" width="17.5" style="244" customWidth="1"/>
    <col min="12" max="16384" width="10.83203125" style="244"/>
  </cols>
  <sheetData>
    <row r="1" spans="1:11" x14ac:dyDescent="0.2">
      <c r="A1" s="216" t="s">
        <v>35</v>
      </c>
      <c r="B1" s="217" t="s">
        <v>163</v>
      </c>
    </row>
    <row r="2" spans="1:11" x14ac:dyDescent="0.2">
      <c r="A2" s="216" t="s">
        <v>36</v>
      </c>
      <c r="B2" s="217" t="s">
        <v>165</v>
      </c>
    </row>
    <row r="3" spans="1:11" ht="16" x14ac:dyDescent="0.2">
      <c r="A3" s="251"/>
      <c r="B3" s="251"/>
      <c r="C3" s="251"/>
      <c r="E3" s="244" t="s">
        <v>171</v>
      </c>
      <c r="I3" s="244" t="s">
        <v>170</v>
      </c>
    </row>
    <row r="4" spans="1:11" ht="16" x14ac:dyDescent="0.2">
      <c r="A4" s="210" t="s">
        <v>162</v>
      </c>
      <c r="B4" s="211" t="s">
        <v>161</v>
      </c>
      <c r="C4" s="212" t="s">
        <v>160</v>
      </c>
      <c r="E4" s="254" t="s">
        <v>51</v>
      </c>
      <c r="F4" s="252">
        <v>10715.230000000003</v>
      </c>
      <c r="G4" s="253">
        <v>4129.4580000000005</v>
      </c>
      <c r="I4" s="254" t="s">
        <v>10</v>
      </c>
      <c r="J4" s="252">
        <v>2825</v>
      </c>
      <c r="K4" s="253">
        <v>612.69999999999993</v>
      </c>
    </row>
    <row r="5" spans="1:11" ht="16" x14ac:dyDescent="0.2">
      <c r="A5" s="175" t="s">
        <v>10</v>
      </c>
      <c r="B5" s="168">
        <v>10344.519999999991</v>
      </c>
      <c r="C5" s="169">
        <v>1225.3214000000028</v>
      </c>
      <c r="E5" s="250" t="s">
        <v>10</v>
      </c>
      <c r="F5" s="248">
        <v>26870.830000000147</v>
      </c>
      <c r="G5" s="249">
        <v>3390.7477999999778</v>
      </c>
      <c r="I5" s="250" t="s">
        <v>11</v>
      </c>
      <c r="J5" s="248">
        <v>980</v>
      </c>
      <c r="K5" s="249">
        <v>245</v>
      </c>
    </row>
    <row r="6" spans="1:11" ht="16" x14ac:dyDescent="0.2">
      <c r="A6" s="176" t="s">
        <v>57</v>
      </c>
      <c r="B6" s="170">
        <v>134.79</v>
      </c>
      <c r="C6" s="171">
        <v>0</v>
      </c>
      <c r="E6" s="250" t="s">
        <v>57</v>
      </c>
      <c r="F6" s="248">
        <v>134.79</v>
      </c>
      <c r="G6" s="249">
        <v>0</v>
      </c>
      <c r="I6" s="250" t="s">
        <v>13</v>
      </c>
      <c r="J6" s="248">
        <v>460</v>
      </c>
      <c r="K6" s="249">
        <v>101.2</v>
      </c>
    </row>
    <row r="7" spans="1:11" ht="16" x14ac:dyDescent="0.2">
      <c r="A7" s="176" t="s">
        <v>11</v>
      </c>
      <c r="B7" s="170">
        <v>11099.549999999997</v>
      </c>
      <c r="C7" s="171">
        <v>1804.0039999999942</v>
      </c>
      <c r="E7" s="250" t="s">
        <v>11</v>
      </c>
      <c r="F7" s="248">
        <v>11712.499999999995</v>
      </c>
      <c r="G7" s="249">
        <v>1942.7951999999925</v>
      </c>
      <c r="I7" s="250" t="s">
        <v>14</v>
      </c>
      <c r="J7" s="248">
        <v>1585</v>
      </c>
      <c r="K7" s="249">
        <v>348.7000000000001</v>
      </c>
    </row>
    <row r="8" spans="1:11" ht="16" x14ac:dyDescent="0.2">
      <c r="A8" s="176" t="s">
        <v>54</v>
      </c>
      <c r="B8" s="170">
        <v>3508.6699999999996</v>
      </c>
      <c r="C8" s="171">
        <v>2446.0690000000004</v>
      </c>
      <c r="E8" s="250" t="s">
        <v>13</v>
      </c>
      <c r="F8" s="248">
        <v>24428.450000000095</v>
      </c>
      <c r="G8" s="249">
        <v>2933.3137999999826</v>
      </c>
      <c r="I8" s="250" t="s">
        <v>16</v>
      </c>
      <c r="J8" s="248">
        <v>570</v>
      </c>
      <c r="K8" s="249">
        <v>285</v>
      </c>
    </row>
    <row r="9" spans="1:11" ht="16" x14ac:dyDescent="0.2">
      <c r="A9" s="176" t="s">
        <v>43</v>
      </c>
      <c r="B9" s="170">
        <v>12717.130000000003</v>
      </c>
      <c r="C9" s="171">
        <v>4977.5800000000008</v>
      </c>
      <c r="E9" s="250" t="s">
        <v>14</v>
      </c>
      <c r="F9" s="248">
        <v>7656.4400000000132</v>
      </c>
      <c r="G9" s="249">
        <v>1313.7303999999981</v>
      </c>
      <c r="I9" s="250" t="s">
        <v>40</v>
      </c>
      <c r="J9" s="248">
        <v>1220</v>
      </c>
      <c r="K9" s="249">
        <v>268.40000000000015</v>
      </c>
    </row>
    <row r="10" spans="1:11" ht="16" x14ac:dyDescent="0.2">
      <c r="A10" s="176" t="s">
        <v>48</v>
      </c>
      <c r="B10" s="170">
        <v>20917.350000000042</v>
      </c>
      <c r="C10" s="171">
        <v>2669.877599999998</v>
      </c>
      <c r="E10" s="250" t="s">
        <v>16</v>
      </c>
      <c r="F10" s="248">
        <v>570</v>
      </c>
      <c r="G10" s="249">
        <v>285</v>
      </c>
      <c r="I10" s="250" t="s">
        <v>17</v>
      </c>
      <c r="J10" s="248">
        <v>105</v>
      </c>
      <c r="K10" s="249">
        <v>26.25</v>
      </c>
    </row>
    <row r="11" spans="1:11" ht="16" x14ac:dyDescent="0.2">
      <c r="A11" s="176" t="s">
        <v>44</v>
      </c>
      <c r="B11" s="170">
        <v>6540.6700000000028</v>
      </c>
      <c r="C11" s="171">
        <v>2450.1480000000001</v>
      </c>
      <c r="E11" s="250" t="s">
        <v>40</v>
      </c>
      <c r="F11" s="248">
        <v>18851.94999999999</v>
      </c>
      <c r="G11" s="249">
        <v>2313.7808000000014</v>
      </c>
      <c r="I11" s="250" t="s">
        <v>50</v>
      </c>
      <c r="J11" s="248">
        <v>770</v>
      </c>
      <c r="K11" s="249">
        <v>192.5</v>
      </c>
    </row>
    <row r="12" spans="1:11" ht="16" x14ac:dyDescent="0.2">
      <c r="A12" s="176" t="s">
        <v>47</v>
      </c>
      <c r="B12" s="170">
        <v>11397.409999999982</v>
      </c>
      <c r="C12" s="171">
        <v>2170.5679999999975</v>
      </c>
      <c r="E12" s="250" t="s">
        <v>17</v>
      </c>
      <c r="F12" s="248">
        <v>2090.7700000000013</v>
      </c>
      <c r="G12" s="249">
        <v>423.404</v>
      </c>
      <c r="I12" s="250" t="s">
        <v>46</v>
      </c>
      <c r="J12" s="248">
        <v>1185</v>
      </c>
      <c r="K12" s="249">
        <v>296.25</v>
      </c>
    </row>
    <row r="13" spans="1:11" ht="16" x14ac:dyDescent="0.2">
      <c r="A13" s="176" t="s">
        <v>40</v>
      </c>
      <c r="B13" s="170">
        <v>2361.5499999999993</v>
      </c>
      <c r="C13" s="171">
        <v>285.61559999999992</v>
      </c>
      <c r="E13" s="250" t="s">
        <v>39</v>
      </c>
      <c r="F13" s="248">
        <v>8595.0500000000029</v>
      </c>
      <c r="G13" s="249">
        <v>3371.516000000001</v>
      </c>
      <c r="I13" s="250" t="s">
        <v>149</v>
      </c>
      <c r="J13" s="248">
        <v>455</v>
      </c>
      <c r="K13" s="249">
        <v>100.1</v>
      </c>
    </row>
    <row r="14" spans="1:11" ht="16" x14ac:dyDescent="0.2">
      <c r="A14" s="176" t="s">
        <v>17</v>
      </c>
      <c r="B14" s="170">
        <v>1237.0400000000004</v>
      </c>
      <c r="C14" s="171">
        <v>236.78200000000012</v>
      </c>
      <c r="E14" s="250" t="s">
        <v>50</v>
      </c>
      <c r="F14" s="248">
        <v>10753.469999999967</v>
      </c>
      <c r="G14" s="249">
        <v>2155.5160000000083</v>
      </c>
      <c r="I14" s="250" t="s">
        <v>24</v>
      </c>
      <c r="J14" s="248">
        <v>2250</v>
      </c>
      <c r="K14" s="249">
        <v>495.0000000000004</v>
      </c>
    </row>
    <row r="15" spans="1:11" ht="16" x14ac:dyDescent="0.2">
      <c r="A15" s="176" t="s">
        <v>39</v>
      </c>
      <c r="B15" s="170">
        <v>7643.8300000000017</v>
      </c>
      <c r="C15" s="171">
        <v>3057.5320000000002</v>
      </c>
      <c r="E15" s="250" t="s">
        <v>46</v>
      </c>
      <c r="F15" s="248">
        <v>15970.08999999998</v>
      </c>
      <c r="G15" s="249">
        <v>3161.477999999991</v>
      </c>
      <c r="I15" s="250" t="s">
        <v>147</v>
      </c>
      <c r="J15" s="248">
        <v>234</v>
      </c>
      <c r="K15" s="249">
        <v>93.6</v>
      </c>
    </row>
    <row r="16" spans="1:11" ht="16" x14ac:dyDescent="0.2">
      <c r="A16" s="176" t="s">
        <v>56</v>
      </c>
      <c r="B16" s="170">
        <v>22610.840000000084</v>
      </c>
      <c r="C16" s="171">
        <v>3614.9220000000059</v>
      </c>
      <c r="E16" s="250" t="s">
        <v>148</v>
      </c>
      <c r="F16" s="248">
        <v>2220.2500000000014</v>
      </c>
      <c r="G16" s="249">
        <v>431.56599999999986</v>
      </c>
      <c r="I16" s="250" t="s">
        <v>41</v>
      </c>
      <c r="J16" s="248">
        <v>2066.404761904761</v>
      </c>
      <c r="K16" s="249">
        <v>826.56190476190136</v>
      </c>
    </row>
    <row r="17" spans="1:11" ht="16" x14ac:dyDescent="0.2">
      <c r="A17" s="176" t="s">
        <v>20</v>
      </c>
      <c r="B17" s="170">
        <v>14856.879999999906</v>
      </c>
      <c r="C17" s="171">
        <v>3020.9560000000156</v>
      </c>
      <c r="E17" s="250" t="s">
        <v>22</v>
      </c>
      <c r="F17" s="248">
        <v>12907.890000000005</v>
      </c>
      <c r="G17" s="249">
        <v>5012.7919999999995</v>
      </c>
      <c r="I17" s="250" t="s">
        <v>49</v>
      </c>
      <c r="J17" s="248">
        <v>834</v>
      </c>
      <c r="K17" s="249">
        <v>113.77999999999999</v>
      </c>
    </row>
    <row r="18" spans="1:11" ht="16" x14ac:dyDescent="0.2">
      <c r="A18" s="176" t="s">
        <v>148</v>
      </c>
      <c r="B18" s="170">
        <v>1811.6900000000005</v>
      </c>
      <c r="C18" s="171">
        <v>364.80400000000003</v>
      </c>
      <c r="E18" s="250" t="s">
        <v>149</v>
      </c>
      <c r="F18" s="248">
        <v>8897.2000000000098</v>
      </c>
      <c r="G18" s="249">
        <v>1394.5831999999978</v>
      </c>
      <c r="I18" s="250" t="s">
        <v>53</v>
      </c>
      <c r="J18" s="248">
        <v>600</v>
      </c>
      <c r="K18" s="249">
        <v>480</v>
      </c>
    </row>
    <row r="19" spans="1:11" ht="16" x14ac:dyDescent="0.2">
      <c r="A19" s="176" t="s">
        <v>167</v>
      </c>
      <c r="B19" s="170">
        <v>14081.799999999977</v>
      </c>
      <c r="C19" s="171">
        <v>1749.1574000000003</v>
      </c>
      <c r="E19" s="250" t="s">
        <v>24</v>
      </c>
      <c r="F19" s="248">
        <v>20493.070000000025</v>
      </c>
      <c r="G19" s="249">
        <v>2633.2788000000028</v>
      </c>
      <c r="I19" s="250" t="s">
        <v>55</v>
      </c>
      <c r="J19" s="248">
        <v>800</v>
      </c>
      <c r="K19" s="249">
        <v>405</v>
      </c>
    </row>
    <row r="20" spans="1:11" ht="16" x14ac:dyDescent="0.2">
      <c r="A20" s="176" t="s">
        <v>158</v>
      </c>
      <c r="B20" s="170">
        <v>20690.120000000039</v>
      </c>
      <c r="C20" s="171">
        <v>2389.001199999997</v>
      </c>
      <c r="E20" s="250" t="s">
        <v>147</v>
      </c>
      <c r="F20" s="248">
        <v>1083.5199999999998</v>
      </c>
      <c r="G20" s="249">
        <v>365.4464000000001</v>
      </c>
      <c r="I20" s="250" t="s">
        <v>45</v>
      </c>
      <c r="J20" s="248">
        <v>4965</v>
      </c>
      <c r="K20" s="249">
        <v>1241.25</v>
      </c>
    </row>
    <row r="21" spans="1:11" ht="16" x14ac:dyDescent="0.2">
      <c r="A21" s="176" t="s">
        <v>147</v>
      </c>
      <c r="B21" s="170">
        <v>5957.0638095238201</v>
      </c>
      <c r="C21" s="171">
        <v>1823.7854476190482</v>
      </c>
      <c r="E21" s="250" t="s">
        <v>41</v>
      </c>
      <c r="F21" s="248">
        <v>7494.4947619047771</v>
      </c>
      <c r="G21" s="249">
        <v>2504.1203047619047</v>
      </c>
      <c r="I21" s="250" t="s">
        <v>27</v>
      </c>
      <c r="J21" s="248">
        <v>4100</v>
      </c>
      <c r="K21" s="249">
        <v>1025</v>
      </c>
    </row>
    <row r="22" spans="1:11" ht="16" x14ac:dyDescent="0.2">
      <c r="A22" s="176" t="s">
        <v>53</v>
      </c>
      <c r="B22" s="170">
        <v>13222.940000000024</v>
      </c>
      <c r="C22" s="171">
        <v>9201.0579999999973</v>
      </c>
      <c r="E22" s="250" t="s">
        <v>49</v>
      </c>
      <c r="F22" s="248">
        <v>12188.579999999993</v>
      </c>
      <c r="G22" s="249">
        <v>1972.7334000000048</v>
      </c>
      <c r="I22" s="262" t="s">
        <v>159</v>
      </c>
      <c r="J22" s="260">
        <v>26004.404761904763</v>
      </c>
      <c r="K22" s="261">
        <v>7156.2919047619016</v>
      </c>
    </row>
    <row r="23" spans="1:11" ht="16" x14ac:dyDescent="0.2">
      <c r="A23" s="176" t="s">
        <v>45</v>
      </c>
      <c r="B23" s="170">
        <v>11611.599999999986</v>
      </c>
      <c r="C23" s="171">
        <v>2201.9146000000078</v>
      </c>
      <c r="E23" s="250" t="s">
        <v>53</v>
      </c>
      <c r="F23" s="248">
        <v>12310.550000000019</v>
      </c>
      <c r="G23" s="249">
        <v>8677.385000000002</v>
      </c>
      <c r="I23" s="250"/>
      <c r="J23" s="249"/>
      <c r="K23" s="248"/>
    </row>
    <row r="24" spans="1:11" ht="16" x14ac:dyDescent="0.2">
      <c r="A24" s="176" t="s">
        <v>27</v>
      </c>
      <c r="B24" s="170">
        <v>13920.799999999961</v>
      </c>
      <c r="C24" s="171">
        <v>2637.7418000000075</v>
      </c>
      <c r="E24" s="250" t="s">
        <v>55</v>
      </c>
      <c r="F24" s="248">
        <v>4219.9299999999994</v>
      </c>
      <c r="G24" s="249">
        <v>2798.9510000000009</v>
      </c>
      <c r="I24" s="250"/>
      <c r="J24" s="249"/>
      <c r="K24" s="248"/>
    </row>
    <row r="25" spans="1:11" ht="16" x14ac:dyDescent="0.2">
      <c r="A25" s="176" t="s">
        <v>52</v>
      </c>
      <c r="B25" s="170">
        <v>22233.45000000007</v>
      </c>
      <c r="C25" s="171">
        <v>2762.938399999985</v>
      </c>
      <c r="E25" s="250" t="s">
        <v>45</v>
      </c>
      <c r="F25" s="248">
        <v>15524.51999999998</v>
      </c>
      <c r="G25" s="249">
        <v>2890.359600000013</v>
      </c>
      <c r="I25" s="250"/>
      <c r="J25" s="249"/>
      <c r="K25" s="248"/>
    </row>
    <row r="26" spans="1:11" ht="16" x14ac:dyDescent="0.2">
      <c r="A26" s="176" t="s">
        <v>166</v>
      </c>
      <c r="B26" s="170">
        <v>5548.5200000000032</v>
      </c>
      <c r="C26" s="171">
        <v>854.09120000000019</v>
      </c>
      <c r="E26" s="250" t="s">
        <v>27</v>
      </c>
      <c r="F26" s="248">
        <v>15720.089999999951</v>
      </c>
      <c r="G26" s="249">
        <v>2817.2260000000078</v>
      </c>
    </row>
    <row r="27" spans="1:11" x14ac:dyDescent="0.2">
      <c r="A27" s="213" t="s">
        <v>159</v>
      </c>
      <c r="B27" s="214">
        <v>234448.21380952388</v>
      </c>
      <c r="C27" s="215">
        <v>51943.867647619067</v>
      </c>
    </row>
    <row r="28" spans="1:11" ht="16" x14ac:dyDescent="0.2">
      <c r="A28" s="251"/>
      <c r="B28" s="251"/>
      <c r="C28" s="251"/>
      <c r="I28" s="259"/>
      <c r="J28" s="259"/>
      <c r="K28" s="258"/>
    </row>
    <row r="29" spans="1:11" ht="16" x14ac:dyDescent="0.2">
      <c r="A29" s="251"/>
      <c r="B29" s="251"/>
      <c r="C29" s="251"/>
      <c r="I29" s="257"/>
      <c r="J29" s="256"/>
      <c r="K29" s="255"/>
    </row>
    <row r="30" spans="1:11" ht="16" x14ac:dyDescent="0.2">
      <c r="A30" s="251"/>
      <c r="B30" s="251"/>
      <c r="C30" s="251"/>
      <c r="J30" s="246"/>
      <c r="K30" s="245"/>
    </row>
    <row r="31" spans="1:11" ht="16" x14ac:dyDescent="0.2">
      <c r="A31" s="251"/>
      <c r="B31" s="251"/>
      <c r="E31" s="254" t="s">
        <v>169</v>
      </c>
      <c r="F31" s="253"/>
      <c r="G31" s="252"/>
      <c r="I31" s="247" t="s">
        <v>168</v>
      </c>
      <c r="J31" s="246"/>
      <c r="K31" s="245"/>
    </row>
    <row r="32" spans="1:11" ht="16" x14ac:dyDescent="0.2">
      <c r="A32" s="251"/>
      <c r="B32" s="251"/>
      <c r="E32" s="257" t="s">
        <v>10</v>
      </c>
      <c r="F32" s="255">
        <v>10344.52</v>
      </c>
      <c r="G32" s="256">
        <v>1225.32</v>
      </c>
      <c r="I32" s="254" t="s">
        <v>10</v>
      </c>
      <c r="J32" s="252">
        <v>120</v>
      </c>
      <c r="K32" s="253">
        <v>26.400000000000002</v>
      </c>
    </row>
    <row r="33" spans="1:11" ht="16" x14ac:dyDescent="0.2">
      <c r="A33" s="251"/>
      <c r="B33" s="251"/>
      <c r="E33" s="247" t="s">
        <v>57</v>
      </c>
      <c r="F33" s="245">
        <v>134.79</v>
      </c>
      <c r="G33" s="246">
        <v>0</v>
      </c>
      <c r="I33" s="250" t="s">
        <v>11</v>
      </c>
      <c r="J33" s="248">
        <v>1390</v>
      </c>
      <c r="K33" s="249">
        <v>347.5</v>
      </c>
    </row>
    <row r="34" spans="1:11" ht="16" x14ac:dyDescent="0.2">
      <c r="A34" s="251"/>
      <c r="B34" s="251"/>
      <c r="E34" s="247" t="s">
        <v>11</v>
      </c>
      <c r="F34" s="245">
        <v>11099.55</v>
      </c>
      <c r="G34" s="246">
        <v>1804</v>
      </c>
      <c r="I34" s="250" t="s">
        <v>54</v>
      </c>
      <c r="J34" s="248">
        <v>900</v>
      </c>
      <c r="K34" s="249">
        <v>620</v>
      </c>
    </row>
    <row r="35" spans="1:11" ht="16" x14ac:dyDescent="0.2">
      <c r="A35" s="251"/>
      <c r="B35" s="251"/>
      <c r="E35" s="247" t="s">
        <v>54</v>
      </c>
      <c r="F35" s="245">
        <v>3508.67</v>
      </c>
      <c r="G35" s="246">
        <v>2446.0700000000002</v>
      </c>
      <c r="I35" s="250" t="s">
        <v>48</v>
      </c>
      <c r="J35" s="248">
        <v>2040</v>
      </c>
      <c r="K35" s="249">
        <v>448.80000000000024</v>
      </c>
    </row>
    <row r="36" spans="1:11" ht="16" x14ac:dyDescent="0.2">
      <c r="A36" s="251"/>
      <c r="B36" s="251"/>
      <c r="E36" s="247" t="s">
        <v>43</v>
      </c>
      <c r="F36" s="245">
        <v>12717.13</v>
      </c>
      <c r="G36" s="246">
        <v>4977.58</v>
      </c>
      <c r="I36" s="250" t="s">
        <v>47</v>
      </c>
      <c r="J36" s="248">
        <v>1080</v>
      </c>
      <c r="K36" s="249">
        <v>250.80000000000004</v>
      </c>
    </row>
    <row r="37" spans="1:11" ht="16" x14ac:dyDescent="0.2">
      <c r="A37" s="251"/>
      <c r="B37" s="251"/>
      <c r="E37" s="247" t="s">
        <v>48</v>
      </c>
      <c r="F37" s="245">
        <v>20917.349999999999</v>
      </c>
      <c r="G37" s="246">
        <v>2669.88</v>
      </c>
      <c r="I37" s="250" t="s">
        <v>40</v>
      </c>
      <c r="J37" s="248">
        <v>40</v>
      </c>
      <c r="K37" s="249">
        <v>8.8000000000000007</v>
      </c>
    </row>
    <row r="38" spans="1:11" ht="16" x14ac:dyDescent="0.2">
      <c r="A38" s="251"/>
      <c r="B38" s="251"/>
      <c r="E38" s="247" t="s">
        <v>44</v>
      </c>
      <c r="F38" s="245">
        <v>6540.67</v>
      </c>
      <c r="G38" s="246">
        <v>2450.15</v>
      </c>
      <c r="I38" s="250" t="s">
        <v>17</v>
      </c>
      <c r="J38" s="248">
        <v>140</v>
      </c>
      <c r="K38" s="249">
        <v>35</v>
      </c>
    </row>
    <row r="39" spans="1:11" ht="16" x14ac:dyDescent="0.2">
      <c r="A39" s="251"/>
      <c r="B39" s="251"/>
      <c r="E39" s="247" t="s">
        <v>47</v>
      </c>
      <c r="F39" s="245">
        <v>11397.41</v>
      </c>
      <c r="G39" s="246">
        <v>2170.5700000000002</v>
      </c>
      <c r="I39" s="250" t="s">
        <v>39</v>
      </c>
      <c r="J39" s="248">
        <v>200</v>
      </c>
      <c r="K39" s="249">
        <v>80</v>
      </c>
    </row>
    <row r="40" spans="1:11" ht="16" x14ac:dyDescent="0.2">
      <c r="E40" s="247" t="s">
        <v>40</v>
      </c>
      <c r="F40" s="245">
        <v>2361.5500000000002</v>
      </c>
      <c r="G40" s="246">
        <v>285.62</v>
      </c>
      <c r="I40" s="250" t="s">
        <v>56</v>
      </c>
      <c r="J40" s="248">
        <v>1150</v>
      </c>
      <c r="K40" s="249">
        <v>181.50000000000003</v>
      </c>
    </row>
    <row r="41" spans="1:11" ht="16" x14ac:dyDescent="0.2">
      <c r="E41" s="247" t="s">
        <v>17</v>
      </c>
      <c r="F41" s="245">
        <v>1237.04</v>
      </c>
      <c r="G41" s="246">
        <v>236.78</v>
      </c>
      <c r="I41" s="250" t="s">
        <v>20</v>
      </c>
      <c r="J41" s="248">
        <v>2190</v>
      </c>
      <c r="K41" s="249">
        <v>547.5</v>
      </c>
    </row>
    <row r="42" spans="1:11" ht="16" x14ac:dyDescent="0.2">
      <c r="E42" s="247" t="s">
        <v>39</v>
      </c>
      <c r="F42" s="245">
        <v>7643.83</v>
      </c>
      <c r="G42" s="246">
        <v>3057.53</v>
      </c>
      <c r="I42" s="250" t="s">
        <v>148</v>
      </c>
      <c r="J42" s="248">
        <v>255</v>
      </c>
      <c r="K42" s="249">
        <v>63.75</v>
      </c>
    </row>
    <row r="43" spans="1:11" ht="16" x14ac:dyDescent="0.2">
      <c r="E43" s="247" t="s">
        <v>56</v>
      </c>
      <c r="F43" s="245">
        <v>22610.84</v>
      </c>
      <c r="G43" s="246">
        <v>3614.92</v>
      </c>
      <c r="I43" s="250" t="s">
        <v>167</v>
      </c>
      <c r="J43" s="248">
        <v>970</v>
      </c>
      <c r="K43" s="249">
        <v>213.4</v>
      </c>
    </row>
    <row r="44" spans="1:11" ht="16" x14ac:dyDescent="0.2">
      <c r="E44" s="247" t="s">
        <v>20</v>
      </c>
      <c r="F44" s="245">
        <v>14856.88</v>
      </c>
      <c r="G44" s="246">
        <v>3020.96</v>
      </c>
      <c r="I44" s="250" t="s">
        <v>158</v>
      </c>
      <c r="J44" s="248">
        <v>120</v>
      </c>
      <c r="K44" s="249">
        <v>26.4</v>
      </c>
    </row>
    <row r="45" spans="1:11" ht="16" x14ac:dyDescent="0.2">
      <c r="E45" s="247" t="s">
        <v>148</v>
      </c>
      <c r="F45" s="245">
        <v>1811.69</v>
      </c>
      <c r="G45" s="246">
        <v>364.8</v>
      </c>
      <c r="I45" s="250" t="s">
        <v>147</v>
      </c>
      <c r="J45" s="248">
        <v>1070.5238095238108</v>
      </c>
      <c r="K45" s="249">
        <v>324.019047619047</v>
      </c>
    </row>
    <row r="46" spans="1:11" ht="16" x14ac:dyDescent="0.2">
      <c r="E46" s="247" t="s">
        <v>167</v>
      </c>
      <c r="F46" s="245">
        <v>14081.8</v>
      </c>
      <c r="G46" s="246">
        <v>1749.16</v>
      </c>
      <c r="I46" s="250" t="s">
        <v>53</v>
      </c>
      <c r="J46" s="248">
        <v>500</v>
      </c>
      <c r="K46" s="249">
        <v>400</v>
      </c>
    </row>
    <row r="47" spans="1:11" ht="16" x14ac:dyDescent="0.2">
      <c r="E47" s="247" t="s">
        <v>158</v>
      </c>
      <c r="F47" s="245">
        <v>20690.12</v>
      </c>
      <c r="G47" s="246">
        <v>2389</v>
      </c>
      <c r="I47" s="250" t="s">
        <v>45</v>
      </c>
      <c r="J47" s="248">
        <v>4297</v>
      </c>
      <c r="K47" s="249">
        <v>1074.25</v>
      </c>
    </row>
    <row r="48" spans="1:11" ht="16" x14ac:dyDescent="0.2">
      <c r="E48" s="247" t="s">
        <v>147</v>
      </c>
      <c r="F48" s="245">
        <v>5957.06</v>
      </c>
      <c r="G48" s="246">
        <v>1823.79</v>
      </c>
      <c r="I48" s="250" t="s">
        <v>27</v>
      </c>
      <c r="J48" s="248">
        <v>5000</v>
      </c>
      <c r="K48" s="249">
        <v>1250</v>
      </c>
    </row>
    <row r="49" spans="5:11" ht="16" x14ac:dyDescent="0.2">
      <c r="E49" s="247" t="s">
        <v>53</v>
      </c>
      <c r="F49" s="245">
        <v>13222.94</v>
      </c>
      <c r="G49" s="246">
        <v>9201.06</v>
      </c>
      <c r="I49" s="250" t="s">
        <v>52</v>
      </c>
      <c r="J49" s="248">
        <v>1420</v>
      </c>
      <c r="K49" s="249">
        <v>312.40000000000015</v>
      </c>
    </row>
    <row r="50" spans="5:11" ht="16" x14ac:dyDescent="0.2">
      <c r="E50" s="247" t="s">
        <v>45</v>
      </c>
      <c r="F50" s="245">
        <v>11611.6</v>
      </c>
      <c r="G50" s="246">
        <v>2201.91</v>
      </c>
      <c r="I50" s="250" t="s">
        <v>166</v>
      </c>
      <c r="J50" s="248">
        <v>480</v>
      </c>
      <c r="K50" s="249">
        <v>105.6</v>
      </c>
    </row>
    <row r="51" spans="5:11" ht="16" x14ac:dyDescent="0.2">
      <c r="E51" s="247" t="s">
        <v>27</v>
      </c>
      <c r="F51" s="245">
        <v>13920.8</v>
      </c>
      <c r="G51" s="246">
        <v>2637.74</v>
      </c>
    </row>
    <row r="52" spans="5:11" ht="16" x14ac:dyDescent="0.2">
      <c r="E52" s="247" t="s">
        <v>52</v>
      </c>
      <c r="F52" s="245">
        <v>22233.45</v>
      </c>
      <c r="G52" s="246">
        <v>2762.94</v>
      </c>
    </row>
    <row r="53" spans="5:11" ht="16" x14ac:dyDescent="0.2">
      <c r="E53" s="247" t="s">
        <v>166</v>
      </c>
      <c r="F53" s="245">
        <v>5548.52</v>
      </c>
      <c r="G53" s="246">
        <v>854.09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zoomScale="87" zoomScaleNormal="70" workbookViewId="0">
      <pane xSplit="1" topLeftCell="B1" activePane="topRight" state="frozen"/>
      <selection pane="topRight" activeCell="H26" sqref="H26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58</v>
      </c>
      <c r="B1" s="68" t="s">
        <v>37</v>
      </c>
      <c r="C1" s="68" t="s">
        <v>59</v>
      </c>
      <c r="D1" s="149" t="s">
        <v>60</v>
      </c>
      <c r="E1" s="166" t="s">
        <v>38</v>
      </c>
      <c r="F1" s="68" t="s">
        <v>61</v>
      </c>
      <c r="G1" s="68" t="s">
        <v>62</v>
      </c>
      <c r="H1" s="68" t="s">
        <v>63</v>
      </c>
      <c r="I1" s="68" t="s">
        <v>64</v>
      </c>
      <c r="J1" s="67" t="s">
        <v>65</v>
      </c>
      <c r="K1" s="69" t="s">
        <v>66</v>
      </c>
      <c r="L1" s="70" t="s">
        <v>67</v>
      </c>
      <c r="M1" s="163" t="s">
        <v>139</v>
      </c>
      <c r="N1" s="76" t="s">
        <v>69</v>
      </c>
      <c r="O1" s="76" t="s">
        <v>70</v>
      </c>
      <c r="P1" s="76" t="s">
        <v>71</v>
      </c>
      <c r="Q1" s="76" t="s">
        <v>72</v>
      </c>
      <c r="R1" s="76" t="s">
        <v>73</v>
      </c>
      <c r="S1" s="76" t="s">
        <v>74</v>
      </c>
      <c r="T1" s="173" t="s">
        <v>75</v>
      </c>
      <c r="U1" s="76" t="s">
        <v>76</v>
      </c>
      <c r="V1" s="76" t="s">
        <v>77</v>
      </c>
      <c r="W1" s="228" t="s">
        <v>78</v>
      </c>
      <c r="X1" s="59" t="s">
        <v>1</v>
      </c>
      <c r="Y1" s="60" t="s">
        <v>79</v>
      </c>
      <c r="Z1" s="61" t="s">
        <v>80</v>
      </c>
      <c r="AA1" s="61" t="s">
        <v>81</v>
      </c>
      <c r="AB1" s="61" t="s">
        <v>82</v>
      </c>
      <c r="AC1" s="62" t="s">
        <v>83</v>
      </c>
      <c r="AD1" s="63" t="s">
        <v>84</v>
      </c>
      <c r="AE1" s="64" t="s">
        <v>85</v>
      </c>
    </row>
    <row r="2" spans="1:41" ht="22" customHeight="1" x14ac:dyDescent="0.25">
      <c r="A2" s="93" t="s">
        <v>150</v>
      </c>
      <c r="B2" s="189" t="s">
        <v>42</v>
      </c>
      <c r="C2" s="146" t="s">
        <v>93</v>
      </c>
      <c r="D2" s="182" cm="1">
        <f t="array" ref="D2">IFERROR(SUMPRODUCT((A2=A$92:A$118)*(B$92:B$118)) + SUMPRODUCT((A2=A$123:A$150)*(B$123:B$150)), "")</f>
        <v>5957.06</v>
      </c>
      <c r="E2" s="182" cm="1">
        <f t="array" ref="E2">IFERROR(SUMPRODUCT((A2=A$92:A$118)*(C$92:C$118)) + SUMPRODUCT((A2=A$123:A$150)*(C$123:C$150)), "")</f>
        <v>2189.2364000000002</v>
      </c>
      <c r="F2" s="155"/>
      <c r="G2" s="116" t="s">
        <v>88</v>
      </c>
      <c r="H2" s="54">
        <f>IF(D2&gt;G2,AE2+Tabela324[[#This Row],[FIXO]],E2+F2)+'Extras-Descontos'!G4-'Extras-Descontos'!G46</f>
        <v>2189.2364000000002</v>
      </c>
      <c r="I2" s="14" t="str">
        <f>IF(Tabela324[[#This Row],[Valor Total Clínica]]&gt;=Tabela324[[#This Row],[META]],"META","FORA")</f>
        <v>FORA</v>
      </c>
      <c r="J2" s="38" t="s">
        <v>89</v>
      </c>
      <c r="K2" s="83">
        <f>'Extras-Descontos'!C46</f>
        <v>0</v>
      </c>
      <c r="L2" s="178"/>
      <c r="M2" s="188" t="s">
        <v>144</v>
      </c>
      <c r="N2" s="10">
        <f>IF(Tabela324[[#This Row],[VALOR BRUTO]]&gt;2826.65,564.8,Tabela324[[#This Row],[VALOR BRUTO]]*11%)</f>
        <v>240.81600400000002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1948.4203960000002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2189.2364000000002</v>
      </c>
      <c r="U2" s="66" t="s">
        <v>90</v>
      </c>
      <c r="V2" s="66" t="s">
        <v>90</v>
      </c>
      <c r="W2" s="229"/>
      <c r="X2" s="93" t="str">
        <f>Tabela324[[#This Row],[FUNCIONÁRIOS]]</f>
        <v>Ana Clara dos Santos Costa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51</v>
      </c>
      <c r="B3" s="119" t="s">
        <v>86</v>
      </c>
      <c r="C3" s="147" t="s">
        <v>87</v>
      </c>
      <c r="D3" s="182" cm="1">
        <f t="array" ref="D3">IFERROR(SUMPRODUCT((A3=A$92:A$118)*(B$92:B$118)) + SUMPRODUCT((A3=A$123:A$150)*(B$123:B$150)), "")</f>
        <v>10715.230000000003</v>
      </c>
      <c r="E3" s="182" cm="1">
        <f t="array" ref="E3">IFERROR(SUMPRODUCT((A3=A$92:A$118)*(C$92:C$118)) + SUMPRODUCT((A3=A$123:A$150)*(C$123:C$150)), "")</f>
        <v>4129.4580000000005</v>
      </c>
      <c r="F3" s="156">
        <v>0</v>
      </c>
      <c r="G3" s="190" t="s">
        <v>88</v>
      </c>
      <c r="H3" s="54">
        <f>IF(D3&gt;G3,AE3+Tabela324[[#This Row],[FIXO]],E3+F3)+'Extras-Descontos'!G5-'Extras-Descontos'!G47</f>
        <v>4129.4580000000005</v>
      </c>
      <c r="I3" s="14" t="str">
        <f>IF(Tabela324[[#This Row],[Valor Total Clínica]]&gt;=Tabela324[[#This Row],[META]],"META","FORA")</f>
        <v>FORA</v>
      </c>
      <c r="J3" s="13" t="s">
        <v>89</v>
      </c>
      <c r="K3" s="83">
        <f>'Extras-Descontos'!C47</f>
        <v>0</v>
      </c>
      <c r="L3" s="192" t="s">
        <v>91</v>
      </c>
      <c r="M3" s="188" t="s">
        <v>145</v>
      </c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153.25870000000003</v>
      </c>
      <c r="P3" s="9">
        <v>0</v>
      </c>
      <c r="Q3" s="9">
        <f>Tabela324[[#This Row],[VALOR BRUTO]]-Tabela135[[#This Row],[DED. FIXA OU INSS (11%)]]</f>
        <v>3564.6580000000004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" s="56">
        <f>IF(Tabela324[[#This Row],[STATUS NOTA]]="NFA",Tabela324[[#This Row],[VALOR BRUTO]]-(Tabela324[[#This Row],[VALOR BRUTO]]*11%)-Tabela135[[#This Row],[IRPF]],Tabela324[[#This Row],[VALOR BRUTO]])</f>
        <v>4129.4580000000005</v>
      </c>
      <c r="U3" s="66" t="s">
        <v>90</v>
      </c>
      <c r="V3" s="66" t="s">
        <v>90</v>
      </c>
      <c r="W3" s="229"/>
      <c r="X3" s="93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195" t="s">
        <v>164</v>
      </c>
      <c r="B4" s="119" t="s">
        <v>95</v>
      </c>
      <c r="C4" s="147" t="s">
        <v>93</v>
      </c>
      <c r="D4" s="182" cm="1">
        <f t="array" ref="D4">IFERROR(SUMPRODUCT((A4=A$92:A$118)*(B$92:B$118)) + SUMPRODUCT((A4=A$123:A$150)*(B$123:B$150)), "")</f>
        <v>10344.52</v>
      </c>
      <c r="E4" s="182" cm="1">
        <f t="array" ref="E4">IFERROR(SUMPRODUCT((A4=A$92:A$118)*(C$92:C$118)) + SUMPRODUCT((A4=A$123:A$150)*(C$123:C$150)), "")</f>
        <v>1225.32</v>
      </c>
      <c r="F4" s="156"/>
      <c r="G4" s="118">
        <v>13000</v>
      </c>
      <c r="H4" s="54">
        <f>IF(D4&gt;G4,AE4+Tabela324[[#This Row],[FIXO]],E4+F4)+'Extras-Descontos'!G6-'Extras-Descontos'!G48</f>
        <v>1425.32</v>
      </c>
      <c r="I4" s="14" t="str">
        <f>IF(Tabela324[[#This Row],[Valor Total Clínica]]&gt;=Tabela324[[#This Row],[META]],"META","FORA")</f>
        <v>FORA</v>
      </c>
      <c r="J4" s="13" t="s">
        <v>89</v>
      </c>
      <c r="K4" s="83">
        <f>'Extras-Descontos'!C48</f>
        <v>0</v>
      </c>
      <c r="L4" s="153" t="s">
        <v>96</v>
      </c>
      <c r="M4" s="188" t="s">
        <v>145</v>
      </c>
      <c r="N4" s="10">
        <f>IF(Tabela324[[#This Row],[VALOR BRUTO]]&gt;2826.65,564.8,Tabela324[[#This Row],[VALOR BRUTO]]*11%)</f>
        <v>156.7852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1268.5347999999999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1425.32</v>
      </c>
      <c r="U4" s="66" t="s">
        <v>90</v>
      </c>
      <c r="V4" s="77" t="s">
        <v>7</v>
      </c>
      <c r="W4" s="229"/>
      <c r="X4" s="93" t="str">
        <f>Tabela324[[#This Row],[FUNCIONÁRIOS]]</f>
        <v>Douglas Almeida da Silva Tarde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11</v>
      </c>
      <c r="B5" s="119" t="s">
        <v>97</v>
      </c>
      <c r="C5" s="147" t="s">
        <v>98</v>
      </c>
      <c r="D5" s="182" cm="1">
        <f t="array" ref="D5">IFERROR(SUMPRODUCT((A5=A$92:A$118)*(B$92:B$118)) + SUMPRODUCT((A5=A$123:A$150)*(B$123:B$150)), "")</f>
        <v>11712.499999999995</v>
      </c>
      <c r="E5" s="182" cm="1">
        <f t="array" ref="E5">IFERROR(SUMPRODUCT((A5=A$92:A$118)*(C$92:C$118)) + SUMPRODUCT((A5=A$123:A$150)*(C$123:C$150)), "")</f>
        <v>1942.7951999999925</v>
      </c>
      <c r="F5" s="156">
        <f>IF(K5&gt;0,600-(K5*20),600)</f>
        <v>580</v>
      </c>
      <c r="G5" s="118">
        <v>14000</v>
      </c>
      <c r="H5" s="54">
        <f>IF(D5&gt;G5,AE5+Tabela324[[#This Row],[FIXO]],E5+F5)+'Extras-Descontos'!G7-'Extras-Descontos'!G49</f>
        <v>2522.7951999999923</v>
      </c>
      <c r="I5" s="14" t="str">
        <f>IF(Tabela324[[#This Row],[Valor Total Clínica]]&gt;=Tabela324[[#This Row],[META]],"META","FORA")</f>
        <v>FORA</v>
      </c>
      <c r="J5" s="13" t="s">
        <v>89</v>
      </c>
      <c r="K5" s="83">
        <f>'Extras-Descontos'!C49</f>
        <v>1</v>
      </c>
      <c r="L5" s="153" t="s">
        <v>99</v>
      </c>
      <c r="M5" s="188" t="s">
        <v>145</v>
      </c>
      <c r="N5" s="10">
        <f>IF(Tabela324[[#This Row],[VALOR BRUTO]]&gt;2826.65,564.8,Tabela324[[#This Row],[VALOR BRUTO]]*11%)</f>
        <v>277.50747199999915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2245.287727999993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2522.7951999999923</v>
      </c>
      <c r="U5" s="66" t="s">
        <v>90</v>
      </c>
      <c r="V5" s="66" t="s">
        <v>90</v>
      </c>
      <c r="W5" s="229"/>
      <c r="X5" s="93" t="str">
        <f>Tabela324[[#This Row],[FUNCIONÁRIOS]]</f>
        <v>Eduardo Aleixo da Silva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100</v>
      </c>
      <c r="B6" s="119" t="s">
        <v>97</v>
      </c>
      <c r="C6" s="147" t="s">
        <v>98</v>
      </c>
      <c r="D6" s="182" cm="1">
        <f t="array" ref="D6">IFERROR(SUMPRODUCT((A6=A$92:A$118)*(B$92:B$118)) + SUMPRODUCT((A6=A$123:A$150)*(B$123:B$150)), "")</f>
        <v>11099.55</v>
      </c>
      <c r="E6" s="182" cm="1">
        <f t="array" ref="E6">IFERROR(SUMPRODUCT((A6=A$92:A$118)*(C$92:C$118)) + SUMPRODUCT((A6=A$123:A$150)*(C$123:C$150)), "")</f>
        <v>1804</v>
      </c>
      <c r="F6" s="156">
        <f>IF(K6&gt;0,600-(K6*20),600)</f>
        <v>600</v>
      </c>
      <c r="G6" s="118">
        <v>14000</v>
      </c>
      <c r="H6" s="54">
        <f>IF(D6&gt;G6,AE6+Tabela324[[#This Row],[FIXO]],E6+F6)+'Extras-Descontos'!G8-'Extras-Descontos'!G50</f>
        <v>2404</v>
      </c>
      <c r="I6" s="14" t="str">
        <f>IF(Tabela324[[#This Row],[Valor Total Clínica]]&gt;=Tabela324[[#This Row],[META]],"META","FORA")</f>
        <v>FORA</v>
      </c>
      <c r="J6" s="13" t="s">
        <v>89</v>
      </c>
      <c r="K6" s="83">
        <f>'Extras-Descontos'!C50</f>
        <v>0</v>
      </c>
      <c r="L6" s="269" t="s">
        <v>99</v>
      </c>
      <c r="M6" s="188" t="s">
        <v>144</v>
      </c>
      <c r="N6" s="10">
        <f>IF(Tabela324[[#This Row],[VALOR BRUTO]]&gt;2826.65,564.8,Tabela324[[#This Row],[VALOR BRUTO]]*11%)</f>
        <v>264.44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2139.56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2404</v>
      </c>
      <c r="U6" s="66" t="s">
        <v>90</v>
      </c>
      <c r="V6" s="66" t="s">
        <v>90</v>
      </c>
      <c r="W6" s="229"/>
      <c r="X6" s="93" t="str">
        <f>Tabela324[[#This Row],[FUNCIONÁRIOS]]</f>
        <v>Eduardo Aleixo da Silva (Tarde)</v>
      </c>
      <c r="Y6" s="8" t="str">
        <f t="shared" si="0"/>
        <v>FORA</v>
      </c>
      <c r="Z6" s="57">
        <f t="shared" si="4"/>
        <v>0</v>
      </c>
      <c r="AA6" s="52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161" t="s">
        <v>14</v>
      </c>
      <c r="B7" s="117" t="s">
        <v>92</v>
      </c>
      <c r="C7" s="147" t="s">
        <v>87</v>
      </c>
      <c r="D7" s="182" cm="1">
        <f t="array" ref="D7">IFERROR(SUMPRODUCT((A7=A$92:A$118)*(B$92:B$118)) + SUMPRODUCT((A7=A$123:A$150)*(B$123:B$150)), "")</f>
        <v>7656.4400000000132</v>
      </c>
      <c r="E7" s="267">
        <v>1017.62</v>
      </c>
      <c r="F7" s="156"/>
      <c r="G7" s="118">
        <v>14000</v>
      </c>
      <c r="H7" s="54">
        <f>IF(D7&gt;G7,AE7+Tabela324[[#This Row],[FIXO]],E7+F7)+'Extras-Descontos'!G9-'Extras-Descontos'!G51</f>
        <v>1517.62</v>
      </c>
      <c r="I7" s="14" t="str">
        <f>IF(Tabela324[[#This Row],[Valor Total Clínica]]&gt;=Tabela324[[#This Row],[META]],"META","FORA")</f>
        <v>FORA</v>
      </c>
      <c r="J7" s="13" t="s">
        <v>89</v>
      </c>
      <c r="K7" s="83">
        <f>'Extras-Descontos'!C51</f>
        <v>0</v>
      </c>
      <c r="L7" s="178" t="s">
        <v>102</v>
      </c>
      <c r="M7" s="188" t="s">
        <v>145</v>
      </c>
      <c r="N7" s="10">
        <f>IF(Tabela324[[#This Row],[VALOR BRUTO]]&gt;2826.65,564.8,Tabela324[[#This Row],[VALOR BRUTO]]*11%)</f>
        <v>166.93819999999999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1350.6817999999998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1517.62</v>
      </c>
      <c r="U7" s="66" t="s">
        <v>90</v>
      </c>
      <c r="V7" s="77" t="s">
        <v>7</v>
      </c>
      <c r="W7" s="229"/>
      <c r="X7" s="93" t="str">
        <f>Tabela324[[#This Row],[FUNCIONÁRIOS]]</f>
        <v>Gabriella Ferreira de Anizio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4" t="s">
        <v>43</v>
      </c>
      <c r="B8" s="119" t="s">
        <v>86</v>
      </c>
      <c r="C8" s="147" t="s">
        <v>87</v>
      </c>
      <c r="D8" s="182" cm="1">
        <f t="array" ref="D8">IFERROR(SUMPRODUCT((A8=A$92:A$118)*(B$92:B$118)) + SUMPRODUCT((A8=A$123:A$150)*(B$123:B$150)), "")</f>
        <v>12717.13</v>
      </c>
      <c r="E8" s="182" cm="1">
        <f t="array" ref="E8">IFERROR(SUMPRODUCT((A8=A$92:A$118)*(C$92:C$118)) + SUMPRODUCT((A8=A$123:A$150)*(C$123:C$150)), "")</f>
        <v>4977.58</v>
      </c>
      <c r="F8" s="156"/>
      <c r="G8" s="118" t="s">
        <v>88</v>
      </c>
      <c r="H8" s="54">
        <f>IF(D8&gt;G8,AE8+Tabela324[[#This Row],[FIXO]],E8+F8)+'Extras-Descontos'!G10-'Extras-Descontos'!G52</f>
        <v>4977.58</v>
      </c>
      <c r="I8" s="14" t="str">
        <f>IF(Tabela324[[#This Row],[Valor Total Clínica]]&gt;=Tabela324[[#This Row],[META]],"META","FORA")</f>
        <v>FORA</v>
      </c>
      <c r="J8" s="13" t="s">
        <v>7</v>
      </c>
      <c r="K8" s="83">
        <f>'Extras-Descontos'!C52</f>
        <v>0</v>
      </c>
      <c r="L8" s="151" t="s">
        <v>103</v>
      </c>
      <c r="M8" s="188" t="s">
        <v>144</v>
      </c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330.10550000000001</v>
      </c>
      <c r="P8" s="9">
        <v>0</v>
      </c>
      <c r="Q8" s="9">
        <f>Tabela324[[#This Row],[VALOR BRUTO]]-Tabela135[[#This Row],[DED. FIXA OU INSS (11%)]]</f>
        <v>4412.78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8" s="56">
        <f>IF(Tabela324[[#This Row],[STATUS NOTA]]="NFA",Tabela324[[#This Row],[VALOR BRUTO]]-(Tabela324[[#This Row],[VALOR BRUTO]]*11%)-Tabela135[[#This Row],[IRPF]],Tabela324[[#This Row],[VALOR BRUTO]])</f>
        <v>4977.58</v>
      </c>
      <c r="U8" s="66" t="s">
        <v>90</v>
      </c>
      <c r="V8" s="66" t="s">
        <v>90</v>
      </c>
      <c r="W8" s="229"/>
      <c r="X8" s="93" t="str">
        <f>Tabela324[[#This Row],[FUNCIONÁRIOS]]</f>
        <v>Giovanna Águila da Costa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93" t="s">
        <v>16</v>
      </c>
      <c r="B9" s="117" t="s">
        <v>95</v>
      </c>
      <c r="C9" s="147" t="s">
        <v>93</v>
      </c>
      <c r="D9" s="182" cm="1">
        <f t="array" ref="D9">IFERROR(SUMPRODUCT((A9=A$92:A$118)*(B$92:B$118)) + SUMPRODUCT((A9=A$123:A$150)*(B$123:B$150)), "")</f>
        <v>570</v>
      </c>
      <c r="E9" s="182" cm="1">
        <f t="array" ref="E9">IFERROR(SUMPRODUCT((A9=A$92:A$118)*(C$92:C$118)) + SUMPRODUCT((A9=A$123:A$150)*(C$123:C$150)), "")</f>
        <v>285</v>
      </c>
      <c r="F9" s="156"/>
      <c r="G9" s="118" t="s">
        <v>88</v>
      </c>
      <c r="H9" s="54">
        <f>IF(D9&gt;G9,AE9+Tabela324[[#This Row],[FIXO]],E9+F9)+'Extras-Descontos'!G11-'Extras-Descontos'!G53</f>
        <v>285</v>
      </c>
      <c r="I9" s="14" t="str">
        <f>IF(Tabela324[[#This Row],[Valor Total Clínica]]&gt;=Tabela324[[#This Row],[META]],"META","FORA")</f>
        <v>FORA</v>
      </c>
      <c r="J9" s="13" t="s">
        <v>104</v>
      </c>
      <c r="K9" s="83">
        <f>'Extras-Descontos'!C53</f>
        <v>0</v>
      </c>
      <c r="L9" s="153" t="s">
        <v>105</v>
      </c>
      <c r="M9" s="188"/>
      <c r="N9" s="10">
        <f>IF(Tabela324[[#This Row],[VALOR BRUTO]]&gt;2826.65,564.8,Tabela324[[#This Row],[VALOR BRUTO]]*11%)</f>
        <v>31.35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253.65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285</v>
      </c>
      <c r="U9" s="66" t="s">
        <v>90</v>
      </c>
      <c r="V9" s="66" t="s">
        <v>90</v>
      </c>
      <c r="W9" s="229"/>
      <c r="X9" s="93" t="str">
        <f>Tabela324[[#This Row],[FUNCIONÁRIOS]]</f>
        <v>Glaumir Sampaio Cavalcante Junior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44</v>
      </c>
      <c r="B10" s="117" t="s">
        <v>86</v>
      </c>
      <c r="C10" s="147" t="s">
        <v>87</v>
      </c>
      <c r="D10" s="182" cm="1">
        <f t="array" ref="D10">IFERROR(SUMPRODUCT((A10=A$92:A$118)*(B$92:B$118)) + SUMPRODUCT((A10=A$123:A$150)*(B$123:B$150)), "")</f>
        <v>6540.67</v>
      </c>
      <c r="E10" s="182" cm="1">
        <f t="array" ref="E10">IFERROR(SUMPRODUCT((A10=A$92:A$118)*(C$92:C$118)) + SUMPRODUCT((A10=A$123:A$150)*(C$123:C$150)), "")</f>
        <v>2450.15</v>
      </c>
      <c r="F10" s="156">
        <v>0</v>
      </c>
      <c r="G10" s="118" t="s">
        <v>88</v>
      </c>
      <c r="H10" s="54">
        <f>IF(D10&gt;G10,AE10+Tabela324[[#This Row],[FIXO]],E10+F10)+'Extras-Descontos'!G12-'Extras-Descontos'!G54</f>
        <v>2450.15</v>
      </c>
      <c r="I10" s="14" t="str">
        <f>IF(Tabela324[[#This Row],[Valor Total Clínica]]&gt;=Tabela324[[#This Row],[META]],"META","FORA")</f>
        <v>FORA</v>
      </c>
      <c r="J10" s="38"/>
      <c r="K10" s="83">
        <f>'Extras-Descontos'!C54</f>
        <v>0</v>
      </c>
      <c r="L10" s="270" t="s">
        <v>107</v>
      </c>
      <c r="M10" s="188" t="s">
        <v>144</v>
      </c>
      <c r="N10" s="10">
        <f>IF(Tabela324[[#This Row],[VALOR BRUTO]]&gt;2826.65,564.8,Tabela324[[#This Row],[VALOR BRUTO]]*11%)</f>
        <v>269.51650000000001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2180.6334999999999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2450.15</v>
      </c>
      <c r="U10" s="66" t="s">
        <v>90</v>
      </c>
      <c r="V10" s="77" t="s">
        <v>7</v>
      </c>
      <c r="W10" s="229"/>
      <c r="X10" s="93" t="str">
        <f>Tabela324[[#This Row],[FUNCIONÁRIOS]]</f>
        <v>Jamily Oliveira do Vale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40</v>
      </c>
      <c r="B11" s="117" t="s">
        <v>95</v>
      </c>
      <c r="C11" s="147" t="s">
        <v>87</v>
      </c>
      <c r="D11" s="182" cm="1">
        <f t="array" ref="D11">IFERROR(SUMPRODUCT((A11=A$92:A$118)*(B$92:B$118)) + SUMPRODUCT((A11=A$123:A$150)*(B$123:B$150)), "")</f>
        <v>21213.499999999989</v>
      </c>
      <c r="E11" s="182" cm="1">
        <f t="array" ref="E11">IFERROR(SUMPRODUCT((A11=A$92:A$118)*(C$92:C$118)) + SUMPRODUCT((A11=A$123:A$150)*(C$123:C$150)), "")</f>
        <v>2599.4008000000013</v>
      </c>
      <c r="F11" s="156">
        <f>IF(K11&gt;0,600-(K11*20),600)</f>
        <v>580</v>
      </c>
      <c r="G11" s="118">
        <v>13000</v>
      </c>
      <c r="H11" s="54">
        <f>IF(D11&gt;G11,AE11+Tabela324[[#This Row],[FIXO]],E11+F11)+'Extras-Descontos'!G13-'Extras-Descontos'!G55</f>
        <v>3611.1676000000016</v>
      </c>
      <c r="I11" s="14" t="str">
        <f>IF(Tabela324[[#This Row],[Valor Total Clínica]]&gt;=Tabela324[[#This Row],[META]],"META","FORA")</f>
        <v>META</v>
      </c>
      <c r="J11" s="13" t="s">
        <v>89</v>
      </c>
      <c r="K11" s="83">
        <f>'Extras-Descontos'!C55</f>
        <v>1</v>
      </c>
      <c r="L11" s="271" t="s">
        <v>152</v>
      </c>
      <c r="M11" s="188" t="s">
        <v>145</v>
      </c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75.515140000000201</v>
      </c>
      <c r="P11" s="9">
        <v>0</v>
      </c>
      <c r="Q11" s="9">
        <f>Tabela324[[#This Row],[VALOR BRUTO]]-Tabela135[[#This Row],[DED. FIXA OU INSS (11%)]]</f>
        <v>3046.3676000000014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1" s="187">
        <f>IF(Tabela324[[#This Row],[STATUS NOTA]]="NFA",Tabela324[[#This Row],[VALOR BRUTO]]-(Tabela324[[#This Row],[VALOR BRUTO]]*11%)-Tabela135[[#This Row],[IRPF]],Tabela324[[#This Row],[VALOR BRUTO]])</f>
        <v>3611.1676000000016</v>
      </c>
      <c r="U11" s="66" t="s">
        <v>90</v>
      </c>
      <c r="V11" s="77" t="s">
        <v>7</v>
      </c>
      <c r="W11" s="229"/>
      <c r="X11" s="93" t="str">
        <f>Tabela324[[#This Row],[FUNCIONÁRIOS]]</f>
        <v>Juliana Fernandes de Oliveira</v>
      </c>
      <c r="Y11" s="8">
        <f t="shared" si="0"/>
        <v>2599.4008000000013</v>
      </c>
      <c r="Z11" s="57">
        <f t="shared" si="4"/>
        <v>2590.6008000000011</v>
      </c>
      <c r="AA11" s="249">
        <v>8.8000000000000007</v>
      </c>
      <c r="AB11" s="58">
        <f t="shared" si="1"/>
        <v>21588.340000000007</v>
      </c>
      <c r="AC11" s="58">
        <f t="shared" si="2"/>
        <v>2590.6008000000006</v>
      </c>
      <c r="AD11" s="58">
        <f t="shared" si="3"/>
        <v>3022.3676000000014</v>
      </c>
      <c r="AE11" s="71">
        <f>Tabela411107[[#This Row],[COM META]]+Tabela411107[[#This Row],[PART/OAB]]</f>
        <v>3031.1676000000016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5" t="s">
        <v>151</v>
      </c>
      <c r="B12" s="121" t="s">
        <v>42</v>
      </c>
      <c r="C12" s="148" t="s">
        <v>93</v>
      </c>
      <c r="D12" s="182" cm="1">
        <f t="array" ref="D12">IFERROR(SUMPRODUCT((A12=A$92:A$118)*(B$92:B$118)) + SUMPRODUCT((A12=A$123:A$150)*(B$123:B$150)), "")</f>
        <v>7494.4947619047771</v>
      </c>
      <c r="E12" s="182" cm="1">
        <f t="array" ref="E12">IFERROR(SUMPRODUCT((A12=A$92:A$118)*(C$92:C$118)) + SUMPRODUCT((A12=A$123:A$150)*(C$123:C$150)), "")</f>
        <v>2504.1203047619047</v>
      </c>
      <c r="F12" s="156"/>
      <c r="G12" s="118" t="s">
        <v>88</v>
      </c>
      <c r="H12" s="54">
        <f>IF(D12&gt;G12,AE12+Tabela324[[#This Row],[FIXO]],E12+F12)+'Extras-Descontos'!G14-'Extras-Descontos'!G56</f>
        <v>2504.1203047619047</v>
      </c>
      <c r="I12" s="14" t="str">
        <f>IF(Tabela324[[#This Row],[Valor Total Clínica]]&gt;=Tabela324[[#This Row],[META]],"META","FORA")</f>
        <v>FORA</v>
      </c>
      <c r="J12" s="38" t="s">
        <v>89</v>
      </c>
      <c r="K12" s="83">
        <f>'Extras-Descontos'!C56</f>
        <v>0</v>
      </c>
      <c r="L12" s="153"/>
      <c r="M12" s="188" t="s">
        <v>145</v>
      </c>
      <c r="N12" s="10">
        <f>IF(Tabela324[[#This Row],[VALOR BRUTO]]&gt;2826.65,564.8,Tabela324[[#This Row],[VALOR BRUTO]]*11%)</f>
        <v>275.4532335238095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2228.6670712380951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2504.1203047619047</v>
      </c>
      <c r="U12" s="66" t="s">
        <v>90</v>
      </c>
      <c r="V12" s="66" t="s">
        <v>90</v>
      </c>
      <c r="W12" s="229"/>
      <c r="X12" s="93" t="str">
        <f>Tabela324[[#This Row],[FUNCIONÁRIOS]]</f>
        <v>Lana Sabrina Castro Said</v>
      </c>
      <c r="Y12" s="8" t="str">
        <f t="shared" si="0"/>
        <v>FORA</v>
      </c>
      <c r="Z12" s="57">
        <f t="shared" si="4"/>
        <v>0</v>
      </c>
      <c r="AA12" s="180"/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5">
      <c r="A13" s="94" t="s">
        <v>17</v>
      </c>
      <c r="B13" s="119" t="s">
        <v>110</v>
      </c>
      <c r="C13" s="147" t="s">
        <v>98</v>
      </c>
      <c r="D13" s="182" cm="1">
        <f t="array" ref="D13">IFERROR(SUMPRODUCT((A13=A$92:A$118)*(B$92:B$118)) + SUMPRODUCT((A13=A$123:A$150)*(B$123:B$150)), "")</f>
        <v>3327.8100000000013</v>
      </c>
      <c r="E13" s="182" cm="1">
        <f t="array" ref="E13">IFERROR(SUMPRODUCT((A13=A$92:A$118)*(C$92:C$118)) + SUMPRODUCT((A13=A$123:A$150)*(C$123:C$150)), "")</f>
        <v>660.18399999999997</v>
      </c>
      <c r="F13" s="156">
        <f>'Extras-Descontos'!G19</f>
        <v>240</v>
      </c>
      <c r="G13" s="118">
        <v>9000</v>
      </c>
      <c r="H13" s="54">
        <f>IF(D13&gt;G13,AE13+Tabela324[[#This Row],[FIXO]],E13+F13)+'Extras-Descontos'!G15-'Extras-Descontos'!G57</f>
        <v>1380.184</v>
      </c>
      <c r="I13" s="14" t="str">
        <f>IF(Tabela324[[#This Row],[Valor Total Clínica]]&gt;=Tabela324[[#This Row],[META]],"META","FORA")</f>
        <v>FORA</v>
      </c>
      <c r="J13" s="13" t="s">
        <v>89</v>
      </c>
      <c r="K13" s="83">
        <f>'Extras-Descontos'!C57</f>
        <v>0</v>
      </c>
      <c r="L13" s="184" t="s">
        <v>111</v>
      </c>
      <c r="M13" s="188" t="s">
        <v>145</v>
      </c>
      <c r="N13" s="10">
        <f>IF(Tabela324[[#This Row],[VALOR BRUTO]]&gt;2826.65,564.8,Tabela324[[#This Row],[VALOR BRUTO]]*11%)</f>
        <v>151.82023999999998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1228.36376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1380.184</v>
      </c>
      <c r="U13" s="66" t="s">
        <v>90</v>
      </c>
      <c r="V13" s="77" t="s">
        <v>7</v>
      </c>
      <c r="W13" s="229"/>
      <c r="X13" s="93" t="str">
        <f>Tabela324[[#This Row],[FUNCIONÁRIOS]]</f>
        <v>Layane de Cássia Araújo Guedes</v>
      </c>
      <c r="Y13" s="8" t="str">
        <f t="shared" si="0"/>
        <v>FORA</v>
      </c>
      <c r="Z13" s="57">
        <f t="shared" si="4"/>
        <v>0</v>
      </c>
      <c r="AA13" s="52"/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customHeight="1" x14ac:dyDescent="0.25">
      <c r="A14" s="93" t="s">
        <v>39</v>
      </c>
      <c r="B14" s="117" t="s">
        <v>86</v>
      </c>
      <c r="C14" s="147" t="s">
        <v>87</v>
      </c>
      <c r="D14" s="182" cm="1">
        <f t="array" ref="D14">IFERROR(SUMPRODUCT((A14=A$92:A$118)*(B$92:B$118)) + SUMPRODUCT((A14=A$123:A$150)*(B$123:B$150)), "")</f>
        <v>16238.880000000003</v>
      </c>
      <c r="E14" s="182" cm="1">
        <f t="array" ref="E14">IFERROR(SUMPRODUCT((A14=A$92:A$118)*(C$92:C$118)) + SUMPRODUCT((A14=A$123:A$150)*(C$123:C$150)), "")</f>
        <v>6429.0460000000012</v>
      </c>
      <c r="F14" s="156">
        <v>0</v>
      </c>
      <c r="G14" s="116" t="s">
        <v>88</v>
      </c>
      <c r="H14" s="54">
        <f>IF(D14&gt;G14,AE14+Tabela324[[#This Row],[FIXO]],E14+F14)+'Extras-Descontos'!G16-'Extras-Descontos'!G58</f>
        <v>6429.0460000000012</v>
      </c>
      <c r="I14" s="14" t="str">
        <f>IF(Tabela324[[#This Row],[Valor Total Clínica]]&gt;=Tabela324[[#This Row],[META]],"META","FORA")</f>
        <v>FORA</v>
      </c>
      <c r="J14" s="13"/>
      <c r="K14" s="83">
        <f>'Extras-Descontos'!C58</f>
        <v>0</v>
      </c>
      <c r="L14" s="218" t="s">
        <v>112</v>
      </c>
      <c r="M14" s="188" t="s">
        <v>145</v>
      </c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716.66765000000032</v>
      </c>
      <c r="P14" s="9">
        <v>0</v>
      </c>
      <c r="Q14" s="9">
        <f>Tabela324[[#This Row],[VALOR BRUTO]]-Tabela135[[#This Row],[DED. FIXA OU INSS (11%)]]</f>
        <v>5864.246000000001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4" s="56">
        <f>IF(Tabela324[[#This Row],[STATUS NOTA]]="NFA",Tabela324[[#This Row],[VALOR BRUTO]]-(Tabela324[[#This Row],[VALOR BRUTO]]*11%)-Tabela135[[#This Row],[IRPF]],Tabela324[[#This Row],[VALOR BRUTO]])</f>
        <v>6429.0460000000012</v>
      </c>
      <c r="U14" s="66" t="s">
        <v>90</v>
      </c>
      <c r="V14" s="66" t="s">
        <v>90</v>
      </c>
      <c r="W14" s="229"/>
      <c r="X14" s="93" t="str">
        <f>Tabela324[[#This Row],[FUNCIONÁRIOS]]</f>
        <v>Laysa Palmira Nogueira de Aquino</v>
      </c>
      <c r="Y14" s="8" t="str">
        <f t="shared" si="0"/>
        <v>FORA</v>
      </c>
      <c r="Z14" s="57">
        <f t="shared" si="4"/>
        <v>0</v>
      </c>
      <c r="AA14" s="52"/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thickBot="1" x14ac:dyDescent="0.3">
      <c r="A15" s="266" t="s">
        <v>50</v>
      </c>
      <c r="B15" s="117" t="s">
        <v>110</v>
      </c>
      <c r="C15" s="147" t="s">
        <v>93</v>
      </c>
      <c r="D15" s="182" cm="1">
        <f t="array" ref="D15">IFERROR(SUMPRODUCT((A15=A$92:A$118)*(B$92:B$118)) + SUMPRODUCT((A15=A$123:A$150)*(B$123:B$150)), "")</f>
        <v>10753.469999999967</v>
      </c>
      <c r="E15" s="182" cm="1">
        <f t="array" ref="E15">IFERROR(SUMPRODUCT((A15=A$92:A$118)*(C$92:C$118)) + SUMPRODUCT((A15=A$123:A$150)*(C$123:C$150)), "")</f>
        <v>2155.5160000000083</v>
      </c>
      <c r="F15" s="156">
        <f>IF(K15&gt;0,600-(K15*20),600)</f>
        <v>600</v>
      </c>
      <c r="G15" s="118">
        <v>13000</v>
      </c>
      <c r="H15" s="54">
        <f>IF(D15&gt;G15,AE15+Tabela324[[#This Row],[FIXO]],E15+F15)+'Extras-Descontos'!G17-'Extras-Descontos'!G59</f>
        <v>2755.5160000000083</v>
      </c>
      <c r="I15" s="14" t="str">
        <f>IF(Tabela324[[#This Row],[Valor Total Clínica]]&gt;=Tabela324[[#This Row],[META]],"META","FORA")</f>
        <v>FORA</v>
      </c>
      <c r="J15" s="13" t="s">
        <v>89</v>
      </c>
      <c r="K15" s="83">
        <f>'Extras-Descontos'!C59</f>
        <v>0</v>
      </c>
      <c r="L15" s="151" t="s">
        <v>113</v>
      </c>
      <c r="M15" s="188" t="s">
        <v>145</v>
      </c>
      <c r="N15" s="10">
        <f>IF(Tabela324[[#This Row],[VALOR BRUTO]]&gt;2826.65,564.8,Tabela324[[#This Row],[VALOR BRUTO]]*11%)</f>
        <v>303.10676000000092</v>
      </c>
      <c r="O15" s="9">
        <f>(Tabela135[[#This Row],[BASE IR]]*Tabela135[[#This Row],[ALIQ IR]])-Tabela135[[#This Row],[DESC IR]]</f>
        <v>14.490693000000533</v>
      </c>
      <c r="P15" s="9">
        <v>0</v>
      </c>
      <c r="Q15" s="9">
        <f>Tabela324[[#This Row],[VALOR BRUTO]]-Tabela135[[#This Row],[DED. FIXA OU INSS (11%)]]</f>
        <v>2452.4092400000072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2755.5160000000083</v>
      </c>
      <c r="U15" s="66" t="s">
        <v>90</v>
      </c>
      <c r="V15" s="77" t="s">
        <v>7</v>
      </c>
      <c r="W15" s="229"/>
      <c r="X15" s="93" t="str">
        <f>Tabela324[[#This Row],[FUNCIONÁRIOS]]</f>
        <v>Leiliany Palmeira da S.</v>
      </c>
      <c r="Y15" s="8" t="str">
        <f t="shared" si="0"/>
        <v>FORA</v>
      </c>
      <c r="Z15" s="57">
        <f t="shared" si="4"/>
        <v>0</v>
      </c>
      <c r="AA15" s="52"/>
      <c r="AB15" s="58">
        <f t="shared" si="1"/>
        <v>0</v>
      </c>
      <c r="AC15" s="58">
        <f t="shared" si="2"/>
        <v>0</v>
      </c>
      <c r="AD15" s="58">
        <f t="shared" si="3"/>
        <v>0</v>
      </c>
      <c r="AE15" s="71">
        <f>Tabela411107[[#This Row],[COM META]]+Tabela411107[[#This Row],[PART/OAB]]</f>
        <v>0</v>
      </c>
      <c r="AJ15" s="22"/>
      <c r="AK15" s="24"/>
      <c r="AL15" s="24"/>
      <c r="AM15" s="24"/>
      <c r="AN15" s="23"/>
    </row>
    <row r="16" spans="1:41" ht="22" customHeight="1" thickBot="1" x14ac:dyDescent="0.3">
      <c r="A16" s="92" t="s">
        <v>148</v>
      </c>
      <c r="B16" s="119" t="s">
        <v>110</v>
      </c>
      <c r="C16" s="183" t="s">
        <v>93</v>
      </c>
      <c r="D16" s="182" cm="1">
        <f t="array" ref="D16">IFERROR(SUMPRODUCT((A16=A$92:A$118)*(B$92:B$118)) + SUMPRODUCT((A16=A$123:A$150)*(B$123:B$150)), "")</f>
        <v>4031.9400000000014</v>
      </c>
      <c r="E16" s="182" cm="1">
        <f t="array" ref="E16">IFERROR(SUMPRODUCT((A16=A$92:A$118)*(C$92:C$118)) + SUMPRODUCT((A16=A$123:A$150)*(C$123:C$150)), "")</f>
        <v>796.36599999999987</v>
      </c>
      <c r="F16" s="156"/>
      <c r="G16" s="118">
        <v>13000</v>
      </c>
      <c r="H16" s="54">
        <f>IF(D16&gt;G16,AE16+Tabela324[[#This Row],[FIXO]],E16+F16)+'Extras-Descontos'!G18-'Extras-Descontos'!G60</f>
        <v>1076.366</v>
      </c>
      <c r="I16" s="14" t="str">
        <f>IF(Tabela324[[#This Row],[Valor Total Clínica]]&gt;=Tabela324[[#This Row],[META]],"META","FORA")</f>
        <v>FORA</v>
      </c>
      <c r="J16" s="38" t="s">
        <v>89</v>
      </c>
      <c r="K16" s="83">
        <f>'Extras-Descontos'!C61</f>
        <v>0</v>
      </c>
      <c r="L16" s="263"/>
      <c r="M16" s="188" t="s">
        <v>144</v>
      </c>
      <c r="N16" s="10">
        <f>IF(Tabela324[[#This Row],[VALOR BRUTO]]&gt;2826.65,564.8,Tabela324[[#This Row],[VALOR BRUTO]]*11%)</f>
        <v>118.40026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957.96573999999998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1076.366</v>
      </c>
      <c r="U16" s="66" t="s">
        <v>90</v>
      </c>
      <c r="V16" s="66" t="s">
        <v>90</v>
      </c>
      <c r="W16" s="229"/>
      <c r="X16" s="93" t="str">
        <f>Tabela324[[#This Row],[FUNCIONÁRIOS]]</f>
        <v>Marina Brasil de Abreu</v>
      </c>
      <c r="Y16" s="8" t="str">
        <f t="shared" si="0"/>
        <v>FORA</v>
      </c>
      <c r="Z16" s="57">
        <f t="shared" si="4"/>
        <v>0</v>
      </c>
      <c r="AA16" s="180"/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5">
      <c r="A17" s="92" t="s">
        <v>157</v>
      </c>
      <c r="B17" s="117" t="s">
        <v>110</v>
      </c>
      <c r="C17" s="147" t="s">
        <v>93</v>
      </c>
      <c r="D17" s="182" cm="1">
        <f t="array" ref="D17">IFERROR(SUMPRODUCT((A17=A$92:A$118)*(B$92:B$118)) + SUMPRODUCT((A17=A$123:A$150)*(B$123:B$150)), "")</f>
        <v>14081.8</v>
      </c>
      <c r="E17" s="182" cm="1">
        <f t="array" ref="E17">IFERROR(SUMPRODUCT((A17=A$92:A$118)*(C$92:C$118)) + SUMPRODUCT((A17=A$123:A$150)*(C$123:C$150)), "")</f>
        <v>1749.16</v>
      </c>
      <c r="F17" s="156"/>
      <c r="G17" s="118">
        <v>13000</v>
      </c>
      <c r="H17" s="54">
        <f>IF(D17&gt;G17,AE17+Tabela324[[#This Row],[FIXO]],E17+F17)+'Extras-Descontos'!G19-'Extras-Descontos'!G61</f>
        <v>2142.7359999999999</v>
      </c>
      <c r="I17" s="14" t="str">
        <f>IF(Tabela324[[#This Row],[Valor Total Clínica]]&gt;=Tabela324[[#This Row],[META]],"META","FORA")</f>
        <v>META</v>
      </c>
      <c r="J17" s="13" t="s">
        <v>89</v>
      </c>
      <c r="K17" s="83">
        <f>'Extras-Descontos'!C62</f>
        <v>0</v>
      </c>
      <c r="L17" s="197" t="s">
        <v>156</v>
      </c>
      <c r="M17" s="188"/>
      <c r="N17" s="10">
        <f>IF(Tabela324[[#This Row],[VALOR BRUTO]]&gt;2826.65,564.8,Tabela324[[#This Row],[VALOR BRUTO]]*11%)</f>
        <v>235.70095999999998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1907.03504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2142.7359999999999</v>
      </c>
      <c r="U17" s="66" t="s">
        <v>90</v>
      </c>
      <c r="V17" s="77" t="s">
        <v>7</v>
      </c>
      <c r="W17" s="229"/>
      <c r="X17" s="93" t="str">
        <f>Tabela324[[#This Row],[FUNCIONÁRIOS]]</f>
        <v>Marina Brasil de Abreu (Tarde)</v>
      </c>
      <c r="Y17" s="8">
        <f t="shared" si="0"/>
        <v>1749.16</v>
      </c>
      <c r="Z17" s="57">
        <f t="shared" si="4"/>
        <v>1535.76</v>
      </c>
      <c r="AA17" s="249">
        <v>213.4</v>
      </c>
      <c r="AB17" s="58">
        <f t="shared" si="1"/>
        <v>7678.8</v>
      </c>
      <c r="AC17" s="58">
        <f t="shared" si="2"/>
        <v>1535.7600000000002</v>
      </c>
      <c r="AD17" s="58">
        <f t="shared" si="3"/>
        <v>1689.336</v>
      </c>
      <c r="AE17" s="71">
        <f>Tabela411107[[#This Row],[COM META]]+Tabela411107[[#This Row],[PART/OAB]]</f>
        <v>1902.7360000000001</v>
      </c>
    </row>
    <row r="18" spans="1:31" ht="22" customHeight="1" x14ac:dyDescent="0.25">
      <c r="A18" s="93" t="s">
        <v>22</v>
      </c>
      <c r="B18" s="119" t="s">
        <v>86</v>
      </c>
      <c r="C18" s="147" t="s">
        <v>87</v>
      </c>
      <c r="D18" s="182" cm="1">
        <f t="array" ref="D18">IFERROR(SUMPRODUCT((A18=A$92:A$118)*(B$92:B$118)) + SUMPRODUCT((A18=A$123:A$150)*(B$123:B$150)), "")</f>
        <v>12907.890000000005</v>
      </c>
      <c r="E18" s="182" cm="1">
        <f t="array" ref="E18">IFERROR(SUMPRODUCT((A18=A$92:A$118)*(C$92:C$118)) + SUMPRODUCT((A18=A$123:A$150)*(C$123:C$150)), "")</f>
        <v>5012.7919999999995</v>
      </c>
      <c r="F18" s="156">
        <v>0</v>
      </c>
      <c r="G18" s="118" t="s">
        <v>88</v>
      </c>
      <c r="H18" s="54">
        <f>IF(D18&gt;G18,AE18+Tabela324[[#This Row],[FIXO]],E18+F18)+'Extras-Descontos'!G20-'Extras-Descontos'!G62</f>
        <v>5012.7919999999995</v>
      </c>
      <c r="I18" s="14" t="str">
        <f>IF(Tabela324[[#This Row],[Valor Total Clínica]]&gt;=Tabela324[[#This Row],[META]],"META","FORA")</f>
        <v>FORA</v>
      </c>
      <c r="J18" s="13" t="s">
        <v>89</v>
      </c>
      <c r="K18" s="83">
        <f>'Extras-Descontos'!C63</f>
        <v>0</v>
      </c>
      <c r="L18" s="151" t="s">
        <v>117</v>
      </c>
      <c r="M18" s="188" t="s">
        <v>145</v>
      </c>
      <c r="N18" s="10">
        <f>IF(Tabela324[[#This Row],[VALOR BRUTO]]&gt;2826.65,564.8,Tabela324[[#This Row],[VALOR BRUTO]]*11%)</f>
        <v>564.79999999999995</v>
      </c>
      <c r="O18" s="9">
        <f>(Tabela135[[#This Row],[BASE IR]]*Tabela135[[#This Row],[ALIQ IR]])-Tabela135[[#This Row],[DESC IR]]</f>
        <v>338.02819999999986</v>
      </c>
      <c r="P18" s="9">
        <v>0</v>
      </c>
      <c r="Q18" s="9">
        <f>Tabela324[[#This Row],[VALOR BRUTO]]-Tabela135[[#This Row],[DED. FIXA OU INSS (11%)]]</f>
        <v>4447.9919999999993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8" s="56">
        <f>IF(Tabela324[[#This Row],[STATUS NOTA]]="NFA",Tabela324[[#This Row],[VALOR BRUTO]]-(Tabela324[[#This Row],[VALOR BRUTO]]*11%)-Tabela135[[#This Row],[IRPF]],Tabela324[[#This Row],[VALOR BRUTO]])</f>
        <v>5012.7919999999995</v>
      </c>
      <c r="U18" s="66" t="s">
        <v>90</v>
      </c>
      <c r="V18" s="66" t="s">
        <v>90</v>
      </c>
      <c r="W18" s="229"/>
      <c r="X18" s="93" t="str">
        <f>Tabela324[[#This Row],[FUNCIONÁRIOS]]</f>
        <v>Mislene Martins da Silva</v>
      </c>
      <c r="Y18" s="8" t="str">
        <f t="shared" si="0"/>
        <v>FORA</v>
      </c>
      <c r="Z18" s="57">
        <f t="shared" si="4"/>
        <v>0</v>
      </c>
      <c r="AA18" s="52"/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3" t="s">
        <v>149</v>
      </c>
      <c r="B19" s="120" t="s">
        <v>92</v>
      </c>
      <c r="C19" s="150" t="s">
        <v>93</v>
      </c>
      <c r="D19" s="182" cm="1">
        <f t="array" ref="D19">IFERROR(SUMPRODUCT((A19=A$92:A$118)*(B$92:B$118)) + SUMPRODUCT((A19=A$123:A$150)*(B$123:B$150)), "")</f>
        <v>8897.2000000000098</v>
      </c>
      <c r="E19" s="182" cm="1">
        <f t="array" ref="E19">IFERROR(SUMPRODUCT((A19=A$92:A$118)*(C$92:C$118)) + SUMPRODUCT((A19=A$123:A$150)*(C$123:C$150)), "")</f>
        <v>1394.5831999999978</v>
      </c>
      <c r="F19" s="156">
        <f>IF(K19&gt;0,600-(K19*20),600)</f>
        <v>600</v>
      </c>
      <c r="G19" s="118">
        <v>14000</v>
      </c>
      <c r="H19" s="54">
        <f>IF(D19&gt;G19,AE19+Tabela324[[#This Row],[FIXO]],E19+F19)+'Extras-Descontos'!G21-'Extras-Descontos'!G63</f>
        <v>1994.5831999999978</v>
      </c>
      <c r="I19" s="14" t="str">
        <f>IF(Tabela324[[#This Row],[Valor Total Clínica]]&gt;=Tabela324[[#This Row],[META]],"META","FORA")</f>
        <v>FORA</v>
      </c>
      <c r="J19" s="32" t="s">
        <v>89</v>
      </c>
      <c r="K19" s="83">
        <f>'Extras-Descontos'!C64</f>
        <v>0</v>
      </c>
      <c r="L19" s="264" t="s">
        <v>153</v>
      </c>
      <c r="M19" s="188" t="s">
        <v>145</v>
      </c>
      <c r="N19" s="10">
        <f>IF(Tabela324[[#This Row],[VALOR BRUTO]]&gt;2826.65,564.8,Tabela324[[#This Row],[VALOR BRUTO]]*11%)</f>
        <v>219.40415199999975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1775.1790479999979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1994.5831999999978</v>
      </c>
      <c r="U19" s="66" t="s">
        <v>90</v>
      </c>
      <c r="V19" s="77" t="s">
        <v>7</v>
      </c>
      <c r="W19" s="229"/>
      <c r="X19" s="93" t="str">
        <f>Tabela324[[#This Row],[FUNCIONÁRIOS]]</f>
        <v>Nádia Fabíola Silva Lasmar</v>
      </c>
      <c r="Y19" s="8" t="str">
        <f t="shared" si="0"/>
        <v>FORA</v>
      </c>
      <c r="Z19" s="57">
        <f t="shared" si="4"/>
        <v>0</v>
      </c>
      <c r="AA19" s="52"/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194" t="s">
        <v>24</v>
      </c>
      <c r="B20" s="117" t="s">
        <v>95</v>
      </c>
      <c r="C20" s="101" t="s">
        <v>93</v>
      </c>
      <c r="D20" s="182" cm="1">
        <f t="array" ref="D20">IFERROR(SUMPRODUCT((A20=A$92:A$118)*(B$92:B$118)) + SUMPRODUCT((A20=A$123:A$150)*(B$123:B$150)), "")</f>
        <v>20493.070000000025</v>
      </c>
      <c r="E20" s="182" cm="1">
        <f t="array" ref="E20">IFERROR(SUMPRODUCT((A20=A$92:A$118)*(C$92:C$118)) + SUMPRODUCT((A20=A$123:A$150)*(C$123:C$150)), "")</f>
        <v>2633.2788000000028</v>
      </c>
      <c r="F20" s="156">
        <f>IF(K20&gt;0,600-(K20*20),600)</f>
        <v>600</v>
      </c>
      <c r="G20" s="118">
        <v>13000</v>
      </c>
      <c r="H20" s="54">
        <f>IF(D20&gt;G20,AE20+Tabela324[[#This Row],[FIXO]],E20+F20)+'Extras-Descontos'!G22-'Extras-Descontos'!G64</f>
        <v>3609.6586000000034</v>
      </c>
      <c r="I20" s="14" t="str">
        <f>IF(Tabela324[[#This Row],[Valor Total Clínica]]&gt;=Tabela324[[#This Row],[META]],"META","FORA")</f>
        <v>META</v>
      </c>
      <c r="J20" s="13" t="s">
        <v>89</v>
      </c>
      <c r="K20" s="83">
        <f>'Extras-Descontos'!C65</f>
        <v>0</v>
      </c>
      <c r="L20" s="153" t="s">
        <v>118</v>
      </c>
      <c r="M20" s="188" t="s">
        <v>145</v>
      </c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75.288790000000461</v>
      </c>
      <c r="P20" s="9">
        <v>0</v>
      </c>
      <c r="Q20" s="9">
        <f>Tabela324[[#This Row],[VALOR BRUTO]]-Tabela135[[#This Row],[DED. FIXA OU INSS (11%)]]</f>
        <v>3044.8586000000032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0" s="56">
        <f>IF(Tabela324[[#This Row],[STATUS NOTA]]="NFA",Tabela324[[#This Row],[VALOR BRUTO]]-(Tabela324[[#This Row],[VALOR BRUTO]]*11%)-Tabela135[[#This Row],[IRPF]],Tabela324[[#This Row],[VALOR BRUTO]])</f>
        <v>3609.6586000000034</v>
      </c>
      <c r="U20" s="66" t="s">
        <v>90</v>
      </c>
      <c r="V20" s="66" t="s">
        <v>90</v>
      </c>
      <c r="W20" s="229"/>
      <c r="X20" s="93" t="str">
        <f>Tabela324[[#This Row],[FUNCIONÁRIOS]]</f>
        <v>Nialen dos Santos Melo</v>
      </c>
      <c r="Y20" s="8">
        <f t="shared" si="0"/>
        <v>2633.2788000000028</v>
      </c>
      <c r="Z20" s="57">
        <f t="shared" si="4"/>
        <v>2138.2788000000023</v>
      </c>
      <c r="AA20" s="249">
        <v>495.0000000000004</v>
      </c>
      <c r="AB20" s="58">
        <f t="shared" si="1"/>
        <v>17818.99000000002</v>
      </c>
      <c r="AC20" s="58">
        <f t="shared" si="2"/>
        <v>2138.2788000000023</v>
      </c>
      <c r="AD20" s="58">
        <f t="shared" si="3"/>
        <v>2494.6586000000029</v>
      </c>
      <c r="AE20" s="71">
        <f>Tabela411107[[#This Row],[COM META]]+Tabela411107[[#This Row],[PART/OAB]]</f>
        <v>2989.6586000000034</v>
      </c>
    </row>
    <row r="21" spans="1:31" ht="22" customHeight="1" x14ac:dyDescent="0.25">
      <c r="A21" s="94" t="s">
        <v>45</v>
      </c>
      <c r="B21" s="119" t="s">
        <v>95</v>
      </c>
      <c r="C21" s="147" t="s">
        <v>98</v>
      </c>
      <c r="D21" s="182" cm="1">
        <f t="array" ref="D21">IFERROR(SUMPRODUCT((A21=A$92:A$118)*(B$92:B$118)) + SUMPRODUCT((A21=A$123:A$150)*(B$123:B$150)), "")</f>
        <v>15524.51999999998</v>
      </c>
      <c r="E21" s="182" cm="1">
        <f t="array" ref="E21">IFERROR(SUMPRODUCT((A21=A$92:A$118)*(C$92:C$118)) + SUMPRODUCT((A21=A$123:A$150)*(C$123:C$150)), "")</f>
        <v>2890.359600000013</v>
      </c>
      <c r="F21" s="156">
        <f>IF(K21&gt;0,600-(K21*20),600)</f>
        <v>600</v>
      </c>
      <c r="G21" s="118">
        <v>8000</v>
      </c>
      <c r="H21" s="54">
        <f>IF(D21&gt;G21,AE21+Tabela324[[#This Row],[FIXO]],E21+F21)+'Extras-Descontos'!G23-'Extras-Descontos'!G65</f>
        <v>3765.2112000000152</v>
      </c>
      <c r="I21" s="14" t="str">
        <f>IF(Tabela324[[#This Row],[Valor Total Clínica]]&gt;=Tabela324[[#This Row],[META]],"META","FORA")</f>
        <v>META</v>
      </c>
      <c r="J21" s="13" t="s">
        <v>89</v>
      </c>
      <c r="K21" s="83">
        <f>'Extras-Descontos'!C66</f>
        <v>0</v>
      </c>
      <c r="L21" s="265" t="s">
        <v>146</v>
      </c>
      <c r="M21" s="188" t="s">
        <v>145</v>
      </c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98.621680000002243</v>
      </c>
      <c r="P21" s="9">
        <v>0</v>
      </c>
      <c r="Q21" s="9">
        <f>Tabela324[[#This Row],[VALOR BRUTO]]-Tabela135[[#This Row],[DED. FIXA OU INSS (11%)]]</f>
        <v>3200.411200000015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1" s="56">
        <f>IF(Tabela324[[#This Row],[STATUS NOTA]]="NFA",Tabela324[[#This Row],[VALOR BRUTO]]-(Tabela324[[#This Row],[VALOR BRUTO]]*11%)-Tabela135[[#This Row],[IRPF]],Tabela324[[#This Row],[VALOR BRUTO]])</f>
        <v>3765.2112000000152</v>
      </c>
      <c r="U21" s="66" t="s">
        <v>90</v>
      </c>
      <c r="V21" s="66" t="s">
        <v>90</v>
      </c>
      <c r="W21" s="229"/>
      <c r="X21" s="93" t="str">
        <f>Tabela324[[#This Row],[FUNCIONÁRIOS]]</f>
        <v>Silvino Viana Reis Sobrinho</v>
      </c>
      <c r="Y21" s="8">
        <f t="shared" si="0"/>
        <v>2890.359600000013</v>
      </c>
      <c r="Z21" s="57">
        <f t="shared" ref="Z21:Z28" si="5">IF(Y21="FORA",0,Y21-AA21)</f>
        <v>1649.109600000013</v>
      </c>
      <c r="AA21" s="249">
        <v>1241.25</v>
      </c>
      <c r="AB21" s="58">
        <f t="shared" si="1"/>
        <v>13742.580000000109</v>
      </c>
      <c r="AC21" s="58">
        <f t="shared" si="2"/>
        <v>1649.109600000013</v>
      </c>
      <c r="AD21" s="58">
        <f t="shared" si="3"/>
        <v>1923.9612000000154</v>
      </c>
      <c r="AE21" s="71">
        <f>Tabela411107[[#This Row],[COM META]]+Tabela411107[[#This Row],[PART/OAB]]</f>
        <v>3165.2112000000152</v>
      </c>
    </row>
    <row r="22" spans="1:31" ht="22" customHeight="1" x14ac:dyDescent="0.25">
      <c r="A22" s="94" t="s">
        <v>172</v>
      </c>
      <c r="B22" s="119" t="s">
        <v>95</v>
      </c>
      <c r="C22" s="147" t="s">
        <v>93</v>
      </c>
      <c r="D22" s="182" cm="1">
        <f t="array" ref="D22">IFERROR(SUMPRODUCT((A22=A$92:A$118)*(B$92:B$118)) + SUMPRODUCT((A22=A$123:A$150)*(B$123:B$150)), "")</f>
        <v>11611.6</v>
      </c>
      <c r="E22" s="182" cm="1">
        <f t="array" ref="E22">IFERROR(SUMPRODUCT((A22=A$92:A$118)*(C$92:C$118)) + SUMPRODUCT((A22=A$123:A$150)*(C$123:C$150)), "")</f>
        <v>2201.91</v>
      </c>
      <c r="F22" s="156">
        <f>IF(K22&gt;0,600-(K22*20),600)</f>
        <v>600</v>
      </c>
      <c r="G22" s="118">
        <v>8000</v>
      </c>
      <c r="H22" s="54">
        <f>IF(D22&gt;G22,AE22+Tabela324[[#This Row],[FIXO]],E22+F22)+'Extras-Descontos'!G24-'Extras-Descontos'!G66</f>
        <v>2989.8533333333335</v>
      </c>
      <c r="I22" s="14" t="str">
        <f>IF(Tabela324[[#This Row],[Valor Total Clínica]]&gt;=Tabela324[[#This Row],[META]],"META","FORA")</f>
        <v>META</v>
      </c>
      <c r="J22" s="13" t="s">
        <v>89</v>
      </c>
      <c r="K22" s="83">
        <f>'Extras-Descontos'!C60</f>
        <v>0</v>
      </c>
      <c r="L22" s="151" t="s">
        <v>116</v>
      </c>
      <c r="M22" s="188" t="s">
        <v>144</v>
      </c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12.438999999999993</v>
      </c>
      <c r="P22" s="9">
        <v>0</v>
      </c>
      <c r="Q22" s="9">
        <f>Tabela324[[#This Row],[VALOR BRUTO]]-Tabela135[[#This Row],[DED. FIXA OU INSS (11%)]]</f>
        <v>2425.0533333333333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56">
        <f>IF(Tabela324[[#This Row],[STATUS NOTA]]="NFA",Tabela324[[#This Row],[VALOR BRUTO]]-(Tabela324[[#This Row],[VALOR BRUTO]]*11%)-Tabela135[[#This Row],[IRPF]],Tabela324[[#This Row],[VALOR BRUTO]])</f>
        <v>2989.8533333333335</v>
      </c>
      <c r="U22" s="66" t="s">
        <v>90</v>
      </c>
      <c r="V22" s="66" t="s">
        <v>90</v>
      </c>
      <c r="W22" s="229"/>
      <c r="X22" s="93" t="str">
        <f>Tabela324[[#This Row],[FUNCIONÁRIOS]]</f>
        <v>Silvino Viana Reis Sobrinho (Tarde)</v>
      </c>
      <c r="Y22" s="8">
        <f t="shared" si="0"/>
        <v>2201.91</v>
      </c>
      <c r="Z22" s="57">
        <f t="shared" si="5"/>
        <v>1127.6599999999999</v>
      </c>
      <c r="AA22" s="249">
        <v>1074.25</v>
      </c>
      <c r="AB22" s="58">
        <f t="shared" si="1"/>
        <v>9397.1666666666661</v>
      </c>
      <c r="AC22" s="58">
        <f t="shared" si="2"/>
        <v>1127.6599999999999</v>
      </c>
      <c r="AD22" s="58">
        <f t="shared" si="3"/>
        <v>1315.6033333333335</v>
      </c>
      <c r="AE22" s="71">
        <f>Tabela411107[[#This Row],[COM META]]+Tabela411107[[#This Row],[PART/OAB]]</f>
        <v>2389.8533333333335</v>
      </c>
    </row>
    <row r="23" spans="1:31" ht="22" customHeight="1" x14ac:dyDescent="0.2">
      <c r="A23" s="93" t="s">
        <v>27</v>
      </c>
      <c r="B23" s="117" t="s">
        <v>122</v>
      </c>
      <c r="C23" s="147" t="s">
        <v>98</v>
      </c>
      <c r="D23" s="182" cm="1">
        <f t="array" ref="D23">IFERROR(SUMPRODUCT((A23=A$92:A$118)*(B$92:B$118)) + SUMPRODUCT((A23=A$123:A$150)*(B$123:B$150)), "")</f>
        <v>15720.089999999951</v>
      </c>
      <c r="E23" s="182" cm="1">
        <f t="array" ref="E23">IFERROR(SUMPRODUCT((A23=A$92:A$118)*(C$92:C$118)) + SUMPRODUCT((A23=A$123:A$150)*(C$123:C$150)), "")</f>
        <v>2817.2260000000078</v>
      </c>
      <c r="F23" s="156">
        <f>IF(K23&gt;0,600-(K23*20),600)</f>
        <v>600</v>
      </c>
      <c r="G23" s="118">
        <v>8000</v>
      </c>
      <c r="H23" s="54">
        <f>IF(D23&gt;G23,AE23+Tabela324[[#This Row],[FIXO]],E23+F23)+'Extras-Descontos'!G25-'Extras-Descontos'!G67</f>
        <v>3641.2542500000091</v>
      </c>
      <c r="I23" s="14" t="str">
        <f>IF(Tabela324[[#This Row],[Valor Total Clínica]]&gt;=Tabela324[[#This Row],[META]],"META","FORA")</f>
        <v>META</v>
      </c>
      <c r="J23" s="13" t="s">
        <v>89</v>
      </c>
      <c r="K23" s="83">
        <f>'Extras-Descontos'!C68</f>
        <v>0</v>
      </c>
      <c r="L23" s="153" t="s">
        <v>123</v>
      </c>
      <c r="M23" s="188" t="s">
        <v>145</v>
      </c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80.028137500001321</v>
      </c>
      <c r="P23" s="9">
        <v>0</v>
      </c>
      <c r="Q23" s="9">
        <f>Tabela324[[#This Row],[VALOR BRUTO]]-Tabela135[[#This Row],[DED. FIXA OU INSS (11%)]]</f>
        <v>3076.4542500000089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3" s="56">
        <f>IF(Tabela324[[#This Row],[STATUS NOTA]]="NFA",Tabela324[[#This Row],[VALOR BRUTO]]-(Tabela324[[#This Row],[VALOR BRUTO]]*11%)-Tabela135[[#This Row],[IRPF]],Tabela324[[#This Row],[VALOR BRUTO]])</f>
        <v>3641.2542500000091</v>
      </c>
      <c r="U23" s="66" t="s">
        <v>90</v>
      </c>
      <c r="V23" s="66" t="s">
        <v>90</v>
      </c>
      <c r="W23" s="229"/>
      <c r="X23" s="93" t="str">
        <f>Tabela324[[#This Row],[FUNCIONÁRIOS]]</f>
        <v>Thalita Guedes de Carvalho Souza</v>
      </c>
      <c r="Y23" s="8">
        <f t="shared" si="0"/>
        <v>2817.2260000000078</v>
      </c>
      <c r="Z23" s="57">
        <f t="shared" si="5"/>
        <v>1792.2260000000078</v>
      </c>
      <c r="AA23" s="249">
        <v>1025</v>
      </c>
      <c r="AB23" s="58">
        <f t="shared" si="1"/>
        <v>11201.412500000049</v>
      </c>
      <c r="AC23" s="58">
        <f t="shared" si="2"/>
        <v>1792.2260000000078</v>
      </c>
      <c r="AD23" s="58">
        <f t="shared" si="3"/>
        <v>2016.2542500000088</v>
      </c>
      <c r="AE23" s="71">
        <f>Tabela411107[[#This Row],[COM META]]+Tabela411107[[#This Row],[PART/OAB]]</f>
        <v>3041.2542500000091</v>
      </c>
    </row>
    <row r="24" spans="1:31" ht="22" customHeight="1" x14ac:dyDescent="0.2">
      <c r="A24" s="93" t="s">
        <v>124</v>
      </c>
      <c r="B24" s="117" t="s">
        <v>122</v>
      </c>
      <c r="C24" s="147" t="s">
        <v>98</v>
      </c>
      <c r="D24" s="182" cm="1">
        <f t="array" ref="D24">IFERROR(SUMPRODUCT((A24=A$92:A$118)*(B$92:B$118)) + SUMPRODUCT((A24=A$123:A$150)*(B$123:B$150)), "")</f>
        <v>13920.8</v>
      </c>
      <c r="E24" s="182" cm="1">
        <f t="array" ref="E24">IFERROR(SUMPRODUCT((A24=A$92:A$118)*(C$92:C$118)) + SUMPRODUCT((A24=A$123:A$150)*(C$123:C$150)), "")</f>
        <v>2637.74</v>
      </c>
      <c r="F24" s="156">
        <f>IF(K24&gt;0,600-(K24*20),600)</f>
        <v>600</v>
      </c>
      <c r="G24" s="118">
        <v>8000</v>
      </c>
      <c r="H24" s="54">
        <f>IF(D24&gt;G24,AE24+Tabela324[[#This Row],[FIXO]],E24+F24)+'Extras-Descontos'!G26-'Extras-Descontos'!G68</f>
        <v>3411.2074999999995</v>
      </c>
      <c r="I24" s="14" t="str">
        <f>IF(Tabela324[[#This Row],[Valor Total Clínica]]&gt;=Tabela324[[#This Row],[META]],"META","FORA")</f>
        <v>META</v>
      </c>
      <c r="J24" s="13" t="s">
        <v>89</v>
      </c>
      <c r="K24" s="83">
        <f>'Extras-Descontos'!C69</f>
        <v>0</v>
      </c>
      <c r="L24" s="153" t="s">
        <v>123</v>
      </c>
      <c r="M24" s="188" t="s">
        <v>144</v>
      </c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45.52112499999987</v>
      </c>
      <c r="P24" s="9">
        <v>0</v>
      </c>
      <c r="Q24" s="9">
        <f>Tabela324[[#This Row],[VALOR BRUTO]]-Tabela135[[#This Row],[DED. FIXA OU INSS (11%)]]</f>
        <v>2846.4074999999993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4" s="56">
        <f>IF(Tabela324[[#This Row],[STATUS NOTA]]="NFA",Tabela324[[#This Row],[VALOR BRUTO]]-(Tabela324[[#This Row],[VALOR BRUTO]]*11%)-Tabela135[[#This Row],[IRPF]],Tabela324[[#This Row],[VALOR BRUTO]])</f>
        <v>3411.2074999999995</v>
      </c>
      <c r="U24" s="66" t="s">
        <v>90</v>
      </c>
      <c r="V24" s="66" t="s">
        <v>90</v>
      </c>
      <c r="W24" s="229"/>
      <c r="X24" s="93" t="str">
        <f>Tabela324[[#This Row],[FUNCIONÁRIOS]]</f>
        <v>Thalita Guedes de Carvalho Souza (Tarde)</v>
      </c>
      <c r="Y24" s="8">
        <f t="shared" si="0"/>
        <v>2637.74</v>
      </c>
      <c r="Z24" s="57">
        <f t="shared" si="5"/>
        <v>1387.7399999999998</v>
      </c>
      <c r="AA24" s="249">
        <v>1250</v>
      </c>
      <c r="AB24" s="58">
        <f t="shared" si="1"/>
        <v>8673.3749999999982</v>
      </c>
      <c r="AC24" s="58">
        <f t="shared" si="2"/>
        <v>1387.7399999999998</v>
      </c>
      <c r="AD24" s="58">
        <f t="shared" si="3"/>
        <v>1561.2074999999995</v>
      </c>
      <c r="AE24" s="71">
        <f>Tabela411107[[#This Row],[COM META]]+Tabela411107[[#This Row],[PART/OAB]]</f>
        <v>2811.2074999999995</v>
      </c>
    </row>
    <row r="25" spans="1:31" ht="22" customHeight="1" x14ac:dyDescent="0.25">
      <c r="A25" s="92" t="s">
        <v>52</v>
      </c>
      <c r="B25" s="117" t="s">
        <v>95</v>
      </c>
      <c r="C25" s="147" t="s">
        <v>93</v>
      </c>
      <c r="D25" s="182" cm="1">
        <f t="array" ref="D25">IFERROR(SUMPRODUCT((A25=A$92:A$118)*(B$92:B$118)) + SUMPRODUCT((A25=A$123:A$150)*(B$123:B$150)), "")</f>
        <v>22233.45</v>
      </c>
      <c r="E25" s="182" cm="1">
        <f t="array" ref="E25">IFERROR(SUMPRODUCT((A25=A$92:A$118)*(C$92:C$118)) + SUMPRODUCT((A25=A$123:A$150)*(C$123:C$150)), "")</f>
        <v>2762.94</v>
      </c>
      <c r="F25" s="156">
        <f>IF(K25&gt;0,600-(K25*20),600)</f>
        <v>600</v>
      </c>
      <c r="G25" s="118">
        <v>13000</v>
      </c>
      <c r="H25" s="54">
        <f>IF(D25&gt;G25,AE25+Tabela324[[#This Row],[FIXO]],E25+F25)+'Extras-Descontos'!G27-'Extras-Descontos'!G69</f>
        <v>3811.3633333333337</v>
      </c>
      <c r="I25" s="14" t="str">
        <f>IF(Tabela324[[#This Row],[Valor Total Clínica]]&gt;=Tabela324[[#This Row],[META]],"META","FORA")</f>
        <v>META</v>
      </c>
      <c r="J25" s="13" t="s">
        <v>89</v>
      </c>
      <c r="K25" s="83">
        <f>'Extras-Descontos'!C70</f>
        <v>0</v>
      </c>
      <c r="L25" s="192" t="s">
        <v>125</v>
      </c>
      <c r="M25" s="188" t="s">
        <v>144</v>
      </c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105.54450000000003</v>
      </c>
      <c r="P25" s="9">
        <v>0</v>
      </c>
      <c r="Q25" s="9">
        <f>Tabela324[[#This Row],[VALOR BRUTO]]-Tabela135[[#This Row],[DED. FIXA OU INSS (11%)]]</f>
        <v>3246.5633333333335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5" s="56">
        <f>IF(Tabela324[[#This Row],[STATUS NOTA]]="NFA",Tabela324[[#This Row],[VALOR BRUTO]]-(Tabela324[[#This Row],[VALOR BRUTO]]*11%)-Tabela135[[#This Row],[IRPF]],Tabela324[[#This Row],[VALOR BRUTO]])</f>
        <v>3811.3633333333337</v>
      </c>
      <c r="U25" s="66" t="s">
        <v>90</v>
      </c>
      <c r="V25" s="66" t="s">
        <v>90</v>
      </c>
      <c r="W25" s="229"/>
      <c r="X25" s="93" t="str">
        <f>Tabela324[[#This Row],[FUNCIONÁRIOS]]</f>
        <v>Thiago Renan da Silva e Silva</v>
      </c>
      <c r="Y25" s="8">
        <f t="shared" si="0"/>
        <v>2762.94</v>
      </c>
      <c r="Z25" s="57">
        <f t="shared" si="5"/>
        <v>2450.54</v>
      </c>
      <c r="AA25" s="249">
        <v>312.40000000000015</v>
      </c>
      <c r="AB25" s="58">
        <f t="shared" si="1"/>
        <v>20421.166666666668</v>
      </c>
      <c r="AC25" s="58">
        <f t="shared" si="2"/>
        <v>2450.54</v>
      </c>
      <c r="AD25" s="58">
        <f t="shared" si="3"/>
        <v>2858.9633333333336</v>
      </c>
      <c r="AE25" s="71">
        <f>Tabela411107[[#This Row],[COM META]]+Tabela411107[[#This Row],[PART/OAB]]</f>
        <v>3171.3633333333337</v>
      </c>
    </row>
    <row r="26" spans="1:31" ht="22" customHeight="1" x14ac:dyDescent="0.2">
      <c r="A26" s="268" t="s">
        <v>166</v>
      </c>
      <c r="B26" s="117" t="s">
        <v>92</v>
      </c>
      <c r="C26" s="147" t="s">
        <v>87</v>
      </c>
      <c r="D26" s="182" cm="1">
        <f t="array" ref="D26">IFERROR(SUMPRODUCT((A26=A$92:A$118)*(B$92:B$118)) + SUMPRODUCT((A26=A$123:A$150)*(B$123:B$150)), "")</f>
        <v>5548.52</v>
      </c>
      <c r="E26" s="182" cm="1">
        <f t="array" ref="E26">IFERROR(SUMPRODUCT((A26=A$92:A$118)*(C$92:C$118)) + SUMPRODUCT((A26=A$123:A$150)*(C$123:C$150)), "")</f>
        <v>854.09</v>
      </c>
      <c r="F26" s="156"/>
      <c r="G26" s="118">
        <v>14000</v>
      </c>
      <c r="H26" s="54">
        <f>IF(D26&gt;G26,AE26+Tabela324[[#This Row],[FIXO]],E26+F26)+'Extras-Descontos'!G28-'Extras-Descontos'!G70</f>
        <v>1094.0900000000001</v>
      </c>
      <c r="I26" s="14" t="str">
        <f>IF(Tabela324[[#This Row],[Valor Total Clínica]]&gt;=Tabela324[[#This Row],[META]],"META","FORA")</f>
        <v>FORA</v>
      </c>
      <c r="J26" s="167" t="s">
        <v>89</v>
      </c>
      <c r="K26" s="83">
        <f>'Extras-Descontos'!C67</f>
        <v>0</v>
      </c>
      <c r="L26" s="154" t="s">
        <v>121</v>
      </c>
      <c r="M26" s="188" t="s">
        <v>144</v>
      </c>
      <c r="N26" s="10">
        <f>IF(Tabela324[[#This Row],[VALOR BRUTO]]&gt;2826.65,564.8,Tabela324[[#This Row],[VALOR BRUTO]]*11%)</f>
        <v>120.34990000000002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973.7401000000001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1094.0900000000001</v>
      </c>
      <c r="U26" s="66" t="s">
        <v>90</v>
      </c>
      <c r="V26" s="77" t="s">
        <v>7</v>
      </c>
      <c r="W26" s="229"/>
      <c r="X26" s="93" t="str">
        <f>Tabela324[[#This Row],[FUNCIONÁRIOS]]</f>
        <v>Viviane Cristina Carvalho de Menezes</v>
      </c>
      <c r="Y26" s="8" t="str">
        <f t="shared" si="0"/>
        <v>FORA</v>
      </c>
      <c r="Z26" s="57">
        <f t="shared" si="5"/>
        <v>0</v>
      </c>
      <c r="AA26" s="180"/>
      <c r="AB26" s="58">
        <f>IF(B26=D$52,Z26*100/E$52,IF(B26=D$53,Z26*100/E$53,IF(B26=D$54,Z26*100/E$54,IF(B26=D$55,Z26*100/E$55,IF(B26=D$56,Z26*100/E$56,IF(B26=D$57,Z26*100/E$57,IF(B26=D$58,Z26*100/E$58,)))))))</f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customHeight="1" x14ac:dyDescent="0.2">
      <c r="A27" s="95"/>
      <c r="B27" s="121"/>
      <c r="C27" s="148"/>
      <c r="D27" s="182"/>
      <c r="E27" s="182"/>
      <c r="F27" s="156"/>
      <c r="G27" s="118" t="s">
        <v>88</v>
      </c>
      <c r="H27" s="54">
        <f>IF(D27&gt;G27,AE27+Tabela324[[#This Row],[FIXO]],E27+F27)+'Extras-Descontos'!G29-'Extras-Descontos'!G71</f>
        <v>0</v>
      </c>
      <c r="I27" s="14" t="str">
        <f>IF(Tabela324[[#This Row],[Valor Total Clínica]]&gt;=Tabela324[[#This Row],[META]],"META","FORA")</f>
        <v>FORA</v>
      </c>
      <c r="J27" s="13" t="s">
        <v>89</v>
      </c>
      <c r="K27" s="83">
        <f>'Extras-Descontos'!C71</f>
        <v>0</v>
      </c>
      <c r="L27" s="154" t="s">
        <v>113</v>
      </c>
      <c r="M27" s="188" t="s">
        <v>144</v>
      </c>
      <c r="N27" s="10">
        <f>IF(Tabela324[[#This Row],[VALOR BRUTO]]&gt;2826.65,564.8,Tabela324[[#This Row],[VALOR BRUTO]]*11%)</f>
        <v>0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0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0</v>
      </c>
      <c r="U27" s="66" t="s">
        <v>90</v>
      </c>
      <c r="V27" s="77" t="s">
        <v>7</v>
      </c>
      <c r="W27" s="229"/>
      <c r="X27" s="93">
        <f>Tabela324[[#This Row],[FUNCIONÁRIOS]]</f>
        <v>0</v>
      </c>
      <c r="Y27" s="8" t="str">
        <f t="shared" si="0"/>
        <v>FORA</v>
      </c>
      <c r="Z27" s="57">
        <f t="shared" si="5"/>
        <v>0</v>
      </c>
      <c r="AA27" s="180"/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93"/>
      <c r="B28" s="117"/>
      <c r="C28" s="101"/>
      <c r="D28" s="182"/>
      <c r="E28" s="182"/>
      <c r="F28" s="156"/>
      <c r="G28" s="118" t="s">
        <v>88</v>
      </c>
      <c r="H28" s="54">
        <f>IF(D28&gt;G28,AE28+Tabela324[[#This Row],[FIXO]],E28+F28)+'Extras-Descontos'!G30-'Extras-Descontos'!G72</f>
        <v>0</v>
      </c>
      <c r="I28" s="14" t="str">
        <f>IF(Tabela324[[#This Row],[Valor Total Clínica]]&gt;=Tabela324[[#This Row],[META]],"META","FORA")</f>
        <v>FORA</v>
      </c>
      <c r="J28" s="13" t="s">
        <v>7</v>
      </c>
      <c r="K28" s="83">
        <f>'Extras-Descontos'!C72</f>
        <v>0</v>
      </c>
      <c r="L28" s="152" t="s">
        <v>94</v>
      </c>
      <c r="M28" s="188"/>
      <c r="N28" s="10">
        <f>IF(Tabela324[[#This Row],[VALOR BRUTO]]&gt;2826.65,564.8,Tabela324[[#This Row],[VALOR BRUTO]]*11%)</f>
        <v>0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0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0</v>
      </c>
      <c r="U28" s="66" t="s">
        <v>90</v>
      </c>
      <c r="V28" s="66" t="s">
        <v>90</v>
      </c>
      <c r="W28" s="229"/>
      <c r="X28" s="93">
        <f>Tabela324[[#This Row],[FUNCIONÁRIOS]]</f>
        <v>0</v>
      </c>
      <c r="Y28" s="8" t="str">
        <f t="shared" si="0"/>
        <v>FORA</v>
      </c>
      <c r="Z28" s="57">
        <f t="shared" si="5"/>
        <v>0</v>
      </c>
      <c r="AA28" s="180"/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194"/>
      <c r="B29" s="117"/>
      <c r="C29" s="147"/>
      <c r="D29" s="182"/>
      <c r="E29" s="182"/>
      <c r="F29" s="156"/>
      <c r="G29" s="118" t="s">
        <v>88</v>
      </c>
      <c r="H29" s="54">
        <f>IF(D29&gt;G29,AE29+Tabela324[[#This Row],[FIXO]],E29+F29)+'Extras-Descontos'!G31-'Extras-Descontos'!G73</f>
        <v>0</v>
      </c>
      <c r="I29" s="14" t="str">
        <f>IF(Tabela324[[#This Row],[Valor Total Clínica]]&gt;=Tabela324[[#This Row],[META]],"META","FORA")</f>
        <v>FORA</v>
      </c>
      <c r="J29" s="13" t="s">
        <v>7</v>
      </c>
      <c r="K29" s="83">
        <f>'Extras-Descontos'!C73</f>
        <v>0</v>
      </c>
      <c r="L29" s="185" t="s">
        <v>115</v>
      </c>
      <c r="M29" s="188" t="s">
        <v>145</v>
      </c>
      <c r="N29" s="10">
        <f>IF(Tabela324[[#This Row],[VALOR BRUTO]]&gt;2826.65,564.8,Tabela324[[#This Row],[VALOR BRUTO]]*11%)</f>
        <v>0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0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0</v>
      </c>
      <c r="U29" s="66" t="s">
        <v>90</v>
      </c>
      <c r="V29" s="66" t="s">
        <v>90</v>
      </c>
      <c r="W29" s="229"/>
      <c r="X29" s="93">
        <f>Tabela324[[#This Row],[FUNCIONÁRIOS]]</f>
        <v>0</v>
      </c>
      <c r="Y29" s="8" t="str">
        <f t="shared" si="0"/>
        <v>FORA</v>
      </c>
      <c r="Z29" s="57">
        <f t="shared" si="4"/>
        <v>0</v>
      </c>
      <c r="AA29" s="52"/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194"/>
      <c r="B30" s="117"/>
      <c r="C30" s="101"/>
      <c r="D30" s="182"/>
      <c r="E30" s="182"/>
      <c r="F30" s="156"/>
      <c r="G30" s="118" t="s">
        <v>88</v>
      </c>
      <c r="H30" s="54">
        <f>IF(D30&gt;G30,AE30+Tabela324[[#This Row],[FIXO]],E30+F30)+'Extras-Descontos'!G32-'Extras-Descontos'!G74</f>
        <v>0</v>
      </c>
      <c r="I30" s="14" t="str">
        <f>IF(Tabela324[[#This Row],[Valor Total Clínica]]&gt;=Tabela324[[#This Row],[META]],"META","FORA")</f>
        <v>FORA</v>
      </c>
      <c r="J30" s="13" t="s">
        <v>89</v>
      </c>
      <c r="K30" s="83">
        <f>'Extras-Descontos'!C74</f>
        <v>0</v>
      </c>
      <c r="L30" s="153" t="s">
        <v>118</v>
      </c>
      <c r="M30" s="188" t="s">
        <v>144</v>
      </c>
      <c r="N30" s="10">
        <f>IF(Tabela324[[#This Row],[VALOR BRUTO]]&gt;2826.65,564.8,Tabela324[[#This Row],[VALOR BRUTO]]*11%)</f>
        <v>0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0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0</v>
      </c>
      <c r="U30" s="66" t="s">
        <v>90</v>
      </c>
      <c r="V30" s="66" t="s">
        <v>90</v>
      </c>
      <c r="W30" s="229"/>
      <c r="X30" s="93">
        <f>Tabela324[[#This Row],[FUNCIONÁRIOS]]</f>
        <v>0</v>
      </c>
      <c r="Y30" s="8" t="str">
        <f t="shared" si="0"/>
        <v>FORA</v>
      </c>
      <c r="Z30" s="57">
        <f t="shared" si="4"/>
        <v>0</v>
      </c>
      <c r="AA30" s="52"/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194"/>
      <c r="B31" s="120"/>
      <c r="C31" s="150"/>
      <c r="D31" s="182"/>
      <c r="E31" s="182"/>
      <c r="F31" s="156"/>
      <c r="G31" s="118" t="s">
        <v>88</v>
      </c>
      <c r="H31" s="54">
        <f>IF(D31&gt;G31,AE31+Tabela324[[#This Row],[FIXO]],E31+F31)+'Extras-Descontos'!G33-'Extras-Descontos'!G75</f>
        <v>0</v>
      </c>
      <c r="I31" s="14" t="str">
        <f>IF(Tabela324[[#This Row],[Valor Total Clínica]]&gt;=Tabela324[[#This Row],[META]],"META","FORA")</f>
        <v>FORA</v>
      </c>
      <c r="J31" s="13" t="s">
        <v>89</v>
      </c>
      <c r="K31" s="83">
        <f>'Extras-Descontos'!C75</f>
        <v>0</v>
      </c>
      <c r="L31" s="207" t="s">
        <v>119</v>
      </c>
      <c r="M31" s="188" t="s">
        <v>144</v>
      </c>
      <c r="N31" s="10">
        <f>IF(Tabela324[[#This Row],[VALOR BRUTO]]&gt;2826.65,564.8,Tabela324[[#This Row],[VALOR BRUTO]]*11%)</f>
        <v>0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0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0</v>
      </c>
      <c r="U31" s="66" t="s">
        <v>90</v>
      </c>
      <c r="V31" s="66" t="s">
        <v>90</v>
      </c>
      <c r="W31" s="229"/>
      <c r="X31" s="93">
        <f>Tabela324[[#This Row],[FUNCIONÁRIOS]]</f>
        <v>0</v>
      </c>
      <c r="Y31" s="8" t="str">
        <f t="shared" si="0"/>
        <v>FORA</v>
      </c>
      <c r="Z31" s="57">
        <f t="shared" si="4"/>
        <v>0</v>
      </c>
      <c r="AA31" s="52"/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194"/>
      <c r="B32" s="117"/>
      <c r="C32" s="147"/>
      <c r="D32" s="182" cm="1">
        <f t="array" ref="D32">IFERROR(SUMPRODUCT((A32=A$92:A$118)*(B$92:B$118)) + SUMPRODUCT((A32=A$123:A$150)*(B$123:B$150)), "")</f>
        <v>0</v>
      </c>
      <c r="E32" s="182" cm="1">
        <f t="array" ref="E32">IFERROR(SUMPRODUCT((A32=A$92:A$118)*(C$92:C$118)) + SUMPRODUCT((A32=A$123:A$150)*(C$123:C$150)), "")</f>
        <v>0</v>
      </c>
      <c r="F32" s="156"/>
      <c r="G32" s="118" t="s">
        <v>88</v>
      </c>
      <c r="H32" s="54">
        <f>IF(D32&gt;G32,AE32+Tabela324[[#This Row],[FIXO]],E32+F32)+'Extras-Descontos'!G34-'Extras-Descontos'!G76</f>
        <v>0</v>
      </c>
      <c r="I32" s="14" t="str">
        <f>IF(Tabela324[[#This Row],[Valor Total Clínica]]&gt;=Tabela324[[#This Row],[META]],"META","FORA")</f>
        <v>FORA</v>
      </c>
      <c r="J32" s="13" t="s">
        <v>89</v>
      </c>
      <c r="K32" s="83">
        <f>'Extras-Descontos'!C76</f>
        <v>0</v>
      </c>
      <c r="L32" s="209" t="s">
        <v>120</v>
      </c>
      <c r="M32" s="188" t="s">
        <v>145</v>
      </c>
      <c r="N32" s="10">
        <f>IF(Tabela324[[#This Row],[VALOR BRUTO]]&gt;2826.65,564.8,Tabela324[[#This Row],[VALOR BRUTO]]*11%)</f>
        <v>0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0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0</v>
      </c>
      <c r="U32" s="66" t="s">
        <v>90</v>
      </c>
      <c r="V32" s="77" t="s">
        <v>7</v>
      </c>
      <c r="W32" s="229"/>
      <c r="X32" s="93">
        <f>Tabela324[[#This Row],[FUNCIONÁRIOS]]</f>
        <v>0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">
      <c r="A33" s="93"/>
      <c r="B33" s="117"/>
      <c r="C33" s="147"/>
      <c r="D33" s="182" cm="1">
        <f t="array" ref="D33">IFERROR(SUMPRODUCT((A33=A$92:A$118)*(B$92:B$118)) + SUMPRODUCT((A33=A$123:A$150)*(B$123:B$150)), "")</f>
        <v>0</v>
      </c>
      <c r="E33" s="182" cm="1">
        <f t="array" ref="E33">IFERROR(SUMPRODUCT((A33=A$92:A$118)*(C$92:C$118)) + SUMPRODUCT((A33=A$123:A$150)*(C$123:C$150)), "")</f>
        <v>0</v>
      </c>
      <c r="F33" s="156"/>
      <c r="G33" s="118" t="s">
        <v>88</v>
      </c>
      <c r="H33" s="54">
        <f>IF(D33&gt;G33,AE33+Tabela324[[#This Row],[FIXO]],E33+F33)+'Extras-Descontos'!G35-'Extras-Descontos'!G77</f>
        <v>0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'Extras-Descontos'!C77</f>
        <v>0</v>
      </c>
      <c r="L33" s="152" t="s">
        <v>94</v>
      </c>
      <c r="M33" s="188"/>
      <c r="N33" s="10">
        <f>IF(Tabela324[[#This Row],[VALOR BRUTO]]&gt;2826.65,564.8,Tabela324[[#This Row],[VALOR BRUTO]]*11%)</f>
        <v>0</v>
      </c>
      <c r="O33" s="9">
        <f>(Tabela135[[#This Row],[BASE IR]]*Tabela135[[#This Row],[ALIQ IR]])-Tabela135[[#This Row],[DESC IR]]</f>
        <v>0</v>
      </c>
      <c r="P33" s="9">
        <v>0</v>
      </c>
      <c r="Q33" s="9">
        <f>Tabela324[[#This Row],[VALOR BRUTO]]-Tabela135[[#This Row],[DED. FIXA OU INSS (11%)]]</f>
        <v>0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6">
        <f>IF(Tabela324[[#This Row],[STATUS NOTA]]="NFA",Tabela324[[#This Row],[VALOR BRUTO]]-(Tabela324[[#This Row],[VALOR BRUTO]]*11%)-Tabela135[[#This Row],[IRPF]],Tabela324[[#This Row],[VALOR BRUTO]])</f>
        <v>0</v>
      </c>
      <c r="U33" s="66" t="s">
        <v>90</v>
      </c>
      <c r="V33" s="77" t="s">
        <v>7</v>
      </c>
      <c r="W33" s="229"/>
      <c r="X33" s="93">
        <f>Tabela324[[#This Row],[FUNCIONÁRIOS]]</f>
        <v>0</v>
      </c>
      <c r="Y33" s="8" t="str">
        <f t="shared" si="0"/>
        <v>FORA</v>
      </c>
      <c r="Z33" s="57">
        <f t="shared" si="4"/>
        <v>0</v>
      </c>
      <c r="AA33" s="52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4"/>
      <c r="B34" s="119"/>
      <c r="C34" s="147"/>
      <c r="D34" s="182" cm="1">
        <f t="array" ref="D34">IFERROR(SUMPRODUCT((A34=A$92:A$118)*(B$92:B$118)) + SUMPRODUCT((A34=A$123:A$150)*(B$123:B$150)), "")</f>
        <v>0</v>
      </c>
      <c r="E34" s="182" cm="1">
        <f t="array" ref="E34">IFERROR(SUMPRODUCT((A34=A$92:A$118)*(C$92:C$118)) + SUMPRODUCT((A34=A$123:A$150)*(C$123:C$150)), "")</f>
        <v>0</v>
      </c>
      <c r="F34" s="156"/>
      <c r="G34" s="118" t="s">
        <v>88</v>
      </c>
      <c r="H34" s="54">
        <f>IF(D34&gt;G34,AE34+Tabela324[[#This Row],[FIXO]],E34+F34)+'Extras-Descontos'!G36-'Extras-Descontos'!G78</f>
        <v>0</v>
      </c>
      <c r="I34" s="14" t="str">
        <f>IF(Tabela324[[#This Row],[Valor Total Clínica]]&gt;=Tabela324[[#This Row],[META]],"META","FORA")</f>
        <v>FORA</v>
      </c>
      <c r="J34" s="13" t="s">
        <v>7</v>
      </c>
      <c r="K34" s="83">
        <f>'Extras-Descontos'!C78</f>
        <v>0</v>
      </c>
      <c r="L34" s="152" t="s">
        <v>94</v>
      </c>
      <c r="M34" s="188"/>
      <c r="N34" s="10">
        <f>IF(Tabela324[[#This Row],[VALOR BRUTO]]&gt;2826.65,564.8,Tabela324[[#This Row],[VALOR BRUTO]]*11%)</f>
        <v>0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0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0</v>
      </c>
      <c r="U34" s="66" t="s">
        <v>90</v>
      </c>
      <c r="V34" s="77" t="s">
        <v>7</v>
      </c>
      <c r="W34" s="229"/>
      <c r="X34" s="93">
        <f>Tabela324[[#This Row],[FUNCIONÁRIOS]]</f>
        <v>0</v>
      </c>
      <c r="Y34" s="8" t="str">
        <f t="shared" si="0"/>
        <v>FORA</v>
      </c>
      <c r="Z34" s="57">
        <f t="shared" si="4"/>
        <v>0</v>
      </c>
      <c r="AA34" s="52">
        <v>0</v>
      </c>
      <c r="AB34" s="58">
        <f t="shared" si="1"/>
        <v>0</v>
      </c>
      <c r="AC34" s="58">
        <f t="shared" si="2"/>
        <v>0</v>
      </c>
      <c r="AD34" s="58">
        <f t="shared" si="3"/>
        <v>0</v>
      </c>
      <c r="AE34" s="71">
        <f>Tabela411107[[#This Row],[COM META]]+Tabela411107[[#This Row],[PART/OAB]]</f>
        <v>0</v>
      </c>
    </row>
    <row r="35" spans="1:31" ht="19.5" customHeight="1" x14ac:dyDescent="0.25">
      <c r="A35" s="199"/>
      <c r="B35" s="117"/>
      <c r="C35" s="147"/>
      <c r="D35" s="182" cm="1">
        <f t="array" ref="D35">IFERROR(SUMPRODUCT((A35=A$92:A$118)*(B$92:B$118)) + SUMPRODUCT((A35=A$123:A$150)*(B$123:B$150)), "")</f>
        <v>0</v>
      </c>
      <c r="E35" s="182" cm="1">
        <f t="array" ref="E35">IFERROR(SUMPRODUCT((A35=A$92:A$118)*(C$92:C$118)) + SUMPRODUCT((A35=A$123:A$150)*(C$123:C$150)), "")</f>
        <v>0</v>
      </c>
      <c r="F35" s="156"/>
      <c r="G35" s="118" t="s">
        <v>88</v>
      </c>
      <c r="H35" s="54">
        <f>IF(D35&gt;G35,AE35+Tabela324[[#This Row],[FIXO]],E35+F35)+'Extras-Descontos'!G37-'Extras-Descontos'!G79</f>
        <v>0</v>
      </c>
      <c r="I35" s="14" t="str">
        <f>IF(Tabela324[[#This Row],[Valor Total Clínica]]&gt;=Tabela324[[#This Row],[META]],"META","FORA")</f>
        <v>FORA</v>
      </c>
      <c r="J35" s="13" t="s">
        <v>89</v>
      </c>
      <c r="K35" s="83">
        <f>'Extras-Descontos'!C79</f>
        <v>0</v>
      </c>
      <c r="L35" s="153" t="s">
        <v>109</v>
      </c>
      <c r="M35" s="188" t="s">
        <v>144</v>
      </c>
      <c r="N35" s="10">
        <f>IF(Tabela324[[#This Row],[VALOR BRUTO]]&gt;2826.65,564.8,Tabela324[[#This Row],[VALOR BRUTO]]*11%)</f>
        <v>0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0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0</v>
      </c>
      <c r="U35" s="66" t="s">
        <v>90</v>
      </c>
      <c r="V35" s="77" t="s">
        <v>7</v>
      </c>
      <c r="W35" s="229"/>
      <c r="X35" s="93">
        <f>Tabela324[[#This Row],[FUNCIONÁRIOS]]</f>
        <v>0</v>
      </c>
      <c r="Y35" s="8" t="str">
        <f t="shared" si="0"/>
        <v>FORA</v>
      </c>
      <c r="Z35" s="57">
        <f t="shared" si="4"/>
        <v>0</v>
      </c>
      <c r="AA35" s="52">
        <v>0</v>
      </c>
      <c r="AB35" s="58">
        <f t="shared" si="1"/>
        <v>0</v>
      </c>
      <c r="AC35" s="58">
        <f t="shared" si="2"/>
        <v>0</v>
      </c>
      <c r="AD35" s="58">
        <f t="shared" si="3"/>
        <v>0</v>
      </c>
      <c r="AE35" s="71">
        <f>Tabela411107[[#This Row],[COM META]]+Tabela411107[[#This Row],[PART/OAB]]</f>
        <v>0</v>
      </c>
    </row>
    <row r="36" spans="1:31" ht="24" customHeight="1" x14ac:dyDescent="0.2">
      <c r="A36" s="194"/>
      <c r="B36" s="117"/>
      <c r="C36" s="147"/>
      <c r="D36" s="182" cm="1">
        <f t="array" ref="D36">IFERROR(SUMPRODUCT((A36=A$92:A$118)*(B$92:B$118)) + SUMPRODUCT((A36=A$123:A$150)*(B$123:B$150)), "")</f>
        <v>0</v>
      </c>
      <c r="E36" s="182" cm="1">
        <f t="array" ref="E36">IFERROR(SUMPRODUCT((A36=A$92:A$118)*(C$92:C$118)) + SUMPRODUCT((A36=A$123:A$150)*(C$123:C$150)), "")</f>
        <v>0</v>
      </c>
      <c r="F36" s="156"/>
      <c r="G36" s="118" t="s">
        <v>88</v>
      </c>
      <c r="H36" s="54">
        <f>IF(D36&gt;G36,AE36+Tabela324[[#This Row],[FIXO]],E36+F36)+'Extras-Descontos'!G38-'Extras-Descontos'!G80</f>
        <v>0</v>
      </c>
      <c r="I36" s="14" t="str">
        <f>IF(Tabela324[[#This Row],[Valor Total Clínica]]&gt;=Tabela324[[#This Row],[META]],"META","FORA")</f>
        <v>FORA</v>
      </c>
      <c r="J36" s="13" t="s">
        <v>89</v>
      </c>
      <c r="K36" s="83">
        <f>'Extras-Descontos'!C80</f>
        <v>0</v>
      </c>
      <c r="L36" s="191" t="s">
        <v>106</v>
      </c>
      <c r="M36" s="188" t="s">
        <v>144</v>
      </c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8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79" t="s">
        <v>7</v>
      </c>
      <c r="V36" s="80" t="s">
        <v>7</v>
      </c>
      <c r="W36" s="229"/>
      <c r="X36" s="93">
        <f>Tabela324[[#This Row],[FUNCIONÁRIOS]]</f>
        <v>0</v>
      </c>
      <c r="Y36" s="8" t="str">
        <f t="shared" si="0"/>
        <v>FORA</v>
      </c>
      <c r="Z36" s="57">
        <f t="shared" si="4"/>
        <v>0</v>
      </c>
      <c r="AA36" s="52">
        <v>0</v>
      </c>
      <c r="AB36" s="58">
        <f t="shared" si="1"/>
        <v>0</v>
      </c>
      <c r="AC36" s="58">
        <f t="shared" si="2"/>
        <v>0</v>
      </c>
      <c r="AD36" s="58">
        <f t="shared" si="3"/>
        <v>0</v>
      </c>
      <c r="AE36" s="71">
        <f>Tabela411107[[#This Row],[COM META]]+Tabela411107[[#This Row],[PART/OAB]]</f>
        <v>0</v>
      </c>
    </row>
    <row r="37" spans="1:31" ht="18.75" customHeight="1" x14ac:dyDescent="0.25">
      <c r="A37" s="195"/>
      <c r="B37" s="119"/>
      <c r="C37" s="147"/>
      <c r="D37" s="182"/>
      <c r="E37" s="182"/>
      <c r="F37" s="156"/>
      <c r="G37" s="118" t="s">
        <v>88</v>
      </c>
      <c r="H37" s="54">
        <f>IF(D37&gt;G37,AE37+Tabela324[[#This Row],[FIXO]],E37+F37)+'Extras-Descontos'!G39-'Extras-Descontos'!G81</f>
        <v>0</v>
      </c>
      <c r="I37" s="14" t="str">
        <f>IF(Tabela324[[#This Row],[Valor Total Clínica]]&gt;=Tabela324[[#This Row],[META]],"META","FORA")</f>
        <v>FORA</v>
      </c>
      <c r="J37" s="13" t="s">
        <v>89</v>
      </c>
      <c r="K37" s="83">
        <f>'Extras-Descontos'!C81</f>
        <v>0</v>
      </c>
      <c r="L37" s="154" t="s">
        <v>101</v>
      </c>
      <c r="M37" s="188" t="s">
        <v>145</v>
      </c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1"/>
      <c r="W37" s="229"/>
      <c r="X37" s="93">
        <f>Tabela324[[#This Row],[FUNCIONÁRIOS]]</f>
        <v>0</v>
      </c>
      <c r="Y37" s="8" t="str">
        <f t="shared" si="0"/>
        <v>FORA</v>
      </c>
      <c r="Z37" s="57">
        <f t="shared" si="4"/>
        <v>0</v>
      </c>
      <c r="AA37" s="52">
        <v>0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0</v>
      </c>
    </row>
    <row r="38" spans="1:31" ht="18.75" customHeight="1" x14ac:dyDescent="0.2">
      <c r="A38" s="208"/>
      <c r="B38" s="117"/>
      <c r="C38" s="148"/>
      <c r="D38" s="182" cm="1">
        <f t="array" ref="D38">IFERROR(SUMPRODUCT((A38=A$92:A$118)*(B$92:B$118)) + SUMPRODUCT((A38=A$123:A$150)*(B$123:B$150)), "")</f>
        <v>0</v>
      </c>
      <c r="E38" s="182" cm="1">
        <f t="array" ref="E38">IFERROR(SUMPRODUCT((A38=A$92:A$118)*(C$92:C$118)) + SUMPRODUCT((A38=A$123:A$150)*(C$123:C$150)), "")</f>
        <v>0</v>
      </c>
      <c r="F38" s="156"/>
      <c r="G38" s="118" t="s">
        <v>88</v>
      </c>
      <c r="H38" s="54">
        <f>IF(D38&gt;G38,AE38+Tabela324[[#This Row],[FIXO]],E38+F38)+'Extras-Descontos'!G40-'Extras-Descontos'!G82</f>
        <v>0</v>
      </c>
      <c r="I38" s="14" t="str">
        <f>IF(Tabela324[[#This Row],[Valor Total Clínica]]&gt;=Tabela324[[#This Row],[META]],"META","FORA")</f>
        <v>FORA</v>
      </c>
      <c r="J38" s="13" t="s">
        <v>89</v>
      </c>
      <c r="K38" s="83">
        <f>'Extras-Descontos'!C82</f>
        <v>0</v>
      </c>
      <c r="L38" s="151" t="s">
        <v>114</v>
      </c>
      <c r="M38" s="188" t="s">
        <v>144</v>
      </c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1"/>
      <c r="W38" s="229"/>
      <c r="X38" s="93">
        <f>Tabela324[[#This Row],[FUNCIONÁRIOS]]</f>
        <v>0</v>
      </c>
      <c r="Y38" s="8" t="str">
        <f t="shared" si="0"/>
        <v>FORA</v>
      </c>
      <c r="Z38" s="57">
        <f t="shared" si="4"/>
        <v>0</v>
      </c>
      <c r="AA38" s="52">
        <v>0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0</v>
      </c>
    </row>
    <row r="39" spans="1:31" ht="21" customHeight="1" x14ac:dyDescent="0.2">
      <c r="A39" s="95"/>
      <c r="B39" s="205"/>
      <c r="C39" s="206"/>
      <c r="D39" s="182" cm="1">
        <f t="array" ref="D39">IFERROR(SUMPRODUCT((A39=A$92:A$118)*(B$92:B$118)) + SUMPRODUCT((A39=A$123:A$150)*(B$123:B$150)), "")</f>
        <v>0</v>
      </c>
      <c r="E39" s="182" cm="1">
        <f t="array" ref="E39">IFERROR(SUMPRODUCT((A39=A$92:A$118)*(C$92:C$118)) + SUMPRODUCT((A39=A$123:A$150)*(C$123:C$150)), "")</f>
        <v>0</v>
      </c>
      <c r="F39" s="156">
        <v>0</v>
      </c>
      <c r="G39" s="118" t="s">
        <v>88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13" t="s">
        <v>89</v>
      </c>
      <c r="K39" s="83">
        <f>'Extras-Descontos'!C83</f>
        <v>0</v>
      </c>
      <c r="L39" s="172" t="s">
        <v>126</v>
      </c>
      <c r="M39" s="188" t="s">
        <v>144</v>
      </c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1"/>
      <c r="W39" s="229"/>
      <c r="X39" s="93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customHeight="1" x14ac:dyDescent="0.2">
      <c r="A40" s="93"/>
      <c r="B40" s="126"/>
      <c r="C40" s="14"/>
      <c r="D40" s="182" cm="1">
        <f t="array" ref="D40">IFERROR(SUMPRODUCT((A40=A$92:A$118)*(B$92:B$118)) + SUMPRODUCT((A40=A$123:A$150)*(B$123:B$150)), "")</f>
        <v>0</v>
      </c>
      <c r="E40" s="182" cm="1">
        <f t="array" ref="E40">IFERROR(SUMPRODUCT((A40=A$92:A$118)*(C$92:C$118)) + SUMPRODUCT((A40=A$123:A$150)*(C$123:C$150)), "")</f>
        <v>0</v>
      </c>
      <c r="F40" s="156"/>
      <c r="G40" s="118" t="s">
        <v>88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3">
        <f>'Extras-Descontos'!C84</f>
        <v>0</v>
      </c>
      <c r="L40" s="174"/>
      <c r="M40" s="188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29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182" cm="1">
        <f t="array" ref="D41">IFERROR(SUMPRODUCT((A41=A$92:A$118)*(B$92:B$118)) + SUMPRODUCT((A41=A$123:A$150)*(B$123:B$150)), "")</f>
        <v>0</v>
      </c>
      <c r="E41" s="182" cm="1">
        <f t="array" ref="E41">IFERROR(SUMPRODUCT((A41=A$92:A$118)*(C$92:C$118)) + SUMPRODUCT((A41=A$123:A$150)*(C$123:C$150)), "")</f>
        <v>0</v>
      </c>
      <c r="F41" s="156"/>
      <c r="G41" s="118" t="s">
        <v>88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88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29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82" cm="1">
        <f t="array" ref="D42">IFERROR(SUMPRODUCT((A42=A$92:A$118)*(B$92:B$118)) + SUMPRODUCT((A42=A$123:A$150)*(B$123:B$150)), "")</f>
        <v>0</v>
      </c>
      <c r="E42" s="182" cm="1">
        <f t="array" ref="E42">IFERROR(SUMPRODUCT((A42=A$92:A$118)*(C$92:C$118)) + SUMPRODUCT((A42=A$123:A$150)*(C$123:C$150)), "")</f>
        <v>0</v>
      </c>
      <c r="F42" s="156"/>
      <c r="G42" s="118" t="s">
        <v>88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88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29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82">
        <v>0</v>
      </c>
      <c r="E43" s="182">
        <v>0</v>
      </c>
      <c r="F43" s="156">
        <v>0</v>
      </c>
      <c r="G43" s="118" t="s">
        <v>88</v>
      </c>
      <c r="H43" s="54">
        <v>0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188"/>
      <c r="N43" s="10">
        <f>IF(Tabela324[[#This Row],[VALOR BRUTO]]&gt;2826.65,564.8,Tabela324[[#This Row],[VALOR BRUTO]]*11%)</f>
        <v>0</v>
      </c>
      <c r="O43" s="9">
        <f>(Tabela135[[#This Row],[BASE IR]]*Tabela135[[#This Row],[ALIQ IR]])-Tabela135[[#This Row],[DESC IR]]</f>
        <v>0</v>
      </c>
      <c r="P43" s="78">
        <v>0</v>
      </c>
      <c r="Q43" s="9">
        <f>Tabela324[[#This Row],[VALOR BRUTO]]-Tabela135[[#This Row],[DED. FIXA OU INSS (11%)]]</f>
        <v>0</v>
      </c>
      <c r="R4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3" s="56">
        <f>IF(Tabela324[[#This Row],[STATUS NOTA]]="NFA",Tabela324[[#This Row],[VALOR BRUTO]]-(Tabela324[[#This Row],[VALOR BRUTO]]*11%)-Tabela135[[#This Row],[IRPF]],Tabela324[[#This Row],[VALOR BRUTO]])</f>
        <v>0</v>
      </c>
      <c r="U43" s="9"/>
      <c r="V43" s="101"/>
      <c r="W43" s="229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82" cm="1">
        <f t="array" ref="D44">IFERROR(SUMPRODUCT((A44=A$92:A$118)*(B$92:B$118)) + SUMPRODUCT((A44=A$123:A$150)*(B$123:B$150)), "")</f>
        <v>0</v>
      </c>
      <c r="E44" s="182" cm="1">
        <f t="array" ref="E44">IFERROR(SUMPRODUCT((A44=A$92:A$118)*(C$92:C$118)) + SUMPRODUCT((A44=A$123:A$150)*(C$123:C$150)), "")</f>
        <v>0</v>
      </c>
      <c r="F44" s="156"/>
      <c r="G44" s="118" t="s">
        <v>88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88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29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127</v>
      </c>
      <c r="B45" s="122"/>
      <c r="C45" s="123"/>
      <c r="D45" s="124">
        <f>SUM(D2:D44)</f>
        <v>281312.13476190472</v>
      </c>
      <c r="E45" s="124">
        <f>SUM(E2:E44)</f>
        <v>60119.872304761935</v>
      </c>
      <c r="F45" s="72">
        <f>SUM(F2:F44)</f>
        <v>6800</v>
      </c>
      <c r="G45" s="125" t="s">
        <v>88</v>
      </c>
      <c r="H45" s="72">
        <f>SUM(H2:H44)</f>
        <v>71130.308921428601</v>
      </c>
      <c r="I45" s="73"/>
      <c r="J45" s="74"/>
      <c r="K45" s="74"/>
      <c r="L45" s="75"/>
      <c r="M45" s="162"/>
    </row>
    <row r="46" spans="1:31" x14ac:dyDescent="0.2">
      <c r="L46"/>
    </row>
    <row r="47" spans="1:31" x14ac:dyDescent="0.2">
      <c r="D47" s="144"/>
      <c r="F47" s="115"/>
      <c r="L47"/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128</v>
      </c>
      <c r="C50" s="128"/>
      <c r="D50" s="225" t="s">
        <v>129</v>
      </c>
      <c r="E50" s="226"/>
      <c r="F50" s="227"/>
      <c r="L50" s="46"/>
    </row>
    <row r="51" spans="1:16" ht="41" thickBot="1" x14ac:dyDescent="0.3">
      <c r="A51" s="7"/>
      <c r="C51" s="128"/>
      <c r="D51" s="130" t="s">
        <v>130</v>
      </c>
      <c r="E51" s="131" t="s">
        <v>131</v>
      </c>
      <c r="F51" s="132" t="s">
        <v>132</v>
      </c>
      <c r="L51" s="48"/>
    </row>
    <row r="52" spans="1:16" x14ac:dyDescent="0.2">
      <c r="A52" s="7"/>
      <c r="C52" s="128"/>
      <c r="D52" s="133" t="s">
        <v>110</v>
      </c>
      <c r="E52" s="134">
        <v>20</v>
      </c>
      <c r="F52" s="135">
        <v>22</v>
      </c>
      <c r="H52" s="164"/>
      <c r="I52" s="165"/>
      <c r="L52" s="50"/>
    </row>
    <row r="53" spans="1:16" x14ac:dyDescent="0.2">
      <c r="A53" s="7"/>
      <c r="C53" s="128"/>
      <c r="D53" s="136" t="s">
        <v>92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95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108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133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97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122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1"/>
      <c r="F62" s="181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0" t="s">
        <v>134</v>
      </c>
      <c r="B90" s="230"/>
      <c r="C90" s="230"/>
    </row>
    <row r="91" spans="1:3" x14ac:dyDescent="0.2">
      <c r="A91" s="128"/>
      <c r="B91" s="128"/>
      <c r="C91" s="128"/>
    </row>
    <row r="92" spans="1:3" x14ac:dyDescent="0.2">
      <c r="A92" s="204"/>
      <c r="B92" s="203"/>
      <c r="C92" s="202"/>
    </row>
    <row r="93" spans="1:3" ht="16" x14ac:dyDescent="0.2">
      <c r="A93" s="254" t="s">
        <v>51</v>
      </c>
      <c r="B93" s="252">
        <v>10715.230000000003</v>
      </c>
      <c r="C93" s="253">
        <v>4129.4580000000005</v>
      </c>
    </row>
    <row r="94" spans="1:3" ht="16" x14ac:dyDescent="0.2">
      <c r="A94" s="250" t="s">
        <v>10</v>
      </c>
      <c r="B94" s="248">
        <v>26870.830000000147</v>
      </c>
      <c r="C94" s="249">
        <v>3390.7477999999778</v>
      </c>
    </row>
    <row r="95" spans="1:3" ht="16" x14ac:dyDescent="0.2">
      <c r="A95" s="250" t="s">
        <v>57</v>
      </c>
      <c r="B95" s="248">
        <v>134.79</v>
      </c>
      <c r="C95" s="249">
        <v>0</v>
      </c>
    </row>
    <row r="96" spans="1:3" ht="16" x14ac:dyDescent="0.2">
      <c r="A96" s="250" t="s">
        <v>11</v>
      </c>
      <c r="B96" s="248">
        <v>11712.499999999995</v>
      </c>
      <c r="C96" s="249">
        <v>1942.7951999999925</v>
      </c>
    </row>
    <row r="97" spans="1:8" ht="16" x14ac:dyDescent="0.2">
      <c r="A97" s="250" t="s">
        <v>13</v>
      </c>
      <c r="B97" s="248">
        <v>24428.450000000095</v>
      </c>
      <c r="C97" s="249">
        <v>2933.3137999999826</v>
      </c>
    </row>
    <row r="98" spans="1:8" ht="16" x14ac:dyDescent="0.2">
      <c r="A98" s="250" t="s">
        <v>14</v>
      </c>
      <c r="B98" s="248">
        <v>7656.4400000000132</v>
      </c>
      <c r="C98" s="249">
        <v>1313.7303999999981</v>
      </c>
    </row>
    <row r="99" spans="1:8" ht="16" x14ac:dyDescent="0.2">
      <c r="A99" s="250" t="s">
        <v>16</v>
      </c>
      <c r="B99" s="248">
        <v>570</v>
      </c>
      <c r="C99" s="249">
        <v>285</v>
      </c>
    </row>
    <row r="100" spans="1:8" ht="16" x14ac:dyDescent="0.2">
      <c r="A100" s="250" t="s">
        <v>40</v>
      </c>
      <c r="B100" s="248">
        <v>18851.94999999999</v>
      </c>
      <c r="C100" s="249">
        <v>2313.7808000000014</v>
      </c>
      <c r="G100" s="193"/>
      <c r="H100" s="165"/>
    </row>
    <row r="101" spans="1:8" ht="16" x14ac:dyDescent="0.2">
      <c r="A101" s="250" t="s">
        <v>17</v>
      </c>
      <c r="B101" s="248">
        <v>2090.7700000000013</v>
      </c>
      <c r="C101" s="249">
        <v>423.404</v>
      </c>
    </row>
    <row r="102" spans="1:8" ht="16" x14ac:dyDescent="0.2">
      <c r="A102" s="250" t="s">
        <v>39</v>
      </c>
      <c r="B102" s="248">
        <v>8595.0500000000029</v>
      </c>
      <c r="C102" s="249">
        <v>3371.516000000001</v>
      </c>
    </row>
    <row r="103" spans="1:8" ht="16" x14ac:dyDescent="0.2">
      <c r="A103" s="250" t="s">
        <v>50</v>
      </c>
      <c r="B103" s="248">
        <v>10753.469999999967</v>
      </c>
      <c r="C103" s="249">
        <v>2155.5160000000083</v>
      </c>
    </row>
    <row r="104" spans="1:8" ht="16" x14ac:dyDescent="0.2">
      <c r="A104" s="250" t="s">
        <v>46</v>
      </c>
      <c r="B104" s="248">
        <v>15970.08999999998</v>
      </c>
      <c r="C104" s="249">
        <v>3161.477999999991</v>
      </c>
    </row>
    <row r="105" spans="1:8" ht="16" x14ac:dyDescent="0.2">
      <c r="A105" s="250" t="s">
        <v>148</v>
      </c>
      <c r="B105" s="248">
        <v>2220.2500000000014</v>
      </c>
      <c r="C105" s="249">
        <v>431.56599999999986</v>
      </c>
    </row>
    <row r="106" spans="1:8" ht="16" x14ac:dyDescent="0.2">
      <c r="A106" s="250" t="s">
        <v>22</v>
      </c>
      <c r="B106" s="248">
        <v>12907.890000000005</v>
      </c>
      <c r="C106" s="249">
        <v>5012.7919999999995</v>
      </c>
    </row>
    <row r="107" spans="1:8" ht="16" x14ac:dyDescent="0.2">
      <c r="A107" s="250" t="s">
        <v>149</v>
      </c>
      <c r="B107" s="248">
        <v>8897.2000000000098</v>
      </c>
      <c r="C107" s="249">
        <v>1394.5831999999978</v>
      </c>
    </row>
    <row r="108" spans="1:8" ht="19" x14ac:dyDescent="0.2">
      <c r="A108" s="194" t="s">
        <v>24</v>
      </c>
      <c r="B108" s="248">
        <v>20493.070000000025</v>
      </c>
      <c r="C108" s="249">
        <v>2633.2788000000028</v>
      </c>
    </row>
    <row r="109" spans="1:8" ht="16" x14ac:dyDescent="0.2">
      <c r="A109" s="250" t="s">
        <v>147</v>
      </c>
      <c r="B109" s="248">
        <v>1083.5199999999998</v>
      </c>
      <c r="C109" s="249">
        <v>365.4464000000001</v>
      </c>
    </row>
    <row r="110" spans="1:8" ht="19" x14ac:dyDescent="0.2">
      <c r="A110" s="95" t="s">
        <v>151</v>
      </c>
      <c r="B110" s="248">
        <v>7494.4947619047771</v>
      </c>
      <c r="C110" s="249">
        <v>2504.1203047619047</v>
      </c>
    </row>
    <row r="111" spans="1:8" ht="16" x14ac:dyDescent="0.2">
      <c r="A111" s="250" t="s">
        <v>49</v>
      </c>
      <c r="B111" s="248">
        <v>12188.579999999993</v>
      </c>
      <c r="C111" s="249">
        <v>1972.7334000000048</v>
      </c>
    </row>
    <row r="112" spans="1:8" ht="16" x14ac:dyDescent="0.2">
      <c r="A112" s="250" t="s">
        <v>53</v>
      </c>
      <c r="B112" s="248">
        <v>12310.550000000019</v>
      </c>
      <c r="C112" s="249">
        <v>8677.385000000002</v>
      </c>
    </row>
    <row r="113" spans="1:3" ht="16" x14ac:dyDescent="0.2">
      <c r="A113" s="250" t="s">
        <v>55</v>
      </c>
      <c r="B113" s="248">
        <v>4219.9299999999994</v>
      </c>
      <c r="C113" s="249">
        <v>2798.9510000000009</v>
      </c>
    </row>
    <row r="114" spans="1:3" ht="16" x14ac:dyDescent="0.2">
      <c r="A114" s="250" t="s">
        <v>45</v>
      </c>
      <c r="B114" s="248">
        <v>15524.51999999998</v>
      </c>
      <c r="C114" s="249">
        <v>2890.359600000013</v>
      </c>
    </row>
    <row r="115" spans="1:3" ht="16" x14ac:dyDescent="0.2">
      <c r="A115" s="250" t="s">
        <v>27</v>
      </c>
      <c r="B115" s="248">
        <v>15720.089999999951</v>
      </c>
      <c r="C115" s="249">
        <v>2817.2260000000078</v>
      </c>
    </row>
    <row r="116" spans="1:3" x14ac:dyDescent="0.2">
      <c r="A116" s="176"/>
      <c r="B116" s="170"/>
      <c r="C116" s="171"/>
    </row>
    <row r="122" spans="1:3" x14ac:dyDescent="0.2">
      <c r="A122" s="128"/>
      <c r="B122" s="128"/>
      <c r="C122" s="128"/>
    </row>
    <row r="123" spans="1:3" ht="19" x14ac:dyDescent="0.25">
      <c r="A123" s="195"/>
      <c r="B123" s="203"/>
      <c r="C123" s="202"/>
    </row>
    <row r="124" spans="1:3" ht="19" x14ac:dyDescent="0.25">
      <c r="A124" s="196"/>
      <c r="B124" s="201"/>
      <c r="C124" s="200"/>
    </row>
    <row r="125" spans="1:3" ht="19" x14ac:dyDescent="0.25">
      <c r="A125" s="195" t="s">
        <v>164</v>
      </c>
      <c r="B125" s="255">
        <v>10344.52</v>
      </c>
      <c r="C125" s="256">
        <v>1225.32</v>
      </c>
    </row>
    <row r="126" spans="1:3" ht="16" x14ac:dyDescent="0.2">
      <c r="A126" s="247" t="s">
        <v>57</v>
      </c>
      <c r="B126" s="245">
        <v>134.79</v>
      </c>
      <c r="C126" s="246">
        <v>0</v>
      </c>
    </row>
    <row r="127" spans="1:3" ht="19" x14ac:dyDescent="0.25">
      <c r="A127" s="196" t="s">
        <v>100</v>
      </c>
      <c r="B127" s="245">
        <v>11099.55</v>
      </c>
      <c r="C127" s="246">
        <v>1804</v>
      </c>
    </row>
    <row r="128" spans="1:3" ht="16" x14ac:dyDescent="0.2">
      <c r="A128" s="247" t="s">
        <v>54</v>
      </c>
      <c r="B128" s="245">
        <v>3508.67</v>
      </c>
      <c r="C128" s="246">
        <v>2446.0700000000002</v>
      </c>
    </row>
    <row r="129" spans="1:6" ht="16" x14ac:dyDescent="0.2">
      <c r="A129" s="247" t="s">
        <v>43</v>
      </c>
      <c r="B129" s="245">
        <v>12717.13</v>
      </c>
      <c r="C129" s="246">
        <v>4977.58</v>
      </c>
    </row>
    <row r="130" spans="1:6" ht="16" x14ac:dyDescent="0.2">
      <c r="A130" s="247" t="s">
        <v>48</v>
      </c>
      <c r="B130" s="245">
        <v>20917.349999999999</v>
      </c>
      <c r="C130" s="246">
        <v>2669.88</v>
      </c>
    </row>
    <row r="131" spans="1:6" ht="16" x14ac:dyDescent="0.2">
      <c r="A131" s="247" t="s">
        <v>44</v>
      </c>
      <c r="B131" s="245">
        <v>6540.67</v>
      </c>
      <c r="C131" s="246">
        <v>2450.15</v>
      </c>
    </row>
    <row r="132" spans="1:6" ht="16" x14ac:dyDescent="0.2">
      <c r="A132" s="247" t="s">
        <v>47</v>
      </c>
      <c r="B132" s="245">
        <v>11397.41</v>
      </c>
      <c r="C132" s="246">
        <v>2170.5700000000002</v>
      </c>
    </row>
    <row r="133" spans="1:6" ht="16" x14ac:dyDescent="0.2">
      <c r="A133" s="247" t="s">
        <v>40</v>
      </c>
      <c r="B133" s="245">
        <v>2361.5500000000002</v>
      </c>
      <c r="C133" s="246">
        <v>285.62</v>
      </c>
    </row>
    <row r="134" spans="1:6" ht="16" x14ac:dyDescent="0.2">
      <c r="A134" s="247" t="s">
        <v>17</v>
      </c>
      <c r="B134" s="245">
        <v>1237.04</v>
      </c>
      <c r="C134" s="246">
        <v>236.78</v>
      </c>
    </row>
    <row r="135" spans="1:6" ht="16" x14ac:dyDescent="0.2">
      <c r="A135" s="247" t="s">
        <v>39</v>
      </c>
      <c r="B135" s="245">
        <v>7643.83</v>
      </c>
      <c r="C135" s="246">
        <v>3057.53</v>
      </c>
    </row>
    <row r="136" spans="1:6" ht="16" x14ac:dyDescent="0.2">
      <c r="A136" s="247" t="s">
        <v>56</v>
      </c>
      <c r="B136" s="245">
        <v>22610.84</v>
      </c>
      <c r="C136" s="246">
        <v>3614.92</v>
      </c>
    </row>
    <row r="137" spans="1:6" ht="16" x14ac:dyDescent="0.2">
      <c r="A137" s="247" t="s">
        <v>20</v>
      </c>
      <c r="B137" s="245">
        <v>14856.88</v>
      </c>
      <c r="C137" s="246">
        <v>3020.96</v>
      </c>
    </row>
    <row r="138" spans="1:6" ht="16" x14ac:dyDescent="0.2">
      <c r="A138" s="247" t="s">
        <v>148</v>
      </c>
      <c r="B138" s="245">
        <v>1811.69</v>
      </c>
      <c r="C138" s="246">
        <v>364.8</v>
      </c>
    </row>
    <row r="139" spans="1:6" ht="19" x14ac:dyDescent="0.25">
      <c r="A139" s="198" t="s">
        <v>157</v>
      </c>
      <c r="B139" s="245">
        <v>14081.8</v>
      </c>
      <c r="C139" s="246">
        <v>1749.16</v>
      </c>
      <c r="D139" s="246"/>
      <c r="E139" s="246"/>
      <c r="F139" s="193"/>
    </row>
    <row r="140" spans="1:6" ht="16" x14ac:dyDescent="0.2">
      <c r="A140" s="247" t="s">
        <v>158</v>
      </c>
      <c r="B140" s="245">
        <v>20690.12</v>
      </c>
      <c r="C140" s="246">
        <v>2389</v>
      </c>
    </row>
    <row r="141" spans="1:6" ht="19" x14ac:dyDescent="0.2">
      <c r="A141" s="95" t="s">
        <v>150</v>
      </c>
      <c r="B141" s="245">
        <v>5957.06</v>
      </c>
      <c r="C141" s="246">
        <f>F141</f>
        <v>2189.2364000000002</v>
      </c>
      <c r="D141" s="249">
        <v>365.4464000000001</v>
      </c>
      <c r="E141" s="246">
        <v>1823.79</v>
      </c>
      <c r="F141" s="193">
        <f>D141+E141</f>
        <v>2189.2364000000002</v>
      </c>
    </row>
    <row r="142" spans="1:6" ht="16" x14ac:dyDescent="0.2">
      <c r="A142" s="247" t="s">
        <v>53</v>
      </c>
      <c r="B142" s="245">
        <v>13222.94</v>
      </c>
      <c r="C142" s="246">
        <v>9201.06</v>
      </c>
    </row>
    <row r="143" spans="1:6" ht="19" x14ac:dyDescent="0.25">
      <c r="A143" s="196" t="s">
        <v>172</v>
      </c>
      <c r="B143" s="245">
        <v>11611.6</v>
      </c>
      <c r="C143" s="246">
        <v>2201.91</v>
      </c>
    </row>
    <row r="144" spans="1:6" ht="19" x14ac:dyDescent="0.2">
      <c r="A144" s="95" t="s">
        <v>124</v>
      </c>
      <c r="B144" s="245">
        <v>13920.8</v>
      </c>
      <c r="C144" s="246">
        <v>2637.74</v>
      </c>
    </row>
    <row r="145" spans="1:3" ht="16" x14ac:dyDescent="0.2">
      <c r="A145" s="247" t="s">
        <v>52</v>
      </c>
      <c r="B145" s="245">
        <v>22233.45</v>
      </c>
      <c r="C145" s="246">
        <v>2762.94</v>
      </c>
    </row>
    <row r="146" spans="1:3" ht="16" x14ac:dyDescent="0.2">
      <c r="A146" s="247" t="s">
        <v>166</v>
      </c>
      <c r="B146" s="245">
        <v>5548.52</v>
      </c>
      <c r="C146" s="246">
        <v>854.09</v>
      </c>
    </row>
    <row r="147" spans="1:3" x14ac:dyDescent="0.2">
      <c r="A147" s="177"/>
      <c r="B147" s="179"/>
      <c r="C147" s="180"/>
    </row>
    <row r="162" spans="1:6" x14ac:dyDescent="0.2">
      <c r="A162" s="186"/>
      <c r="C162" s="186"/>
      <c r="E162" s="186"/>
      <c r="F162" s="186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4" type="noConversion"/>
  <conditionalFormatting sqref="I2:I45">
    <cfRule type="cellIs" dxfId="142" priority="120" operator="equal">
      <formula>"META"</formula>
    </cfRule>
    <cfRule type="cellIs" dxfId="141" priority="121" operator="equal">
      <formula>"FORA"</formula>
    </cfRule>
    <cfRule type="cellIs" dxfId="140" priority="122" operator="equal">
      <formula>"""META"""</formula>
    </cfRule>
  </conditionalFormatting>
  <conditionalFormatting sqref="L56 K45:L45 L50 L15 L17:L18 L32:L35 L2:L13 L20 L22:L30 K2:K44">
    <cfRule type="cellIs" dxfId="139" priority="119" operator="greaterThan">
      <formula>0</formula>
    </cfRule>
  </conditionalFormatting>
  <conditionalFormatting sqref="J45 J2:J35">
    <cfRule type="cellIs" dxfId="138" priority="118" operator="equal">
      <formula>"NFA"</formula>
    </cfRule>
  </conditionalFormatting>
  <conditionalFormatting sqref="U2:U44">
    <cfRule type="cellIs" dxfId="137" priority="117" operator="equal">
      <formula>"ok"</formula>
    </cfRule>
  </conditionalFormatting>
  <conditionalFormatting sqref="U2:U44">
    <cfRule type="cellIs" dxfId="136" priority="116" operator="equal">
      <formula>"Pendente"</formula>
    </cfRule>
  </conditionalFormatting>
  <conditionalFormatting sqref="V2:V44">
    <cfRule type="cellIs" dxfId="135" priority="115" operator="equal">
      <formula>"ok"</formula>
    </cfRule>
  </conditionalFormatting>
  <conditionalFormatting sqref="V2:V44">
    <cfRule type="cellIs" dxfId="134" priority="114" operator="equal">
      <formula>"Pendente"</formula>
    </cfRule>
  </conditionalFormatting>
  <conditionalFormatting sqref="Y1:Y44">
    <cfRule type="cellIs" dxfId="133" priority="112" operator="equal">
      <formula>"FORA"</formula>
    </cfRule>
  </conditionalFormatting>
  <conditionalFormatting sqref="G45">
    <cfRule type="cellIs" dxfId="132" priority="111" operator="lessThan">
      <formula>D45+E45</formula>
    </cfRule>
  </conditionalFormatting>
  <conditionalFormatting sqref="T2:T44">
    <cfRule type="expression" dxfId="131" priority="110">
      <formula>J2="NFA"</formula>
    </cfRule>
  </conditionalFormatting>
  <conditionalFormatting sqref="U2:V44">
    <cfRule type="cellIs" dxfId="130" priority="123" operator="lessThan">
      <formula>#REF!</formula>
    </cfRule>
  </conditionalFormatting>
  <conditionalFormatting sqref="I2:I45">
    <cfRule type="cellIs" dxfId="129" priority="124" operator="lessThan">
      <formula>#REF!</formula>
    </cfRule>
  </conditionalFormatting>
  <conditionalFormatting sqref="G2">
    <cfRule type="expression" dxfId="128" priority="109">
      <formula>D2:D34&gt;=G2:G34</formula>
    </cfRule>
  </conditionalFormatting>
  <conditionalFormatting sqref="V2:V44">
    <cfRule type="cellIs" dxfId="127" priority="108" operator="equal">
      <formula>"ok"</formula>
    </cfRule>
  </conditionalFormatting>
  <conditionalFormatting sqref="V2:V44">
    <cfRule type="cellIs" dxfId="126" priority="107" operator="equal">
      <formula>"Pendente"</formula>
    </cfRule>
  </conditionalFormatting>
  <conditionalFormatting sqref="V3">
    <cfRule type="cellIs" dxfId="125" priority="106" operator="equal">
      <formula>"ok"</formula>
    </cfRule>
  </conditionalFormatting>
  <conditionalFormatting sqref="V3">
    <cfRule type="cellIs" dxfId="124" priority="105" operator="equal">
      <formula>"Pendente"</formula>
    </cfRule>
  </conditionalFormatting>
  <conditionalFormatting sqref="V2:V44">
    <cfRule type="cellIs" dxfId="123" priority="104" operator="equal">
      <formula>"ok"</formula>
    </cfRule>
  </conditionalFormatting>
  <conditionalFormatting sqref="V2:V44">
    <cfRule type="cellIs" dxfId="122" priority="103" operator="equal">
      <formula>"Pendente"</formula>
    </cfRule>
  </conditionalFormatting>
  <conditionalFormatting sqref="V2:V44">
    <cfRule type="cellIs" dxfId="121" priority="102" operator="equal">
      <formula>"ok"</formula>
    </cfRule>
  </conditionalFormatting>
  <conditionalFormatting sqref="V2:V44">
    <cfRule type="cellIs" dxfId="120" priority="101" operator="equal">
      <formula>"Pendente"</formula>
    </cfRule>
  </conditionalFormatting>
  <conditionalFormatting sqref="V5">
    <cfRule type="cellIs" dxfId="119" priority="100" operator="equal">
      <formula>"ok"</formula>
    </cfRule>
  </conditionalFormatting>
  <conditionalFormatting sqref="V5">
    <cfRule type="cellIs" dxfId="118" priority="99" operator="equal">
      <formula>"Pendente"</formula>
    </cfRule>
  </conditionalFormatting>
  <conditionalFormatting sqref="V7:V9">
    <cfRule type="cellIs" dxfId="117" priority="98" operator="equal">
      <formula>"ok"</formula>
    </cfRule>
  </conditionalFormatting>
  <conditionalFormatting sqref="V7:V9">
    <cfRule type="cellIs" dxfId="116" priority="97" operator="equal">
      <formula>"Pendente"</formula>
    </cfRule>
  </conditionalFormatting>
  <conditionalFormatting sqref="V11">
    <cfRule type="cellIs" dxfId="115" priority="96" operator="equal">
      <formula>"ok"</formula>
    </cfRule>
  </conditionalFormatting>
  <conditionalFormatting sqref="V11">
    <cfRule type="cellIs" dxfId="114" priority="95" operator="equal">
      <formula>"Pendente"</formula>
    </cfRule>
  </conditionalFormatting>
  <conditionalFormatting sqref="V13">
    <cfRule type="cellIs" dxfId="113" priority="94" operator="equal">
      <formula>"ok"</formula>
    </cfRule>
  </conditionalFormatting>
  <conditionalFormatting sqref="V13">
    <cfRule type="cellIs" dxfId="112" priority="93" operator="equal">
      <formula>"Pendente"</formula>
    </cfRule>
  </conditionalFormatting>
  <conditionalFormatting sqref="V15">
    <cfRule type="cellIs" dxfId="111" priority="92" operator="equal">
      <formula>"ok"</formula>
    </cfRule>
  </conditionalFormatting>
  <conditionalFormatting sqref="V15">
    <cfRule type="cellIs" dxfId="110" priority="91" operator="equal">
      <formula>"Pendente"</formula>
    </cfRule>
  </conditionalFormatting>
  <conditionalFormatting sqref="V17">
    <cfRule type="cellIs" dxfId="109" priority="90" operator="equal">
      <formula>"ok"</formula>
    </cfRule>
  </conditionalFormatting>
  <conditionalFormatting sqref="V17">
    <cfRule type="cellIs" dxfId="108" priority="89" operator="equal">
      <formula>"Pendente"</formula>
    </cfRule>
  </conditionalFormatting>
  <conditionalFormatting sqref="V19:V24">
    <cfRule type="cellIs" dxfId="107" priority="88" operator="equal">
      <formula>"ok"</formula>
    </cfRule>
  </conditionalFormatting>
  <conditionalFormatting sqref="V19:V24">
    <cfRule type="cellIs" dxfId="106" priority="87" operator="equal">
      <formula>"Pendente"</formula>
    </cfRule>
  </conditionalFormatting>
  <conditionalFormatting sqref="V27:V32">
    <cfRule type="cellIs" dxfId="105" priority="86" operator="equal">
      <formula>"ok"</formula>
    </cfRule>
  </conditionalFormatting>
  <conditionalFormatting sqref="V27:V32">
    <cfRule type="cellIs" dxfId="104" priority="85" operator="equal">
      <formula>"Pendente"</formula>
    </cfRule>
  </conditionalFormatting>
  <conditionalFormatting sqref="V2:V44">
    <cfRule type="cellIs" dxfId="103" priority="82" operator="equal">
      <formula>"ok"</formula>
    </cfRule>
  </conditionalFormatting>
  <conditionalFormatting sqref="V2:V44">
    <cfRule type="cellIs" dxfId="102" priority="81" operator="equal">
      <formula>"Pendente"</formula>
    </cfRule>
  </conditionalFormatting>
  <conditionalFormatting sqref="V2">
    <cfRule type="cellIs" dxfId="101" priority="80" operator="equal">
      <formula>"ok"</formula>
    </cfRule>
  </conditionalFormatting>
  <conditionalFormatting sqref="V2">
    <cfRule type="cellIs" dxfId="100" priority="79" operator="equal">
      <formula>"Pendente"</formula>
    </cfRule>
  </conditionalFormatting>
  <conditionalFormatting sqref="V3">
    <cfRule type="cellIs" dxfId="99" priority="78" operator="equal">
      <formula>"ok"</formula>
    </cfRule>
  </conditionalFormatting>
  <conditionalFormatting sqref="V3">
    <cfRule type="cellIs" dxfId="98" priority="77" operator="equal">
      <formula>"Pendente"</formula>
    </cfRule>
  </conditionalFormatting>
  <conditionalFormatting sqref="V5">
    <cfRule type="cellIs" dxfId="97" priority="76" operator="equal">
      <formula>"ok"</formula>
    </cfRule>
  </conditionalFormatting>
  <conditionalFormatting sqref="V5">
    <cfRule type="cellIs" dxfId="96" priority="75" operator="equal">
      <formula>"Pendente"</formula>
    </cfRule>
  </conditionalFormatting>
  <conditionalFormatting sqref="V6">
    <cfRule type="cellIs" dxfId="95" priority="74" operator="equal">
      <formula>"ok"</formula>
    </cfRule>
  </conditionalFormatting>
  <conditionalFormatting sqref="V6">
    <cfRule type="cellIs" dxfId="94" priority="73" operator="equal">
      <formula>"Pendente"</formula>
    </cfRule>
  </conditionalFormatting>
  <conditionalFormatting sqref="V8:V9">
    <cfRule type="cellIs" dxfId="93" priority="72" operator="equal">
      <formula>"ok"</formula>
    </cfRule>
  </conditionalFormatting>
  <conditionalFormatting sqref="V8:V9">
    <cfRule type="cellIs" dxfId="92" priority="71" operator="equal">
      <formula>"Pendente"</formula>
    </cfRule>
  </conditionalFormatting>
  <conditionalFormatting sqref="V12">
    <cfRule type="cellIs" dxfId="91" priority="70" operator="equal">
      <formula>"ok"</formula>
    </cfRule>
  </conditionalFormatting>
  <conditionalFormatting sqref="V12">
    <cfRule type="cellIs" dxfId="90" priority="69" operator="equal">
      <formula>"Pendente"</formula>
    </cfRule>
  </conditionalFormatting>
  <conditionalFormatting sqref="V12">
    <cfRule type="cellIs" dxfId="89" priority="68" operator="equal">
      <formula>"ok"</formula>
    </cfRule>
  </conditionalFormatting>
  <conditionalFormatting sqref="V12">
    <cfRule type="cellIs" dxfId="88" priority="67" operator="equal">
      <formula>"Pendente"</formula>
    </cfRule>
  </conditionalFormatting>
  <conditionalFormatting sqref="V14">
    <cfRule type="cellIs" dxfId="87" priority="66" operator="equal">
      <formula>"ok"</formula>
    </cfRule>
  </conditionalFormatting>
  <conditionalFormatting sqref="V14">
    <cfRule type="cellIs" dxfId="86" priority="65" operator="equal">
      <formula>"Pendente"</formula>
    </cfRule>
  </conditionalFormatting>
  <conditionalFormatting sqref="V14">
    <cfRule type="cellIs" dxfId="85" priority="64" operator="equal">
      <formula>"ok"</formula>
    </cfRule>
  </conditionalFormatting>
  <conditionalFormatting sqref="V14">
    <cfRule type="cellIs" dxfId="84" priority="63" operator="equal">
      <formula>"Pendente"</formula>
    </cfRule>
  </conditionalFormatting>
  <conditionalFormatting sqref="V16">
    <cfRule type="cellIs" dxfId="83" priority="62" operator="equal">
      <formula>"ok"</formula>
    </cfRule>
  </conditionalFormatting>
  <conditionalFormatting sqref="V16">
    <cfRule type="cellIs" dxfId="82" priority="61" operator="equal">
      <formula>"Pendente"</formula>
    </cfRule>
  </conditionalFormatting>
  <conditionalFormatting sqref="V16">
    <cfRule type="cellIs" dxfId="81" priority="60" operator="equal">
      <formula>"ok"</formula>
    </cfRule>
  </conditionalFormatting>
  <conditionalFormatting sqref="V16">
    <cfRule type="cellIs" dxfId="80" priority="59" operator="equal">
      <formula>"Pendente"</formula>
    </cfRule>
  </conditionalFormatting>
  <conditionalFormatting sqref="V18">
    <cfRule type="cellIs" dxfId="79" priority="58" operator="equal">
      <formula>"ok"</formula>
    </cfRule>
  </conditionalFormatting>
  <conditionalFormatting sqref="V18">
    <cfRule type="cellIs" dxfId="78" priority="57" operator="equal">
      <formula>"Pendente"</formula>
    </cfRule>
  </conditionalFormatting>
  <conditionalFormatting sqref="V18">
    <cfRule type="cellIs" dxfId="77" priority="56" operator="equal">
      <formula>"ok"</formula>
    </cfRule>
  </conditionalFormatting>
  <conditionalFormatting sqref="V18">
    <cfRule type="cellIs" dxfId="76" priority="55" operator="equal">
      <formula>"Pendente"</formula>
    </cfRule>
  </conditionalFormatting>
  <conditionalFormatting sqref="V20">
    <cfRule type="cellIs" dxfId="75" priority="54" operator="equal">
      <formula>"ok"</formula>
    </cfRule>
  </conditionalFormatting>
  <conditionalFormatting sqref="V20">
    <cfRule type="cellIs" dxfId="74" priority="53" operator="equal">
      <formula>"Pendente"</formula>
    </cfRule>
  </conditionalFormatting>
  <conditionalFormatting sqref="V20">
    <cfRule type="cellIs" dxfId="73" priority="52" operator="equal">
      <formula>"ok"</formula>
    </cfRule>
  </conditionalFormatting>
  <conditionalFormatting sqref="V20">
    <cfRule type="cellIs" dxfId="72" priority="51" operator="equal">
      <formula>"Pendente"</formula>
    </cfRule>
  </conditionalFormatting>
  <conditionalFormatting sqref="V20:V21">
    <cfRule type="cellIs" dxfId="71" priority="50" operator="equal">
      <formula>"ok"</formula>
    </cfRule>
  </conditionalFormatting>
  <conditionalFormatting sqref="V20:V21">
    <cfRule type="cellIs" dxfId="70" priority="49" operator="equal">
      <formula>"Pendente"</formula>
    </cfRule>
  </conditionalFormatting>
  <conditionalFormatting sqref="V20:V21">
    <cfRule type="cellIs" dxfId="69" priority="48" operator="equal">
      <formula>"ok"</formula>
    </cfRule>
  </conditionalFormatting>
  <conditionalFormatting sqref="V20:V21">
    <cfRule type="cellIs" dxfId="68" priority="47" operator="equal">
      <formula>"Pendente"</formula>
    </cfRule>
  </conditionalFormatting>
  <conditionalFormatting sqref="V22">
    <cfRule type="cellIs" dxfId="67" priority="46" operator="equal">
      <formula>"ok"</formula>
    </cfRule>
  </conditionalFormatting>
  <conditionalFormatting sqref="V22">
    <cfRule type="cellIs" dxfId="66" priority="45" operator="equal">
      <formula>"Pendente"</formula>
    </cfRule>
  </conditionalFormatting>
  <conditionalFormatting sqref="V22">
    <cfRule type="cellIs" dxfId="65" priority="44" operator="equal">
      <formula>"ok"</formula>
    </cfRule>
  </conditionalFormatting>
  <conditionalFormatting sqref="V22">
    <cfRule type="cellIs" dxfId="64" priority="43" operator="equal">
      <formula>"Pendente"</formula>
    </cfRule>
  </conditionalFormatting>
  <conditionalFormatting sqref="V23">
    <cfRule type="cellIs" dxfId="63" priority="42" operator="equal">
      <formula>"ok"</formula>
    </cfRule>
  </conditionalFormatting>
  <conditionalFormatting sqref="V23">
    <cfRule type="cellIs" dxfId="62" priority="41" operator="equal">
      <formula>"Pendente"</formula>
    </cfRule>
  </conditionalFormatting>
  <conditionalFormatting sqref="V23">
    <cfRule type="cellIs" dxfId="61" priority="40" operator="equal">
      <formula>"ok"</formula>
    </cfRule>
  </conditionalFormatting>
  <conditionalFormatting sqref="V23">
    <cfRule type="cellIs" dxfId="60" priority="39" operator="equal">
      <formula>"Pendente"</formula>
    </cfRule>
  </conditionalFormatting>
  <conditionalFormatting sqref="V24">
    <cfRule type="cellIs" dxfId="59" priority="38" operator="equal">
      <formula>"ok"</formula>
    </cfRule>
  </conditionalFormatting>
  <conditionalFormatting sqref="V24">
    <cfRule type="cellIs" dxfId="58" priority="37" operator="equal">
      <formula>"Pendente"</formula>
    </cfRule>
  </conditionalFormatting>
  <conditionalFormatting sqref="V24">
    <cfRule type="cellIs" dxfId="57" priority="36" operator="equal">
      <formula>"ok"</formula>
    </cfRule>
  </conditionalFormatting>
  <conditionalFormatting sqref="V24">
    <cfRule type="cellIs" dxfId="56" priority="35" operator="equal">
      <formula>"Pendente"</formula>
    </cfRule>
  </conditionalFormatting>
  <conditionalFormatting sqref="V25">
    <cfRule type="cellIs" dxfId="55" priority="34" operator="equal">
      <formula>"ok"</formula>
    </cfRule>
  </conditionalFormatting>
  <conditionalFormatting sqref="V25">
    <cfRule type="cellIs" dxfId="54" priority="33" operator="equal">
      <formula>"Pendente"</formula>
    </cfRule>
  </conditionalFormatting>
  <conditionalFormatting sqref="V25">
    <cfRule type="cellIs" dxfId="53" priority="32" operator="equal">
      <formula>"ok"</formula>
    </cfRule>
  </conditionalFormatting>
  <conditionalFormatting sqref="V25">
    <cfRule type="cellIs" dxfId="52" priority="31" operator="equal">
      <formula>"Pendente"</formula>
    </cfRule>
  </conditionalFormatting>
  <conditionalFormatting sqref="V28">
    <cfRule type="cellIs" dxfId="51" priority="30" operator="equal">
      <formula>"ok"</formula>
    </cfRule>
  </conditionalFormatting>
  <conditionalFormatting sqref="V28">
    <cfRule type="cellIs" dxfId="50" priority="29" operator="equal">
      <formula>"Pendente"</formula>
    </cfRule>
  </conditionalFormatting>
  <conditionalFormatting sqref="V28">
    <cfRule type="cellIs" dxfId="49" priority="28" operator="equal">
      <formula>"ok"</formula>
    </cfRule>
  </conditionalFormatting>
  <conditionalFormatting sqref="V28">
    <cfRule type="cellIs" dxfId="48" priority="27" operator="equal">
      <formula>"Pendente"</formula>
    </cfRule>
  </conditionalFormatting>
  <conditionalFormatting sqref="V29">
    <cfRule type="cellIs" dxfId="47" priority="26" operator="equal">
      <formula>"ok"</formula>
    </cfRule>
  </conditionalFormatting>
  <conditionalFormatting sqref="V29">
    <cfRule type="cellIs" dxfId="46" priority="25" operator="equal">
      <formula>"Pendente"</formula>
    </cfRule>
  </conditionalFormatting>
  <conditionalFormatting sqref="V29">
    <cfRule type="cellIs" dxfId="45" priority="24" operator="equal">
      <formula>"ok"</formula>
    </cfRule>
  </conditionalFormatting>
  <conditionalFormatting sqref="V29">
    <cfRule type="cellIs" dxfId="44" priority="23" operator="equal">
      <formula>"Pendente"</formula>
    </cfRule>
  </conditionalFormatting>
  <conditionalFormatting sqref="V30">
    <cfRule type="cellIs" dxfId="43" priority="22" operator="equal">
      <formula>"ok"</formula>
    </cfRule>
  </conditionalFormatting>
  <conditionalFormatting sqref="V30">
    <cfRule type="cellIs" dxfId="42" priority="21" operator="equal">
      <formula>"Pendente"</formula>
    </cfRule>
  </conditionalFormatting>
  <conditionalFormatting sqref="V30">
    <cfRule type="cellIs" dxfId="41" priority="20" operator="equal">
      <formula>"ok"</formula>
    </cfRule>
  </conditionalFormatting>
  <conditionalFormatting sqref="V30">
    <cfRule type="cellIs" dxfId="40" priority="19" operator="equal">
      <formula>"Pendente"</formula>
    </cfRule>
  </conditionalFormatting>
  <conditionalFormatting sqref="V31">
    <cfRule type="cellIs" dxfId="39" priority="18" operator="equal">
      <formula>"ok"</formula>
    </cfRule>
  </conditionalFormatting>
  <conditionalFormatting sqref="V31">
    <cfRule type="cellIs" dxfId="38" priority="17" operator="equal">
      <formula>"Pendente"</formula>
    </cfRule>
  </conditionalFormatting>
  <conditionalFormatting sqref="V31">
    <cfRule type="cellIs" dxfId="37" priority="16" operator="equal">
      <formula>"ok"</formula>
    </cfRule>
  </conditionalFormatting>
  <conditionalFormatting sqref="V31">
    <cfRule type="cellIs" dxfId="36" priority="15" operator="equal">
      <formula>"Pendente"</formula>
    </cfRule>
  </conditionalFormatting>
  <conditionalFormatting sqref="G10">
    <cfRule type="expression" dxfId="35" priority="166">
      <formula>D10:D42&gt;=G10:G43</formula>
    </cfRule>
  </conditionalFormatting>
  <conditionalFormatting sqref="G12 G15 G17:G22 G24:G44">
    <cfRule type="expression" dxfId="34" priority="173">
      <formula>D12:D45&gt;=G12:G55</formula>
    </cfRule>
  </conditionalFormatting>
  <conditionalFormatting sqref="G6:G7">
    <cfRule type="expression" dxfId="33" priority="178">
      <formula>D6:D38&gt;=G6:G46</formula>
    </cfRule>
  </conditionalFormatting>
  <conditionalFormatting sqref="G3:G5">
    <cfRule type="expression" dxfId="32" priority="188">
      <formula>D3:D45&gt;=G3:G36</formula>
    </cfRule>
  </conditionalFormatting>
  <conditionalFormatting sqref="G11">
    <cfRule type="expression" dxfId="31" priority="189">
      <formula>D11:D45&gt;=G11:G45</formula>
    </cfRule>
  </conditionalFormatting>
  <conditionalFormatting sqref="G8:G9">
    <cfRule type="expression" dxfId="30" priority="10">
      <formula>D8:D41&gt;=G8:G51</formula>
    </cfRule>
  </conditionalFormatting>
  <conditionalFormatting sqref="G23">
    <cfRule type="expression" dxfId="29" priority="6">
      <formula>D23:D65&gt;=G23:G56</formula>
    </cfRule>
  </conditionalFormatting>
  <conditionalFormatting sqref="G13">
    <cfRule type="expression" dxfId="28" priority="4">
      <formula>D13:D45&gt;=G13:G53</formula>
    </cfRule>
  </conditionalFormatting>
  <conditionalFormatting sqref="G14">
    <cfRule type="expression" dxfId="27" priority="2">
      <formula>D14:D46&gt;=G14:G46</formula>
    </cfRule>
  </conditionalFormatting>
  <conditionalFormatting sqref="G16">
    <cfRule type="expression" dxfId="26" priority="1">
      <formula>D16:D49&gt;=G16:G59</formula>
    </cfRule>
  </conditionalFormatting>
  <hyperlinks>
    <hyperlink ref="L32" r:id="rId1" xr:uid="{2E6FCA83-1036-4650-AF33-ED03B66540D5}"/>
    <hyperlink ref="L21" r:id="rId2" xr:uid="{2A0C94C1-B30D-460D-80F5-86A06FD1A54E}"/>
    <hyperlink ref="L17" r:id="rId3" xr:uid="{A338DCA9-CB50-B541-895F-F3E77B815C6C}"/>
  </hyperlinks>
  <pageMargins left="0.7" right="0.7" top="0.75" bottom="0.75" header="0.3" footer="0.3"/>
  <pageSetup paperSize="9" scale="12" orientation="portrait" r:id="rId4"/>
  <drawing r:id="rId5"/>
  <tableParts count="5"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111" zoomScaleNormal="70" workbookViewId="0">
      <selection activeCell="C27" sqref="C27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1" t="s">
        <v>154</v>
      </c>
      <c r="C1" s="232"/>
      <c r="D1" s="232"/>
      <c r="E1" s="232"/>
      <c r="F1" s="232"/>
      <c r="G1" s="233"/>
    </row>
    <row r="2" spans="2:10" ht="15.75" customHeight="1" thickBot="1" x14ac:dyDescent="0.25">
      <c r="B2" s="234"/>
      <c r="C2" s="235"/>
      <c r="D2" s="235"/>
      <c r="E2" s="235"/>
      <c r="F2" s="235"/>
      <c r="G2" s="236"/>
    </row>
    <row r="3" spans="2:10" ht="16" thickBot="1" x14ac:dyDescent="0.25">
      <c r="B3" s="88" t="s">
        <v>135</v>
      </c>
      <c r="C3" s="4" t="s">
        <v>136</v>
      </c>
      <c r="D3" s="4" t="s">
        <v>137</v>
      </c>
      <c r="E3" s="88" t="s">
        <v>138</v>
      </c>
      <c r="F3" s="4" t="s">
        <v>139</v>
      </c>
      <c r="G3" s="89" t="s">
        <v>140</v>
      </c>
      <c r="H3" s="110" t="s">
        <v>68</v>
      </c>
    </row>
    <row r="4" spans="2:10" ht="20" customHeight="1" x14ac:dyDescent="0.25">
      <c r="B4" s="92" t="str">
        <f>Março!A2</f>
        <v>Ana Clara dos Santos Costa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43" t="s">
        <v>141</v>
      </c>
      <c r="J4" s="243"/>
    </row>
    <row r="5" spans="2:10" ht="20" customHeight="1" x14ac:dyDescent="0.25">
      <c r="B5" s="92" t="str">
        <f>Março!A3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Março!A4</f>
        <v>Douglas Almeida da Silva Tarde</v>
      </c>
      <c r="C6" s="83">
        <v>10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200</v>
      </c>
    </row>
    <row r="7" spans="2:10" ht="20" customHeight="1" x14ac:dyDescent="0.25">
      <c r="B7" s="92" t="str">
        <f>Março!A5</f>
        <v>Eduardo Aleixo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Março!A6</f>
        <v>Eduardo Aleixo da Silva (Tarde)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Março!A7</f>
        <v>Gabriella Ferreira de Anizio</v>
      </c>
      <c r="C9" s="83">
        <v>25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500</v>
      </c>
    </row>
    <row r="10" spans="2:10" ht="20" customHeight="1" x14ac:dyDescent="0.25">
      <c r="B10" s="92" t="str">
        <f>Março!A8</f>
        <v>Giovanna Águila da Costa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Março!A9</f>
        <v>Glaumir Sampaio Cavalcante Junior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Março!A10</f>
        <v>Jamily Oliveira do Vale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Março!A11</f>
        <v>Juliana Fernandes de Oliveira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Março!A12</f>
        <v>Lana Sabrina Castro Said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Março!A13</f>
        <v>Layane de Cássia Araújo Guedes</v>
      </c>
      <c r="C15" s="83">
        <v>24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480</v>
      </c>
    </row>
    <row r="16" spans="2:10" ht="20" customHeight="1" x14ac:dyDescent="0.25">
      <c r="B16" s="92" t="str">
        <f>Março!A14</f>
        <v>Laysa Palmira Nogueira de Aquino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Março!A15</f>
        <v>Leiliany Palmeira da S.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Março!A16</f>
        <v>Marina Brasil de Abreu</v>
      </c>
      <c r="C18" s="83">
        <f>8+6</f>
        <v>14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280</v>
      </c>
    </row>
    <row r="19" spans="2:7" ht="20" customHeight="1" x14ac:dyDescent="0.25">
      <c r="B19" s="92" t="str">
        <f>Março!A17</f>
        <v>Marina Brasil de Abreu (Tarde)</v>
      </c>
      <c r="C19" s="83">
        <v>12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240</v>
      </c>
    </row>
    <row r="20" spans="2:7" ht="20" customHeight="1" x14ac:dyDescent="0.25">
      <c r="B20" s="92" t="str">
        <f>Março!A18</f>
        <v>Mislene Martins da Silva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Março!A19</f>
        <v>Nádia Fabíola Silva Lasmar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Março!A20</f>
        <v>Nialen dos Santos Melo</v>
      </c>
      <c r="C22" s="83">
        <v>1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20</v>
      </c>
    </row>
    <row r="23" spans="2:7" ht="20" customHeight="1" x14ac:dyDescent="0.25">
      <c r="B23" s="92" t="str">
        <f>Março!A21</f>
        <v>Silvino Viana Reis Sobrinho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Março!A22</f>
        <v>Silvino Viana Reis Sobrinho (Tarde)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Março!A23</f>
        <v>Thalita Guedes de Carvalho Souza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Março!A24</f>
        <v>Thalita Guedes de Carvalho Souza (Tarde)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Março!A25</f>
        <v>Thiago Renan da Silva e Silva</v>
      </c>
      <c r="C27" s="83">
        <v>2</v>
      </c>
      <c r="D27" s="112" t="s">
        <v>7</v>
      </c>
      <c r="E27" s="83" t="s">
        <v>7</v>
      </c>
      <c r="F27" s="83" t="s">
        <v>7</v>
      </c>
      <c r="G27" s="84">
        <f>Tabela1[[#This Row],[Dias]]*20+Tabela1[[#This Row],[Coluna1]]</f>
        <v>40</v>
      </c>
    </row>
    <row r="28" spans="2:7" ht="20" customHeight="1" x14ac:dyDescent="0.25">
      <c r="B28" s="92" t="str">
        <f>Março!A26</f>
        <v>Viviane Cristina Carvalho de Menezes</v>
      </c>
      <c r="C28" s="83">
        <v>12</v>
      </c>
      <c r="D28" s="83" t="s">
        <v>7</v>
      </c>
      <c r="E28" s="83" t="s">
        <v>7</v>
      </c>
      <c r="F28" s="83" t="s">
        <v>7</v>
      </c>
      <c r="G28" s="84">
        <f>Tabela1[[#This Row],[Dias]]*20+Tabela1[[#This Row],[Coluna1]]</f>
        <v>240</v>
      </c>
    </row>
    <row r="29" spans="2:7" ht="20" customHeight="1" x14ac:dyDescent="0.25">
      <c r="B29" s="92">
        <f>Março!A27</f>
        <v>0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>
        <f>Março!A28</f>
        <v>0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>
        <f>Março!A29</f>
        <v>0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>
        <f>Março!A30</f>
        <v>0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>
        <f>Março!A31</f>
        <v>0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>
        <f>Março!A32</f>
        <v>0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>
        <f>Março!A33</f>
        <v>0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/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/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/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/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/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/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37" t="s">
        <v>155</v>
      </c>
      <c r="C43" s="238"/>
      <c r="D43" s="238"/>
      <c r="E43" s="238"/>
      <c r="F43" s="238"/>
      <c r="G43" s="239"/>
    </row>
    <row r="44" spans="2:14" ht="16" thickBot="1" x14ac:dyDescent="0.25">
      <c r="B44" s="240"/>
      <c r="C44" s="241"/>
      <c r="D44" s="241"/>
      <c r="E44" s="241"/>
      <c r="F44" s="241"/>
      <c r="G44" s="242"/>
    </row>
    <row r="45" spans="2:14" ht="16" thickBot="1" x14ac:dyDescent="0.25">
      <c r="B45" s="88" t="s">
        <v>135</v>
      </c>
      <c r="C45" s="4" t="s">
        <v>136</v>
      </c>
      <c r="D45" s="4" t="s">
        <v>137</v>
      </c>
      <c r="E45" s="88" t="s">
        <v>142</v>
      </c>
      <c r="F45" s="4" t="s">
        <v>139</v>
      </c>
      <c r="G45" s="89" t="s">
        <v>140</v>
      </c>
      <c r="H45" s="110" t="s">
        <v>143</v>
      </c>
      <c r="J45" s="128"/>
    </row>
    <row r="46" spans="2:14" ht="20" x14ac:dyDescent="0.25">
      <c r="B46" s="92" t="str">
        <f>Março!A2</f>
        <v>Ana Clara dos Santos Costa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Março!A3</f>
        <v>Bruna Picanço Pinheiro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Março!A4</f>
        <v>Douglas Almeida da Silva Tarde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Março!A5</f>
        <v>Eduardo Aleixo da Silva</v>
      </c>
      <c r="C49" s="83">
        <v>1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Março!A6</f>
        <v>Eduardo Aleixo da Silva (Tarde)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Março!A7</f>
        <v>Gabriella Ferreira de Anizio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Março!A8</f>
        <v>Giovanna Águila da Costa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Março!A9</f>
        <v>Glaumir Sampaio Cavalcante Junior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Março!A10</f>
        <v>Jamily Oliveira do Vale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Março!A11</f>
        <v>Juliana Fernandes de Oliveira</v>
      </c>
      <c r="C55" s="83">
        <v>1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Março!A12</f>
        <v>Lana Sabrina Castro Said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Março!A13</f>
        <v>Layane de Cássia Araújo Guedes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Março!A14</f>
        <v>Laysa Palmira Nogueira de Aquino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Março!A15</f>
        <v>Leiliany Palmeira da S.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Março!A16</f>
        <v>Marina Brasil de Abreu</v>
      </c>
      <c r="C60" s="83">
        <v>0</v>
      </c>
      <c r="D60" s="83" t="s">
        <v>7</v>
      </c>
      <c r="E60" s="83" t="s">
        <v>7</v>
      </c>
      <c r="F60" s="83" t="s">
        <v>7</v>
      </c>
      <c r="G60" s="111">
        <v>0</v>
      </c>
      <c r="H60" s="157"/>
      <c r="J60" s="44"/>
      <c r="K60" s="159"/>
      <c r="L60" s="159"/>
      <c r="M60" s="160"/>
      <c r="N60" s="159"/>
    </row>
    <row r="61" spans="2:14" ht="18.75" customHeight="1" x14ac:dyDescent="0.25">
      <c r="B61" s="92" t="str">
        <f>Março!A17</f>
        <v>Marina Brasil de Abreu (Tarde)</v>
      </c>
      <c r="C61" s="83">
        <v>0</v>
      </c>
      <c r="D61" s="112" t="s">
        <v>7</v>
      </c>
      <c r="E61" s="83" t="s">
        <v>7</v>
      </c>
      <c r="F61" s="83" t="s">
        <v>7</v>
      </c>
      <c r="G61" s="111">
        <v>0</v>
      </c>
      <c r="H61" s="158"/>
      <c r="J61" s="44"/>
      <c r="K61" s="159"/>
      <c r="L61" s="159"/>
      <c r="M61" s="160"/>
      <c r="N61" s="159"/>
    </row>
    <row r="62" spans="2:14" ht="20" x14ac:dyDescent="0.25">
      <c r="B62" s="92" t="str">
        <f>Março!A18</f>
        <v>Mislene Martins da Silva</v>
      </c>
      <c r="C62" s="83">
        <v>0</v>
      </c>
      <c r="D62" s="83" t="s">
        <v>7</v>
      </c>
      <c r="E62" s="83" t="s">
        <v>7</v>
      </c>
      <c r="F62" s="83" t="s">
        <v>7</v>
      </c>
      <c r="G62" s="111">
        <v>0</v>
      </c>
      <c r="H62" s="157"/>
      <c r="J62" s="44"/>
      <c r="K62" s="159"/>
      <c r="L62" s="159"/>
      <c r="M62" s="160"/>
      <c r="N62" s="159"/>
    </row>
    <row r="63" spans="2:14" ht="20" x14ac:dyDescent="0.25">
      <c r="B63" s="92" t="str">
        <f>Março!A19</f>
        <v>Nádia Fabíola Silva Lasmar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Março!A20</f>
        <v>Nialen dos Santos Melo</v>
      </c>
      <c r="C64" s="83">
        <v>0</v>
      </c>
      <c r="D64" s="112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Março!A21</f>
        <v>Silvino Viana Reis Sobrinho</v>
      </c>
      <c r="C65" s="83">
        <v>0</v>
      </c>
      <c r="D65" s="83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Março!A22</f>
        <v>Silvino Viana Reis Sobrinho (Tarde)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 t="str">
        <f>Março!A23</f>
        <v>Thalita Guedes de Carvalho Souza</v>
      </c>
      <c r="C67" s="83">
        <v>0</v>
      </c>
      <c r="D67" s="112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Março!A24</f>
        <v>Thalita Guedes de Carvalho Souza (Tarde)</v>
      </c>
      <c r="C68" s="83">
        <v>0</v>
      </c>
      <c r="D68" s="83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 t="str">
        <f>Março!A25</f>
        <v>Thiago Renan da Silva e Silva</v>
      </c>
      <c r="C69" s="83">
        <v>0</v>
      </c>
      <c r="D69" s="112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 t="str">
        <f>Março!A26</f>
        <v>Viviane Cristina Carvalho de Menezes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8"/>
      <c r="J70" s="44"/>
      <c r="K70" s="159"/>
      <c r="L70" s="159"/>
      <c r="M70" s="160"/>
      <c r="N70" s="159"/>
    </row>
    <row r="71" spans="2:14" ht="18.75" customHeight="1" x14ac:dyDescent="0.25">
      <c r="B71" s="92"/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/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/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/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/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/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/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/>
      <c r="C78" s="83">
        <v>0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/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/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/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/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/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/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/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Relatório de Faltas</vt:lpstr>
      <vt:lpstr>Tab Dinamica</vt:lpstr>
      <vt:lpstr>Março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2026-04-20T19:52:59Z</dcterms:modified>
  <cp:category>relatorio</cp:category>
  <cp:contentStatus/>
</cp:coreProperties>
</file>